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12" yWindow="24" windowWidth="11544" windowHeight="9468" firstSheet="5" activeTab="5"/>
  </bookViews>
  <sheets>
    <sheet name="Instruction" sheetId="10" r:id="rId1"/>
    <sheet name="OVERVIEW" sheetId="1" r:id="rId2"/>
    <sheet name="DAILY_AUDIT" sheetId="2" r:id="rId3"/>
    <sheet name="Sheet2" sheetId="11" r:id="rId4"/>
    <sheet name="RAW_OHLCV_SAMPLES" sheetId="3" r:id="rId5"/>
    <sheet name="RAW_PRICES" sheetId="4" r:id="rId6"/>
    <sheet name="RAW_ATRP_DATA" sheetId="5" r:id="rId7"/>
    <sheet name="RAW_TRP_DATA" sheetId="6" r:id="rId8"/>
    <sheet name="RAW_DRIFTED_WEIGHTS" sheetId="7" r:id="rId9"/>
    <sheet name="SURVIVAL_AUDIT" sheetId="8" r:id="rId10"/>
    <sheet name="FULL_RANKING" sheetId="9" r:id="rId11"/>
  </sheets>
  <definedNames>
    <definedName name="_xlnm._FilterDatabase" localSheetId="0" hidden="1">Instruction!$A$1:$T$54</definedName>
    <definedName name="_xlnm._FilterDatabase" localSheetId="4" hidden="1">RAW_OHLCV_SAMPLES!$A$1:$G$52</definedName>
  </definedNames>
  <calcPr calcId="145621"/>
</workbook>
</file>

<file path=xl/calcChain.xml><?xml version="1.0" encoding="utf-8"?>
<calcChain xmlns="http://schemas.openxmlformats.org/spreadsheetml/2006/main">
  <c r="O2" i="4" l="1"/>
  <c r="Q2" i="4" s="1"/>
  <c r="P18" i="4"/>
  <c r="Q18" i="4"/>
  <c r="P4" i="4"/>
  <c r="Q4" i="4"/>
  <c r="P5" i="4"/>
  <c r="Q5" i="4"/>
  <c r="P6" i="4"/>
  <c r="Q6" i="4"/>
  <c r="P7" i="4"/>
  <c r="Q7" i="4"/>
  <c r="P8" i="4"/>
  <c r="Q8" i="4"/>
  <c r="P9" i="4"/>
  <c r="Q9" i="4"/>
  <c r="P10" i="4"/>
  <c r="Q10" i="4"/>
  <c r="P11" i="4"/>
  <c r="Q11" i="4"/>
  <c r="P12" i="4"/>
  <c r="Q12" i="4"/>
  <c r="P13" i="4"/>
  <c r="Q13" i="4"/>
  <c r="P14" i="4"/>
  <c r="Q14" i="4"/>
  <c r="P15" i="4"/>
  <c r="Q15" i="4"/>
  <c r="P16" i="4"/>
  <c r="Q16" i="4"/>
  <c r="P17" i="4"/>
  <c r="Q17" i="4"/>
  <c r="Q3" i="4"/>
  <c r="P3" i="4"/>
  <c r="O4" i="4"/>
  <c r="O5" i="4"/>
  <c r="O6" i="4"/>
  <c r="O7" i="4"/>
  <c r="O8" i="4"/>
  <c r="O9" i="4"/>
  <c r="O10" i="4"/>
  <c r="O11" i="4"/>
  <c r="O12" i="4"/>
  <c r="O13" i="4"/>
  <c r="O14" i="4"/>
  <c r="O15" i="4"/>
  <c r="O16" i="4"/>
  <c r="O17" i="4"/>
  <c r="O18" i="4"/>
  <c r="M3" i="4"/>
  <c r="H3" i="4"/>
  <c r="N3" i="4"/>
  <c r="H4" i="4"/>
  <c r="P2" i="4" l="1"/>
  <c r="H13" i="9"/>
  <c r="H16" i="9" s="1"/>
  <c r="K13" i="9"/>
  <c r="I16" i="9" s="1"/>
  <c r="J13" i="9"/>
  <c r="G15" i="9"/>
  <c r="H15" i="9"/>
  <c r="I15" i="9"/>
  <c r="I13" i="9"/>
  <c r="I4" i="4"/>
  <c r="J4" i="4"/>
  <c r="I5" i="4"/>
  <c r="J5" i="4"/>
  <c r="I6" i="4"/>
  <c r="J6" i="4"/>
  <c r="I7" i="4"/>
  <c r="J7" i="4"/>
  <c r="I8" i="4"/>
  <c r="J8" i="4"/>
  <c r="I9" i="4"/>
  <c r="J9" i="4"/>
  <c r="I10" i="4"/>
  <c r="J10" i="4"/>
  <c r="I11" i="4"/>
  <c r="J11" i="4"/>
  <c r="I12" i="4"/>
  <c r="J12" i="4"/>
  <c r="I13" i="4"/>
  <c r="J13" i="4"/>
  <c r="I14" i="4"/>
  <c r="J14" i="4"/>
  <c r="I15" i="4"/>
  <c r="J15" i="4"/>
  <c r="I16" i="4"/>
  <c r="J16" i="4"/>
  <c r="I17" i="4"/>
  <c r="J17" i="4"/>
  <c r="I18" i="4"/>
  <c r="J18" i="4"/>
  <c r="I3" i="4"/>
  <c r="F30" i="4"/>
  <c r="E30" i="4"/>
  <c r="F29" i="4"/>
  <c r="E28" i="4"/>
  <c r="E29" i="4"/>
  <c r="C35" i="1" l="1"/>
  <c r="L38" i="2"/>
  <c r="L37" i="2"/>
  <c r="L36" i="2"/>
  <c r="C25" i="1"/>
  <c r="C24" i="1"/>
  <c r="F36" i="2"/>
  <c r="G36" i="2"/>
  <c r="G39" i="2" s="1"/>
  <c r="F39" i="2"/>
  <c r="N39" i="2"/>
  <c r="M39" i="2"/>
  <c r="M36" i="2"/>
  <c r="N36" i="2"/>
  <c r="X26" i="4"/>
  <c r="X25" i="4"/>
  <c r="X24" i="4"/>
  <c r="V22" i="4"/>
  <c r="W22" i="4"/>
  <c r="V23" i="4"/>
  <c r="W23" i="4"/>
  <c r="V24" i="4"/>
  <c r="W24" i="4"/>
  <c r="V25" i="4"/>
  <c r="W25" i="4"/>
  <c r="V26" i="4"/>
  <c r="W26" i="4"/>
  <c r="W21" i="4"/>
  <c r="V21" i="4"/>
  <c r="T24" i="4"/>
  <c r="T25" i="4"/>
  <c r="T26" i="4"/>
  <c r="R22" i="4"/>
  <c r="S22" i="4"/>
  <c r="R23" i="4"/>
  <c r="S23" i="4"/>
  <c r="R24" i="4"/>
  <c r="S24" i="4"/>
  <c r="R25" i="4"/>
  <c r="S25" i="4"/>
  <c r="R26" i="4"/>
  <c r="S26" i="4"/>
  <c r="S21" i="4"/>
  <c r="R21" i="4"/>
  <c r="M24" i="4"/>
  <c r="N24" i="4"/>
  <c r="M25" i="4"/>
  <c r="N25" i="4"/>
  <c r="M26" i="4"/>
  <c r="N26" i="4"/>
  <c r="K25" i="4"/>
  <c r="K26" i="4"/>
  <c r="L15" i="2"/>
  <c r="L16" i="2"/>
  <c r="L17" i="2"/>
  <c r="L18" i="2"/>
  <c r="L14" i="2"/>
  <c r="C29" i="2"/>
  <c r="H29" i="2"/>
  <c r="C32" i="2"/>
  <c r="K35" i="2"/>
  <c r="C22" i="1" s="1"/>
  <c r="B28" i="2"/>
  <c r="H24" i="4"/>
  <c r="H25" i="4"/>
  <c r="H26" i="4"/>
  <c r="F26" i="4"/>
  <c r="E26" i="4"/>
  <c r="F25" i="4"/>
  <c r="E25" i="4"/>
  <c r="F24" i="4"/>
  <c r="E24" i="4"/>
  <c r="F23" i="4"/>
  <c r="E23" i="4"/>
  <c r="M23" i="4" s="1"/>
  <c r="F22" i="4"/>
  <c r="E22" i="4"/>
  <c r="M22" i="4" s="1"/>
  <c r="F21" i="4"/>
  <c r="E21" i="4"/>
  <c r="M21" i="4" s="1"/>
  <c r="E13" i="4"/>
  <c r="L14" i="11"/>
  <c r="L15" i="11"/>
  <c r="L16" i="11"/>
  <c r="L17" i="11"/>
  <c r="L18" i="11"/>
  <c r="L13" i="11"/>
  <c r="F36" i="11"/>
  <c r="F39" i="11"/>
  <c r="H37" i="11"/>
  <c r="H38" i="11"/>
  <c r="H36" i="11"/>
  <c r="H18" i="11"/>
  <c r="H14" i="11"/>
  <c r="N23" i="4" l="1"/>
  <c r="N22" i="4"/>
  <c r="H22" i="4"/>
  <c r="N21" i="4"/>
  <c r="X21" i="4" s="1"/>
  <c r="T23" i="4"/>
  <c r="X23" i="4"/>
  <c r="X22" i="4"/>
  <c r="T22" i="4"/>
  <c r="H21" i="4"/>
  <c r="K22" i="4" s="1"/>
  <c r="H23" i="4"/>
  <c r="O2" i="11"/>
  <c r="D36" i="11"/>
  <c r="C36" i="11"/>
  <c r="C32" i="11"/>
  <c r="C29" i="11"/>
  <c r="H29" i="11"/>
  <c r="H15" i="11"/>
  <c r="H16" i="11"/>
  <c r="H17" i="11"/>
  <c r="H23" i="11"/>
  <c r="I37" i="11"/>
  <c r="I36" i="11"/>
  <c r="G39" i="11" s="1"/>
  <c r="G36" i="11"/>
  <c r="E35" i="11"/>
  <c r="B35" i="11"/>
  <c r="D32" i="11"/>
  <c r="I30" i="11"/>
  <c r="H30" i="11"/>
  <c r="I29" i="11"/>
  <c r="G32" i="11" s="1"/>
  <c r="H31" i="11"/>
  <c r="G29" i="11"/>
  <c r="F29" i="11"/>
  <c r="F32" i="11" s="1"/>
  <c r="D29" i="11"/>
  <c r="E28" i="11"/>
  <c r="B28" i="11"/>
  <c r="I23" i="11"/>
  <c r="I22" i="11"/>
  <c r="G25" i="11" s="1"/>
  <c r="G22" i="11"/>
  <c r="F22" i="11"/>
  <c r="F25" i="11" s="1"/>
  <c r="D22" i="11"/>
  <c r="C22" i="11"/>
  <c r="E21" i="11"/>
  <c r="B21" i="11"/>
  <c r="D28" i="1"/>
  <c r="D32" i="1"/>
  <c r="C37" i="1"/>
  <c r="D37" i="1" s="1"/>
  <c r="C36" i="1"/>
  <c r="D36" i="1" s="1"/>
  <c r="D35" i="1"/>
  <c r="C34" i="1"/>
  <c r="D34" i="1" s="1"/>
  <c r="C33" i="1"/>
  <c r="D33" i="1" s="1"/>
  <c r="C32" i="1"/>
  <c r="C31" i="1"/>
  <c r="D31" i="1" s="1"/>
  <c r="C30" i="1"/>
  <c r="D30" i="1" s="1"/>
  <c r="G25" i="2"/>
  <c r="F25" i="2"/>
  <c r="C28" i="1" s="1"/>
  <c r="C29" i="1"/>
  <c r="D29" i="1" s="1"/>
  <c r="C27" i="1"/>
  <c r="D27" i="1" s="1"/>
  <c r="I36" i="2"/>
  <c r="C14" i="1"/>
  <c r="F32" i="2"/>
  <c r="C21" i="1"/>
  <c r="D21" i="1" s="1"/>
  <c r="C20" i="1"/>
  <c r="D20" i="1" s="1"/>
  <c r="C25" i="2"/>
  <c r="G32" i="2"/>
  <c r="D32" i="2"/>
  <c r="D25" i="2"/>
  <c r="C22" i="2"/>
  <c r="D22" i="2"/>
  <c r="C18" i="1"/>
  <c r="C19" i="1"/>
  <c r="C15" i="1"/>
  <c r="C26" i="1"/>
  <c r="I37" i="2"/>
  <c r="I38" i="2" s="1"/>
  <c r="E35" i="2"/>
  <c r="I31" i="2"/>
  <c r="H31" i="2"/>
  <c r="I30" i="2"/>
  <c r="H30" i="2"/>
  <c r="I29" i="2"/>
  <c r="G29" i="2"/>
  <c r="F29" i="2"/>
  <c r="D29" i="2"/>
  <c r="E28" i="2"/>
  <c r="E21" i="2"/>
  <c r="B21" i="2"/>
  <c r="I24" i="2"/>
  <c r="H24" i="2"/>
  <c r="I23" i="2"/>
  <c r="H23" i="2"/>
  <c r="H22" i="2"/>
  <c r="F22" i="2"/>
  <c r="G22" i="2"/>
  <c r="I22" i="2"/>
  <c r="F13" i="4"/>
  <c r="M13" i="4"/>
  <c r="E3" i="4"/>
  <c r="F3" i="4"/>
  <c r="G3" i="4"/>
  <c r="E4" i="4"/>
  <c r="F4" i="4"/>
  <c r="N4" i="4" s="1"/>
  <c r="G4" i="4"/>
  <c r="E5" i="4"/>
  <c r="F5" i="4"/>
  <c r="N5" i="4" s="1"/>
  <c r="G5" i="4"/>
  <c r="E6" i="4"/>
  <c r="F6" i="4"/>
  <c r="G6" i="4"/>
  <c r="E7" i="4"/>
  <c r="M7" i="4" s="1"/>
  <c r="F7" i="4"/>
  <c r="G7" i="4"/>
  <c r="E8" i="4"/>
  <c r="F8" i="4"/>
  <c r="N8" i="4" s="1"/>
  <c r="G8" i="4"/>
  <c r="E9" i="4"/>
  <c r="F9" i="4"/>
  <c r="N9" i="4" s="1"/>
  <c r="G9" i="4"/>
  <c r="E10" i="4"/>
  <c r="F10" i="4"/>
  <c r="G10" i="4"/>
  <c r="E11" i="4"/>
  <c r="M11" i="4" s="1"/>
  <c r="F11" i="4"/>
  <c r="G11" i="4"/>
  <c r="E12" i="4"/>
  <c r="F12" i="4"/>
  <c r="N12" i="4" s="1"/>
  <c r="G12" i="4"/>
  <c r="G13" i="4"/>
  <c r="E14" i="4"/>
  <c r="F14" i="4"/>
  <c r="N14" i="4" s="1"/>
  <c r="G14" i="4"/>
  <c r="E15" i="4"/>
  <c r="F15" i="4"/>
  <c r="N15" i="4" s="1"/>
  <c r="G15" i="4"/>
  <c r="E16" i="4"/>
  <c r="F16" i="4"/>
  <c r="G16" i="4"/>
  <c r="E17" i="4"/>
  <c r="M17" i="4" s="1"/>
  <c r="F17" i="4"/>
  <c r="G17" i="4"/>
  <c r="E18" i="4"/>
  <c r="F18" i="4"/>
  <c r="N18" i="4" s="1"/>
  <c r="G18" i="4"/>
  <c r="F2" i="4"/>
  <c r="J3" i="4" s="1"/>
  <c r="G2" i="4"/>
  <c r="E2" i="4"/>
  <c r="M2" i="4" l="1"/>
  <c r="T21" i="4"/>
  <c r="K24" i="4"/>
  <c r="K23" i="4"/>
  <c r="C23" i="1"/>
  <c r="D25" i="1"/>
  <c r="D24" i="1"/>
  <c r="H22" i="11"/>
  <c r="D25" i="11" s="1"/>
  <c r="I24" i="11"/>
  <c r="I31" i="11"/>
  <c r="I38" i="11"/>
  <c r="M18" i="4"/>
  <c r="T18" i="4" s="1"/>
  <c r="M14" i="4"/>
  <c r="T14" i="4" s="1"/>
  <c r="M12" i="4"/>
  <c r="T12" i="4" s="1"/>
  <c r="M8" i="4"/>
  <c r="M15" i="4"/>
  <c r="X15" i="4" s="1"/>
  <c r="M9" i="4"/>
  <c r="X9" i="4" s="1"/>
  <c r="M5" i="4"/>
  <c r="T5" i="4" s="1"/>
  <c r="N13" i="4"/>
  <c r="H17" i="4"/>
  <c r="M16" i="4"/>
  <c r="N11" i="4"/>
  <c r="X11" i="4" s="1"/>
  <c r="M10" i="4"/>
  <c r="N7" i="4"/>
  <c r="T7" i="4" s="1"/>
  <c r="M6" i="4"/>
  <c r="T3" i="4"/>
  <c r="M4" i="4"/>
  <c r="N2" i="4"/>
  <c r="X2" i="4" s="1"/>
  <c r="X18" i="4"/>
  <c r="X8" i="4"/>
  <c r="X4" i="4"/>
  <c r="T13" i="4"/>
  <c r="X13" i="4"/>
  <c r="T15" i="4"/>
  <c r="N16" i="4"/>
  <c r="N10" i="4"/>
  <c r="T10" i="4" s="1"/>
  <c r="N17" i="4"/>
  <c r="T17" i="4" s="1"/>
  <c r="N6" i="4"/>
  <c r="T6" i="4" s="1"/>
  <c r="C17" i="1"/>
  <c r="D17" i="1" s="1"/>
  <c r="T8" i="4"/>
  <c r="T4" i="4"/>
  <c r="L11" i="4"/>
  <c r="L15" i="4"/>
  <c r="L7" i="4"/>
  <c r="L18" i="4"/>
  <c r="L14" i="4"/>
  <c r="L8" i="4"/>
  <c r="L4" i="4"/>
  <c r="L17" i="4"/>
  <c r="H2" i="4"/>
  <c r="K3" i="4" s="1"/>
  <c r="L13" i="4"/>
  <c r="L16" i="4"/>
  <c r="H18" i="4"/>
  <c r="H15" i="4"/>
  <c r="H14" i="4"/>
  <c r="H12" i="4"/>
  <c r="L10" i="4"/>
  <c r="H8" i="4"/>
  <c r="L6" i="4"/>
  <c r="H13" i="4"/>
  <c r="H5" i="4"/>
  <c r="L3" i="4"/>
  <c r="H16" i="4"/>
  <c r="H10" i="4"/>
  <c r="H6" i="4"/>
  <c r="L9" i="4"/>
  <c r="L5" i="4"/>
  <c r="L12" i="4"/>
  <c r="H9" i="4"/>
  <c r="D26" i="1"/>
  <c r="H11" i="4"/>
  <c r="H7" i="4"/>
  <c r="D22" i="1"/>
  <c r="O3" i="4" l="1"/>
  <c r="C25" i="11"/>
  <c r="C39" i="11"/>
  <c r="D39" i="11"/>
  <c r="H24" i="11"/>
  <c r="X12" i="4"/>
  <c r="X5" i="4"/>
  <c r="T11" i="4"/>
  <c r="T16" i="4"/>
  <c r="X3" i="4"/>
  <c r="T9" i="4"/>
  <c r="X14" i="4"/>
  <c r="X7" i="4"/>
  <c r="X16" i="4"/>
  <c r="T2" i="4"/>
  <c r="X17" i="4"/>
  <c r="X6" i="4"/>
  <c r="K5" i="4"/>
  <c r="X10" i="4"/>
  <c r="K9" i="4"/>
  <c r="C16" i="1"/>
  <c r="D16" i="1" s="1"/>
  <c r="D18" i="1"/>
  <c r="D14" i="1"/>
  <c r="K11" i="4"/>
  <c r="K15" i="4"/>
  <c r="K6" i="4"/>
  <c r="K13" i="4"/>
  <c r="K18" i="4"/>
  <c r="K14" i="4"/>
  <c r="K16" i="4"/>
  <c r="K17" i="4"/>
  <c r="K7" i="4"/>
  <c r="K10" i="4"/>
  <c r="K12" i="4"/>
  <c r="K4" i="4"/>
  <c r="K8" i="4"/>
  <c r="D15" i="1" l="1"/>
  <c r="D23" i="1"/>
  <c r="D19" i="1"/>
</calcChain>
</file>

<file path=xl/comments1.xml><?xml version="1.0" encoding="utf-8"?>
<comments xmlns="http://schemas.openxmlformats.org/spreadsheetml/2006/main">
  <authors>
    <author>ping</author>
  </authors>
  <commentList>
    <comment ref="O1" authorId="0">
      <text>
        <r>
          <rPr>
            <b/>
            <sz val="9"/>
            <color indexed="81"/>
            <rFont val="Tahoma"/>
            <charset val="1"/>
          </rPr>
          <t xml:space="preserve">ping:
</t>
        </r>
        <r>
          <rPr>
            <sz val="9"/>
            <color indexed="81"/>
            <rFont val="Tahoma"/>
            <family val="2"/>
          </rPr>
          <t>These are the equations in code</t>
        </r>
        <r>
          <rPr>
            <sz val="9"/>
            <color indexed="81"/>
            <rFont val="Tahoma"/>
            <charset val="1"/>
          </rPr>
          <t xml:space="preserve">
equity = (norm * weights).sum(axis=1)
# Weighted Volatility
p_atrp_manual = (drift_w * df_atrp).sum(axis=1)
p_trp_manual = (drift_w * df_trp).sum(axis=1)</t>
        </r>
      </text>
    </comment>
    <comment ref="P1" authorId="0">
      <text>
        <r>
          <rPr>
            <b/>
            <sz val="9"/>
            <color indexed="81"/>
            <rFont val="Tahoma"/>
            <family val="2"/>
          </rPr>
          <t>ping:</t>
        </r>
        <r>
          <rPr>
            <sz val="9"/>
            <color indexed="81"/>
            <rFont val="Tahoma"/>
            <family val="2"/>
          </rPr>
          <t xml:space="preserve">
These are the equations in code
equity = (norm * weights).sum(axis=1)
# Weighted Volatility
p_atrp_manual = (drift_w * df_atrp).sum(axis=1)
p_trp_manual = (drift_w * df_trp).sum(axis=1)</t>
        </r>
      </text>
    </comment>
    <comment ref="Q1" authorId="0">
      <text>
        <r>
          <rPr>
            <b/>
            <sz val="9"/>
            <color indexed="81"/>
            <rFont val="Tahoma"/>
            <family val="2"/>
          </rPr>
          <t>ping:</t>
        </r>
        <r>
          <rPr>
            <sz val="9"/>
            <color indexed="81"/>
            <rFont val="Tahoma"/>
            <family val="2"/>
          </rPr>
          <t xml:space="preserve">
These are the equations in code
equity = (norm * weights).sum(axis=1)
# Weighted Volatility
p_atrp_manual = (drift_w * df_atrp).sum(axis=1)
p_trp_manual = (drift_w * df_trp).sum(axis=1)</t>
        </r>
      </text>
    </comment>
  </commentList>
</comments>
</file>

<file path=xl/sharedStrings.xml><?xml version="1.0" encoding="utf-8"?>
<sst xmlns="http://schemas.openxmlformats.org/spreadsheetml/2006/main" count="2836" uniqueCount="1760">
  <si>
    <t>Value</t>
  </si>
  <si>
    <t>mode</t>
  </si>
  <si>
    <t>Ranking</t>
  </si>
  <si>
    <t>start_date</t>
  </si>
  <si>
    <t>2025-12-10 00:00:00</t>
  </si>
  <si>
    <t>lookback_period</t>
  </si>
  <si>
    <t>10</t>
  </si>
  <si>
    <t>holding_period</t>
  </si>
  <si>
    <t>5</t>
  </si>
  <si>
    <t>metric</t>
  </si>
  <si>
    <t>Sharpe (ATRP)</t>
  </si>
  <si>
    <t>benchmark_ticker</t>
  </si>
  <si>
    <t>SPY</t>
  </si>
  <si>
    <t>rank_start</t>
  </si>
  <si>
    <t>11</t>
  </si>
  <si>
    <t>rank_end</t>
  </si>
  <si>
    <t>12</t>
  </si>
  <si>
    <t>quality_thresholds</t>
  </si>
  <si>
    <t>{'min_median_dollar_volume': 1000000, 'min_liquidity_percentile': 0.4, 'max_stale_pct': 0.05, 'max_same_vol_count': 10}</t>
  </si>
  <si>
    <t>manual_tickers</t>
  </si>
  <si>
    <t>[]</t>
  </si>
  <si>
    <t>debug</t>
  </si>
  <si>
    <t>True</t>
  </si>
  <si>
    <t>universe_subset</t>
  </si>
  <si>
    <t>None</t>
  </si>
  <si>
    <t>full_p_gain</t>
  </si>
  <si>
    <t>0.16922101500078077</t>
  </si>
  <si>
    <t>full_p_sharpe</t>
  </si>
  <si>
    <t>5.045514355626267</t>
  </si>
  <si>
    <t>full_p_sharpe_atrp</t>
  </si>
  <si>
    <t>0.2878131597497803</t>
  </si>
  <si>
    <t>full_p_sharpe_trp</t>
  </si>
  <si>
    <t>0.2420330170291394</t>
  </si>
  <si>
    <t>lookback_p_gain</t>
  </si>
  <si>
    <t>0.22682862617730912</t>
  </si>
  <si>
    <t>lookback_p_sharpe</t>
  </si>
  <si>
    <t>10.057279489726138</t>
  </si>
  <si>
    <t>lookback_p_sharpe_atrp</t>
  </si>
  <si>
    <t>0.6313079069428091</t>
  </si>
  <si>
    <t>lookback_p_sharpe_trp</t>
  </si>
  <si>
    <t>0.5073159025229343</t>
  </si>
  <si>
    <t>holding_p_gain</t>
  </si>
  <si>
    <t>-0.0513938187932114</t>
  </si>
  <si>
    <t>holding_p_sharpe</t>
  </si>
  <si>
    <t>-6.9657851757154186</t>
  </si>
  <si>
    <t>holding_p_sharpe_atrp</t>
  </si>
  <si>
    <t>-0.2381302054551481</t>
  </si>
  <si>
    <t>holding_p_sharpe_trp</t>
  </si>
  <si>
    <t>-0.21551451815185263</t>
  </si>
  <si>
    <t>full_b_gain</t>
  </si>
  <si>
    <t>0.0021461847425559458</t>
  </si>
  <si>
    <t>full_b_sharpe</t>
  </si>
  <si>
    <t>0.4185748763655909</t>
  </si>
  <si>
    <t>full_b_sharpe_atrp</t>
  </si>
  <si>
    <t>0.012770004741758323</t>
  </si>
  <si>
    <t>full_b_sharpe_trp</t>
  </si>
  <si>
    <t>0.016790501998420564</t>
  </si>
  <si>
    <t>lookback_b_gain</t>
  </si>
  <si>
    <t>0.01842129267648779</t>
  </si>
  <si>
    <t>lookback_b_sharpe</t>
  </si>
  <si>
    <t>7.519907593864996</t>
  </si>
  <si>
    <t>lookback_b_sharpe_atrp</t>
  </si>
  <si>
    <t>0.15231178870750767</t>
  </si>
  <si>
    <t>lookback_b_sharpe_trp</t>
  </si>
  <si>
    <t>0.26028737755209663</t>
  </si>
  <si>
    <t>holding_b_gain</t>
  </si>
  <si>
    <t>-0.018600480298115105</t>
  </si>
  <si>
    <t>holding_b_sharpe</t>
  </si>
  <si>
    <t>-7.6347586991434975</t>
  </si>
  <si>
    <t>holding_b_sharpe_atrp</t>
  </si>
  <si>
    <t>-0.3362632637536792</t>
  </si>
  <si>
    <t>holding_b_sharpe_trp</t>
  </si>
  <si>
    <t>-0.3034961199255011</t>
  </si>
  <si>
    <t>Date</t>
  </si>
  <si>
    <t>Port_Value</t>
  </si>
  <si>
    <t>Port_ATRP</t>
  </si>
  <si>
    <t>Port_TRP</t>
  </si>
  <si>
    <t>Bench_Value</t>
  </si>
  <si>
    <t>Bench_ATRP</t>
  </si>
  <si>
    <t>Bench_TRP</t>
  </si>
  <si>
    <t>Port_Ret</t>
  </si>
  <si>
    <t>Bench_Ret</t>
  </si>
  <si>
    <t>Period_Label</t>
  </si>
  <si>
    <t>LOOKBACK</t>
  </si>
  <si>
    <t>HOLDING</t>
  </si>
  <si>
    <t>Adj Open</t>
  </si>
  <si>
    <t>Adj High</t>
  </si>
  <si>
    <t>Adj Low</t>
  </si>
  <si>
    <t>Adj Close</t>
  </si>
  <si>
    <t>Volume</t>
  </si>
  <si>
    <t>Ticker</t>
  </si>
  <si>
    <t>PSLV</t>
  </si>
  <si>
    <t>RBRK</t>
  </si>
  <si>
    <t>ATR</t>
  </si>
  <si>
    <t>ATRP</t>
  </si>
  <si>
    <t>TRP</t>
  </si>
  <si>
    <t>RSI</t>
  </si>
  <si>
    <t>Mom_21</t>
  </si>
  <si>
    <t>Consistency</t>
  </si>
  <si>
    <t>IR_63</t>
  </si>
  <si>
    <t>Beta_63</t>
  </si>
  <si>
    <t>DD_21</t>
  </si>
  <si>
    <t>Ret_1d</t>
  </si>
  <si>
    <t>RollingStalePct</t>
  </si>
  <si>
    <t>RollMedDollarVol</t>
  </si>
  <si>
    <t>RollingSameVolCount</t>
  </si>
  <si>
    <t>Passed_Final</t>
  </si>
  <si>
    <t>A</t>
  </si>
  <si>
    <t>AA</t>
  </si>
  <si>
    <t>AAL</t>
  </si>
  <si>
    <t>AAON</t>
  </si>
  <si>
    <t>AAPL</t>
  </si>
  <si>
    <t>ABBV</t>
  </si>
  <si>
    <t>ABEV</t>
  </si>
  <si>
    <t>ABNB</t>
  </si>
  <si>
    <t>ABT</t>
  </si>
  <si>
    <t>ABVX</t>
  </si>
  <si>
    <t>ACGL</t>
  </si>
  <si>
    <t>ACI</t>
  </si>
  <si>
    <t>ACM</t>
  </si>
  <si>
    <t>ACN</t>
  </si>
  <si>
    <t>ACWI</t>
  </si>
  <si>
    <t>ACWX</t>
  </si>
  <si>
    <t>ADBE</t>
  </si>
  <si>
    <t>ADC</t>
  </si>
  <si>
    <t>ADI</t>
  </si>
  <si>
    <t>ADM</t>
  </si>
  <si>
    <t>ADP</t>
  </si>
  <si>
    <t>ADSK</t>
  </si>
  <si>
    <t>ADT</t>
  </si>
  <si>
    <t>AEE</t>
  </si>
  <si>
    <t>AEG</t>
  </si>
  <si>
    <t>AEIS</t>
  </si>
  <si>
    <t>AEM</t>
  </si>
  <si>
    <t>AEP</t>
  </si>
  <si>
    <t>AER</t>
  </si>
  <si>
    <t>AES</t>
  </si>
  <si>
    <t>AFG</t>
  </si>
  <si>
    <t>AFL</t>
  </si>
  <si>
    <t>AFRM</t>
  </si>
  <si>
    <t>AG</t>
  </si>
  <si>
    <t>AGCO</t>
  </si>
  <si>
    <t>AGG</t>
  </si>
  <si>
    <t>AGI</t>
  </si>
  <si>
    <t>AGNC</t>
  </si>
  <si>
    <t>AHR</t>
  </si>
  <si>
    <t>AIG</t>
  </si>
  <si>
    <t>AIQ</t>
  </si>
  <si>
    <t>AIRR</t>
  </si>
  <si>
    <t>AIT</t>
  </si>
  <si>
    <t>AIZ</t>
  </si>
  <si>
    <t>AJG</t>
  </si>
  <si>
    <t>AKAM</t>
  </si>
  <si>
    <t>AKRE</t>
  </si>
  <si>
    <t>AL</t>
  </si>
  <si>
    <t>ALAB</t>
  </si>
  <si>
    <t>ALB</t>
  </si>
  <si>
    <t>ALC</t>
  </si>
  <si>
    <t>ALGN</t>
  </si>
  <si>
    <t>ALL</t>
  </si>
  <si>
    <t>ALLE</t>
  </si>
  <si>
    <t>ALLY</t>
  </si>
  <si>
    <t>ALNY</t>
  </si>
  <si>
    <t>ALSN</t>
  </si>
  <si>
    <t>ALV</t>
  </si>
  <si>
    <t>AM</t>
  </si>
  <si>
    <t>AMAT</t>
  </si>
  <si>
    <t>AMCR</t>
  </si>
  <si>
    <t>AMD</t>
  </si>
  <si>
    <t>AME</t>
  </si>
  <si>
    <t>AMG</t>
  </si>
  <si>
    <t>AMGN</t>
  </si>
  <si>
    <t>AMH</t>
  </si>
  <si>
    <t>AMKR</t>
  </si>
  <si>
    <t>AMLP</t>
  </si>
  <si>
    <t>AMP</t>
  </si>
  <si>
    <t>AMRZ</t>
  </si>
  <si>
    <t>AMT</t>
  </si>
  <si>
    <t>AMTM</t>
  </si>
  <si>
    <t>AMX</t>
  </si>
  <si>
    <t>AMZN</t>
  </si>
  <si>
    <t>AN</t>
  </si>
  <si>
    <t>ANET</t>
  </si>
  <si>
    <t>AON</t>
  </si>
  <si>
    <t>AOS</t>
  </si>
  <si>
    <t>APA</t>
  </si>
  <si>
    <t>APD</t>
  </si>
  <si>
    <t>APG</t>
  </si>
  <si>
    <t>APH</t>
  </si>
  <si>
    <t>APLD</t>
  </si>
  <si>
    <t>APO</t>
  </si>
  <si>
    <t>APP</t>
  </si>
  <si>
    <t>APPF</t>
  </si>
  <si>
    <t>APTV</t>
  </si>
  <si>
    <t>AR</t>
  </si>
  <si>
    <t>ARCC</t>
  </si>
  <si>
    <t>ARE</t>
  </si>
  <si>
    <t>ARES</t>
  </si>
  <si>
    <t>ARGX</t>
  </si>
  <si>
    <t>ARKK</t>
  </si>
  <si>
    <t>ARM</t>
  </si>
  <si>
    <t>ARMK</t>
  </si>
  <si>
    <t>ARWR</t>
  </si>
  <si>
    <t>AS</t>
  </si>
  <si>
    <t>ASML</t>
  </si>
  <si>
    <t>ASND</t>
  </si>
  <si>
    <t>ASR</t>
  </si>
  <si>
    <t>ASTS</t>
  </si>
  <si>
    <t>ASX</t>
  </si>
  <si>
    <t>ATI</t>
  </si>
  <si>
    <t>ATO</t>
  </si>
  <si>
    <t>AU</t>
  </si>
  <si>
    <t>AUR</t>
  </si>
  <si>
    <t>AVAV</t>
  </si>
  <si>
    <t>AVB</t>
  </si>
  <si>
    <t>AVDE</t>
  </si>
  <si>
    <t>AVDV</t>
  </si>
  <si>
    <t>AVEM</t>
  </si>
  <si>
    <t>AVGO</t>
  </si>
  <si>
    <t>AVLV</t>
  </si>
  <si>
    <t>AVTR</t>
  </si>
  <si>
    <t>AVUS</t>
  </si>
  <si>
    <t>AVUV</t>
  </si>
  <si>
    <t>AVY</t>
  </si>
  <si>
    <t>AWI</t>
  </si>
  <si>
    <t>AWK</t>
  </si>
  <si>
    <t>AXIA</t>
  </si>
  <si>
    <t>AXON</t>
  </si>
  <si>
    <t>AXP</t>
  </si>
  <si>
    <t>AXS</t>
  </si>
  <si>
    <t>AXSM</t>
  </si>
  <si>
    <t>AXTA</t>
  </si>
  <si>
    <t>AYI</t>
  </si>
  <si>
    <t>AZN</t>
  </si>
  <si>
    <t>AZO</t>
  </si>
  <si>
    <t>B</t>
  </si>
  <si>
    <t>BA</t>
  </si>
  <si>
    <t>BABA</t>
  </si>
  <si>
    <t>BAC</t>
  </si>
  <si>
    <t>BAH</t>
  </si>
  <si>
    <t>BAI</t>
  </si>
  <si>
    <t>BALL</t>
  </si>
  <si>
    <t>BAM</t>
  </si>
  <si>
    <t>BAP</t>
  </si>
  <si>
    <t>BAX</t>
  </si>
  <si>
    <t>BBAX</t>
  </si>
  <si>
    <t>BBCA</t>
  </si>
  <si>
    <t>BBD</t>
  </si>
  <si>
    <t>BBEU</t>
  </si>
  <si>
    <t>BBIN</t>
  </si>
  <si>
    <t>BBIO</t>
  </si>
  <si>
    <t>BBJP</t>
  </si>
  <si>
    <t>BBUS</t>
  </si>
  <si>
    <t>BBVA</t>
  </si>
  <si>
    <t>BBY</t>
  </si>
  <si>
    <t>BCE</t>
  </si>
  <si>
    <t>BCH</t>
  </si>
  <si>
    <t>BCS</t>
  </si>
  <si>
    <t>BDX</t>
  </si>
  <si>
    <t>BE</t>
  </si>
  <si>
    <t>BEKE</t>
  </si>
  <si>
    <t>BEN</t>
  </si>
  <si>
    <t>BEP</t>
  </si>
  <si>
    <t>BEPC</t>
  </si>
  <si>
    <t>BETA</t>
  </si>
  <si>
    <t>BF-A</t>
  </si>
  <si>
    <t>BF-B</t>
  </si>
  <si>
    <t>BG</t>
  </si>
  <si>
    <t>BHP</t>
  </si>
  <si>
    <t>BIDU</t>
  </si>
  <si>
    <t>BIIB</t>
  </si>
  <si>
    <t>BIL</t>
  </si>
  <si>
    <t>BILI</t>
  </si>
  <si>
    <t>BINC</t>
  </si>
  <si>
    <t>BIO</t>
  </si>
  <si>
    <t>BIP</t>
  </si>
  <si>
    <t>BIRK</t>
  </si>
  <si>
    <t>BIV</t>
  </si>
  <si>
    <t>BJ</t>
  </si>
  <si>
    <t>BK</t>
  </si>
  <si>
    <t>BKLC</t>
  </si>
  <si>
    <t>BKLN</t>
  </si>
  <si>
    <t>BKNG</t>
  </si>
  <si>
    <t>BKR</t>
  </si>
  <si>
    <t>BLD</t>
  </si>
  <si>
    <t>BLDR</t>
  </si>
  <si>
    <t>BLK</t>
  </si>
  <si>
    <t>BLSH</t>
  </si>
  <si>
    <t>BLV</t>
  </si>
  <si>
    <t>BMNR</t>
  </si>
  <si>
    <t>BMO</t>
  </si>
  <si>
    <t>BMRN</t>
  </si>
  <si>
    <t>BMY</t>
  </si>
  <si>
    <t>BN</t>
  </si>
  <si>
    <t>BND</t>
  </si>
  <si>
    <t>BNDX</t>
  </si>
  <si>
    <t>BNS</t>
  </si>
  <si>
    <t>BNT</t>
  </si>
  <si>
    <t>BNTX</t>
  </si>
  <si>
    <t>BOKF</t>
  </si>
  <si>
    <t>BOND</t>
  </si>
  <si>
    <t>BOXX</t>
  </si>
  <si>
    <t>BP</t>
  </si>
  <si>
    <t>BPOP</t>
  </si>
  <si>
    <t>BR</t>
  </si>
  <si>
    <t>BRK-A</t>
  </si>
  <si>
    <t>BRK-B</t>
  </si>
  <si>
    <t>BRKR</t>
  </si>
  <si>
    <t>BRO</t>
  </si>
  <si>
    <t>BROS</t>
  </si>
  <si>
    <t>BRX</t>
  </si>
  <si>
    <t>BSAC</t>
  </si>
  <si>
    <t>BSBR</t>
  </si>
  <si>
    <t>BSCQ</t>
  </si>
  <si>
    <t>BSCR</t>
  </si>
  <si>
    <t>BSV</t>
  </si>
  <si>
    <t>BSX</t>
  </si>
  <si>
    <t>BSY</t>
  </si>
  <si>
    <t>BTC</t>
  </si>
  <si>
    <t>BTI</t>
  </si>
  <si>
    <t>BUD</t>
  </si>
  <si>
    <t>BUFR</t>
  </si>
  <si>
    <t>BURL</t>
  </si>
  <si>
    <t>BVN</t>
  </si>
  <si>
    <t>BWA</t>
  </si>
  <si>
    <t>BWXT</t>
  </si>
  <si>
    <t>BX</t>
  </si>
  <si>
    <t>BXP</t>
  </si>
  <si>
    <t>BYD</t>
  </si>
  <si>
    <t>BZ</t>
  </si>
  <si>
    <t>C</t>
  </si>
  <si>
    <t>CACI</t>
  </si>
  <si>
    <t>CAE</t>
  </si>
  <si>
    <t>CAG</t>
  </si>
  <si>
    <t>CAH</t>
  </si>
  <si>
    <t>CAI</t>
  </si>
  <si>
    <t>CARR</t>
  </si>
  <si>
    <t>CART</t>
  </si>
  <si>
    <t>CASY</t>
  </si>
  <si>
    <t>CAT</t>
  </si>
  <si>
    <t>CB</t>
  </si>
  <si>
    <t>CBOE</t>
  </si>
  <si>
    <t>CBRE</t>
  </si>
  <si>
    <t>CBSH</t>
  </si>
  <si>
    <t>CCEP</t>
  </si>
  <si>
    <t>CCI</t>
  </si>
  <si>
    <t>CCJ</t>
  </si>
  <si>
    <t>CCK</t>
  </si>
  <si>
    <t>CCL</t>
  </si>
  <si>
    <t>CDE</t>
  </si>
  <si>
    <t>CDNS</t>
  </si>
  <si>
    <t>CDP</t>
  </si>
  <si>
    <t>CDW</t>
  </si>
  <si>
    <t>CEF</t>
  </si>
  <si>
    <t>CEG</t>
  </si>
  <si>
    <t>CELH</t>
  </si>
  <si>
    <t>CF</t>
  </si>
  <si>
    <t>CFG</t>
  </si>
  <si>
    <t>CFLT</t>
  </si>
  <si>
    <t>CFR</t>
  </si>
  <si>
    <t>CG</t>
  </si>
  <si>
    <t>CGBL</t>
  </si>
  <si>
    <t>CGCP</t>
  </si>
  <si>
    <t>CGDV</t>
  </si>
  <si>
    <t>CGGO</t>
  </si>
  <si>
    <t>CGGR</t>
  </si>
  <si>
    <t>CGMU</t>
  </si>
  <si>
    <t>CGUS</t>
  </si>
  <si>
    <t>CGXU</t>
  </si>
  <si>
    <t>CHD</t>
  </si>
  <si>
    <t>CHDN</t>
  </si>
  <si>
    <t>CHKP</t>
  </si>
  <si>
    <t>CHRW</t>
  </si>
  <si>
    <t>CHT</t>
  </si>
  <si>
    <t>CHTR</t>
  </si>
  <si>
    <t>CHWY</t>
  </si>
  <si>
    <t>CHYM</t>
  </si>
  <si>
    <t>CI</t>
  </si>
  <si>
    <t>CIB</t>
  </si>
  <si>
    <t>CIBR</t>
  </si>
  <si>
    <t>CIEN</t>
  </si>
  <si>
    <t>CIFR</t>
  </si>
  <si>
    <t>CIGI</t>
  </si>
  <si>
    <t>CINF</t>
  </si>
  <si>
    <t>CL</t>
  </si>
  <si>
    <t>CLF</t>
  </si>
  <si>
    <t>CLH</t>
  </si>
  <si>
    <t>CLS</t>
  </si>
  <si>
    <t>CLX</t>
  </si>
  <si>
    <t>CM</t>
  </si>
  <si>
    <t>CMC</t>
  </si>
  <si>
    <t>CMCSA</t>
  </si>
  <si>
    <t>CME</t>
  </si>
  <si>
    <t>CMG</t>
  </si>
  <si>
    <t>CMI</t>
  </si>
  <si>
    <t>CMS</t>
  </si>
  <si>
    <t>CNA</t>
  </si>
  <si>
    <t>CNC</t>
  </si>
  <si>
    <t>CNH</t>
  </si>
  <si>
    <t>CNI</t>
  </si>
  <si>
    <t>CNM</t>
  </si>
  <si>
    <t>CNP</t>
  </si>
  <si>
    <t>CNQ</t>
  </si>
  <si>
    <t>COF</t>
  </si>
  <si>
    <t>COHR</t>
  </si>
  <si>
    <t>COIN</t>
  </si>
  <si>
    <t>COKE</t>
  </si>
  <si>
    <t>COLB</t>
  </si>
  <si>
    <t>COO</t>
  </si>
  <si>
    <t>COP</t>
  </si>
  <si>
    <t>COPX</t>
  </si>
  <si>
    <t>COR</t>
  </si>
  <si>
    <t>CORT</t>
  </si>
  <si>
    <t>COST</t>
  </si>
  <si>
    <t>COWZ</t>
  </si>
  <si>
    <t>CP</t>
  </si>
  <si>
    <t>CPAY</t>
  </si>
  <si>
    <t>CPB</t>
  </si>
  <si>
    <t>CPNG</t>
  </si>
  <si>
    <t>CPRT</t>
  </si>
  <si>
    <t>CPT</t>
  </si>
  <si>
    <t>CQP</t>
  </si>
  <si>
    <t>CR</t>
  </si>
  <si>
    <t>CRBG</t>
  </si>
  <si>
    <t>CRCL</t>
  </si>
  <si>
    <t>CRDO</t>
  </si>
  <si>
    <t>CRH</t>
  </si>
  <si>
    <t>CRK</t>
  </si>
  <si>
    <t>CRL</t>
  </si>
  <si>
    <t>CRM</t>
  </si>
  <si>
    <t>CRS</t>
  </si>
  <si>
    <t>CRWD</t>
  </si>
  <si>
    <t>CRWV</t>
  </si>
  <si>
    <t>CSCO</t>
  </si>
  <si>
    <t>CSGP</t>
  </si>
  <si>
    <t>CSL</t>
  </si>
  <si>
    <t>CSX</t>
  </si>
  <si>
    <t>CTAS</t>
  </si>
  <si>
    <t>CTRA</t>
  </si>
  <si>
    <t>CTRE</t>
  </si>
  <si>
    <t>CTSH</t>
  </si>
  <si>
    <t>CTVA</t>
  </si>
  <si>
    <t>CUBE</t>
  </si>
  <si>
    <t>CVE</t>
  </si>
  <si>
    <t>CVNA</t>
  </si>
  <si>
    <t>CVS</t>
  </si>
  <si>
    <t>CVX</t>
  </si>
  <si>
    <t>CW</t>
  </si>
  <si>
    <t>CWB</t>
  </si>
  <si>
    <t>CWEN</t>
  </si>
  <si>
    <t>CWEN-A</t>
  </si>
  <si>
    <t>CX</t>
  </si>
  <si>
    <t>CYTK</t>
  </si>
  <si>
    <t>D</t>
  </si>
  <si>
    <t>DAL</t>
  </si>
  <si>
    <t>DASH</t>
  </si>
  <si>
    <t>DB</t>
  </si>
  <si>
    <t>DBEF</t>
  </si>
  <si>
    <t>DBX</t>
  </si>
  <si>
    <t>DCI</t>
  </si>
  <si>
    <t>DD</t>
  </si>
  <si>
    <t>DDOG</t>
  </si>
  <si>
    <t>DDS</t>
  </si>
  <si>
    <t>DE</t>
  </si>
  <si>
    <t>DECK</t>
  </si>
  <si>
    <t>DELL</t>
  </si>
  <si>
    <t>DEO</t>
  </si>
  <si>
    <t>DFAC</t>
  </si>
  <si>
    <t>DFAE</t>
  </si>
  <si>
    <t>DFAI</t>
  </si>
  <si>
    <t>DFAS</t>
  </si>
  <si>
    <t>DFAT</t>
  </si>
  <si>
    <t>DFAU</t>
  </si>
  <si>
    <t>DFAX</t>
  </si>
  <si>
    <t>DFCF</t>
  </si>
  <si>
    <t>DFEM</t>
  </si>
  <si>
    <t>DFIC</t>
  </si>
  <si>
    <t>DFIS</t>
  </si>
  <si>
    <t>DFIV</t>
  </si>
  <si>
    <t>DFLV</t>
  </si>
  <si>
    <t>DFSD</t>
  </si>
  <si>
    <t>DFSV</t>
  </si>
  <si>
    <t>DFUS</t>
  </si>
  <si>
    <t>DFUV</t>
  </si>
  <si>
    <t>DG</t>
  </si>
  <si>
    <t>DGRO</t>
  </si>
  <si>
    <t>DGRW</t>
  </si>
  <si>
    <t>DGX</t>
  </si>
  <si>
    <t>DHI</t>
  </si>
  <si>
    <t>DHR</t>
  </si>
  <si>
    <t>DIA</t>
  </si>
  <si>
    <t>DIHP</t>
  </si>
  <si>
    <t>DINO</t>
  </si>
  <si>
    <t>DIS</t>
  </si>
  <si>
    <t>DIVO</t>
  </si>
  <si>
    <t>DKNG</t>
  </si>
  <si>
    <t>DKS</t>
  </si>
  <si>
    <t>DLN</t>
  </si>
  <si>
    <t>DLR</t>
  </si>
  <si>
    <t>DLTR</t>
  </si>
  <si>
    <t>DOC</t>
  </si>
  <si>
    <t>DOCS</t>
  </si>
  <si>
    <t>DOCU</t>
  </si>
  <si>
    <t>DON</t>
  </si>
  <si>
    <t>DOV</t>
  </si>
  <si>
    <t>DOW</t>
  </si>
  <si>
    <t>DOX</t>
  </si>
  <si>
    <t>DPZ</t>
  </si>
  <si>
    <t>DRI</t>
  </si>
  <si>
    <t>DRS</t>
  </si>
  <si>
    <t>DSGX</t>
  </si>
  <si>
    <t>DSI</t>
  </si>
  <si>
    <t>DT</t>
  </si>
  <si>
    <t>DTE</t>
  </si>
  <si>
    <t>DTM</t>
  </si>
  <si>
    <t>DUHP</t>
  </si>
  <si>
    <t>DUK</t>
  </si>
  <si>
    <t>DUOL</t>
  </si>
  <si>
    <t>DVA</t>
  </si>
  <si>
    <t>DVN</t>
  </si>
  <si>
    <t>DVY</t>
  </si>
  <si>
    <t>DXCM</t>
  </si>
  <si>
    <t>DXJ</t>
  </si>
  <si>
    <t>DY</t>
  </si>
  <si>
    <t>DYNF</t>
  </si>
  <si>
    <t>E</t>
  </si>
  <si>
    <t>EA</t>
  </si>
  <si>
    <t>EAGG</t>
  </si>
  <si>
    <t>EBAY</t>
  </si>
  <si>
    <t>EC</t>
  </si>
  <si>
    <t>ECL</t>
  </si>
  <si>
    <t>ED</t>
  </si>
  <si>
    <t>EDU</t>
  </si>
  <si>
    <t>EDV</t>
  </si>
  <si>
    <t>EEM</t>
  </si>
  <si>
    <t>EFA</t>
  </si>
  <si>
    <t>EFAV</t>
  </si>
  <si>
    <t>EFG</t>
  </si>
  <si>
    <t>EFV</t>
  </si>
  <si>
    <t>EFX</t>
  </si>
  <si>
    <t>EG</t>
  </si>
  <si>
    <t>EGO</t>
  </si>
  <si>
    <t>EGP</t>
  </si>
  <si>
    <t>EHC</t>
  </si>
  <si>
    <t>EIX</t>
  </si>
  <si>
    <t>EL</t>
  </si>
  <si>
    <t>ELAN</t>
  </si>
  <si>
    <t>ELS</t>
  </si>
  <si>
    <t>ELV</t>
  </si>
  <si>
    <t>EMA</t>
  </si>
  <si>
    <t>EMB</t>
  </si>
  <si>
    <t>EMBJ</t>
  </si>
  <si>
    <t>EME</t>
  </si>
  <si>
    <t>EMLC</t>
  </si>
  <si>
    <t>EMN</t>
  </si>
  <si>
    <t>EMR</t>
  </si>
  <si>
    <t>EMXC</t>
  </si>
  <si>
    <t>ENB</t>
  </si>
  <si>
    <t>ENSG</t>
  </si>
  <si>
    <t>ENTG</t>
  </si>
  <si>
    <t>EOG</t>
  </si>
  <si>
    <t>EPAM</t>
  </si>
  <si>
    <t>EPD</t>
  </si>
  <si>
    <t>EQH</t>
  </si>
  <si>
    <t>EQIX</t>
  </si>
  <si>
    <t>EQNR</t>
  </si>
  <si>
    <t>EQR</t>
  </si>
  <si>
    <t>EQT</t>
  </si>
  <si>
    <t>EQX</t>
  </si>
  <si>
    <t>ERIC</t>
  </si>
  <si>
    <t>ERIE</t>
  </si>
  <si>
    <t>ES</t>
  </si>
  <si>
    <t>ESAB</t>
  </si>
  <si>
    <t>ESGD</t>
  </si>
  <si>
    <t>ESGE</t>
  </si>
  <si>
    <t>ESGU</t>
  </si>
  <si>
    <t>ESGV</t>
  </si>
  <si>
    <t>ESLT</t>
  </si>
  <si>
    <t>ESS</t>
  </si>
  <si>
    <t>ESTC</t>
  </si>
  <si>
    <t>ET</t>
  </si>
  <si>
    <t>ETHA</t>
  </si>
  <si>
    <t>ETN</t>
  </si>
  <si>
    <t>ETR</t>
  </si>
  <si>
    <t>EUFN</t>
  </si>
  <si>
    <t>EVR</t>
  </si>
  <si>
    <t>EVRG</t>
  </si>
  <si>
    <t>EVTR</t>
  </si>
  <si>
    <t>EW</t>
  </si>
  <si>
    <t>EWBC</t>
  </si>
  <si>
    <t>EWJ</t>
  </si>
  <si>
    <t>EWT</t>
  </si>
  <si>
    <t>EWY</t>
  </si>
  <si>
    <t>EWZ</t>
  </si>
  <si>
    <t>EXAS</t>
  </si>
  <si>
    <t>EXC</t>
  </si>
  <si>
    <t>EXE</t>
  </si>
  <si>
    <t>EXEL</t>
  </si>
  <si>
    <t>EXLS</t>
  </si>
  <si>
    <t>EXP</t>
  </si>
  <si>
    <t>EXPD</t>
  </si>
  <si>
    <t>EXPE</t>
  </si>
  <si>
    <t>EXR</t>
  </si>
  <si>
    <t>EZU</t>
  </si>
  <si>
    <t>F</t>
  </si>
  <si>
    <t>FAF</t>
  </si>
  <si>
    <t>FANG</t>
  </si>
  <si>
    <t>FAST</t>
  </si>
  <si>
    <t>FBCG</t>
  </si>
  <si>
    <t>FBND</t>
  </si>
  <si>
    <t>FBTC</t>
  </si>
  <si>
    <t>FCFS</t>
  </si>
  <si>
    <t>FCNCA</t>
  </si>
  <si>
    <t>FCX</t>
  </si>
  <si>
    <t>FDL</t>
  </si>
  <si>
    <t>FDN</t>
  </si>
  <si>
    <t>FDS</t>
  </si>
  <si>
    <t>FDVV</t>
  </si>
  <si>
    <t>FDX</t>
  </si>
  <si>
    <t>FE</t>
  </si>
  <si>
    <t>FELC</t>
  </si>
  <si>
    <t>FELG</t>
  </si>
  <si>
    <t>FENI</t>
  </si>
  <si>
    <t>FER</t>
  </si>
  <si>
    <t>FERG</t>
  </si>
  <si>
    <t>FEZ</t>
  </si>
  <si>
    <t>FFIV</t>
  </si>
  <si>
    <t>FHN</t>
  </si>
  <si>
    <t>FICO</t>
  </si>
  <si>
    <t>FIG</t>
  </si>
  <si>
    <t>FIGR</t>
  </si>
  <si>
    <t>FIS</t>
  </si>
  <si>
    <t>FISV</t>
  </si>
  <si>
    <t>FITB</t>
  </si>
  <si>
    <t>FIVE</t>
  </si>
  <si>
    <t>FIX</t>
  </si>
  <si>
    <t>FLEX</t>
  </si>
  <si>
    <t>FLOT</t>
  </si>
  <si>
    <t>FLR</t>
  </si>
  <si>
    <t>FLS</t>
  </si>
  <si>
    <t>FLUT</t>
  </si>
  <si>
    <t>FMDE</t>
  </si>
  <si>
    <t>FMS</t>
  </si>
  <si>
    <t>FMX</t>
  </si>
  <si>
    <t>FN</t>
  </si>
  <si>
    <t>FND</t>
  </si>
  <si>
    <t>FNDA</t>
  </si>
  <si>
    <t>FNDE</t>
  </si>
  <si>
    <t>FNDF</t>
  </si>
  <si>
    <t>FNDX</t>
  </si>
  <si>
    <t>FNF</t>
  </si>
  <si>
    <t>FNV</t>
  </si>
  <si>
    <t>FOX</t>
  </si>
  <si>
    <t>FOXA</t>
  </si>
  <si>
    <t>FPE</t>
  </si>
  <si>
    <t>FR</t>
  </si>
  <si>
    <t>FRHC</t>
  </si>
  <si>
    <t>FRMI</t>
  </si>
  <si>
    <t>FROG</t>
  </si>
  <si>
    <t>FRT</t>
  </si>
  <si>
    <t>FSEC</t>
  </si>
  <si>
    <t>FSLR</t>
  </si>
  <si>
    <t>FSS</t>
  </si>
  <si>
    <t>FSV</t>
  </si>
  <si>
    <t>FTAI</t>
  </si>
  <si>
    <t>FTCS</t>
  </si>
  <si>
    <t>FTEC</t>
  </si>
  <si>
    <t>FTI</t>
  </si>
  <si>
    <t>FTNT</t>
  </si>
  <si>
    <t>FTS</t>
  </si>
  <si>
    <t>FTSM</t>
  </si>
  <si>
    <t>FTV</t>
  </si>
  <si>
    <t>FUTU</t>
  </si>
  <si>
    <t>FVD</t>
  </si>
  <si>
    <t>FWONA</t>
  </si>
  <si>
    <t>FWONK</t>
  </si>
  <si>
    <t>FXI</t>
  </si>
  <si>
    <t>G</t>
  </si>
  <si>
    <t>GAP</t>
  </si>
  <si>
    <t>GBIL</t>
  </si>
  <si>
    <t>GBTC</t>
  </si>
  <si>
    <t>GD</t>
  </si>
  <si>
    <t>GDDY</t>
  </si>
  <si>
    <t>GDS</t>
  </si>
  <si>
    <t>GDX</t>
  </si>
  <si>
    <t>GDXJ</t>
  </si>
  <si>
    <t>GE</t>
  </si>
  <si>
    <t>GEHC</t>
  </si>
  <si>
    <t>GEN</t>
  </si>
  <si>
    <t>GEV</t>
  </si>
  <si>
    <t>GFI</t>
  </si>
  <si>
    <t>GFL</t>
  </si>
  <si>
    <t>GFS</t>
  </si>
  <si>
    <t>GGAL</t>
  </si>
  <si>
    <t>GGG</t>
  </si>
  <si>
    <t>GH</t>
  </si>
  <si>
    <t>GIB</t>
  </si>
  <si>
    <t>GIL</t>
  </si>
  <si>
    <t>GILD</t>
  </si>
  <si>
    <t>GIS</t>
  </si>
  <si>
    <t>GL</t>
  </si>
  <si>
    <t>GLBE</t>
  </si>
  <si>
    <t>GLD</t>
  </si>
  <si>
    <t>GLDM</t>
  </si>
  <si>
    <t>GLPI</t>
  </si>
  <si>
    <t>GLW</t>
  </si>
  <si>
    <t>GM</t>
  </si>
  <si>
    <t>GMAB</t>
  </si>
  <si>
    <t>GME</t>
  </si>
  <si>
    <t>GMED</t>
  </si>
  <si>
    <t>GNRC</t>
  </si>
  <si>
    <t>GOOG</t>
  </si>
  <si>
    <t>GOOGL</t>
  </si>
  <si>
    <t>GOVT</t>
  </si>
  <si>
    <t>GPC</t>
  </si>
  <si>
    <t>GPN</t>
  </si>
  <si>
    <t>GRAB</t>
  </si>
  <si>
    <t>GRID</t>
  </si>
  <si>
    <t>GRMN</t>
  </si>
  <si>
    <t>GS</t>
  </si>
  <si>
    <t>GSAT</t>
  </si>
  <si>
    <t>GSIE</t>
  </si>
  <si>
    <t>GSK</t>
  </si>
  <si>
    <t>GSLC</t>
  </si>
  <si>
    <t>GTLB</t>
  </si>
  <si>
    <t>GTLS</t>
  </si>
  <si>
    <t>GUNR</t>
  </si>
  <si>
    <t>GWRE</t>
  </si>
  <si>
    <t>GWW</t>
  </si>
  <si>
    <t>H</t>
  </si>
  <si>
    <t>HAL</t>
  </si>
  <si>
    <t>HALO</t>
  </si>
  <si>
    <t>HAS</t>
  </si>
  <si>
    <t>HBAN</t>
  </si>
  <si>
    <t>HBM</t>
  </si>
  <si>
    <t>HCA</t>
  </si>
  <si>
    <t>HD</t>
  </si>
  <si>
    <t>HDB</t>
  </si>
  <si>
    <t>HDV</t>
  </si>
  <si>
    <t>HEFA</t>
  </si>
  <si>
    <t>HEI</t>
  </si>
  <si>
    <t>HEI-A</t>
  </si>
  <si>
    <t>HESM</t>
  </si>
  <si>
    <t>HIG</t>
  </si>
  <si>
    <t>HII</t>
  </si>
  <si>
    <t>HIMS</t>
  </si>
  <si>
    <t>HL</t>
  </si>
  <si>
    <t>HLI</t>
  </si>
  <si>
    <t>HLN</t>
  </si>
  <si>
    <t>HLNE</t>
  </si>
  <si>
    <t>HLT</t>
  </si>
  <si>
    <t>HMC</t>
  </si>
  <si>
    <t>HMY</t>
  </si>
  <si>
    <t>HOLX</t>
  </si>
  <si>
    <t>HON</t>
  </si>
  <si>
    <t>HOOD</t>
  </si>
  <si>
    <t>HPE</t>
  </si>
  <si>
    <t>HPQ</t>
  </si>
  <si>
    <t>HQY</t>
  </si>
  <si>
    <t>HRL</t>
  </si>
  <si>
    <t>HSBC</t>
  </si>
  <si>
    <t>HSIC</t>
  </si>
  <si>
    <t>HST</t>
  </si>
  <si>
    <t>HSY</t>
  </si>
  <si>
    <t>HTHT</t>
  </si>
  <si>
    <t>HUBB</t>
  </si>
  <si>
    <t>HUBS</t>
  </si>
  <si>
    <t>HUM</t>
  </si>
  <si>
    <t>HWM</t>
  </si>
  <si>
    <t>HYG</t>
  </si>
  <si>
    <t>IAG</t>
  </si>
  <si>
    <t>IAGG</t>
  </si>
  <si>
    <t>IAU</t>
  </si>
  <si>
    <t>IAUM</t>
  </si>
  <si>
    <t>IBB</t>
  </si>
  <si>
    <t>IBIT</t>
  </si>
  <si>
    <t>IBKR</t>
  </si>
  <si>
    <t>IBM</t>
  </si>
  <si>
    <t>IBN</t>
  </si>
  <si>
    <t>IBP</t>
  </si>
  <si>
    <t>ICE</t>
  </si>
  <si>
    <t>ICL</t>
  </si>
  <si>
    <t>ICLR</t>
  </si>
  <si>
    <t>ICSH</t>
  </si>
  <si>
    <t>IDA</t>
  </si>
  <si>
    <t>IDCC</t>
  </si>
  <si>
    <t>IDEV</t>
  </si>
  <si>
    <t>IDV</t>
  </si>
  <si>
    <t>IDXX</t>
  </si>
  <si>
    <t>IEF</t>
  </si>
  <si>
    <t>IEFA</t>
  </si>
  <si>
    <t>IEI</t>
  </si>
  <si>
    <t>IEMG</t>
  </si>
  <si>
    <t>IESC</t>
  </si>
  <si>
    <t>IEUR</t>
  </si>
  <si>
    <t>IEX</t>
  </si>
  <si>
    <t>IFF</t>
  </si>
  <si>
    <t>IGF</t>
  </si>
  <si>
    <t>IGIB</t>
  </si>
  <si>
    <t>IGM</t>
  </si>
  <si>
    <t>IGSB</t>
  </si>
  <si>
    <t>IGV</t>
  </si>
  <si>
    <t>IHG</t>
  </si>
  <si>
    <t>IHI</t>
  </si>
  <si>
    <t>IJH</t>
  </si>
  <si>
    <t>IJJ</t>
  </si>
  <si>
    <t>IJK</t>
  </si>
  <si>
    <t>IJR</t>
  </si>
  <si>
    <t>IJS</t>
  </si>
  <si>
    <t>IJT</t>
  </si>
  <si>
    <t>ILMN</t>
  </si>
  <si>
    <t>IMO</t>
  </si>
  <si>
    <t>INCY</t>
  </si>
  <si>
    <t>INDA</t>
  </si>
  <si>
    <t>INFY</t>
  </si>
  <si>
    <t>ING</t>
  </si>
  <si>
    <t>INGR</t>
  </si>
  <si>
    <t>INSM</t>
  </si>
  <si>
    <t>INTC</t>
  </si>
  <si>
    <t>INTU</t>
  </si>
  <si>
    <t>INVH</t>
  </si>
  <si>
    <t>IONQ</t>
  </si>
  <si>
    <t>IONS</t>
  </si>
  <si>
    <t>IOO</t>
  </si>
  <si>
    <t>IOT</t>
  </si>
  <si>
    <t>IP</t>
  </si>
  <si>
    <t>IQLT</t>
  </si>
  <si>
    <t>IQV</t>
  </si>
  <si>
    <t>IR</t>
  </si>
  <si>
    <t>IREN</t>
  </si>
  <si>
    <t>IRM</t>
  </si>
  <si>
    <t>ISRG</t>
  </si>
  <si>
    <t>ISTB</t>
  </si>
  <si>
    <t>IT</t>
  </si>
  <si>
    <t>ITA</t>
  </si>
  <si>
    <t>ITOT</t>
  </si>
  <si>
    <t>ITT</t>
  </si>
  <si>
    <t>ITUB</t>
  </si>
  <si>
    <t>ITW</t>
  </si>
  <si>
    <t>IUSB</t>
  </si>
  <si>
    <t>IUSG</t>
  </si>
  <si>
    <t>IUSV</t>
  </si>
  <si>
    <t>IVE</t>
  </si>
  <si>
    <t>IVV</t>
  </si>
  <si>
    <t>IVW</t>
  </si>
  <si>
    <t>IVZ</t>
  </si>
  <si>
    <t>IWB</t>
  </si>
  <si>
    <t>IWD</t>
  </si>
  <si>
    <t>IWF</t>
  </si>
  <si>
    <t>IWM</t>
  </si>
  <si>
    <t>IWN</t>
  </si>
  <si>
    <t>IWO</t>
  </si>
  <si>
    <t>IWP</t>
  </si>
  <si>
    <t>IWR</t>
  </si>
  <si>
    <t>IWS</t>
  </si>
  <si>
    <t>IWV</t>
  </si>
  <si>
    <t>IWY</t>
  </si>
  <si>
    <t>IX</t>
  </si>
  <si>
    <t>IXJ</t>
  </si>
  <si>
    <t>IXN</t>
  </si>
  <si>
    <t>IXUS</t>
  </si>
  <si>
    <t>IYF</t>
  </si>
  <si>
    <t>IYR</t>
  </si>
  <si>
    <t>IYW</t>
  </si>
  <si>
    <t>J</t>
  </si>
  <si>
    <t>JAAA</t>
  </si>
  <si>
    <t>JAVA</t>
  </si>
  <si>
    <t>JAZZ</t>
  </si>
  <si>
    <t>JBHT</t>
  </si>
  <si>
    <t>JBL</t>
  </si>
  <si>
    <t>JBND</t>
  </si>
  <si>
    <t>JBS</t>
  </si>
  <si>
    <t>JBTM</t>
  </si>
  <si>
    <t>JCI</t>
  </si>
  <si>
    <t>JCPB</t>
  </si>
  <si>
    <t>JD</t>
  </si>
  <si>
    <t>JEF</t>
  </si>
  <si>
    <t>JEPI</t>
  </si>
  <si>
    <t>JEPQ</t>
  </si>
  <si>
    <t>JGLO</t>
  </si>
  <si>
    <t>JGRO</t>
  </si>
  <si>
    <t>JHG</t>
  </si>
  <si>
    <t>JHMM</t>
  </si>
  <si>
    <t>JHX</t>
  </si>
  <si>
    <t>JIRE</t>
  </si>
  <si>
    <t>JKHY</t>
  </si>
  <si>
    <t>JLL</t>
  </si>
  <si>
    <t>JMBS</t>
  </si>
  <si>
    <t>JMST</t>
  </si>
  <si>
    <t>JMTG</t>
  </si>
  <si>
    <t>JMUB</t>
  </si>
  <si>
    <t>JNJ</t>
  </si>
  <si>
    <t>JNK</t>
  </si>
  <si>
    <t>JOBY</t>
  </si>
  <si>
    <t>JPIE</t>
  </si>
  <si>
    <t>JPM</t>
  </si>
  <si>
    <t>JPST</t>
  </si>
  <si>
    <t>JQUA</t>
  </si>
  <si>
    <t>JXN</t>
  </si>
  <si>
    <t>KB</t>
  </si>
  <si>
    <t>KBWB</t>
  </si>
  <si>
    <t>KDP</t>
  </si>
  <si>
    <t>KEP</t>
  </si>
  <si>
    <t>KEY</t>
  </si>
  <si>
    <t>KEYS</t>
  </si>
  <si>
    <t>KGC</t>
  </si>
  <si>
    <t>KHC</t>
  </si>
  <si>
    <t>KIM</t>
  </si>
  <si>
    <t>KKR</t>
  </si>
  <si>
    <t>KLAC</t>
  </si>
  <si>
    <t>KLAR</t>
  </si>
  <si>
    <t>KMB</t>
  </si>
  <si>
    <t>KMI</t>
  </si>
  <si>
    <t>KNSL</t>
  </si>
  <si>
    <t>KNX</t>
  </si>
  <si>
    <t>KO</t>
  </si>
  <si>
    <t>KR</t>
  </si>
  <si>
    <t>KRE</t>
  </si>
  <si>
    <t>KRMN</t>
  </si>
  <si>
    <t>KRYS</t>
  </si>
  <si>
    <t>KSPI</t>
  </si>
  <si>
    <t>KT</t>
  </si>
  <si>
    <t>KTOS</t>
  </si>
  <si>
    <t>KVUE</t>
  </si>
  <si>
    <t>KVYO</t>
  </si>
  <si>
    <t>KWEB</t>
  </si>
  <si>
    <t>KYMR</t>
  </si>
  <si>
    <t>L</t>
  </si>
  <si>
    <t>LAD</t>
  </si>
  <si>
    <t>LAMR</t>
  </si>
  <si>
    <t>LBRDA</t>
  </si>
  <si>
    <t>LBRDK</t>
  </si>
  <si>
    <t>LDOS</t>
  </si>
  <si>
    <t>LECO</t>
  </si>
  <si>
    <t>LEN</t>
  </si>
  <si>
    <t>LEVI</t>
  </si>
  <si>
    <t>LFUS</t>
  </si>
  <si>
    <t>LH</t>
  </si>
  <si>
    <t>LHX</t>
  </si>
  <si>
    <t>LI</t>
  </si>
  <si>
    <t>LII</t>
  </si>
  <si>
    <t>LIN</t>
  </si>
  <si>
    <t>LINE</t>
  </si>
  <si>
    <t>LITE</t>
  </si>
  <si>
    <t>LKQ</t>
  </si>
  <si>
    <t>LLY</t>
  </si>
  <si>
    <t>LLYVA</t>
  </si>
  <si>
    <t>LLYVK</t>
  </si>
  <si>
    <t>LMBS</t>
  </si>
  <si>
    <t>LMT</t>
  </si>
  <si>
    <t>LNC</t>
  </si>
  <si>
    <t>LNG</t>
  </si>
  <si>
    <t>LNT</t>
  </si>
  <si>
    <t>LOGI</t>
  </si>
  <si>
    <t>LOW</t>
  </si>
  <si>
    <t>LPLA</t>
  </si>
  <si>
    <t>LQD</t>
  </si>
  <si>
    <t>LRCX</t>
  </si>
  <si>
    <t>LSCC</t>
  </si>
  <si>
    <t>LTM</t>
  </si>
  <si>
    <t>LULU</t>
  </si>
  <si>
    <t>LUMN</t>
  </si>
  <si>
    <t>LUV</t>
  </si>
  <si>
    <t>LVS</t>
  </si>
  <si>
    <t>LW</t>
  </si>
  <si>
    <t>LYB</t>
  </si>
  <si>
    <t>LYFT</t>
  </si>
  <si>
    <t>LYG</t>
  </si>
  <si>
    <t>LYV</t>
  </si>
  <si>
    <t>MA</t>
  </si>
  <si>
    <t>MAA</t>
  </si>
  <si>
    <t>MAGS</t>
  </si>
  <si>
    <t>MANH</t>
  </si>
  <si>
    <t>MAR</t>
  </si>
  <si>
    <t>MAS</t>
  </si>
  <si>
    <t>MASI</t>
  </si>
  <si>
    <t>MBB</t>
  </si>
  <si>
    <t>MBLY</t>
  </si>
  <si>
    <t>MCD</t>
  </si>
  <si>
    <t>MCHI</t>
  </si>
  <si>
    <t>MCHP</t>
  </si>
  <si>
    <t>MCK</t>
  </si>
  <si>
    <t>MCO</t>
  </si>
  <si>
    <t>MDB</t>
  </si>
  <si>
    <t>MDGL</t>
  </si>
  <si>
    <t>MDLZ</t>
  </si>
  <si>
    <t>MDT</t>
  </si>
  <si>
    <t>MDY</t>
  </si>
  <si>
    <t>MEDP</t>
  </si>
  <si>
    <t>MELI</t>
  </si>
  <si>
    <t>MET</t>
  </si>
  <si>
    <t>META</t>
  </si>
  <si>
    <t>MFC</t>
  </si>
  <si>
    <t>MFG</t>
  </si>
  <si>
    <t>MGA</t>
  </si>
  <si>
    <t>MGC</t>
  </si>
  <si>
    <t>MGK</t>
  </si>
  <si>
    <t>MGM</t>
  </si>
  <si>
    <t>MGV</t>
  </si>
  <si>
    <t>MHK</t>
  </si>
  <si>
    <t>MICC</t>
  </si>
  <si>
    <t>MIDD</t>
  </si>
  <si>
    <t>MINT</t>
  </si>
  <si>
    <t>MKC</t>
  </si>
  <si>
    <t>MKL</t>
  </si>
  <si>
    <t>MKSI</t>
  </si>
  <si>
    <t>MKTX</t>
  </si>
  <si>
    <t>MLI</t>
  </si>
  <si>
    <t>MLM</t>
  </si>
  <si>
    <t>MMC</t>
  </si>
  <si>
    <t>MMM</t>
  </si>
  <si>
    <t>MMYT</t>
  </si>
  <si>
    <t>MNDY</t>
  </si>
  <si>
    <t>MNST</t>
  </si>
  <si>
    <t>MO</t>
  </si>
  <si>
    <t>MOAT</t>
  </si>
  <si>
    <t>MOD</t>
  </si>
  <si>
    <t>MOG-A</t>
  </si>
  <si>
    <t>MOH</t>
  </si>
  <si>
    <t>MORN</t>
  </si>
  <si>
    <t>MOS</t>
  </si>
  <si>
    <t>MP</t>
  </si>
  <si>
    <t>MPC</t>
  </si>
  <si>
    <t>MPLX</t>
  </si>
  <si>
    <t>MPWR</t>
  </si>
  <si>
    <t>MRK</t>
  </si>
  <si>
    <t>MRNA</t>
  </si>
  <si>
    <t>MRVL</t>
  </si>
  <si>
    <t>MS</t>
  </si>
  <si>
    <t>MSCI</t>
  </si>
  <si>
    <t>MSFT</t>
  </si>
  <si>
    <t>MSI</t>
  </si>
  <si>
    <t>MSTR</t>
  </si>
  <si>
    <t>MT</t>
  </si>
  <si>
    <t>MTB</t>
  </si>
  <si>
    <t>MTCH</t>
  </si>
  <si>
    <t>MTD</t>
  </si>
  <si>
    <t>MTSI</t>
  </si>
  <si>
    <t>MTUM</t>
  </si>
  <si>
    <t>MTZ</t>
  </si>
  <si>
    <t>MU</t>
  </si>
  <si>
    <t>MUB</t>
  </si>
  <si>
    <t>MUFG</t>
  </si>
  <si>
    <t>MUSA</t>
  </si>
  <si>
    <t>NBIS</t>
  </si>
  <si>
    <t>NBIX</t>
  </si>
  <si>
    <t>NCLH</t>
  </si>
  <si>
    <t>NDAQ</t>
  </si>
  <si>
    <t>NDSN</t>
  </si>
  <si>
    <t>NEE</t>
  </si>
  <si>
    <t>NEM</t>
  </si>
  <si>
    <t>NET</t>
  </si>
  <si>
    <t>NEU</t>
  </si>
  <si>
    <t>NFG</t>
  </si>
  <si>
    <t>NFLX</t>
  </si>
  <si>
    <t>NGG</t>
  </si>
  <si>
    <t>NI</t>
  </si>
  <si>
    <t>NICE</t>
  </si>
  <si>
    <t>NIO</t>
  </si>
  <si>
    <t>NKE</t>
  </si>
  <si>
    <t>NLY</t>
  </si>
  <si>
    <t>NMR</t>
  </si>
  <si>
    <t>NNN</t>
  </si>
  <si>
    <t>NOBL</t>
  </si>
  <si>
    <t>NOC</t>
  </si>
  <si>
    <t>NOK</t>
  </si>
  <si>
    <t>NOW</t>
  </si>
  <si>
    <t>NRG</t>
  </si>
  <si>
    <t>NSC</t>
  </si>
  <si>
    <t>NTAP</t>
  </si>
  <si>
    <t>NTES</t>
  </si>
  <si>
    <t>NTNX</t>
  </si>
  <si>
    <t>NTR</t>
  </si>
  <si>
    <t>NTRA</t>
  </si>
  <si>
    <t>NTRS</t>
  </si>
  <si>
    <t>NTSK</t>
  </si>
  <si>
    <t>NU</t>
  </si>
  <si>
    <t>NUE</t>
  </si>
  <si>
    <t>NUVL</t>
  </si>
  <si>
    <t>NVDA</t>
  </si>
  <si>
    <t>NVDL</t>
  </si>
  <si>
    <t>NVMI</t>
  </si>
  <si>
    <t>NVO</t>
  </si>
  <si>
    <t>NVR</t>
  </si>
  <si>
    <t>NVS</t>
  </si>
  <si>
    <t>NVT</t>
  </si>
  <si>
    <t>NWG</t>
  </si>
  <si>
    <t>NWS</t>
  </si>
  <si>
    <t>NWSA</t>
  </si>
  <si>
    <t>NXPI</t>
  </si>
  <si>
    <t>NXT</t>
  </si>
  <si>
    <t>NYT</t>
  </si>
  <si>
    <t>O</t>
  </si>
  <si>
    <t>OBDC</t>
  </si>
  <si>
    <t>OC</t>
  </si>
  <si>
    <t>ODFL</t>
  </si>
  <si>
    <t>OEF</t>
  </si>
  <si>
    <t>OGE</t>
  </si>
  <si>
    <t>OHI</t>
  </si>
  <si>
    <t>OKE</t>
  </si>
  <si>
    <t>OKLO</t>
  </si>
  <si>
    <t>OKTA</t>
  </si>
  <si>
    <t>OLLI</t>
  </si>
  <si>
    <t>OMC</t>
  </si>
  <si>
    <t>OMF</t>
  </si>
  <si>
    <t>OMFL</t>
  </si>
  <si>
    <t>ON</t>
  </si>
  <si>
    <t>ONB</t>
  </si>
  <si>
    <t>ONC</t>
  </si>
  <si>
    <t>ONEQ</t>
  </si>
  <si>
    <t>ONON</t>
  </si>
  <si>
    <t>ONTO</t>
  </si>
  <si>
    <t>OPEN</t>
  </si>
  <si>
    <t>OR</t>
  </si>
  <si>
    <t>ORA</t>
  </si>
  <si>
    <t>ORCL</t>
  </si>
  <si>
    <t>ORI</t>
  </si>
  <si>
    <t>ORLY</t>
  </si>
  <si>
    <t>OSK</t>
  </si>
  <si>
    <t>OTEX</t>
  </si>
  <si>
    <t>OTF</t>
  </si>
  <si>
    <t>OTIS</t>
  </si>
  <si>
    <t>OVV</t>
  </si>
  <si>
    <t>OWL</t>
  </si>
  <si>
    <t>OXY</t>
  </si>
  <si>
    <t>PAA</t>
  </si>
  <si>
    <t>PAAA</t>
  </si>
  <si>
    <t>PAAS</t>
  </si>
  <si>
    <t>PAC</t>
  </si>
  <si>
    <t>PAG</t>
  </si>
  <si>
    <t>PAGP</t>
  </si>
  <si>
    <t>PANW</t>
  </si>
  <si>
    <t>PATH</t>
  </si>
  <si>
    <t>PAVE</t>
  </si>
  <si>
    <t>PAYC</t>
  </si>
  <si>
    <t>PAYX</t>
  </si>
  <si>
    <t>PB</t>
  </si>
  <si>
    <t>PBA</t>
  </si>
  <si>
    <t>PBR</t>
  </si>
  <si>
    <t>PBR-A</t>
  </si>
  <si>
    <t>PBUS</t>
  </si>
  <si>
    <t>PCAR</t>
  </si>
  <si>
    <t>PCG</t>
  </si>
  <si>
    <t>PCOR</t>
  </si>
  <si>
    <t>PCTY</t>
  </si>
  <si>
    <t>PDBC</t>
  </si>
  <si>
    <t>PDD</t>
  </si>
  <si>
    <t>PDI</t>
  </si>
  <si>
    <t>PEG</t>
  </si>
  <si>
    <t>PEGA</t>
  </si>
  <si>
    <t>PEN</t>
  </si>
  <si>
    <t>PEP</t>
  </si>
  <si>
    <t>PFE</t>
  </si>
  <si>
    <t>PFF</t>
  </si>
  <si>
    <t>PFG</t>
  </si>
  <si>
    <t>PFGC</t>
  </si>
  <si>
    <t>PFSI</t>
  </si>
  <si>
    <t>PG</t>
  </si>
  <si>
    <t>PGR</t>
  </si>
  <si>
    <t>PH</t>
  </si>
  <si>
    <t>PHG</t>
  </si>
  <si>
    <t>PHM</t>
  </si>
  <si>
    <t>PHYS</t>
  </si>
  <si>
    <t>PINS</t>
  </si>
  <si>
    <t>PJT</t>
  </si>
  <si>
    <t>PKG</t>
  </si>
  <si>
    <t>PKX</t>
  </si>
  <si>
    <t>PLD</t>
  </si>
  <si>
    <t>PLNT</t>
  </si>
  <si>
    <t>PLTR</t>
  </si>
  <si>
    <t>PM</t>
  </si>
  <si>
    <t>PNC</t>
  </si>
  <si>
    <t>PNFP</t>
  </si>
  <si>
    <t>PNR</t>
  </si>
  <si>
    <t>PNW</t>
  </si>
  <si>
    <t>PODD</t>
  </si>
  <si>
    <t>POOL</t>
  </si>
  <si>
    <t>PPA</t>
  </si>
  <si>
    <t>PPC</t>
  </si>
  <si>
    <t>PPG</t>
  </si>
  <si>
    <t>PPL</t>
  </si>
  <si>
    <t>PR</t>
  </si>
  <si>
    <t>PRAX</t>
  </si>
  <si>
    <t>PRF</t>
  </si>
  <si>
    <t>PRI</t>
  </si>
  <si>
    <t>PRIM</t>
  </si>
  <si>
    <t>PRU</t>
  </si>
  <si>
    <t>PSA</t>
  </si>
  <si>
    <t>PSKY</t>
  </si>
  <si>
    <t>PSN</t>
  </si>
  <si>
    <t>PSNY</t>
  </si>
  <si>
    <t>PSO</t>
  </si>
  <si>
    <t>PSTG</t>
  </si>
  <si>
    <t>PSX</t>
  </si>
  <si>
    <t>PTC</t>
  </si>
  <si>
    <t>PUK</t>
  </si>
  <si>
    <t>PULS</t>
  </si>
  <si>
    <t>PVAL</t>
  </si>
  <si>
    <t>PWR</t>
  </si>
  <si>
    <t>PYLD</t>
  </si>
  <si>
    <t>PYPL</t>
  </si>
  <si>
    <t>Q</t>
  </si>
  <si>
    <t>QBTS</t>
  </si>
  <si>
    <t>QCOM</t>
  </si>
  <si>
    <t>QGEN</t>
  </si>
  <si>
    <t>QLD</t>
  </si>
  <si>
    <t>QQQ</t>
  </si>
  <si>
    <t>QQQI</t>
  </si>
  <si>
    <t>QQQM</t>
  </si>
  <si>
    <t>QRVO</t>
  </si>
  <si>
    <t>QS</t>
  </si>
  <si>
    <t>QSR</t>
  </si>
  <si>
    <t>QUAL</t>
  </si>
  <si>
    <t>QXO</t>
  </si>
  <si>
    <t>QYLD</t>
  </si>
  <si>
    <t>R</t>
  </si>
  <si>
    <t>RACE</t>
  </si>
  <si>
    <t>RBA</t>
  </si>
  <si>
    <t>RBC</t>
  </si>
  <si>
    <t>RBLX</t>
  </si>
  <si>
    <t>RCI</t>
  </si>
  <si>
    <t>RCL</t>
  </si>
  <si>
    <t>RDDT</t>
  </si>
  <si>
    <t>RDVY</t>
  </si>
  <si>
    <t>RDY</t>
  </si>
  <si>
    <t>RECS</t>
  </si>
  <si>
    <t>REET</t>
  </si>
  <si>
    <t>REG</t>
  </si>
  <si>
    <t>REGN</t>
  </si>
  <si>
    <t>RELX</t>
  </si>
  <si>
    <t>REXR</t>
  </si>
  <si>
    <t>RF</t>
  </si>
  <si>
    <t>RGA</t>
  </si>
  <si>
    <t>RGC</t>
  </si>
  <si>
    <t>RGEN</t>
  </si>
  <si>
    <t>RGLD</t>
  </si>
  <si>
    <t>RGTI</t>
  </si>
  <si>
    <t>RIO</t>
  </si>
  <si>
    <t>RIVN</t>
  </si>
  <si>
    <t>RJF</t>
  </si>
  <si>
    <t>RKLB</t>
  </si>
  <si>
    <t>RKT</t>
  </si>
  <si>
    <t>RL</t>
  </si>
  <si>
    <t>RMBS</t>
  </si>
  <si>
    <t>RMD</t>
  </si>
  <si>
    <t>RNR</t>
  </si>
  <si>
    <t>ROIV</t>
  </si>
  <si>
    <t>ROK</t>
  </si>
  <si>
    <t>ROKU</t>
  </si>
  <si>
    <t>ROL</t>
  </si>
  <si>
    <t>ROP</t>
  </si>
  <si>
    <t>ROST</t>
  </si>
  <si>
    <t>RPM</t>
  </si>
  <si>
    <t>RPRX</t>
  </si>
  <si>
    <t>RRC</t>
  </si>
  <si>
    <t>RRR</t>
  </si>
  <si>
    <t>RRX</t>
  </si>
  <si>
    <t>RS</t>
  </si>
  <si>
    <t>RSG</t>
  </si>
  <si>
    <t>RSP</t>
  </si>
  <si>
    <t>RSPT</t>
  </si>
  <si>
    <t>RTO</t>
  </si>
  <si>
    <t>RTX</t>
  </si>
  <si>
    <t>RVMD</t>
  </si>
  <si>
    <t>RVTY</t>
  </si>
  <si>
    <t>RWL</t>
  </si>
  <si>
    <t>RY</t>
  </si>
  <si>
    <t>RYAAY</t>
  </si>
  <si>
    <t>RYAN</t>
  </si>
  <si>
    <t>RYTM</t>
  </si>
  <si>
    <t>SAIA</t>
  </si>
  <si>
    <t>SAIL</t>
  </si>
  <si>
    <t>SAN</t>
  </si>
  <si>
    <t>SANM</t>
  </si>
  <si>
    <t>SAP</t>
  </si>
  <si>
    <t>SARO</t>
  </si>
  <si>
    <t>SATS</t>
  </si>
  <si>
    <t>SBAC</t>
  </si>
  <si>
    <t>SBIL</t>
  </si>
  <si>
    <t>SBS</t>
  </si>
  <si>
    <t>SBSW</t>
  </si>
  <si>
    <t>SBUX</t>
  </si>
  <si>
    <t>SCCO</t>
  </si>
  <si>
    <t>SCHA</t>
  </si>
  <si>
    <t>SCHB</t>
  </si>
  <si>
    <t>SCHC</t>
  </si>
  <si>
    <t>SCHD</t>
  </si>
  <si>
    <t>SCHE</t>
  </si>
  <si>
    <t>SCHF</t>
  </si>
  <si>
    <t>SCHG</t>
  </si>
  <si>
    <t>SCHH</t>
  </si>
  <si>
    <t>SCHI</t>
  </si>
  <si>
    <t>SCHK</t>
  </si>
  <si>
    <t>SCHM</t>
  </si>
  <si>
    <t>SCHO</t>
  </si>
  <si>
    <t>SCHP</t>
  </si>
  <si>
    <t>SCHR</t>
  </si>
  <si>
    <t>SCHV</t>
  </si>
  <si>
    <t>SCHW</t>
  </si>
  <si>
    <t>SCHX</t>
  </si>
  <si>
    <t>SCHZ</t>
  </si>
  <si>
    <t>SCI</t>
  </si>
  <si>
    <t>SCZ</t>
  </si>
  <si>
    <t>SDVY</t>
  </si>
  <si>
    <t>SDY</t>
  </si>
  <si>
    <t>SE</t>
  </si>
  <si>
    <t>SEIC</t>
  </si>
  <si>
    <t>SF</t>
  </si>
  <si>
    <t>SFD</t>
  </si>
  <si>
    <t>SFM</t>
  </si>
  <si>
    <t>SGI</t>
  </si>
  <si>
    <t>SGOL</t>
  </si>
  <si>
    <t>SGOV</t>
  </si>
  <si>
    <t>SHEL</t>
  </si>
  <si>
    <t>SHG</t>
  </si>
  <si>
    <t>SHLD</t>
  </si>
  <si>
    <t>SHOP</t>
  </si>
  <si>
    <t>SHV</t>
  </si>
  <si>
    <t>SHW</t>
  </si>
  <si>
    <t>SHY</t>
  </si>
  <si>
    <t>SHYG</t>
  </si>
  <si>
    <t>SIL</t>
  </si>
  <si>
    <t>SIRI</t>
  </si>
  <si>
    <t>SITM</t>
  </si>
  <si>
    <t>SIVR</t>
  </si>
  <si>
    <t>SJM</t>
  </si>
  <si>
    <t>SJNK</t>
  </si>
  <si>
    <t>SKM</t>
  </si>
  <si>
    <t>SLB</t>
  </si>
  <si>
    <t>SLF</t>
  </si>
  <si>
    <t>SLV</t>
  </si>
  <si>
    <t>SLYV</t>
  </si>
  <si>
    <t>SMBS</t>
  </si>
  <si>
    <t>SMCI</t>
  </si>
  <si>
    <t>SMFG</t>
  </si>
  <si>
    <t>SMH</t>
  </si>
  <si>
    <t>SMMT</t>
  </si>
  <si>
    <t>SMTC</t>
  </si>
  <si>
    <t>SN</t>
  </si>
  <si>
    <t>SNA</t>
  </si>
  <si>
    <t>SNAP</t>
  </si>
  <si>
    <t>SNDK</t>
  </si>
  <si>
    <t>SNN</t>
  </si>
  <si>
    <t>SNOW</t>
  </si>
  <si>
    <t>SNPS</t>
  </si>
  <si>
    <t>SNX</t>
  </si>
  <si>
    <t>SNY</t>
  </si>
  <si>
    <t>SO</t>
  </si>
  <si>
    <t>SOFI</t>
  </si>
  <si>
    <t>SOLS</t>
  </si>
  <si>
    <t>SOLV</t>
  </si>
  <si>
    <t>SONY</t>
  </si>
  <si>
    <t>SOXL</t>
  </si>
  <si>
    <t>SOXX</t>
  </si>
  <si>
    <t>SPAB</t>
  </si>
  <si>
    <t>SPDW</t>
  </si>
  <si>
    <t>SPEM</t>
  </si>
  <si>
    <t>SPG</t>
  </si>
  <si>
    <t>SPGI</t>
  </si>
  <si>
    <t>SPHQ</t>
  </si>
  <si>
    <t>SPHY</t>
  </si>
  <si>
    <t>SPIB</t>
  </si>
  <si>
    <t>SPLV</t>
  </si>
  <si>
    <t>SPMB</t>
  </si>
  <si>
    <t>SPMD</t>
  </si>
  <si>
    <t>SPMO</t>
  </si>
  <si>
    <t>SPOT</t>
  </si>
  <si>
    <t>SPSB</t>
  </si>
  <si>
    <t>SPSM</t>
  </si>
  <si>
    <t>SPTI</t>
  </si>
  <si>
    <t>SPTL</t>
  </si>
  <si>
    <t>SPTM</t>
  </si>
  <si>
    <t>SPTS</t>
  </si>
  <si>
    <t>SPXC</t>
  </si>
  <si>
    <t>SPXL</t>
  </si>
  <si>
    <t>SPYD</t>
  </si>
  <si>
    <t>SPYG</t>
  </si>
  <si>
    <t>SPYI</t>
  </si>
  <si>
    <t>SPYM</t>
  </si>
  <si>
    <t>SPYV</t>
  </si>
  <si>
    <t>SQM</t>
  </si>
  <si>
    <t>SRAD</t>
  </si>
  <si>
    <t>SRE</t>
  </si>
  <si>
    <t>SRLN</t>
  </si>
  <si>
    <t>SSB</t>
  </si>
  <si>
    <t>SSD</t>
  </si>
  <si>
    <t>SSNC</t>
  </si>
  <si>
    <t>SSO</t>
  </si>
  <si>
    <t>STAG</t>
  </si>
  <si>
    <t>STE</t>
  </si>
  <si>
    <t>STEP</t>
  </si>
  <si>
    <t>STIP</t>
  </si>
  <si>
    <t>STLA</t>
  </si>
  <si>
    <t>STLD</t>
  </si>
  <si>
    <t>STM</t>
  </si>
  <si>
    <t>STN</t>
  </si>
  <si>
    <t>STRC</t>
  </si>
  <si>
    <t>STRL</t>
  </si>
  <si>
    <t>STT</t>
  </si>
  <si>
    <t>STWD</t>
  </si>
  <si>
    <t>STX</t>
  </si>
  <si>
    <t>STZ</t>
  </si>
  <si>
    <t>SU</t>
  </si>
  <si>
    <t>SUB</t>
  </si>
  <si>
    <t>SUI</t>
  </si>
  <si>
    <t>SUN</t>
  </si>
  <si>
    <t>SUZ</t>
  </si>
  <si>
    <t>SW</t>
  </si>
  <si>
    <t>SWK</t>
  </si>
  <si>
    <t>SWKS</t>
  </si>
  <si>
    <t>SYF</t>
  </si>
  <si>
    <t>SYK</t>
  </si>
  <si>
    <t>SYM</t>
  </si>
  <si>
    <t>SYY</t>
  </si>
  <si>
    <t>T</t>
  </si>
  <si>
    <t>TAK</t>
  </si>
  <si>
    <t>TAP</t>
  </si>
  <si>
    <t>TBIL</t>
  </si>
  <si>
    <t>TCAF</t>
  </si>
  <si>
    <t>TCOM</t>
  </si>
  <si>
    <t>TD</t>
  </si>
  <si>
    <t>TDG</t>
  </si>
  <si>
    <t>TDY</t>
  </si>
  <si>
    <t>TEAM</t>
  </si>
  <si>
    <t>TECH</t>
  </si>
  <si>
    <t>TECK</t>
  </si>
  <si>
    <t>TECL</t>
  </si>
  <si>
    <t>TEF</t>
  </si>
  <si>
    <t>TEL</t>
  </si>
  <si>
    <t>TEM</t>
  </si>
  <si>
    <t>TER</t>
  </si>
  <si>
    <t>TEVA</t>
  </si>
  <si>
    <t>TFC</t>
  </si>
  <si>
    <t>TFII</t>
  </si>
  <si>
    <t>TFLO</t>
  </si>
  <si>
    <t>TFPM</t>
  </si>
  <si>
    <t>TGT</t>
  </si>
  <si>
    <t>THC</t>
  </si>
  <si>
    <t>THG</t>
  </si>
  <si>
    <t>THRO</t>
  </si>
  <si>
    <t>TIGO</t>
  </si>
  <si>
    <t>TIMB</t>
  </si>
  <si>
    <t>TIP</t>
  </si>
  <si>
    <t>TJX</t>
  </si>
  <si>
    <t>TKO</t>
  </si>
  <si>
    <t>TLH</t>
  </si>
  <si>
    <t>TLK</t>
  </si>
  <si>
    <t>TLN</t>
  </si>
  <si>
    <t>TLT</t>
  </si>
  <si>
    <t>TM</t>
  </si>
  <si>
    <t>TME</t>
  </si>
  <si>
    <t>TMF</t>
  </si>
  <si>
    <t>TMO</t>
  </si>
  <si>
    <t>TMUS</t>
  </si>
  <si>
    <t>TOL</t>
  </si>
  <si>
    <t>TOST</t>
  </si>
  <si>
    <t>TOTL</t>
  </si>
  <si>
    <t>TPG</t>
  </si>
  <si>
    <t>TPL</t>
  </si>
  <si>
    <t>TPR</t>
  </si>
  <si>
    <t>TQQQ</t>
  </si>
  <si>
    <t>TRGP</t>
  </si>
  <si>
    <t>TRI</t>
  </si>
  <si>
    <t>TRMB</t>
  </si>
  <si>
    <t>TROW</t>
  </si>
  <si>
    <t>TRU</t>
  </si>
  <si>
    <t>TRV</t>
  </si>
  <si>
    <t>TS</t>
  </si>
  <si>
    <t>TSCO</t>
  </si>
  <si>
    <t>TSEM</t>
  </si>
  <si>
    <t>TSLA</t>
  </si>
  <si>
    <t>TSLL</t>
  </si>
  <si>
    <t>TSM</t>
  </si>
  <si>
    <t>TSN</t>
  </si>
  <si>
    <t>TT</t>
  </si>
  <si>
    <t>TTAN</t>
  </si>
  <si>
    <t>TTC</t>
  </si>
  <si>
    <t>TTD</t>
  </si>
  <si>
    <t>TTE</t>
  </si>
  <si>
    <t>TTEK</t>
  </si>
  <si>
    <t>TTMI</t>
  </si>
  <si>
    <t>TTWO</t>
  </si>
  <si>
    <t>TU</t>
  </si>
  <si>
    <t>TW</t>
  </si>
  <si>
    <t>TWLO</t>
  </si>
  <si>
    <t>TX</t>
  </si>
  <si>
    <t>TXN</t>
  </si>
  <si>
    <t>TXRH</t>
  </si>
  <si>
    <t>TXT</t>
  </si>
  <si>
    <t>TYL</t>
  </si>
  <si>
    <t>U</t>
  </si>
  <si>
    <t>UAL</t>
  </si>
  <si>
    <t>UBER</t>
  </si>
  <si>
    <t>UBS</t>
  </si>
  <si>
    <t>UDR</t>
  </si>
  <si>
    <t>UEC</t>
  </si>
  <si>
    <t>UGI</t>
  </si>
  <si>
    <t>UHAL</t>
  </si>
  <si>
    <t>UHAL-B</t>
  </si>
  <si>
    <t>UHS</t>
  </si>
  <si>
    <t>UI</t>
  </si>
  <si>
    <t>UL</t>
  </si>
  <si>
    <t>ULS</t>
  </si>
  <si>
    <t>ULTA</t>
  </si>
  <si>
    <t>UMBF</t>
  </si>
  <si>
    <t>UMC</t>
  </si>
  <si>
    <t>UNH</t>
  </si>
  <si>
    <t>UNM</t>
  </si>
  <si>
    <t>UNP</t>
  </si>
  <si>
    <t>UPRO</t>
  </si>
  <si>
    <t>UPS</t>
  </si>
  <si>
    <t>URA</t>
  </si>
  <si>
    <t>URBN</t>
  </si>
  <si>
    <t>URI</t>
  </si>
  <si>
    <t>URTH</t>
  </si>
  <si>
    <t>USB</t>
  </si>
  <si>
    <t>USFD</t>
  </si>
  <si>
    <t>USFR</t>
  </si>
  <si>
    <t>USHY</t>
  </si>
  <si>
    <t>USIG</t>
  </si>
  <si>
    <t>USMV</t>
  </si>
  <si>
    <t>UTHR</t>
  </si>
  <si>
    <t>UWMC</t>
  </si>
  <si>
    <t>V</t>
  </si>
  <si>
    <t>VALE</t>
  </si>
  <si>
    <t>VB</t>
  </si>
  <si>
    <t>VBIL</t>
  </si>
  <si>
    <t>VBK</t>
  </si>
  <si>
    <t>VBR</t>
  </si>
  <si>
    <t>VCIT</t>
  </si>
  <si>
    <t>VCLT</t>
  </si>
  <si>
    <t>VCR</t>
  </si>
  <si>
    <t>VCRB</t>
  </si>
  <si>
    <t>VCSH</t>
  </si>
  <si>
    <t>VDC</t>
  </si>
  <si>
    <t>VDE</t>
  </si>
  <si>
    <t>VEA</t>
  </si>
  <si>
    <t>VEEV</t>
  </si>
  <si>
    <t>VEU</t>
  </si>
  <si>
    <t>VFC</t>
  </si>
  <si>
    <t>VFH</t>
  </si>
  <si>
    <t>VFLO</t>
  </si>
  <si>
    <t>VFS</t>
  </si>
  <si>
    <t>VG</t>
  </si>
  <si>
    <t>VGIT</t>
  </si>
  <si>
    <t>VGK</t>
  </si>
  <si>
    <t>VGLT</t>
  </si>
  <si>
    <t>VGSH</t>
  </si>
  <si>
    <t>VGT</t>
  </si>
  <si>
    <t>VHT</t>
  </si>
  <si>
    <t>VICI</t>
  </si>
  <si>
    <t>VIG</t>
  </si>
  <si>
    <t>VIGI</t>
  </si>
  <si>
    <t>VIK</t>
  </si>
  <si>
    <t>VIPS</t>
  </si>
  <si>
    <t>VIS</t>
  </si>
  <si>
    <t>VIV</t>
  </si>
  <si>
    <t>VLO</t>
  </si>
  <si>
    <t>VLTO</t>
  </si>
  <si>
    <t>VLUE</t>
  </si>
  <si>
    <t>VLY</t>
  </si>
  <si>
    <t>VMBS</t>
  </si>
  <si>
    <t>VMC</t>
  </si>
  <si>
    <t>VMI</t>
  </si>
  <si>
    <t>VNO</t>
  </si>
  <si>
    <t>VNOM</t>
  </si>
  <si>
    <t>VNQ</t>
  </si>
  <si>
    <t>VO</t>
  </si>
  <si>
    <t>VOD</t>
  </si>
  <si>
    <t>VOE</t>
  </si>
  <si>
    <t>VONE</t>
  </si>
  <si>
    <t>VONG</t>
  </si>
  <si>
    <t>VONV</t>
  </si>
  <si>
    <t>VOO</t>
  </si>
  <si>
    <t>VOOG</t>
  </si>
  <si>
    <t>VOOV</t>
  </si>
  <si>
    <t>VOT</t>
  </si>
  <si>
    <t>VOX</t>
  </si>
  <si>
    <t>VOYA</t>
  </si>
  <si>
    <t>VPL</t>
  </si>
  <si>
    <t>VPU</t>
  </si>
  <si>
    <t>VRSK</t>
  </si>
  <si>
    <t>VRSN</t>
  </si>
  <si>
    <t>VRT</t>
  </si>
  <si>
    <t>VRTX</t>
  </si>
  <si>
    <t>VSGX</t>
  </si>
  <si>
    <t>VSS</t>
  </si>
  <si>
    <t>VST</t>
  </si>
  <si>
    <t>VT</t>
  </si>
  <si>
    <t>VTEB</t>
  </si>
  <si>
    <t>VTI</t>
  </si>
  <si>
    <t>VTIP</t>
  </si>
  <si>
    <t>VTR</t>
  </si>
  <si>
    <t>VTRS</t>
  </si>
  <si>
    <t>VTV</t>
  </si>
  <si>
    <t>VTWO</t>
  </si>
  <si>
    <t>VUG</t>
  </si>
  <si>
    <t>VUSB</t>
  </si>
  <si>
    <t>VV</t>
  </si>
  <si>
    <t>VWO</t>
  </si>
  <si>
    <t>VWOB</t>
  </si>
  <si>
    <t>VXF</t>
  </si>
  <si>
    <t>VXUS</t>
  </si>
  <si>
    <t>VYM</t>
  </si>
  <si>
    <t>VYMI</t>
  </si>
  <si>
    <t>VZ</t>
  </si>
  <si>
    <t>W</t>
  </si>
  <si>
    <t>WAB</t>
  </si>
  <si>
    <t>WAL</t>
  </si>
  <si>
    <t>WAT</t>
  </si>
  <si>
    <t>WAY</t>
  </si>
  <si>
    <t>WBD</t>
  </si>
  <si>
    <t>WBS</t>
  </si>
  <si>
    <t>WCC</t>
  </si>
  <si>
    <t>WCN</t>
  </si>
  <si>
    <t>WDAY</t>
  </si>
  <si>
    <t>WDC</t>
  </si>
  <si>
    <t>WDS</t>
  </si>
  <si>
    <t>WEC</t>
  </si>
  <si>
    <t>WELL</t>
  </si>
  <si>
    <t>WES</t>
  </si>
  <si>
    <t>WF</t>
  </si>
  <si>
    <t>WFC</t>
  </si>
  <si>
    <t>WING</t>
  </si>
  <si>
    <t>WIT</t>
  </si>
  <si>
    <t>WLK</t>
  </si>
  <si>
    <t>WM</t>
  </si>
  <si>
    <t>WMB</t>
  </si>
  <si>
    <t>WMG</t>
  </si>
  <si>
    <t>WMS</t>
  </si>
  <si>
    <t>WMT</t>
  </si>
  <si>
    <t>WPC</t>
  </si>
  <si>
    <t>WPM</t>
  </si>
  <si>
    <t>WRB</t>
  </si>
  <si>
    <t>WSM</t>
  </si>
  <si>
    <t>WSO</t>
  </si>
  <si>
    <t>WST</t>
  </si>
  <si>
    <t>WTFC</t>
  </si>
  <si>
    <t>WTRG</t>
  </si>
  <si>
    <t>WTS</t>
  </si>
  <si>
    <t>WTW</t>
  </si>
  <si>
    <t>WWD</t>
  </si>
  <si>
    <t>WY</t>
  </si>
  <si>
    <t>WYNN</t>
  </si>
  <si>
    <t>XAR</t>
  </si>
  <si>
    <t>XBI</t>
  </si>
  <si>
    <t>XEL</t>
  </si>
  <si>
    <t>XLB</t>
  </si>
  <si>
    <t>XLC</t>
  </si>
  <si>
    <t>XLE</t>
  </si>
  <si>
    <t>XLF</t>
  </si>
  <si>
    <t>XLG</t>
  </si>
  <si>
    <t>XLI</t>
  </si>
  <si>
    <t>XLK</t>
  </si>
  <si>
    <t>XLP</t>
  </si>
  <si>
    <t>XLRE</t>
  </si>
  <si>
    <t>XLU</t>
  </si>
  <si>
    <t>XLV</t>
  </si>
  <si>
    <t>XLY</t>
  </si>
  <si>
    <t>XMHQ</t>
  </si>
  <si>
    <t>XMMO</t>
  </si>
  <si>
    <t>XOM</t>
  </si>
  <si>
    <t>XP</t>
  </si>
  <si>
    <t>XPEV</t>
  </si>
  <si>
    <t>XPO</t>
  </si>
  <si>
    <t>XYL</t>
  </si>
  <si>
    <t>XYZ</t>
  </si>
  <si>
    <t>YMM</t>
  </si>
  <si>
    <t>YPF</t>
  </si>
  <si>
    <t>YUM</t>
  </si>
  <si>
    <t>YUMC</t>
  </si>
  <si>
    <t>Z</t>
  </si>
  <si>
    <t>ZBH</t>
  </si>
  <si>
    <t>ZBRA</t>
  </si>
  <si>
    <t>ZG</t>
  </si>
  <si>
    <t>ZION</t>
  </si>
  <si>
    <t>ZM</t>
  </si>
  <si>
    <t>ZS</t>
  </si>
  <si>
    <t>ZTO</t>
  </si>
  <si>
    <t>ZTS</t>
  </si>
  <si>
    <t>ZWS</t>
  </si>
  <si>
    <t>Strategy_Score</t>
  </si>
  <si>
    <t>Lookback_Return_Ann</t>
  </si>
  <si>
    <t>Lookback_ATRP</t>
  </si>
  <si>
    <t>Was_Dropped</t>
  </si>
  <si>
    <t>PSLV_norm</t>
  </si>
  <si>
    <t>RBRK_norm</t>
  </si>
  <si>
    <t>SPY_norm</t>
  </si>
  <si>
    <t>portf_norm</t>
  </si>
  <si>
    <t>portf_retn</t>
  </si>
  <si>
    <t>SPY_retn</t>
  </si>
  <si>
    <t>PSLV_atrp</t>
  </si>
  <si>
    <t>RBRK_atrp</t>
  </si>
  <si>
    <t>SPY_atrp</t>
  </si>
  <si>
    <t>PSLV_trp</t>
  </si>
  <si>
    <t>RBRK_trp</t>
  </si>
  <si>
    <t>SPY_trp</t>
  </si>
  <si>
    <t>PSLV_wt</t>
  </si>
  <si>
    <t>RBRK_wt</t>
  </si>
  <si>
    <t>portf_atrp</t>
  </si>
  <si>
    <t>portf_trp</t>
  </si>
  <si>
    <t>holding p sharpe vol</t>
  </si>
  <si>
    <t>full pd sharpe vol</t>
  </si>
  <si>
    <t>lookback pd sharpe vol</t>
  </si>
  <si>
    <t>full pd stdev.s</t>
  </si>
  <si>
    <t>full pd sharpe annual</t>
  </si>
  <si>
    <t>full pd gain</t>
  </si>
  <si>
    <t>lookback pd gain</t>
  </si>
  <si>
    <t>lookback pd stdev.s</t>
  </si>
  <si>
    <t>lookback pd sharpe annual</t>
  </si>
  <si>
    <t>holding pd gain</t>
  </si>
  <si>
    <t>holding pd stdev.s</t>
  </si>
  <si>
    <t>holding pd sharpe annual</t>
  </si>
  <si>
    <t>full pd avg vol</t>
  </si>
  <si>
    <t>lookback pd avg vol</t>
  </si>
  <si>
    <t>holding pd avg vol</t>
  </si>
  <si>
    <t>equity.iloc[-1]:</t>
  </si>
  <si>
    <t>m_gain:</t>
  </si>
  <si>
    <t>np.sqrt(252):</t>
  </si>
  <si>
    <t>rets.mean():</t>
  </si>
  <si>
    <t>rets.std():</t>
  </si>
  <si>
    <t>m_sharpe:</t>
  </si>
  <si>
    <t>p_atrp.mean():</t>
  </si>
  <si>
    <t>m_s_atrp:</t>
  </si>
  <si>
    <t>p_trp.mean():</t>
  </si>
  <si>
    <t>m_s_trp:</t>
  </si>
  <si>
    <t>RAW_prices</t>
  </si>
  <si>
    <t>portf_norm Holding Period</t>
  </si>
  <si>
    <t>portf_ret Holding Period</t>
  </si>
  <si>
    <t>portf_atrp Holding Period</t>
  </si>
  <si>
    <t>portf_trp Holding Period</t>
  </si>
  <si>
    <t>Holding Period</t>
  </si>
  <si>
    <t>Full period and lookback period calculations are similar to each other.</t>
  </si>
  <si>
    <t>-  calculate the normal prices for each ticker</t>
  </si>
  <si>
    <t>-  average the normalized ticker price for the portfolio normal price</t>
  </si>
  <si>
    <t>-  calculate portfolio normal simple returns</t>
  </si>
  <si>
    <t>- calculate the `drift weight` of the portfolio tickers</t>
  </si>
  <si>
    <t xml:space="preserve"> - use sumproduct to calculate portf_atrp and portf_trp</t>
  </si>
  <si>
    <t xml:space="preserve"> - repeat the process for benchmark SPY</t>
  </si>
  <si>
    <t xml:space="preserve"> - verify these calculated values are same as DAILY_AUDIT ``Port_Value, Port_ATRP, Port_TRP, Bench_Value, Bench_ATRP, Bench_TRP, Port_Ret, Bench_Ret`` </t>
  </si>
  <si>
    <t>From DAILY_AUDIT sheet</t>
  </si>
  <si>
    <t>From RAW_PRICES sheet</t>
  </si>
  <si>
    <t xml:space="preserve"> - gain = ln(price_end / price_start)</t>
  </si>
  <si>
    <t>- annulaized sharpe = avg_return / stdev.s_return * sqrt(252)</t>
  </si>
  <si>
    <t xml:space="preserve"> - sharpe atrp = avg_return / avg_atrp</t>
  </si>
  <si>
    <t xml:space="preserve"> - sharpe trp = avg_return / avg_trp</t>
  </si>
  <si>
    <t>Holding period calculation is different from Full and lookback periods, we must renormalized the ticker prices and drift_weights</t>
  </si>
  <si>
    <t>- renormalize the ticker prices</t>
  </si>
  <si>
    <t xml:space="preserve"> - renormalize the drift weights</t>
  </si>
  <si>
    <t xml:space="preserve"> - repeat the process for Full period using the renormalized ticker prices, and renormalized drift weights</t>
  </si>
  <si>
    <t>From OVERVIEW</t>
  </si>
  <si>
    <t xml:space="preserve"> - verify the calculated ``gain, annualized sharpe, sharpe atrp, sharpe trp`` are same as the Engine calculation</t>
  </si>
  <si>
    <t>verification_calc</t>
  </si>
  <si>
    <t>difference</t>
  </si>
  <si>
    <t>PSLV_retn</t>
  </si>
  <si>
    <t>RBRK_retn</t>
  </si>
  <si>
    <t>average</t>
  </si>
  <si>
    <t>RBRK_ATRP</t>
  </si>
  <si>
    <t>PSLV_ATRP</t>
  </si>
  <si>
    <t>trading days per 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</si>
</sst>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7">
    <numFmt numFmtId="164" formatCode="yyyy\-mm\-dd\ hh:mm:ss"/>
    <numFmt numFmtId="165" formatCode="0.0000000000000"/>
    <numFmt numFmtId="166" formatCode="0.00000000000000"/>
    <numFmt numFmtId="167" formatCode="0.00000000E+00"/>
    <numFmt numFmtId="168" formatCode="0.0000000000000000"/>
    <numFmt numFmtId="169" formatCode="0.00000000000"/>
    <numFmt numFmtId="170" formatCode="0.000000000"/>
  </numFmts>
  <fonts count="7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6" tint="0.79998168889431442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57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  <xf numFmtId="164" fontId="0" fillId="0" borderId="0" xfId="0" applyNumberFormat="1"/>
    <xf numFmtId="14" fontId="0" fillId="0" borderId="0" xfId="0" applyNumberFormat="1"/>
    <xf numFmtId="14" fontId="1" fillId="0" borderId="1" xfId="0" applyNumberFormat="1" applyFont="1" applyBorder="1" applyAlignment="1">
      <alignment horizontal="center" vertical="top"/>
    </xf>
    <xf numFmtId="0" fontId="1" fillId="3" borderId="1" xfId="0" applyFont="1" applyFill="1" applyBorder="1" applyAlignment="1">
      <alignment horizontal="center" vertical="top"/>
    </xf>
    <xf numFmtId="164" fontId="1" fillId="2" borderId="1" xfId="0" applyNumberFormat="1" applyFont="1" applyFill="1" applyBorder="1" applyAlignment="1">
      <alignment horizontal="center" vertical="top"/>
    </xf>
    <xf numFmtId="0" fontId="0" fillId="0" borderId="0" xfId="0" applyAlignment="1">
      <alignment horizontal="right"/>
    </xf>
    <xf numFmtId="165" fontId="0" fillId="0" borderId="0" xfId="0" applyNumberFormat="1"/>
    <xf numFmtId="166" fontId="0" fillId="0" borderId="0" xfId="0" applyNumberFormat="1"/>
    <xf numFmtId="0" fontId="0" fillId="0" borderId="0" xfId="0" quotePrefix="1"/>
    <xf numFmtId="0" fontId="0" fillId="2" borderId="0" xfId="0" applyFill="1"/>
    <xf numFmtId="166" fontId="0" fillId="2" borderId="0" xfId="0" applyNumberFormat="1" applyFill="1"/>
    <xf numFmtId="0" fontId="0" fillId="0" borderId="0" xfId="0" applyFill="1"/>
    <xf numFmtId="167" fontId="0" fillId="0" borderId="0" xfId="0" applyNumberFormat="1"/>
    <xf numFmtId="165" fontId="0" fillId="2" borderId="0" xfId="0" applyNumberFormat="1" applyFill="1"/>
    <xf numFmtId="164" fontId="1" fillId="0" borderId="0" xfId="0" applyNumberFormat="1" applyFont="1" applyBorder="1" applyAlignment="1">
      <alignment horizontal="center" vertical="top"/>
    </xf>
    <xf numFmtId="0" fontId="2" fillId="0" borderId="0" xfId="0" applyFont="1"/>
    <xf numFmtId="0" fontId="0" fillId="0" borderId="0" xfId="0" applyFont="1"/>
    <xf numFmtId="165" fontId="0" fillId="0" borderId="0" xfId="0" applyNumberFormat="1" applyFont="1"/>
    <xf numFmtId="0" fontId="0" fillId="3" borderId="0" xfId="0" applyFill="1" applyAlignment="1">
      <alignment horizontal="right"/>
    </xf>
    <xf numFmtId="0" fontId="0" fillId="3" borderId="0" xfId="0" applyFill="1" applyBorder="1" applyAlignment="1">
      <alignment horizontal="right"/>
    </xf>
    <xf numFmtId="166" fontId="0" fillId="0" borderId="0" xfId="0" applyNumberFormat="1" applyAlignment="1">
      <alignment horizontal="right"/>
    </xf>
    <xf numFmtId="0" fontId="0" fillId="3" borderId="0" xfId="0" applyFont="1" applyFill="1"/>
    <xf numFmtId="168" fontId="0" fillId="0" borderId="0" xfId="0" applyNumberFormat="1"/>
    <xf numFmtId="169" fontId="0" fillId="0" borderId="0" xfId="0" applyNumberFormat="1"/>
    <xf numFmtId="0" fontId="2" fillId="2" borderId="0" xfId="0" applyFont="1" applyFill="1"/>
    <xf numFmtId="0" fontId="0" fillId="2" borderId="0" xfId="0" applyFont="1" applyFill="1" applyAlignment="1">
      <alignment horizontal="right"/>
    </xf>
    <xf numFmtId="14" fontId="0" fillId="0" borderId="0" xfId="0" quotePrefix="1" applyNumberFormat="1"/>
    <xf numFmtId="164" fontId="1" fillId="0" borderId="2" xfId="0" applyNumberFormat="1" applyFont="1" applyBorder="1" applyAlignment="1">
      <alignment horizontal="center" vertical="top"/>
    </xf>
    <xf numFmtId="164" fontId="1" fillId="2" borderId="2" xfId="0" applyNumberFormat="1" applyFont="1" applyFill="1" applyBorder="1" applyAlignment="1">
      <alignment horizontal="center" vertical="top"/>
    </xf>
    <xf numFmtId="166" fontId="0" fillId="0" borderId="3" xfId="0" applyNumberFormat="1" applyBorder="1"/>
    <xf numFmtId="166" fontId="0" fillId="0" borderId="4" xfId="0" applyNumberFormat="1" applyBorder="1"/>
    <xf numFmtId="166" fontId="0" fillId="2" borderId="5" xfId="0" applyNumberFormat="1" applyFill="1" applyBorder="1"/>
    <xf numFmtId="166" fontId="0" fillId="0" borderId="6" xfId="0" applyNumberFormat="1" applyBorder="1"/>
    <xf numFmtId="166" fontId="0" fillId="0" borderId="7" xfId="0" applyNumberFormat="1" applyBorder="1"/>
    <xf numFmtId="166" fontId="0" fillId="2" borderId="8" xfId="0" applyNumberFormat="1" applyFill="1" applyBorder="1"/>
    <xf numFmtId="0" fontId="0" fillId="0" borderId="3" xfId="0" applyBorder="1"/>
    <xf numFmtId="0" fontId="0" fillId="0" borderId="4" xfId="0" applyBorder="1"/>
    <xf numFmtId="0" fontId="0" fillId="2" borderId="5" xfId="0" applyFill="1" applyBorder="1"/>
    <xf numFmtId="0" fontId="2" fillId="3" borderId="0" xfId="0" applyFont="1" applyFill="1"/>
    <xf numFmtId="170" fontId="2" fillId="3" borderId="0" xfId="0" applyNumberFormat="1" applyFont="1" applyFill="1"/>
    <xf numFmtId="0" fontId="2" fillId="0" borderId="0" xfId="0" applyFont="1" applyAlignment="1">
      <alignment horizontal="right"/>
    </xf>
    <xf numFmtId="0" fontId="1" fillId="0" borderId="0" xfId="0" applyFont="1" applyBorder="1" applyAlignment="1">
      <alignment horizontal="right" vertical="top"/>
    </xf>
    <xf numFmtId="0" fontId="0" fillId="0" borderId="6" xfId="0" applyFill="1" applyBorder="1" applyAlignment="1">
      <alignment horizontal="right"/>
    </xf>
    <xf numFmtId="0" fontId="0" fillId="0" borderId="9" xfId="0" applyBorder="1" applyAlignment="1">
      <alignment horizontal="right"/>
    </xf>
    <xf numFmtId="0" fontId="0" fillId="0" borderId="10" xfId="0" applyBorder="1" applyAlignment="1">
      <alignment horizontal="right"/>
    </xf>
    <xf numFmtId="0" fontId="0" fillId="0" borderId="7" xfId="0" applyBorder="1"/>
    <xf numFmtId="0" fontId="0" fillId="0" borderId="0" xfId="0" applyBorder="1"/>
    <xf numFmtId="0" fontId="0" fillId="0" borderId="11" xfId="0" applyBorder="1"/>
    <xf numFmtId="0" fontId="0" fillId="0" borderId="8" xfId="0" applyBorder="1"/>
    <xf numFmtId="0" fontId="0" fillId="0" borderId="12" xfId="0" applyBorder="1"/>
    <xf numFmtId="0" fontId="0" fillId="0" borderId="13" xfId="0" applyBorder="1"/>
    <xf numFmtId="0" fontId="0" fillId="2" borderId="7" xfId="0" applyFill="1" applyBorder="1"/>
    <xf numFmtId="0" fontId="0" fillId="2" borderId="0" xfId="0" applyFill="1" applyBorder="1"/>
    <xf numFmtId="0" fontId="0" fillId="2" borderId="11" xfId="0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54"/>
  <sheetViews>
    <sheetView workbookViewId="0">
      <selection activeCell="A23" sqref="A23"/>
    </sheetView>
  </sheetViews>
  <sheetFormatPr defaultRowHeight="14.4" x14ac:dyDescent="0.3"/>
  <cols>
    <col min="1" max="1" width="10.5546875" bestFit="1" customWidth="1"/>
  </cols>
  <sheetData>
    <row r="1" spans="1:1" x14ac:dyDescent="0.3">
      <c r="A1" t="s">
        <v>1732</v>
      </c>
    </row>
    <row r="2" spans="1:1" x14ac:dyDescent="0.3">
      <c r="A2" t="s">
        <v>1741</v>
      </c>
    </row>
    <row r="3" spans="1:1" x14ac:dyDescent="0.3">
      <c r="A3" s="11" t="s">
        <v>1733</v>
      </c>
    </row>
    <row r="4" spans="1:1" x14ac:dyDescent="0.3">
      <c r="A4" s="11" t="s">
        <v>1734</v>
      </c>
    </row>
    <row r="5" spans="1:1" x14ac:dyDescent="0.3">
      <c r="A5" s="11" t="s">
        <v>1735</v>
      </c>
    </row>
    <row r="6" spans="1:1" x14ac:dyDescent="0.3">
      <c r="A6" s="11" t="s">
        <v>1736</v>
      </c>
    </row>
    <row r="7" spans="1:1" x14ac:dyDescent="0.3">
      <c r="A7" s="29" t="s">
        <v>1737</v>
      </c>
    </row>
    <row r="8" spans="1:1" x14ac:dyDescent="0.3">
      <c r="A8" s="29" t="s">
        <v>1738</v>
      </c>
    </row>
    <row r="9" spans="1:1" x14ac:dyDescent="0.3">
      <c r="A9" s="29" t="s">
        <v>1739</v>
      </c>
    </row>
    <row r="10" spans="1:1" x14ac:dyDescent="0.3">
      <c r="A10" s="4" t="s">
        <v>1740</v>
      </c>
    </row>
    <row r="11" spans="1:1" x14ac:dyDescent="0.3">
      <c r="A11" s="29" t="s">
        <v>1742</v>
      </c>
    </row>
    <row r="12" spans="1:1" x14ac:dyDescent="0.3">
      <c r="A12" s="29" t="s">
        <v>1743</v>
      </c>
    </row>
    <row r="13" spans="1:1" ht="16.8" customHeight="1" x14ac:dyDescent="0.3">
      <c r="A13" s="29" t="s">
        <v>1744</v>
      </c>
    </row>
    <row r="14" spans="1:1" x14ac:dyDescent="0.3">
      <c r="A14" s="29" t="s">
        <v>1745</v>
      </c>
    </row>
    <row r="15" spans="1:1" x14ac:dyDescent="0.3">
      <c r="A15" s="29" t="s">
        <v>1750</v>
      </c>
    </row>
    <row r="16" spans="1:1" x14ac:dyDescent="0.3">
      <c r="A16" s="29" t="s">
        <v>1751</v>
      </c>
    </row>
    <row r="17" spans="1:1" x14ac:dyDescent="0.3">
      <c r="A17" s="4"/>
    </row>
    <row r="18" spans="1:1" x14ac:dyDescent="0.3">
      <c r="A18" s="4" t="s">
        <v>1746</v>
      </c>
    </row>
    <row r="19" spans="1:1" x14ac:dyDescent="0.3">
      <c r="A19" t="s">
        <v>1741</v>
      </c>
    </row>
    <row r="20" spans="1:1" x14ac:dyDescent="0.3">
      <c r="A20" s="29" t="s">
        <v>1747</v>
      </c>
    </row>
    <row r="21" spans="1:1" x14ac:dyDescent="0.3">
      <c r="A21" s="29" t="s">
        <v>1748</v>
      </c>
    </row>
    <row r="22" spans="1:1" x14ac:dyDescent="0.3">
      <c r="A22" s="29" t="s">
        <v>1749</v>
      </c>
    </row>
    <row r="23" spans="1:1" x14ac:dyDescent="0.3">
      <c r="A23" s="4"/>
    </row>
    <row r="24" spans="1:1" x14ac:dyDescent="0.3">
      <c r="A24" s="4"/>
    </row>
    <row r="25" spans="1:1" x14ac:dyDescent="0.3">
      <c r="A25" s="4"/>
    </row>
    <row r="26" spans="1:1" x14ac:dyDescent="0.3">
      <c r="A26" s="4"/>
    </row>
    <row r="27" spans="1:1" x14ac:dyDescent="0.3">
      <c r="A27" s="4"/>
    </row>
    <row r="28" spans="1:1" x14ac:dyDescent="0.3">
      <c r="A28" s="4"/>
    </row>
    <row r="29" spans="1:1" x14ac:dyDescent="0.3">
      <c r="A29" s="4"/>
    </row>
    <row r="30" spans="1:1" x14ac:dyDescent="0.3">
      <c r="A30" s="4"/>
    </row>
    <row r="31" spans="1:1" x14ac:dyDescent="0.3">
      <c r="A31" s="4"/>
    </row>
    <row r="32" spans="1:1" x14ac:dyDescent="0.3">
      <c r="A32" s="4"/>
    </row>
    <row r="33" spans="1:1" x14ac:dyDescent="0.3">
      <c r="A33" s="4"/>
    </row>
    <row r="34" spans="1:1" x14ac:dyDescent="0.3">
      <c r="A34" s="4"/>
    </row>
    <row r="35" spans="1:1" x14ac:dyDescent="0.3">
      <c r="A35" s="4"/>
    </row>
    <row r="36" spans="1:1" x14ac:dyDescent="0.3">
      <c r="A36" s="4"/>
    </row>
    <row r="37" spans="1:1" x14ac:dyDescent="0.3">
      <c r="A37" s="4"/>
    </row>
    <row r="38" spans="1:1" x14ac:dyDescent="0.3">
      <c r="A38" s="4"/>
    </row>
    <row r="39" spans="1:1" x14ac:dyDescent="0.3">
      <c r="A39" s="4"/>
    </row>
    <row r="40" spans="1:1" x14ac:dyDescent="0.3">
      <c r="A40" s="4"/>
    </row>
    <row r="41" spans="1:1" x14ac:dyDescent="0.3">
      <c r="A41" s="4"/>
    </row>
    <row r="42" spans="1:1" x14ac:dyDescent="0.3">
      <c r="A42" s="4"/>
    </row>
    <row r="43" spans="1:1" x14ac:dyDescent="0.3">
      <c r="A43" s="4"/>
    </row>
    <row r="44" spans="1:1" x14ac:dyDescent="0.3">
      <c r="A44" s="4"/>
    </row>
    <row r="45" spans="1:1" x14ac:dyDescent="0.3">
      <c r="A45" s="4"/>
    </row>
    <row r="46" spans="1:1" x14ac:dyDescent="0.3">
      <c r="A46" s="4"/>
    </row>
    <row r="47" spans="1:1" x14ac:dyDescent="0.3">
      <c r="A47" s="4"/>
    </row>
    <row r="48" spans="1:1" x14ac:dyDescent="0.3">
      <c r="A48" s="4"/>
    </row>
    <row r="49" spans="1:1" x14ac:dyDescent="0.3">
      <c r="A49" s="4"/>
    </row>
    <row r="50" spans="1:1" x14ac:dyDescent="0.3">
      <c r="A50" s="4"/>
    </row>
    <row r="51" spans="1:1" x14ac:dyDescent="0.3">
      <c r="A51" s="4"/>
    </row>
    <row r="52" spans="1:1" x14ac:dyDescent="0.3">
      <c r="A52" s="4"/>
    </row>
    <row r="53" spans="1:1" x14ac:dyDescent="0.3">
      <c r="A53" s="4"/>
    </row>
    <row r="54" spans="1:1" x14ac:dyDescent="0.3">
      <c r="A54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7"/>
  <sheetViews>
    <sheetView topLeftCell="A6" workbookViewId="0">
      <selection activeCell="I26" sqref="I26"/>
    </sheetView>
  </sheetViews>
  <sheetFormatPr defaultRowHeight="14.4" x14ac:dyDescent="0.3"/>
  <cols>
    <col min="1" max="1" width="22.21875" bestFit="1" customWidth="1"/>
    <col min="2" max="2" width="21.77734375" customWidth="1"/>
    <col min="3" max="3" width="14.5546875" bestFit="1" customWidth="1"/>
    <col min="4" max="4" width="15" bestFit="1" customWidth="1"/>
    <col min="5" max="5" width="12.6640625" bestFit="1" customWidth="1"/>
    <col min="6" max="6" width="15" bestFit="1" customWidth="1"/>
  </cols>
  <sheetData>
    <row r="1" spans="1:4" x14ac:dyDescent="0.3">
      <c r="B1" s="1" t="s">
        <v>0</v>
      </c>
    </row>
    <row r="2" spans="1:4" x14ac:dyDescent="0.3">
      <c r="A2" s="1" t="s">
        <v>1</v>
      </c>
      <c r="B2" t="s">
        <v>2</v>
      </c>
    </row>
    <row r="3" spans="1:4" x14ac:dyDescent="0.3">
      <c r="A3" s="1" t="s">
        <v>3</v>
      </c>
      <c r="B3" t="s">
        <v>4</v>
      </c>
    </row>
    <row r="4" spans="1:4" x14ac:dyDescent="0.3">
      <c r="A4" s="1" t="s">
        <v>5</v>
      </c>
      <c r="B4" t="s">
        <v>6</v>
      </c>
    </row>
    <row r="5" spans="1:4" x14ac:dyDescent="0.3">
      <c r="A5" s="1" t="s">
        <v>7</v>
      </c>
      <c r="B5" t="s">
        <v>8</v>
      </c>
    </row>
    <row r="6" spans="1:4" x14ac:dyDescent="0.3">
      <c r="A6" s="1" t="s">
        <v>9</v>
      </c>
      <c r="B6" t="s">
        <v>10</v>
      </c>
    </row>
    <row r="7" spans="1:4" x14ac:dyDescent="0.3">
      <c r="A7" s="1" t="s">
        <v>11</v>
      </c>
      <c r="B7" t="s">
        <v>12</v>
      </c>
    </row>
    <row r="8" spans="1:4" x14ac:dyDescent="0.3">
      <c r="A8" s="1" t="s">
        <v>13</v>
      </c>
      <c r="B8" t="s">
        <v>14</v>
      </c>
    </row>
    <row r="9" spans="1:4" x14ac:dyDescent="0.3">
      <c r="A9" s="1" t="s">
        <v>15</v>
      </c>
      <c r="B9" t="s">
        <v>16</v>
      </c>
    </row>
    <row r="10" spans="1:4" x14ac:dyDescent="0.3">
      <c r="A10" s="1" t="s">
        <v>17</v>
      </c>
      <c r="B10" t="s">
        <v>18</v>
      </c>
    </row>
    <row r="11" spans="1:4" x14ac:dyDescent="0.3">
      <c r="A11" s="1" t="s">
        <v>19</v>
      </c>
      <c r="B11" t="s">
        <v>20</v>
      </c>
    </row>
    <row r="12" spans="1:4" x14ac:dyDescent="0.3">
      <c r="A12" s="1" t="s">
        <v>21</v>
      </c>
      <c r="B12" t="s">
        <v>22</v>
      </c>
    </row>
    <row r="13" spans="1:4" x14ac:dyDescent="0.3">
      <c r="A13" s="1" t="s">
        <v>23</v>
      </c>
      <c r="B13" t="s">
        <v>24</v>
      </c>
      <c r="C13" s="8" t="s">
        <v>1752</v>
      </c>
      <c r="D13" s="8" t="s">
        <v>1753</v>
      </c>
    </row>
    <row r="14" spans="1:4" x14ac:dyDescent="0.3">
      <c r="A14" s="1" t="s">
        <v>25</v>
      </c>
      <c r="B14" t="s">
        <v>26</v>
      </c>
      <c r="C14">
        <f>DAILY_AUDIT!B21</f>
        <v>0.16922101500078038</v>
      </c>
      <c r="D14" s="15">
        <f t="shared" ref="D14:D23" si="0">B14-C14</f>
        <v>-3.8857805861880479E-16</v>
      </c>
    </row>
    <row r="15" spans="1:4" x14ac:dyDescent="0.3">
      <c r="A15" s="1" t="s">
        <v>27</v>
      </c>
      <c r="B15" t="s">
        <v>28</v>
      </c>
      <c r="C15">
        <f>DAILY_AUDIT!H24</f>
        <v>5.045514355626266</v>
      </c>
      <c r="D15" s="15">
        <f t="shared" si="0"/>
        <v>0</v>
      </c>
    </row>
    <row r="16" spans="1:4" x14ac:dyDescent="0.3">
      <c r="A16" s="1" t="s">
        <v>29</v>
      </c>
      <c r="B16" t="s">
        <v>30</v>
      </c>
      <c r="C16">
        <f>DAILY_AUDIT!C25</f>
        <v>0.28781315974978022</v>
      </c>
      <c r="D16" s="15">
        <f t="shared" si="0"/>
        <v>0</v>
      </c>
    </row>
    <row r="17" spans="1:7" x14ac:dyDescent="0.3">
      <c r="A17" s="1" t="s">
        <v>31</v>
      </c>
      <c r="B17" t="s">
        <v>32</v>
      </c>
      <c r="C17">
        <f>DAILY_AUDIT!D25</f>
        <v>0.2420330170291394</v>
      </c>
      <c r="D17" s="15">
        <f t="shared" si="0"/>
        <v>-3.8857805861880479E-16</v>
      </c>
    </row>
    <row r="18" spans="1:7" x14ac:dyDescent="0.3">
      <c r="A18" s="1" t="s">
        <v>33</v>
      </c>
      <c r="B18" t="s">
        <v>34</v>
      </c>
      <c r="C18">
        <f>DAILY_AUDIT!B28</f>
        <v>0.22682862617730895</v>
      </c>
      <c r="D18" s="15">
        <f t="shared" si="0"/>
        <v>0</v>
      </c>
    </row>
    <row r="19" spans="1:7" x14ac:dyDescent="0.3">
      <c r="A19" s="1" t="s">
        <v>35</v>
      </c>
      <c r="B19" t="s">
        <v>36</v>
      </c>
      <c r="C19">
        <f>DAILY_AUDIT!H31</f>
        <v>10.05727948972614</v>
      </c>
      <c r="D19" s="15">
        <f t="shared" si="0"/>
        <v>-3.907985046680551E-14</v>
      </c>
    </row>
    <row r="20" spans="1:7" x14ac:dyDescent="0.3">
      <c r="A20" s="1" t="s">
        <v>37</v>
      </c>
      <c r="B20" t="s">
        <v>38</v>
      </c>
      <c r="C20">
        <f>DAILY_AUDIT!C32</f>
        <v>0.63130790694280903</v>
      </c>
      <c r="D20" s="15">
        <f t="shared" si="0"/>
        <v>0</v>
      </c>
    </row>
    <row r="21" spans="1:7" x14ac:dyDescent="0.3">
      <c r="A21" s="1" t="s">
        <v>39</v>
      </c>
      <c r="B21" t="s">
        <v>40</v>
      </c>
      <c r="C21">
        <f>DAILY_AUDIT!D32</f>
        <v>0.50731590252293424</v>
      </c>
      <c r="D21" s="15">
        <f t="shared" si="0"/>
        <v>0</v>
      </c>
    </row>
    <row r="22" spans="1:7" x14ac:dyDescent="0.3">
      <c r="A22" s="1" t="s">
        <v>41</v>
      </c>
      <c r="B22" t="s">
        <v>42</v>
      </c>
      <c r="C22">
        <f>DAILY_AUDIT!K35</f>
        <v>-5.13938187932114E-2</v>
      </c>
      <c r="D22" s="15">
        <f t="shared" si="0"/>
        <v>0</v>
      </c>
      <c r="G22" s="11"/>
    </row>
    <row r="23" spans="1:7" x14ac:dyDescent="0.3">
      <c r="A23" s="1" t="s">
        <v>43</v>
      </c>
      <c r="B23" t="s">
        <v>44</v>
      </c>
      <c r="C23">
        <f>DAILY_AUDIT!L38</f>
        <v>-6.965785175715407</v>
      </c>
      <c r="D23" s="15">
        <f t="shared" si="0"/>
        <v>0</v>
      </c>
      <c r="F23" s="15"/>
      <c r="G23" s="11"/>
    </row>
    <row r="24" spans="1:7" x14ac:dyDescent="0.3">
      <c r="A24" s="1" t="s">
        <v>45</v>
      </c>
      <c r="B24" t="s">
        <v>46</v>
      </c>
      <c r="C24">
        <f>DAILY_AUDIT!M39</f>
        <v>-0.2381302054551481</v>
      </c>
      <c r="D24" s="15">
        <f t="shared" ref="D24:D25" si="1">B24-C24</f>
        <v>0</v>
      </c>
      <c r="F24" s="15"/>
      <c r="G24" s="11"/>
    </row>
    <row r="25" spans="1:7" x14ac:dyDescent="0.3">
      <c r="A25" s="1" t="s">
        <v>47</v>
      </c>
      <c r="B25" t="s">
        <v>48</v>
      </c>
      <c r="C25">
        <f>DAILY_AUDIT!N39</f>
        <v>-0.2155145181518526</v>
      </c>
      <c r="D25" s="15">
        <f t="shared" si="1"/>
        <v>6.106226635438361E-16</v>
      </c>
      <c r="F25" s="15"/>
    </row>
    <row r="26" spans="1:7" x14ac:dyDescent="0.3">
      <c r="A26" s="1" t="s">
        <v>49</v>
      </c>
      <c r="B26" t="s">
        <v>50</v>
      </c>
      <c r="C26">
        <f>DAILY_AUDIT!E21</f>
        <v>2.1461847425555025E-3</v>
      </c>
      <c r="D26" s="15">
        <f>B26-C26</f>
        <v>4.3758399681514959E-16</v>
      </c>
      <c r="F26" s="15"/>
    </row>
    <row r="27" spans="1:7" x14ac:dyDescent="0.3">
      <c r="A27" s="1" t="s">
        <v>51</v>
      </c>
      <c r="B27" t="s">
        <v>52</v>
      </c>
      <c r="C27">
        <f>DAILY_AUDIT!I24</f>
        <v>0.41857487636558927</v>
      </c>
      <c r="D27" s="15">
        <f t="shared" ref="D27:D37" si="2">B27-C27</f>
        <v>7.2164496600635175E-16</v>
      </c>
      <c r="F27" s="15"/>
    </row>
    <row r="28" spans="1:7" x14ac:dyDescent="0.3">
      <c r="A28" s="1" t="s">
        <v>53</v>
      </c>
      <c r="B28" t="s">
        <v>54</v>
      </c>
      <c r="C28">
        <f>DAILY_AUDIT!F25</f>
        <v>1.2770004741758278E-2</v>
      </c>
      <c r="D28" s="15">
        <f t="shared" si="2"/>
        <v>2.2551405187698492E-17</v>
      </c>
      <c r="F28" s="15"/>
    </row>
    <row r="29" spans="1:7" x14ac:dyDescent="0.3">
      <c r="A29" s="1" t="s">
        <v>55</v>
      </c>
      <c r="B29" t="s">
        <v>56</v>
      </c>
      <c r="C29">
        <f>DAILY_AUDIT!G25</f>
        <v>1.6790501998420502E-2</v>
      </c>
      <c r="D29" s="15">
        <f t="shared" si="2"/>
        <v>0</v>
      </c>
      <c r="F29" s="15"/>
    </row>
    <row r="30" spans="1:7" x14ac:dyDescent="0.3">
      <c r="A30" s="1" t="s">
        <v>57</v>
      </c>
      <c r="B30" t="s">
        <v>58</v>
      </c>
      <c r="C30">
        <f>DAILY_AUDIT!E28</f>
        <v>1.8421292676487573E-2</v>
      </c>
      <c r="D30" s="15">
        <f t="shared" si="2"/>
        <v>1.2836953722228372E-16</v>
      </c>
      <c r="F30" s="15"/>
    </row>
    <row r="31" spans="1:7" x14ac:dyDescent="0.3">
      <c r="A31" s="1" t="s">
        <v>59</v>
      </c>
      <c r="B31" t="s">
        <v>60</v>
      </c>
      <c r="C31">
        <f>DAILY_AUDIT!I31</f>
        <v>7.5199075938649962</v>
      </c>
      <c r="D31" s="15">
        <f t="shared" si="2"/>
        <v>0</v>
      </c>
      <c r="F31" s="15"/>
    </row>
    <row r="32" spans="1:7" x14ac:dyDescent="0.3">
      <c r="A32" s="1" t="s">
        <v>61</v>
      </c>
      <c r="B32" t="s">
        <v>62</v>
      </c>
      <c r="C32">
        <f>DAILY_AUDIT!F32</f>
        <v>0.15231178870750767</v>
      </c>
      <c r="D32" s="15">
        <f t="shared" si="2"/>
        <v>-6.6613381477509392E-16</v>
      </c>
      <c r="F32" s="15"/>
    </row>
    <row r="33" spans="1:6" x14ac:dyDescent="0.3">
      <c r="A33" s="1" t="s">
        <v>63</v>
      </c>
      <c r="B33" t="s">
        <v>64</v>
      </c>
      <c r="C33">
        <f>DAILY_AUDIT!G32</f>
        <v>0.26028737755209663</v>
      </c>
      <c r="D33" s="15">
        <f t="shared" si="2"/>
        <v>-6.106226635438361E-16</v>
      </c>
      <c r="F33" s="15"/>
    </row>
    <row r="34" spans="1:6" x14ac:dyDescent="0.3">
      <c r="A34" s="1" t="s">
        <v>65</v>
      </c>
      <c r="B34" t="s">
        <v>66</v>
      </c>
      <c r="C34">
        <f>DAILY_AUDIT!E35</f>
        <v>-1.8600480298115781E-2</v>
      </c>
      <c r="D34" s="15">
        <f t="shared" si="2"/>
        <v>6.8001160258290838E-16</v>
      </c>
      <c r="F34" s="15"/>
    </row>
    <row r="35" spans="1:6" x14ac:dyDescent="0.3">
      <c r="A35" s="1" t="s">
        <v>67</v>
      </c>
      <c r="B35" t="s">
        <v>68</v>
      </c>
      <c r="C35">
        <f>DAILY_AUDIT!I38</f>
        <v>-7.6347586991435028</v>
      </c>
      <c r="D35" s="15">
        <f t="shared" si="2"/>
        <v>1.2434497875801753E-14</v>
      </c>
      <c r="F35" s="15"/>
    </row>
    <row r="36" spans="1:6" x14ac:dyDescent="0.3">
      <c r="A36" s="1" t="s">
        <v>69</v>
      </c>
      <c r="B36" t="s">
        <v>70</v>
      </c>
      <c r="C36">
        <f>DAILY_AUDIT!F39</f>
        <v>-0.33626326375367943</v>
      </c>
      <c r="D36" s="15">
        <f t="shared" si="2"/>
        <v>4.4408920985006262E-16</v>
      </c>
      <c r="F36" s="15"/>
    </row>
    <row r="37" spans="1:6" x14ac:dyDescent="0.3">
      <c r="A37" s="1" t="s">
        <v>71</v>
      </c>
      <c r="B37" t="s">
        <v>72</v>
      </c>
      <c r="C37">
        <f>DAILY_AUDIT!G39</f>
        <v>-0.30349611992550118</v>
      </c>
      <c r="D37" s="15">
        <f t="shared" si="2"/>
        <v>0</v>
      </c>
      <c r="F37" s="15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9"/>
  <sheetViews>
    <sheetView workbookViewId="0">
      <pane xSplit="1" ySplit="5" topLeftCell="B12" activePane="bottomRight" state="frozen"/>
      <selection pane="topRight" activeCell="B1" sqref="B1"/>
      <selection pane="bottomLeft" activeCell="A6" sqref="A6"/>
      <selection pane="bottomRight" activeCell="D22" sqref="D22"/>
    </sheetView>
  </sheetViews>
  <sheetFormatPr defaultRowHeight="14.4" x14ac:dyDescent="0.3"/>
  <cols>
    <col min="1" max="1" width="22.88671875" bestFit="1" customWidth="1"/>
    <col min="2" max="2" width="12.6640625" bestFit="1" customWidth="1"/>
    <col min="3" max="3" width="12" bestFit="1" customWidth="1"/>
    <col min="4" max="4" width="15.6640625" bestFit="1" customWidth="1"/>
    <col min="5" max="7" width="12" bestFit="1" customWidth="1"/>
    <col min="8" max="9" width="12.6640625" bestFit="1" customWidth="1"/>
    <col min="10" max="10" width="11.88671875" bestFit="1" customWidth="1"/>
    <col min="11" max="12" width="23" bestFit="1" customWidth="1"/>
    <col min="13" max="13" width="22" bestFit="1" customWidth="1"/>
    <col min="14" max="14" width="20.88671875" bestFit="1" customWidth="1"/>
  </cols>
  <sheetData>
    <row r="1" spans="1:14" x14ac:dyDescent="0.3">
      <c r="A1" s="1" t="s">
        <v>73</v>
      </c>
      <c r="B1" s="6" t="s">
        <v>74</v>
      </c>
      <c r="C1" s="6" t="s">
        <v>75</v>
      </c>
      <c r="D1" s="6" t="s">
        <v>76</v>
      </c>
      <c r="E1" s="6" t="s">
        <v>77</v>
      </c>
      <c r="F1" s="6" t="s">
        <v>78</v>
      </c>
      <c r="G1" s="6" t="s">
        <v>79</v>
      </c>
      <c r="H1" s="6" t="s">
        <v>80</v>
      </c>
      <c r="I1" s="6" t="s">
        <v>81</v>
      </c>
      <c r="J1" s="6" t="s">
        <v>82</v>
      </c>
      <c r="K1" s="24" t="s">
        <v>1727</v>
      </c>
      <c r="L1" s="24" t="s">
        <v>1728</v>
      </c>
      <c r="M1" s="24" t="s">
        <v>1729</v>
      </c>
      <c r="N1" s="24" t="s">
        <v>1730</v>
      </c>
    </row>
    <row r="2" spans="1:14" x14ac:dyDescent="0.3">
      <c r="A2" s="2">
        <v>45986</v>
      </c>
      <c r="B2">
        <v>1</v>
      </c>
      <c r="C2">
        <v>3.8874479945227358E-2</v>
      </c>
      <c r="D2" s="9">
        <v>3.3483486998908928E-2</v>
      </c>
      <c r="E2">
        <v>1</v>
      </c>
      <c r="F2">
        <v>1.4713565524374811E-2</v>
      </c>
      <c r="G2">
        <v>1.7378099968649158E-2</v>
      </c>
      <c r="J2" t="s">
        <v>83</v>
      </c>
    </row>
    <row r="3" spans="1:14" x14ac:dyDescent="0.3">
      <c r="A3" s="2">
        <v>45987</v>
      </c>
      <c r="B3">
        <v>1.0129560960160471</v>
      </c>
      <c r="C3">
        <v>3.7686430301234003E-2</v>
      </c>
      <c r="D3" s="9">
        <v>2.870563805921093E-2</v>
      </c>
      <c r="E3">
        <v>1.006904585375711</v>
      </c>
      <c r="F3">
        <v>1.427099114704514E-2</v>
      </c>
      <c r="G3">
        <v>9.8291518980991831E-3</v>
      </c>
      <c r="H3">
        <v>1.295609601604664E-2</v>
      </c>
      <c r="I3">
        <v>6.9045853757108144E-3</v>
      </c>
      <c r="J3" t="s">
        <v>83</v>
      </c>
      <c r="L3" s="4"/>
    </row>
    <row r="4" spans="1:14" x14ac:dyDescent="0.3">
      <c r="A4" s="2">
        <v>45989</v>
      </c>
      <c r="B4">
        <v>1.0500417385189269</v>
      </c>
      <c r="C4">
        <v>3.6820480733475602E-2</v>
      </c>
      <c r="D4" s="9">
        <v>4.2866383062908311E-2</v>
      </c>
      <c r="E4">
        <v>1.0124006175049891</v>
      </c>
      <c r="F4">
        <v>1.3596708010932729E-2</v>
      </c>
      <c r="G4">
        <v>5.8381776901773206E-3</v>
      </c>
      <c r="H4">
        <v>3.6611302946631508E-2</v>
      </c>
      <c r="I4">
        <v>5.458344523505243E-3</v>
      </c>
      <c r="J4" t="s">
        <v>83</v>
      </c>
      <c r="L4" s="4"/>
    </row>
    <row r="5" spans="1:14" x14ac:dyDescent="0.3">
      <c r="A5" s="2">
        <v>45992</v>
      </c>
      <c r="B5">
        <v>1.064170855062833</v>
      </c>
      <c r="C5">
        <v>3.6821140138748473E-2</v>
      </c>
      <c r="D5" s="9">
        <v>4.3185018224158912E-2</v>
      </c>
      <c r="E5">
        <v>1.0077782449842581</v>
      </c>
      <c r="F5">
        <v>1.317174904059437E-2</v>
      </c>
      <c r="G5">
        <v>6.8365508517306542E-3</v>
      </c>
      <c r="H5">
        <v>1.345576659060699E-2</v>
      </c>
      <c r="I5">
        <v>-4.5657543474464379E-3</v>
      </c>
      <c r="J5" t="s">
        <v>83</v>
      </c>
      <c r="L5" s="4"/>
    </row>
    <row r="6" spans="1:14" x14ac:dyDescent="0.3">
      <c r="A6" s="2">
        <v>45993</v>
      </c>
      <c r="B6">
        <v>1.078774866983746</v>
      </c>
      <c r="C6">
        <v>3.5960087840648761E-2</v>
      </c>
      <c r="D6" s="9">
        <v>3.12465114770408E-2</v>
      </c>
      <c r="E6">
        <v>1.009644429454216</v>
      </c>
      <c r="F6">
        <v>1.2678801522244539E-2</v>
      </c>
      <c r="G6">
        <v>6.5869832028985064E-3</v>
      </c>
      <c r="H6">
        <v>1.3723371441186851E-2</v>
      </c>
      <c r="I6">
        <v>1.851780864734698E-3</v>
      </c>
      <c r="J6" t="s">
        <v>83</v>
      </c>
      <c r="L6" s="4"/>
    </row>
    <row r="7" spans="1:14" x14ac:dyDescent="0.3">
      <c r="A7" s="2">
        <v>45994</v>
      </c>
      <c r="B7">
        <v>1.093363341363192</v>
      </c>
      <c r="C7">
        <v>3.5171933691105287E-2</v>
      </c>
      <c r="D7" s="9">
        <v>3.11634140341885E-2</v>
      </c>
      <c r="E7">
        <v>1.0131405537040641</v>
      </c>
      <c r="F7">
        <v>1.2277786500875481E-2</v>
      </c>
      <c r="G7">
        <v>7.6333638863428652E-3</v>
      </c>
      <c r="H7">
        <v>1.352318711339184E-2</v>
      </c>
      <c r="I7">
        <v>3.4627282118901981E-3</v>
      </c>
      <c r="J7" t="s">
        <v>83</v>
      </c>
      <c r="L7" s="4"/>
    </row>
    <row r="8" spans="1:14" x14ac:dyDescent="0.3">
      <c r="A8" s="2">
        <v>45995</v>
      </c>
      <c r="B8">
        <v>1.0695350103377861</v>
      </c>
      <c r="C8">
        <v>3.6000484749903673E-2</v>
      </c>
      <c r="D8" s="9">
        <v>3.6584838247176482E-2</v>
      </c>
      <c r="E8">
        <v>1.0138819757188009</v>
      </c>
      <c r="F8">
        <v>1.181305514840188E-2</v>
      </c>
      <c r="G8">
        <v>5.8882665517737036E-3</v>
      </c>
      <c r="H8">
        <v>-2.179360705078737E-2</v>
      </c>
      <c r="I8">
        <v>7.3180568285979852E-4</v>
      </c>
      <c r="J8" t="s">
        <v>83</v>
      </c>
      <c r="L8" s="4"/>
    </row>
    <row r="9" spans="1:14" x14ac:dyDescent="0.3">
      <c r="A9" s="2">
        <v>45996</v>
      </c>
      <c r="B9">
        <v>1.197404123791211</v>
      </c>
      <c r="C9">
        <v>3.9616790510613092E-2</v>
      </c>
      <c r="D9" s="9">
        <v>0.13660650449910661</v>
      </c>
      <c r="E9">
        <v>1.01580759281519</v>
      </c>
      <c r="F9">
        <v>1.136513042214002E-2</v>
      </c>
      <c r="G9">
        <v>5.8332236312840157E-3</v>
      </c>
      <c r="H9">
        <v>0.1195557996862959</v>
      </c>
      <c r="I9">
        <v>1.899251729989393E-3</v>
      </c>
      <c r="J9" t="s">
        <v>83</v>
      </c>
    </row>
    <row r="10" spans="1:14" x14ac:dyDescent="0.3">
      <c r="A10" s="2">
        <v>45999</v>
      </c>
      <c r="B10">
        <v>1.215011563762026</v>
      </c>
      <c r="C10">
        <v>3.8793077080622761E-2</v>
      </c>
      <c r="D10" s="9">
        <v>3.5548232189884857E-2</v>
      </c>
      <c r="E10">
        <v>1.012755727447918</v>
      </c>
      <c r="F10">
        <v>1.11148656076314E-2</v>
      </c>
      <c r="G10">
        <v>7.4161991502546152E-3</v>
      </c>
      <c r="H10">
        <v>1.470467624169047E-2</v>
      </c>
      <c r="I10">
        <v>-3.0043734550294632E-3</v>
      </c>
      <c r="J10" t="s">
        <v>83</v>
      </c>
    </row>
    <row r="11" spans="1:14" x14ac:dyDescent="0.3">
      <c r="A11" s="2">
        <v>46000</v>
      </c>
      <c r="B11">
        <v>1.2512862317375359</v>
      </c>
      <c r="C11">
        <v>3.8047570591268412E-2</v>
      </c>
      <c r="D11" s="9">
        <v>4.2975884872373457E-2</v>
      </c>
      <c r="E11">
        <v>1.0118820678393721</v>
      </c>
      <c r="F11">
        <v>1.062269236131121E-2</v>
      </c>
      <c r="G11">
        <v>4.0996845944660572E-3</v>
      </c>
      <c r="H11">
        <v>2.9855409658154031E-2</v>
      </c>
      <c r="I11">
        <v>-8.6265580620148441E-4</v>
      </c>
      <c r="J11" t="s">
        <v>83</v>
      </c>
    </row>
    <row r="12" spans="1:14" x14ac:dyDescent="0.3">
      <c r="A12" s="7">
        <v>46001</v>
      </c>
      <c r="B12" s="12">
        <v>1.254614841374472</v>
      </c>
      <c r="C12" s="12">
        <v>3.7724498634395982E-2</v>
      </c>
      <c r="D12" s="16">
        <v>3.4836831771371903E-2</v>
      </c>
      <c r="E12" s="12">
        <v>1.0185920113635181</v>
      </c>
      <c r="F12" s="12">
        <v>1.0594668731767121E-2</v>
      </c>
      <c r="G12" s="12">
        <v>1.114005811443184E-2</v>
      </c>
      <c r="H12" s="12">
        <v>2.6601504535972431E-3</v>
      </c>
      <c r="I12" s="12">
        <v>6.6311517294441744E-3</v>
      </c>
      <c r="J12" s="12" t="s">
        <v>83</v>
      </c>
    </row>
    <row r="13" spans="1:14" x14ac:dyDescent="0.3">
      <c r="A13" s="2">
        <v>46002</v>
      </c>
      <c r="B13">
        <v>1.24815109641832</v>
      </c>
      <c r="C13">
        <v>3.8284898602769929E-2</v>
      </c>
      <c r="D13" s="9">
        <v>4.3030389657844677E-2</v>
      </c>
      <c r="E13">
        <v>1.020963373158146</v>
      </c>
      <c r="F13">
        <v>1.0548843295986401E-2</v>
      </c>
      <c r="G13">
        <v>1.027301568821504E-2</v>
      </c>
      <c r="H13">
        <v>-5.151975525071073E-3</v>
      </c>
      <c r="I13">
        <v>2.3280781394046102E-3</v>
      </c>
      <c r="J13" t="s">
        <v>84</v>
      </c>
      <c r="K13">
        <v>1</v>
      </c>
      <c r="M13">
        <v>3.8157541695411662E-2</v>
      </c>
      <c r="N13">
        <v>4.2932204998079253E-2</v>
      </c>
    </row>
    <row r="14" spans="1:14" x14ac:dyDescent="0.3">
      <c r="A14" s="2">
        <v>46003</v>
      </c>
      <c r="B14">
        <v>1.189980925007311</v>
      </c>
      <c r="C14">
        <v>4.2515564730174239E-2</v>
      </c>
      <c r="D14" s="9">
        <v>7.3184835674495158E-2</v>
      </c>
      <c r="E14">
        <v>1.0099846812405371</v>
      </c>
      <c r="F14">
        <v>1.0949589142752609E-2</v>
      </c>
      <c r="G14">
        <v>1.466860659270822E-2</v>
      </c>
      <c r="H14">
        <v>-4.6605071756082639E-2</v>
      </c>
      <c r="I14">
        <v>-1.075326716535197E-2</v>
      </c>
      <c r="J14" t="s">
        <v>84</v>
      </c>
      <c r="K14">
        <v>0.95361585477703048</v>
      </c>
      <c r="L14" s="26">
        <f>K14/K13-1</f>
        <v>-4.6384145222969519E-2</v>
      </c>
      <c r="M14">
        <v>4.237919479433272E-2</v>
      </c>
      <c r="N14">
        <v>7.3132767843706648E-2</v>
      </c>
    </row>
    <row r="15" spans="1:14" x14ac:dyDescent="0.3">
      <c r="A15" s="2">
        <v>46006</v>
      </c>
      <c r="B15">
        <v>1.201245046610496</v>
      </c>
      <c r="C15">
        <v>4.2044789888261228E-2</v>
      </c>
      <c r="D15" s="9">
        <v>4.1107428333129511E-2</v>
      </c>
      <c r="E15">
        <v>1.0084587485569021</v>
      </c>
      <c r="F15">
        <v>1.0865969946323431E-2</v>
      </c>
      <c r="G15">
        <v>9.5635339254247463E-3</v>
      </c>
      <c r="H15">
        <v>9.4658001371876743E-3</v>
      </c>
      <c r="I15">
        <v>-1.510847354398881E-3</v>
      </c>
      <c r="J15" t="s">
        <v>84</v>
      </c>
      <c r="K15">
        <v>0.96299979754593323</v>
      </c>
      <c r="L15" s="26">
        <f t="shared" ref="L15:L18" si="0">K15/K14-1</f>
        <v>9.840380402543536E-3</v>
      </c>
      <c r="M15">
        <v>4.1903065210148888E-2</v>
      </c>
      <c r="N15">
        <v>4.1081908432923142E-2</v>
      </c>
    </row>
    <row r="16" spans="1:14" x14ac:dyDescent="0.3">
      <c r="A16" s="2">
        <v>46007</v>
      </c>
      <c r="B16">
        <v>1.1839417593349759</v>
      </c>
      <c r="C16">
        <v>4.1641569351166009E-2</v>
      </c>
      <c r="D16" s="9">
        <v>2.8411412457021321E-2</v>
      </c>
      <c r="E16">
        <v>1.005704046321789</v>
      </c>
      <c r="F16">
        <v>1.0759285874268909E-2</v>
      </c>
      <c r="G16">
        <v>8.9854772703768723E-3</v>
      </c>
      <c r="H16">
        <v>-1.440446087527592E-2</v>
      </c>
      <c r="I16">
        <v>-2.7315963484419998E-3</v>
      </c>
      <c r="J16" t="s">
        <v>84</v>
      </c>
      <c r="K16">
        <v>0.94925112218802554</v>
      </c>
      <c r="L16" s="26">
        <f t="shared" si="0"/>
        <v>-1.4276924453093587E-2</v>
      </c>
      <c r="M16">
        <v>4.1492165409682688E-2</v>
      </c>
      <c r="N16">
        <v>2.826061552315386E-2</v>
      </c>
    </row>
    <row r="17" spans="1:14" x14ac:dyDescent="0.3">
      <c r="A17" s="2">
        <v>46008</v>
      </c>
      <c r="B17">
        <v>1.1740244233124419</v>
      </c>
      <c r="C17">
        <v>4.2781153501418173E-2</v>
      </c>
      <c r="D17" s="9">
        <v>5.3022882905807478E-2</v>
      </c>
      <c r="E17">
        <v>0.99463769128019375</v>
      </c>
      <c r="F17">
        <v>1.108486039196214E-2</v>
      </c>
      <c r="G17">
        <v>1.376112526926212E-2</v>
      </c>
      <c r="H17">
        <v>-8.3765404373477015E-3</v>
      </c>
      <c r="I17">
        <v>-1.100359005422025E-2</v>
      </c>
      <c r="J17" t="s">
        <v>84</v>
      </c>
      <c r="K17">
        <v>0.94190210515061934</v>
      </c>
      <c r="L17" s="26">
        <f t="shared" si="0"/>
        <v>-7.7419102971052478E-3</v>
      </c>
      <c r="M17">
        <v>4.2604950949739595E-2</v>
      </c>
      <c r="N17">
        <v>5.2862608626016577E-2</v>
      </c>
    </row>
    <row r="18" spans="1:14" x14ac:dyDescent="0.3">
      <c r="A18" s="2">
        <v>46009</v>
      </c>
      <c r="B18">
        <v>1.18438187616026</v>
      </c>
      <c r="C18">
        <v>4.2028023169318821E-2</v>
      </c>
      <c r="D18" s="9">
        <v>3.7100919943808867E-2</v>
      </c>
      <c r="E18">
        <v>1.0021484894455079</v>
      </c>
      <c r="F18">
        <v>1.120210202794219E-2</v>
      </c>
      <c r="G18">
        <v>1.38062528447968E-2</v>
      </c>
      <c r="H18">
        <v>8.8221783483817262E-3</v>
      </c>
      <c r="I18">
        <v>7.5512905162959942E-3</v>
      </c>
      <c r="J18" t="s">
        <v>84</v>
      </c>
      <c r="K18">
        <v>0.9499045066144105</v>
      </c>
      <c r="L18" s="26">
        <f t="shared" si="0"/>
        <v>8.4960012511188232E-3</v>
      </c>
      <c r="M18">
        <v>4.1869458821920794E-2</v>
      </c>
      <c r="N18">
        <v>3.6974051218352198E-2</v>
      </c>
    </row>
    <row r="19" spans="1:14" x14ac:dyDescent="0.3">
      <c r="A19" s="17"/>
      <c r="D19" s="9"/>
    </row>
    <row r="20" spans="1:14" x14ac:dyDescent="0.3">
      <c r="A20" s="17"/>
      <c r="D20" s="9"/>
    </row>
    <row r="21" spans="1:14" x14ac:dyDescent="0.3">
      <c r="A21" s="18" t="s">
        <v>1706</v>
      </c>
      <c r="B21" s="18">
        <f>LN(B18/B2)</f>
        <v>0.16922101500078038</v>
      </c>
      <c r="E21" s="18">
        <f>LN(E18/E2)</f>
        <v>2.1461847425555025E-3</v>
      </c>
    </row>
    <row r="22" spans="1:14" x14ac:dyDescent="0.3">
      <c r="A22" s="18" t="s">
        <v>1713</v>
      </c>
      <c r="C22">
        <f>AVERAGE(C3:C18)</f>
        <v>3.8871155844695283E-2</v>
      </c>
      <c r="D22" s="9">
        <f>AVERAGE(D3:D18)</f>
        <v>4.6223570338095481E-2</v>
      </c>
      <c r="F22">
        <f>AVERAGE(F3:F18)</f>
        <v>1.1682318698261222E-2</v>
      </c>
      <c r="G22">
        <f>AVERAGE(G3:G18)</f>
        <v>8.8849794476401605E-3</v>
      </c>
      <c r="H22">
        <f>AVERAGE(H3:H18)</f>
        <v>1.1187630186787886E-2</v>
      </c>
      <c r="I22">
        <f>AVERAGE(I3:I18)</f>
        <v>1.491832651715272E-4</v>
      </c>
    </row>
    <row r="23" spans="1:14" x14ac:dyDescent="0.3">
      <c r="A23" s="18" t="s">
        <v>1704</v>
      </c>
      <c r="H23">
        <f>_xlfn.STDEV.S(H3:H18)</f>
        <v>3.5199210801641845E-2</v>
      </c>
      <c r="I23">
        <f>_xlfn.STDEV.S(I3:I18)</f>
        <v>5.6577951764844063E-3</v>
      </c>
    </row>
    <row r="24" spans="1:14" x14ac:dyDescent="0.3">
      <c r="A24" s="18" t="s">
        <v>1705</v>
      </c>
      <c r="H24" s="18">
        <f>H22/H23*SQRT(252)</f>
        <v>5.045514355626266</v>
      </c>
      <c r="I24" s="18">
        <f>I22/I23*SQRT(252)</f>
        <v>0.41857487636558927</v>
      </c>
    </row>
    <row r="25" spans="1:14" x14ac:dyDescent="0.3">
      <c r="A25" s="18" t="s">
        <v>1702</v>
      </c>
      <c r="C25" s="18">
        <f>H$22/C22</f>
        <v>0.28781315974978022</v>
      </c>
      <c r="D25" s="18">
        <f>H$22/D22</f>
        <v>0.2420330170291394</v>
      </c>
      <c r="F25" s="18">
        <f>I$22/F22</f>
        <v>1.2770004741758278E-2</v>
      </c>
      <c r="G25" s="18">
        <f>I$22/G22</f>
        <v>1.6790501998420502E-2</v>
      </c>
    </row>
    <row r="26" spans="1:14" x14ac:dyDescent="0.3">
      <c r="A26" s="18"/>
    </row>
    <row r="27" spans="1:14" x14ac:dyDescent="0.3">
      <c r="A27" s="18"/>
    </row>
    <row r="28" spans="1:14" x14ac:dyDescent="0.3">
      <c r="A28" s="18" t="s">
        <v>1707</v>
      </c>
      <c r="B28" s="18">
        <f>LN(B12/B2)</f>
        <v>0.22682862617730895</v>
      </c>
      <c r="E28" s="18">
        <f>LN(E12/E2)</f>
        <v>1.8421292676487573E-2</v>
      </c>
    </row>
    <row r="29" spans="1:14" x14ac:dyDescent="0.3">
      <c r="A29" s="18" t="s">
        <v>1714</v>
      </c>
      <c r="C29" s="19">
        <f>AVERAGE(C3:C12)</f>
        <v>3.72642494272016E-2</v>
      </c>
      <c r="D29" s="20">
        <f>AVERAGE(D3:D12)</f>
        <v>4.6371925643742075E-2</v>
      </c>
      <c r="F29">
        <f>AVERAGE(F3:F12)</f>
        <v>1.2150644849294389E-2</v>
      </c>
      <c r="G29">
        <f>AVERAGE(G3:G12)</f>
        <v>7.1101659571458763E-3</v>
      </c>
      <c r="H29">
        <f>AVERAGE(H3:H12)</f>
        <v>2.3525215309681411E-2</v>
      </c>
      <c r="I29">
        <f>AVERAGE(I3:I12)</f>
        <v>1.8506864509456934E-3</v>
      </c>
    </row>
    <row r="30" spans="1:14" x14ac:dyDescent="0.3">
      <c r="A30" s="18" t="s">
        <v>1708</v>
      </c>
      <c r="H30">
        <f>_xlfn.STDEV.S(H3:H12)</f>
        <v>3.7132428891281349E-2</v>
      </c>
      <c r="I30">
        <f>_xlfn.STDEV.S(I3:I12)</f>
        <v>3.906794898347216E-3</v>
      </c>
    </row>
    <row r="31" spans="1:14" x14ac:dyDescent="0.3">
      <c r="A31" s="18" t="s">
        <v>1709</v>
      </c>
      <c r="H31" s="18">
        <f>H29/H30*SQRT(252)</f>
        <v>10.05727948972614</v>
      </c>
      <c r="I31" s="18">
        <f>I29/I30*SQRT(252)</f>
        <v>7.5199075938649962</v>
      </c>
    </row>
    <row r="32" spans="1:14" x14ac:dyDescent="0.3">
      <c r="A32" s="18" t="s">
        <v>1703</v>
      </c>
      <c r="C32" s="18">
        <f>H$29/C29</f>
        <v>0.63130790694280903</v>
      </c>
      <c r="D32" s="18">
        <f>H$29/D29</f>
        <v>0.50731590252293424</v>
      </c>
      <c r="F32" s="18">
        <f>I$29/F29</f>
        <v>0.15231178870750767</v>
      </c>
      <c r="G32" s="18">
        <f>I$29/G29</f>
        <v>0.26028737755209663</v>
      </c>
    </row>
    <row r="33" spans="1:14" x14ac:dyDescent="0.3">
      <c r="A33" s="18"/>
    </row>
    <row r="34" spans="1:14" x14ac:dyDescent="0.3">
      <c r="A34" s="18"/>
    </row>
    <row r="35" spans="1:14" x14ac:dyDescent="0.3">
      <c r="A35" s="18" t="s">
        <v>1710</v>
      </c>
      <c r="B35" s="18"/>
      <c r="E35" s="18">
        <f>LN(E18/E13)</f>
        <v>-1.8600480298115781E-2</v>
      </c>
      <c r="K35" s="18">
        <f>LN(K18/K13)</f>
        <v>-5.13938187932114E-2</v>
      </c>
    </row>
    <row r="36" spans="1:14" x14ac:dyDescent="0.3">
      <c r="A36" s="18" t="s">
        <v>1715</v>
      </c>
      <c r="D36" s="9"/>
      <c r="F36">
        <f>AVERAGE(F14:F18)</f>
        <v>1.0972361476649855E-2</v>
      </c>
      <c r="G36">
        <f>AVERAGE(G14:G18)</f>
        <v>1.2156999180513751E-2</v>
      </c>
      <c r="I36">
        <f>AVERAGE(I14:I18)</f>
        <v>-3.6896020812234214E-3</v>
      </c>
      <c r="L36" s="26">
        <f>AVERAGE(L14:L18)</f>
        <v>-1.0013319663901199E-2</v>
      </c>
      <c r="M36">
        <f>AVERAGE(M14:M18)</f>
        <v>4.2049767037164933E-2</v>
      </c>
      <c r="N36" s="9">
        <f>AVERAGE(N14:N18)</f>
        <v>4.646239032883049E-2</v>
      </c>
    </row>
    <row r="37" spans="1:14" x14ac:dyDescent="0.3">
      <c r="A37" s="18" t="s">
        <v>1711</v>
      </c>
      <c r="I37">
        <f>_xlfn.STDEV.S(I14:I18)</f>
        <v>7.6715741217586531E-3</v>
      </c>
      <c r="L37">
        <f>_xlfn.STDEV.S(L14:L18)</f>
        <v>2.281961297448817E-2</v>
      </c>
    </row>
    <row r="38" spans="1:14" x14ac:dyDescent="0.3">
      <c r="A38" s="18" t="s">
        <v>1712</v>
      </c>
      <c r="H38" s="18"/>
      <c r="I38" s="18">
        <f>I36/I37*SQRT(252)</f>
        <v>-7.6347586991435028</v>
      </c>
      <c r="L38" s="18">
        <f>L36/L37*SQRT(252)</f>
        <v>-6.965785175715407</v>
      </c>
      <c r="M38" s="18"/>
      <c r="N38" s="18"/>
    </row>
    <row r="39" spans="1:14" x14ac:dyDescent="0.3">
      <c r="A39" s="18" t="s">
        <v>1701</v>
      </c>
      <c r="C39" s="18"/>
      <c r="D39" s="18"/>
      <c r="F39" s="18">
        <f>$I36/F36</f>
        <v>-0.33626326375367943</v>
      </c>
      <c r="G39" s="18">
        <f>$I36/G36</f>
        <v>-0.30349611992550118</v>
      </c>
      <c r="M39" s="18">
        <f>L36/M36</f>
        <v>-0.2381302054551481</v>
      </c>
      <c r="N39" s="18">
        <f>L36/N36</f>
        <v>-0.2155145181518526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39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S24" sqref="S24"/>
    </sheetView>
  </sheetViews>
  <sheetFormatPr defaultRowHeight="14.4" x14ac:dyDescent="0.3"/>
  <cols>
    <col min="1" max="1" width="24" bestFit="1" customWidth="1"/>
    <col min="4" max="4" width="15.6640625" bestFit="1" customWidth="1"/>
    <col min="12" max="12" width="10.5546875" bestFit="1" customWidth="1"/>
    <col min="14" max="14" width="13.21875" bestFit="1" customWidth="1"/>
    <col min="15" max="15" width="12" bestFit="1" customWidth="1"/>
    <col min="17" max="17" width="10.5546875" bestFit="1" customWidth="1"/>
    <col min="21" max="21" width="10.5546875" bestFit="1" customWidth="1"/>
  </cols>
  <sheetData>
    <row r="1" spans="1:23" x14ac:dyDescent="0.3">
      <c r="A1" s="1" t="s">
        <v>73</v>
      </c>
      <c r="B1" s="6" t="s">
        <v>74</v>
      </c>
      <c r="C1" s="6" t="s">
        <v>75</v>
      </c>
      <c r="D1" s="6" t="s">
        <v>76</v>
      </c>
      <c r="E1" s="6" t="s">
        <v>77</v>
      </c>
      <c r="F1" s="6" t="s">
        <v>78</v>
      </c>
      <c r="G1" s="6" t="s">
        <v>79</v>
      </c>
      <c r="H1" s="6" t="s">
        <v>80</v>
      </c>
      <c r="I1" s="6" t="s">
        <v>81</v>
      </c>
      <c r="J1" s="1" t="s">
        <v>82</v>
      </c>
      <c r="N1" t="s">
        <v>1716</v>
      </c>
      <c r="O1" t="s">
        <v>1726</v>
      </c>
    </row>
    <row r="2" spans="1:23" x14ac:dyDescent="0.3">
      <c r="A2" s="2">
        <v>45986</v>
      </c>
      <c r="B2">
        <v>1</v>
      </c>
      <c r="C2">
        <v>3.8874479945227358E-2</v>
      </c>
      <c r="D2" s="9">
        <v>3.3483486998908928E-2</v>
      </c>
      <c r="E2">
        <v>1</v>
      </c>
      <c r="F2">
        <v>1.4713565524374811E-2</v>
      </c>
      <c r="G2">
        <v>1.7378099968649158E-2</v>
      </c>
      <c r="J2" t="s">
        <v>83</v>
      </c>
      <c r="N2">
        <v>0.94990450661440995</v>
      </c>
      <c r="O2" t="e">
        <f>RAW_PRICES!#REF!</f>
        <v>#REF!</v>
      </c>
      <c r="Q2" t="s">
        <v>73</v>
      </c>
      <c r="R2" t="s">
        <v>91</v>
      </c>
      <c r="S2" t="s">
        <v>92</v>
      </c>
      <c r="U2" s="4">
        <v>46002</v>
      </c>
      <c r="V2">
        <v>1</v>
      </c>
      <c r="W2">
        <v>1</v>
      </c>
    </row>
    <row r="3" spans="1:23" x14ac:dyDescent="0.3">
      <c r="A3" s="2">
        <v>45987</v>
      </c>
      <c r="B3">
        <v>1.0129560960160471</v>
      </c>
      <c r="C3">
        <v>3.7686430301234003E-2</v>
      </c>
      <c r="D3" s="9">
        <v>2.870563805921093E-2</v>
      </c>
      <c r="E3">
        <v>1.006904585375711</v>
      </c>
      <c r="F3">
        <v>1.427099114704514E-2</v>
      </c>
      <c r="G3">
        <v>9.8291518980991831E-3</v>
      </c>
      <c r="H3">
        <v>1.295609601604664E-2</v>
      </c>
      <c r="I3">
        <v>6.9045853757108144E-3</v>
      </c>
      <c r="J3" t="s">
        <v>83</v>
      </c>
      <c r="L3" s="4"/>
      <c r="Q3" s="4">
        <v>45986</v>
      </c>
      <c r="R3">
        <v>17.05</v>
      </c>
      <c r="S3">
        <v>68.89</v>
      </c>
      <c r="U3" s="4">
        <v>46003</v>
      </c>
      <c r="V3">
        <v>0.95361600000000002</v>
      </c>
      <c r="W3">
        <v>0.95361585477703048</v>
      </c>
    </row>
    <row r="4" spans="1:23" x14ac:dyDescent="0.3">
      <c r="A4" s="2">
        <v>45989</v>
      </c>
      <c r="B4">
        <v>1.0500417385189269</v>
      </c>
      <c r="C4">
        <v>3.6820480733475602E-2</v>
      </c>
      <c r="D4" s="9">
        <v>4.2866383062908311E-2</v>
      </c>
      <c r="E4">
        <v>1.0124006175049891</v>
      </c>
      <c r="F4">
        <v>1.3596708010932729E-2</v>
      </c>
      <c r="G4">
        <v>5.8381776901773206E-3</v>
      </c>
      <c r="H4">
        <v>3.6611302946631508E-2</v>
      </c>
      <c r="I4">
        <v>5.458344523505243E-3</v>
      </c>
      <c r="J4" t="s">
        <v>83</v>
      </c>
      <c r="L4" s="4"/>
      <c r="N4" t="s">
        <v>1717</v>
      </c>
      <c r="Q4" s="4">
        <v>45987</v>
      </c>
      <c r="R4">
        <v>17.670000000000002</v>
      </c>
      <c r="S4">
        <v>68.17</v>
      </c>
      <c r="U4" s="4">
        <v>46006</v>
      </c>
      <c r="V4">
        <v>0.96299999999999997</v>
      </c>
      <c r="W4">
        <v>0.96299979754593323</v>
      </c>
    </row>
    <row r="5" spans="1:23" x14ac:dyDescent="0.3">
      <c r="A5" s="2">
        <v>45992</v>
      </c>
      <c r="B5">
        <v>1.064170855062833</v>
      </c>
      <c r="C5">
        <v>3.6821140138748473E-2</v>
      </c>
      <c r="D5" s="9">
        <v>4.3185018224158912E-2</v>
      </c>
      <c r="E5">
        <v>1.0077782449842581</v>
      </c>
      <c r="F5">
        <v>1.317174904059437E-2</v>
      </c>
      <c r="G5">
        <v>6.8365508517306542E-3</v>
      </c>
      <c r="H5">
        <v>1.345576659060699E-2</v>
      </c>
      <c r="I5">
        <v>-4.5657543474464379E-3</v>
      </c>
      <c r="J5" t="s">
        <v>83</v>
      </c>
      <c r="L5" s="4"/>
      <c r="N5">
        <v>-5.13938187932114E-2</v>
      </c>
      <c r="Q5" s="4">
        <v>45989</v>
      </c>
      <c r="R5">
        <v>18.649999999999999</v>
      </c>
      <c r="S5">
        <v>69.319999999999993</v>
      </c>
      <c r="U5" s="4">
        <v>46007</v>
      </c>
      <c r="V5">
        <v>0.94925099999999996</v>
      </c>
      <c r="W5">
        <v>0.94925112218802554</v>
      </c>
    </row>
    <row r="6" spans="1:23" x14ac:dyDescent="0.3">
      <c r="A6" s="2">
        <v>45993</v>
      </c>
      <c r="B6">
        <v>1.078774866983746</v>
      </c>
      <c r="C6">
        <v>3.5960087840648761E-2</v>
      </c>
      <c r="D6" s="9">
        <v>3.12465114770408E-2</v>
      </c>
      <c r="E6">
        <v>1.009644429454216</v>
      </c>
      <c r="F6">
        <v>1.2678801522244539E-2</v>
      </c>
      <c r="G6">
        <v>6.5869832028985064E-3</v>
      </c>
      <c r="H6">
        <v>1.3723371441186851E-2</v>
      </c>
      <c r="I6">
        <v>1.851780864734698E-3</v>
      </c>
      <c r="J6" t="s">
        <v>83</v>
      </c>
      <c r="L6" s="4"/>
      <c r="Q6" s="4">
        <v>45992</v>
      </c>
      <c r="R6">
        <v>19.309999999999999</v>
      </c>
      <c r="S6">
        <v>68.599999999999994</v>
      </c>
      <c r="U6" s="4">
        <v>46003</v>
      </c>
      <c r="V6">
        <v>0.94190200000000002</v>
      </c>
      <c r="W6">
        <v>0.94190210515061956</v>
      </c>
    </row>
    <row r="7" spans="1:23" x14ac:dyDescent="0.3">
      <c r="A7" s="2">
        <v>45994</v>
      </c>
      <c r="B7">
        <v>1.093363341363192</v>
      </c>
      <c r="C7">
        <v>3.5171933691105287E-2</v>
      </c>
      <c r="D7" s="9">
        <v>3.11634140341885E-2</v>
      </c>
      <c r="E7">
        <v>1.0131405537040641</v>
      </c>
      <c r="F7">
        <v>1.2277786500875481E-2</v>
      </c>
      <c r="G7">
        <v>7.6333638863428652E-3</v>
      </c>
      <c r="H7">
        <v>1.352318711339184E-2</v>
      </c>
      <c r="I7">
        <v>3.4627282118901981E-3</v>
      </c>
      <c r="J7" t="s">
        <v>83</v>
      </c>
      <c r="L7" s="4"/>
      <c r="Q7" s="4">
        <v>45993</v>
      </c>
      <c r="R7">
        <v>19.61</v>
      </c>
      <c r="S7">
        <v>69.400000000000006</v>
      </c>
      <c r="U7" s="4">
        <v>46009</v>
      </c>
      <c r="V7">
        <v>0.949905</v>
      </c>
      <c r="W7">
        <v>0.9499045066144105</v>
      </c>
    </row>
    <row r="8" spans="1:23" x14ac:dyDescent="0.3">
      <c r="A8" s="2">
        <v>45995</v>
      </c>
      <c r="B8">
        <v>1.0695350103377861</v>
      </c>
      <c r="C8">
        <v>3.6000484749903673E-2</v>
      </c>
      <c r="D8" s="9">
        <v>3.6584838247176482E-2</v>
      </c>
      <c r="E8">
        <v>1.0138819757188009</v>
      </c>
      <c r="F8">
        <v>1.181305514840188E-2</v>
      </c>
      <c r="G8">
        <v>5.8882665517737036E-3</v>
      </c>
      <c r="H8">
        <v>-2.179360705078737E-2</v>
      </c>
      <c r="I8">
        <v>7.3180568285979852E-4</v>
      </c>
      <c r="J8" t="s">
        <v>83</v>
      </c>
      <c r="L8" s="4"/>
      <c r="N8" t="s">
        <v>1718</v>
      </c>
      <c r="Q8" s="4">
        <v>45994</v>
      </c>
      <c r="R8">
        <v>19.61</v>
      </c>
      <c r="S8">
        <v>71.41</v>
      </c>
    </row>
    <row r="9" spans="1:23" x14ac:dyDescent="0.3">
      <c r="A9" s="2">
        <v>45996</v>
      </c>
      <c r="B9">
        <v>1.197404123791211</v>
      </c>
      <c r="C9">
        <v>3.9616790510613092E-2</v>
      </c>
      <c r="D9" s="9">
        <v>0.13660650449910661</v>
      </c>
      <c r="E9">
        <v>1.01580759281519</v>
      </c>
      <c r="F9">
        <v>1.136513042214002E-2</v>
      </c>
      <c r="G9">
        <v>5.8332236312840157E-3</v>
      </c>
      <c r="H9">
        <v>0.1195557996862959</v>
      </c>
      <c r="I9">
        <v>1.899251729989393E-3</v>
      </c>
      <c r="J9" t="s">
        <v>83</v>
      </c>
      <c r="N9">
        <v>15.8745078663875</v>
      </c>
      <c r="Q9" s="4">
        <v>45995</v>
      </c>
      <c r="R9">
        <v>19.04</v>
      </c>
      <c r="S9">
        <v>70.430000000000007</v>
      </c>
    </row>
    <row r="10" spans="1:23" x14ac:dyDescent="0.3">
      <c r="A10" s="2">
        <v>45999</v>
      </c>
      <c r="B10">
        <v>1.215011563762026</v>
      </c>
      <c r="C10">
        <v>3.8793077080622761E-2</v>
      </c>
      <c r="D10" s="9">
        <v>3.5548232189884857E-2</v>
      </c>
      <c r="E10">
        <v>1.012755727447918</v>
      </c>
      <c r="F10">
        <v>1.11148656076314E-2</v>
      </c>
      <c r="G10">
        <v>7.4161991502546152E-3</v>
      </c>
      <c r="H10">
        <v>1.470467624169047E-2</v>
      </c>
      <c r="I10">
        <v>-3.0043734550294632E-3</v>
      </c>
      <c r="J10" t="s">
        <v>83</v>
      </c>
      <c r="Q10" s="4">
        <v>45996</v>
      </c>
      <c r="R10">
        <v>19.48</v>
      </c>
      <c r="S10">
        <v>86.27</v>
      </c>
    </row>
    <row r="11" spans="1:23" x14ac:dyDescent="0.3">
      <c r="A11" s="2">
        <v>46000</v>
      </c>
      <c r="B11">
        <v>1.2512862317375359</v>
      </c>
      <c r="C11">
        <v>3.8047570591268412E-2</v>
      </c>
      <c r="D11" s="9">
        <v>4.2975884872373457E-2</v>
      </c>
      <c r="E11">
        <v>1.0118820678393721</v>
      </c>
      <c r="F11">
        <v>1.062269236131121E-2</v>
      </c>
      <c r="G11">
        <v>4.0996845944660572E-3</v>
      </c>
      <c r="H11">
        <v>2.9855409658154031E-2</v>
      </c>
      <c r="I11">
        <v>-8.6265580620148441E-4</v>
      </c>
      <c r="J11" t="s">
        <v>83</v>
      </c>
      <c r="N11" t="s">
        <v>1719</v>
      </c>
      <c r="Q11" s="4">
        <v>45999</v>
      </c>
      <c r="R11">
        <v>19.38</v>
      </c>
      <c r="S11">
        <v>89.1</v>
      </c>
    </row>
    <row r="12" spans="1:23" x14ac:dyDescent="0.3">
      <c r="A12" s="7">
        <v>46001</v>
      </c>
      <c r="B12" s="12">
        <v>1.254614841374472</v>
      </c>
      <c r="C12" s="12">
        <v>3.7724498634395982E-2</v>
      </c>
      <c r="D12" s="16">
        <v>3.4836831771371903E-2</v>
      </c>
      <c r="E12" s="12">
        <v>1.0185920113635181</v>
      </c>
      <c r="F12" s="12">
        <v>1.0594668731767121E-2</v>
      </c>
      <c r="G12" s="12">
        <v>1.114005811443184E-2</v>
      </c>
      <c r="H12" s="12">
        <v>2.6601504535972431E-3</v>
      </c>
      <c r="I12" s="12">
        <v>6.6311517294441744E-3</v>
      </c>
      <c r="J12" s="12" t="s">
        <v>83</v>
      </c>
      <c r="N12">
        <v>-1.0013319663901199E-2</v>
      </c>
      <c r="Q12" s="4">
        <v>46000</v>
      </c>
      <c r="R12">
        <v>20.07</v>
      </c>
      <c r="S12">
        <v>91.31</v>
      </c>
    </row>
    <row r="13" spans="1:23" x14ac:dyDescent="0.3">
      <c r="A13" s="2">
        <v>46002</v>
      </c>
      <c r="B13">
        <v>1</v>
      </c>
      <c r="C13">
        <v>3.8284898602769929E-2</v>
      </c>
      <c r="D13" s="9">
        <v>4.3030389657844677E-2</v>
      </c>
      <c r="E13">
        <v>1.020963373158146</v>
      </c>
      <c r="F13">
        <v>1.0548843295986401E-2</v>
      </c>
      <c r="G13">
        <v>1.027301568821504E-2</v>
      </c>
      <c r="I13">
        <v>2.3280781394046102E-3</v>
      </c>
      <c r="J13" t="s">
        <v>84</v>
      </c>
      <c r="K13">
        <v>1.24815109641832</v>
      </c>
      <c r="L13">
        <f>K13/K$13</f>
        <v>1</v>
      </c>
      <c r="Q13" s="4">
        <v>46001</v>
      </c>
      <c r="R13">
        <v>20.53</v>
      </c>
      <c r="S13">
        <v>89.91</v>
      </c>
    </row>
    <row r="14" spans="1:23" x14ac:dyDescent="0.3">
      <c r="A14" s="2">
        <v>46003</v>
      </c>
      <c r="B14">
        <v>0.95361600000000002</v>
      </c>
      <c r="C14">
        <v>4.2515564730174239E-2</v>
      </c>
      <c r="D14" s="9">
        <v>7.3184835674495158E-2</v>
      </c>
      <c r="E14">
        <v>1.0099846812405371</v>
      </c>
      <c r="F14">
        <v>1.0949589142752609E-2</v>
      </c>
      <c r="G14">
        <v>1.466860659270822E-2</v>
      </c>
      <c r="H14">
        <f>B14/B13-1</f>
        <v>-4.6383999999999981E-2</v>
      </c>
      <c r="I14">
        <v>-1.075326716535197E-2</v>
      </c>
      <c r="J14" t="s">
        <v>84</v>
      </c>
      <c r="K14">
        <v>1.189980925007311</v>
      </c>
      <c r="L14">
        <f t="shared" ref="L14:L18" si="0">K14/K$13</f>
        <v>0.95339492824391736</v>
      </c>
      <c r="N14" t="s">
        <v>1720</v>
      </c>
      <c r="Q14" s="4">
        <v>46002</v>
      </c>
      <c r="R14">
        <v>21.01</v>
      </c>
      <c r="S14">
        <v>87.08</v>
      </c>
    </row>
    <row r="15" spans="1:23" x14ac:dyDescent="0.3">
      <c r="A15" s="2">
        <v>46006</v>
      </c>
      <c r="B15">
        <v>0.96299999999999997</v>
      </c>
      <c r="C15">
        <v>4.2044789888261228E-2</v>
      </c>
      <c r="D15" s="9">
        <v>4.1107428333129511E-2</v>
      </c>
      <c r="E15">
        <v>1.0084587485569021</v>
      </c>
      <c r="F15">
        <v>1.0865969946323431E-2</v>
      </c>
      <c r="G15">
        <v>9.5635339254247463E-3</v>
      </c>
      <c r="H15">
        <f t="shared" ref="H15:H17" si="1">B15/B14-1</f>
        <v>9.840438918810035E-3</v>
      </c>
      <c r="I15">
        <v>-1.510847354398881E-3</v>
      </c>
      <c r="J15" t="s">
        <v>84</v>
      </c>
      <c r="K15">
        <v>1.201245046610496</v>
      </c>
      <c r="L15">
        <f t="shared" si="0"/>
        <v>0.96241957408648282</v>
      </c>
      <c r="N15">
        <v>2.2819612974488101E-2</v>
      </c>
      <c r="Q15" s="4">
        <v>46003</v>
      </c>
      <c r="R15">
        <v>20.399999999999999</v>
      </c>
      <c r="S15">
        <v>81.53</v>
      </c>
    </row>
    <row r="16" spans="1:23" x14ac:dyDescent="0.3">
      <c r="A16" s="2">
        <v>46007</v>
      </c>
      <c r="B16">
        <v>0.94925099999999996</v>
      </c>
      <c r="C16">
        <v>4.1641569351166009E-2</v>
      </c>
      <c r="D16" s="9">
        <v>2.8411412457021321E-2</v>
      </c>
      <c r="E16">
        <v>1.005704046321789</v>
      </c>
      <c r="F16">
        <v>1.0759285874268909E-2</v>
      </c>
      <c r="G16">
        <v>8.9854772703768723E-3</v>
      </c>
      <c r="H16">
        <f t="shared" si="1"/>
        <v>-1.4277258566978257E-2</v>
      </c>
      <c r="I16">
        <v>-2.7315963484419998E-3</v>
      </c>
      <c r="J16" t="s">
        <v>84</v>
      </c>
      <c r="K16">
        <v>1.1839417593349759</v>
      </c>
      <c r="L16">
        <f t="shared" si="0"/>
        <v>0.9485564389859541</v>
      </c>
      <c r="Q16" s="4">
        <v>46006</v>
      </c>
      <c r="R16">
        <v>21.19</v>
      </c>
      <c r="S16">
        <v>79.89</v>
      </c>
    </row>
    <row r="17" spans="1:19" x14ac:dyDescent="0.3">
      <c r="A17" s="2">
        <v>46008</v>
      </c>
      <c r="B17">
        <v>0.94190200000000002</v>
      </c>
      <c r="C17">
        <v>4.2781153501418173E-2</v>
      </c>
      <c r="D17" s="9">
        <v>5.3022882905807478E-2</v>
      </c>
      <c r="E17">
        <v>0.99463769128019375</v>
      </c>
      <c r="F17">
        <v>1.108486039196214E-2</v>
      </c>
      <c r="G17">
        <v>1.376112526926212E-2</v>
      </c>
      <c r="H17">
        <f t="shared" si="1"/>
        <v>-7.741893345384887E-3</v>
      </c>
      <c r="I17">
        <v>-1.100359005422025E-2</v>
      </c>
      <c r="J17" t="s">
        <v>84</v>
      </c>
      <c r="K17">
        <v>1.1740244233124419</v>
      </c>
      <c r="L17">
        <f t="shared" si="0"/>
        <v>0.94061081761768173</v>
      </c>
      <c r="N17" t="s">
        <v>1721</v>
      </c>
      <c r="Q17" s="4">
        <v>46007</v>
      </c>
      <c r="R17">
        <v>21.09</v>
      </c>
      <c r="S17">
        <v>77.91</v>
      </c>
    </row>
    <row r="18" spans="1:19" x14ac:dyDescent="0.3">
      <c r="A18" s="2">
        <v>46009</v>
      </c>
      <c r="B18">
        <v>0.949905</v>
      </c>
      <c r="C18">
        <v>4.2028023169318821E-2</v>
      </c>
      <c r="D18" s="9">
        <v>3.7100919943808867E-2</v>
      </c>
      <c r="E18">
        <v>1.0021484894455079</v>
      </c>
      <c r="F18">
        <v>1.120210202794219E-2</v>
      </c>
      <c r="G18">
        <v>1.38062528447968E-2</v>
      </c>
      <c r="H18">
        <f>B18/B17-1</f>
        <v>8.4966376544481914E-3</v>
      </c>
      <c r="I18">
        <v>7.5512905162959942E-3</v>
      </c>
      <c r="J18" t="s">
        <v>84</v>
      </c>
      <c r="K18">
        <v>1.18438187616026</v>
      </c>
      <c r="L18">
        <f t="shared" si="0"/>
        <v>0.94890905400712189</v>
      </c>
      <c r="N18">
        <v>-6.9657851757154097</v>
      </c>
      <c r="Q18" s="4">
        <v>46008</v>
      </c>
      <c r="R18">
        <v>21.92</v>
      </c>
      <c r="S18">
        <v>73.19</v>
      </c>
    </row>
    <row r="19" spans="1:19" x14ac:dyDescent="0.3">
      <c r="A19" s="17"/>
      <c r="D19" s="9"/>
      <c r="Q19" s="4">
        <v>46009</v>
      </c>
      <c r="R19">
        <v>21.6</v>
      </c>
      <c r="S19">
        <v>75.91</v>
      </c>
    </row>
    <row r="20" spans="1:19" x14ac:dyDescent="0.3">
      <c r="A20" s="17"/>
      <c r="D20" s="9"/>
    </row>
    <row r="21" spans="1:19" x14ac:dyDescent="0.3">
      <c r="A21" s="18" t="s">
        <v>1706</v>
      </c>
      <c r="B21" s="18" t="e">
        <f>LN(#REF!/B2)</f>
        <v>#REF!</v>
      </c>
      <c r="E21" s="18">
        <f>LN(E18/E2)</f>
        <v>2.1461847425555025E-3</v>
      </c>
      <c r="N21" t="s">
        <v>1722</v>
      </c>
    </row>
    <row r="22" spans="1:19" x14ac:dyDescent="0.3">
      <c r="A22" s="18" t="s">
        <v>1713</v>
      </c>
      <c r="C22">
        <f>AVERAGE(C3:C18)</f>
        <v>3.8871155844695283E-2</v>
      </c>
      <c r="D22" s="9">
        <f>AVERAGE(D3:D18)</f>
        <v>4.6223570338095481E-2</v>
      </c>
      <c r="F22">
        <f>AVERAGE(F3:F18)</f>
        <v>1.1682318698261222E-2</v>
      </c>
      <c r="G22">
        <f>AVERAGE(G3:G18)</f>
        <v>8.8849794476401605E-3</v>
      </c>
      <c r="H22">
        <f>AVERAGE(H3:H18)</f>
        <v>1.2345738517180615E-2</v>
      </c>
      <c r="I22">
        <f>AVERAGE(I3:I18)</f>
        <v>1.491832651715272E-4</v>
      </c>
      <c r="N22">
        <v>4.2049767037164898E-2</v>
      </c>
    </row>
    <row r="23" spans="1:19" x14ac:dyDescent="0.3">
      <c r="A23" s="18" t="s">
        <v>1704</v>
      </c>
      <c r="H23">
        <f>_xlfn.STDEV.S(H3:H18)</f>
        <v>3.6096827827831759E-2</v>
      </c>
      <c r="I23">
        <f>_xlfn.STDEV.S(I3:I18)</f>
        <v>5.6577951764844063E-3</v>
      </c>
    </row>
    <row r="24" spans="1:19" x14ac:dyDescent="0.3">
      <c r="A24" s="18" t="s">
        <v>1705</v>
      </c>
      <c r="H24" s="18">
        <f>H22/H23*SQRT(252)</f>
        <v>5.4293558465056817</v>
      </c>
      <c r="I24" s="18">
        <f>I22/I23*SQRT(252)</f>
        <v>0.41857487636558927</v>
      </c>
      <c r="N24" t="s">
        <v>1723</v>
      </c>
    </row>
    <row r="25" spans="1:19" x14ac:dyDescent="0.3">
      <c r="A25" s="18" t="s">
        <v>1702</v>
      </c>
      <c r="C25" s="18">
        <f>H$22/C22</f>
        <v>0.31760667386651503</v>
      </c>
      <c r="D25" s="18">
        <f>H$22/D22</f>
        <v>0.26708751459222063</v>
      </c>
      <c r="F25" s="18">
        <f>I$22/F22</f>
        <v>1.2770004741758278E-2</v>
      </c>
      <c r="G25" s="18">
        <f>I$22/G22</f>
        <v>1.6790501998420502E-2</v>
      </c>
      <c r="N25">
        <v>-0.23813020545514799</v>
      </c>
    </row>
    <row r="26" spans="1:19" x14ac:dyDescent="0.3">
      <c r="A26" s="18"/>
    </row>
    <row r="27" spans="1:19" x14ac:dyDescent="0.3">
      <c r="A27" s="18"/>
    </row>
    <row r="28" spans="1:19" x14ac:dyDescent="0.3">
      <c r="A28" s="18" t="s">
        <v>1707</v>
      </c>
      <c r="B28" s="18">
        <f>LN(B12/B2)</f>
        <v>0.22682862617730895</v>
      </c>
      <c r="E28" s="18">
        <f>LN(E12/E2)</f>
        <v>1.8421292676487573E-2</v>
      </c>
      <c r="N28" t="s">
        <v>1724</v>
      </c>
    </row>
    <row r="29" spans="1:19" x14ac:dyDescent="0.3">
      <c r="A29" s="18" t="s">
        <v>1714</v>
      </c>
      <c r="C29" s="19">
        <f>AVERAGE(C3:C12)</f>
        <v>3.72642494272016E-2</v>
      </c>
      <c r="D29" s="20">
        <f>AVERAGE(D3:D12)</f>
        <v>4.6371925643742075E-2</v>
      </c>
      <c r="F29">
        <f>AVERAGE(F3:F12)</f>
        <v>1.2150644849294389E-2</v>
      </c>
      <c r="G29">
        <f>AVERAGE(G3:G12)</f>
        <v>7.1101659571458763E-3</v>
      </c>
      <c r="H29">
        <f>AVERAGE(H3:H12)</f>
        <v>2.3525215309681411E-2</v>
      </c>
      <c r="I29">
        <f>AVERAGE(I3:I12)</f>
        <v>1.8506864509456934E-3</v>
      </c>
      <c r="N29">
        <v>4.64623903288304E-2</v>
      </c>
    </row>
    <row r="30" spans="1:19" x14ac:dyDescent="0.3">
      <c r="A30" s="18" t="s">
        <v>1708</v>
      </c>
      <c r="H30">
        <f>_xlfn.STDEV.S(H3:H12)</f>
        <v>3.7132428891281349E-2</v>
      </c>
      <c r="I30">
        <f>_xlfn.STDEV.S(I3:I12)</f>
        <v>3.906794898347216E-3</v>
      </c>
    </row>
    <row r="31" spans="1:19" x14ac:dyDescent="0.3">
      <c r="A31" s="18" t="s">
        <v>1709</v>
      </c>
      <c r="H31" s="18">
        <f>H29/H30*SQRT(252)</f>
        <v>10.05727948972614</v>
      </c>
      <c r="I31" s="18">
        <f>I29/I30*SQRT(252)</f>
        <v>7.5199075938649962</v>
      </c>
      <c r="N31" t="s">
        <v>1725</v>
      </c>
    </row>
    <row r="32" spans="1:19" x14ac:dyDescent="0.3">
      <c r="A32" s="18" t="s">
        <v>1703</v>
      </c>
      <c r="C32" s="18">
        <f>H$29/C29</f>
        <v>0.63130790694280903</v>
      </c>
      <c r="D32" s="18">
        <f>H$29/D29</f>
        <v>0.50731590252293424</v>
      </c>
      <c r="F32" s="18">
        <f>I$29/F29</f>
        <v>0.15231178870750767</v>
      </c>
      <c r="G32" s="18">
        <f>I$29/G29</f>
        <v>0.26028737755209663</v>
      </c>
      <c r="N32">
        <v>-0.21551451815185199</v>
      </c>
    </row>
    <row r="33" spans="1:9" x14ac:dyDescent="0.3">
      <c r="A33" s="18"/>
    </row>
    <row r="34" spans="1:9" x14ac:dyDescent="0.3">
      <c r="A34" s="18"/>
    </row>
    <row r="35" spans="1:9" x14ac:dyDescent="0.3">
      <c r="A35" s="18" t="s">
        <v>1710</v>
      </c>
      <c r="B35" s="18" t="e">
        <f>LN(#REF!/#REF!)</f>
        <v>#REF!</v>
      </c>
      <c r="E35" s="18">
        <f>LN(E18/E13)</f>
        <v>-1.8600480298115781E-2</v>
      </c>
    </row>
    <row r="36" spans="1:9" x14ac:dyDescent="0.3">
      <c r="A36" s="18" t="s">
        <v>1715</v>
      </c>
      <c r="C36">
        <f>AVERAGE(C14:C18)</f>
        <v>4.2202220128067694E-2</v>
      </c>
      <c r="D36" s="9">
        <f>AVERAGE(D14:D18)</f>
        <v>4.6565495862852468E-2</v>
      </c>
      <c r="F36">
        <f>AVERAGE(F14:F18)</f>
        <v>1.0972361476649855E-2</v>
      </c>
      <c r="G36">
        <f>AVERAGE(G14:G18)</f>
        <v>1.2156999180513751E-2</v>
      </c>
      <c r="H36">
        <f>AVERAGE(H14:H18)</f>
        <v>-1.001321506782098E-2</v>
      </c>
      <c r="I36">
        <f>AVERAGE(I14:I18)</f>
        <v>-3.6896020812234214E-3</v>
      </c>
    </row>
    <row r="37" spans="1:9" x14ac:dyDescent="0.3">
      <c r="A37" s="18" t="s">
        <v>1711</v>
      </c>
      <c r="H37">
        <f>_xlfn.STDEV.S(H14:H18)</f>
        <v>2.2819712916321382E-2</v>
      </c>
      <c r="I37">
        <f>_xlfn.STDEV.S(I14:I18)</f>
        <v>7.6715741217586531E-3</v>
      </c>
    </row>
    <row r="38" spans="1:9" x14ac:dyDescent="0.3">
      <c r="A38" s="18" t="s">
        <v>1712</v>
      </c>
      <c r="H38" s="18">
        <f>H36/H37*SQRT(252)</f>
        <v>-6.9656819060271733</v>
      </c>
      <c r="I38" s="18">
        <f>I36/I37*SQRT(252)</f>
        <v>-7.6347586991435028</v>
      </c>
    </row>
    <row r="39" spans="1:9" x14ac:dyDescent="0.3">
      <c r="A39" s="18" t="s">
        <v>1701</v>
      </c>
      <c r="C39" s="18">
        <f>H$36/C36</f>
        <v>-0.23726749534585337</v>
      </c>
      <c r="D39" s="18">
        <f>H$36/D36</f>
        <v>-0.21503507870532532</v>
      </c>
      <c r="F39" s="18">
        <f>$I36/F36</f>
        <v>-0.33626326375367943</v>
      </c>
      <c r="G39" s="18">
        <f>$I36/G36</f>
        <v>-0.30349611992550118</v>
      </c>
    </row>
  </sheetData>
  <pageMargins left="0.7" right="0.7" top="0.75" bottom="0.75" header="0.3" footer="0.3"/>
  <pageSetup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2"/>
  <sheetViews>
    <sheetView workbookViewId="0">
      <selection activeCell="I7" sqref="I7"/>
    </sheetView>
  </sheetViews>
  <sheetFormatPr defaultRowHeight="14.4" x14ac:dyDescent="0.3"/>
  <cols>
    <col min="7" max="7" width="18.109375" style="4" bestFit="1" customWidth="1"/>
  </cols>
  <sheetData>
    <row r="1" spans="1:7" x14ac:dyDescent="0.3">
      <c r="A1" s="1" t="s">
        <v>85</v>
      </c>
      <c r="B1" s="1" t="s">
        <v>86</v>
      </c>
      <c r="C1" s="1" t="s">
        <v>87</v>
      </c>
      <c r="D1" s="6" t="s">
        <v>88</v>
      </c>
      <c r="E1" s="1" t="s">
        <v>89</v>
      </c>
      <c r="F1" s="1" t="s">
        <v>90</v>
      </c>
      <c r="G1" s="5" t="s">
        <v>73</v>
      </c>
    </row>
    <row r="2" spans="1:7" x14ac:dyDescent="0.3">
      <c r="A2">
        <v>666.66</v>
      </c>
      <c r="B2">
        <v>674.21799999999996</v>
      </c>
      <c r="C2">
        <v>662.52200000000005</v>
      </c>
      <c r="D2">
        <v>673.03099999999995</v>
      </c>
      <c r="E2">
        <v>81316678</v>
      </c>
      <c r="F2" t="s">
        <v>12</v>
      </c>
      <c r="G2"/>
    </row>
    <row r="3" spans="1:7" x14ac:dyDescent="0.3">
      <c r="A3">
        <v>675.63400000000001</v>
      </c>
      <c r="B3">
        <v>679.69200000000001</v>
      </c>
      <c r="C3">
        <v>674.726</v>
      </c>
      <c r="D3">
        <v>677.678</v>
      </c>
      <c r="E3">
        <v>72091994</v>
      </c>
      <c r="F3" t="s">
        <v>12</v>
      </c>
      <c r="G3"/>
    </row>
    <row r="4" spans="1:7" x14ac:dyDescent="0.3">
      <c r="A4">
        <v>678.85400000000004</v>
      </c>
      <c r="B4">
        <v>681.65599999999995</v>
      </c>
      <c r="C4">
        <v>678.495</v>
      </c>
      <c r="D4">
        <v>681.37699999999995</v>
      </c>
      <c r="E4">
        <v>49357418</v>
      </c>
      <c r="F4" t="s">
        <v>12</v>
      </c>
      <c r="G4"/>
    </row>
    <row r="5" spans="1:7" x14ac:dyDescent="0.3">
      <c r="A5">
        <v>676.81</v>
      </c>
      <c r="B5">
        <v>680.97799999999995</v>
      </c>
      <c r="C5">
        <v>676.74</v>
      </c>
      <c r="D5">
        <v>678.26599999999996</v>
      </c>
      <c r="E5">
        <v>61382043</v>
      </c>
      <c r="F5" t="s">
        <v>12</v>
      </c>
      <c r="G5"/>
    </row>
    <row r="6" spans="1:7" x14ac:dyDescent="0.3">
      <c r="A6">
        <v>679.91099999999994</v>
      </c>
      <c r="B6">
        <v>681.80499999999995</v>
      </c>
      <c r="C6">
        <v>677.32899999999995</v>
      </c>
      <c r="D6">
        <v>679.52200000000005</v>
      </c>
      <c r="E6">
        <v>63139823</v>
      </c>
      <c r="F6" t="s">
        <v>12</v>
      </c>
      <c r="G6"/>
    </row>
    <row r="7" spans="1:7" x14ac:dyDescent="0.3">
      <c r="A7">
        <v>678.56500000000005</v>
      </c>
      <c r="B7">
        <v>682.89200000000005</v>
      </c>
      <c r="C7">
        <v>677.68700000000001</v>
      </c>
      <c r="D7">
        <v>681.875</v>
      </c>
      <c r="E7">
        <v>57407635</v>
      </c>
      <c r="F7" t="s">
        <v>12</v>
      </c>
      <c r="G7"/>
    </row>
    <row r="8" spans="1:7" x14ac:dyDescent="0.3">
      <c r="A8">
        <v>683.28099999999995</v>
      </c>
      <c r="B8">
        <v>683.351</v>
      </c>
      <c r="C8">
        <v>679.33299999999997</v>
      </c>
      <c r="D8">
        <v>682.37400000000002</v>
      </c>
      <c r="E8">
        <v>62153417</v>
      </c>
      <c r="F8" t="s">
        <v>12</v>
      </c>
      <c r="G8"/>
    </row>
    <row r="9" spans="1:7" x14ac:dyDescent="0.3">
      <c r="A9">
        <v>683.45</v>
      </c>
      <c r="B9">
        <v>686.36199999999997</v>
      </c>
      <c r="C9">
        <v>682.56299999999999</v>
      </c>
      <c r="D9">
        <v>683.67</v>
      </c>
      <c r="E9">
        <v>79475152</v>
      </c>
      <c r="F9" t="s">
        <v>12</v>
      </c>
      <c r="G9"/>
    </row>
    <row r="10" spans="1:7" x14ac:dyDescent="0.3">
      <c r="A10">
        <v>684.56700000000001</v>
      </c>
      <c r="B10">
        <v>684.61699999999996</v>
      </c>
      <c r="C10">
        <v>679.56200000000001</v>
      </c>
      <c r="D10">
        <v>681.61599999999999</v>
      </c>
      <c r="E10">
        <v>55394702</v>
      </c>
      <c r="F10" t="s">
        <v>12</v>
      </c>
      <c r="G10"/>
    </row>
    <row r="11" spans="1:7" x14ac:dyDescent="0.3">
      <c r="A11">
        <v>681.13699999999994</v>
      </c>
      <c r="B11">
        <v>683.37099999999998</v>
      </c>
      <c r="C11">
        <v>680.57899999999995</v>
      </c>
      <c r="D11">
        <v>681.02800000000002</v>
      </c>
      <c r="E11">
        <v>58482402</v>
      </c>
      <c r="F11" t="s">
        <v>12</v>
      </c>
      <c r="G11"/>
    </row>
    <row r="12" spans="1:7" x14ac:dyDescent="0.3">
      <c r="A12">
        <v>680.54899999999998</v>
      </c>
      <c r="B12">
        <v>686.94</v>
      </c>
      <c r="C12">
        <v>679.303</v>
      </c>
      <c r="D12">
        <v>685.54399999999998</v>
      </c>
      <c r="E12">
        <v>85924447</v>
      </c>
      <c r="F12" t="s">
        <v>12</v>
      </c>
      <c r="G12"/>
    </row>
    <row r="13" spans="1:7" x14ac:dyDescent="0.3">
      <c r="A13">
        <v>683.12099999999998</v>
      </c>
      <c r="B13">
        <v>687.21900000000005</v>
      </c>
      <c r="C13">
        <v>680.16</v>
      </c>
      <c r="D13">
        <v>687.14</v>
      </c>
      <c r="E13">
        <v>86428338</v>
      </c>
      <c r="F13" t="s">
        <v>12</v>
      </c>
      <c r="G13"/>
    </row>
    <row r="14" spans="1:7" x14ac:dyDescent="0.3">
      <c r="A14">
        <v>686.14200000000005</v>
      </c>
      <c r="B14">
        <v>686.85</v>
      </c>
      <c r="C14">
        <v>677.16899999999998</v>
      </c>
      <c r="D14">
        <v>679.75099999999998</v>
      </c>
      <c r="E14">
        <v>113494678</v>
      </c>
      <c r="F14" t="s">
        <v>12</v>
      </c>
      <c r="G14"/>
    </row>
    <row r="15" spans="1:7" x14ac:dyDescent="0.3">
      <c r="A15">
        <v>683.72</v>
      </c>
      <c r="B15">
        <v>683.74</v>
      </c>
      <c r="C15">
        <v>677.24900000000002</v>
      </c>
      <c r="D15">
        <v>678.72400000000005</v>
      </c>
      <c r="E15">
        <v>91079336</v>
      </c>
      <c r="F15" t="s">
        <v>12</v>
      </c>
      <c r="G15"/>
    </row>
    <row r="16" spans="1:7" x14ac:dyDescent="0.3">
      <c r="A16">
        <v>677.22900000000004</v>
      </c>
      <c r="B16">
        <v>679.07299999999998</v>
      </c>
      <c r="C16">
        <v>672.99099999999999</v>
      </c>
      <c r="D16">
        <v>676.87</v>
      </c>
      <c r="E16">
        <v>122391184</v>
      </c>
      <c r="F16" t="s">
        <v>12</v>
      </c>
      <c r="G16"/>
    </row>
    <row r="17" spans="1:7" x14ac:dyDescent="0.3">
      <c r="A17">
        <v>677.88699999999994</v>
      </c>
      <c r="B17">
        <v>678.43499999999995</v>
      </c>
      <c r="C17">
        <v>669.22299999999996</v>
      </c>
      <c r="D17">
        <v>669.42200000000003</v>
      </c>
      <c r="E17">
        <v>110952088</v>
      </c>
      <c r="F17" t="s">
        <v>12</v>
      </c>
      <c r="G17"/>
    </row>
    <row r="18" spans="1:7" x14ac:dyDescent="0.3">
      <c r="A18">
        <v>675.60400000000004</v>
      </c>
      <c r="B18">
        <v>678.73400000000004</v>
      </c>
      <c r="C18">
        <v>672.91200000000003</v>
      </c>
      <c r="D18">
        <v>674.47699999999998</v>
      </c>
      <c r="E18">
        <v>108971155</v>
      </c>
      <c r="F18" t="s">
        <v>12</v>
      </c>
      <c r="G18"/>
    </row>
    <row r="19" spans="1:7" x14ac:dyDescent="0.3">
      <c r="A19">
        <v>16.989999999999998</v>
      </c>
      <c r="B19">
        <v>17.11</v>
      </c>
      <c r="C19">
        <v>16.78</v>
      </c>
      <c r="D19">
        <v>17.05</v>
      </c>
      <c r="E19">
        <v>4058200</v>
      </c>
      <c r="F19" t="s">
        <v>91</v>
      </c>
      <c r="G19" s="4">
        <v>45986</v>
      </c>
    </row>
    <row r="20" spans="1:7" x14ac:dyDescent="0.3">
      <c r="A20">
        <v>17.309999999999999</v>
      </c>
      <c r="B20">
        <v>17.7</v>
      </c>
      <c r="C20">
        <v>17.239999999999998</v>
      </c>
      <c r="D20">
        <v>17.670000000000002</v>
      </c>
      <c r="E20">
        <v>4712500</v>
      </c>
      <c r="F20" t="s">
        <v>91</v>
      </c>
      <c r="G20" s="4">
        <v>45987</v>
      </c>
    </row>
    <row r="21" spans="1:7" x14ac:dyDescent="0.3">
      <c r="A21">
        <v>18.14</v>
      </c>
      <c r="B21">
        <v>18.7</v>
      </c>
      <c r="C21">
        <v>18.13</v>
      </c>
      <c r="D21">
        <v>18.649999999999999</v>
      </c>
      <c r="E21">
        <v>10225500</v>
      </c>
      <c r="F21" t="s">
        <v>91</v>
      </c>
      <c r="G21" s="4">
        <v>45989</v>
      </c>
    </row>
    <row r="22" spans="1:7" x14ac:dyDescent="0.3">
      <c r="A22">
        <v>19.170000000000002</v>
      </c>
      <c r="B22">
        <v>19.61</v>
      </c>
      <c r="C22">
        <v>18.97</v>
      </c>
      <c r="D22">
        <v>19.309999999999999</v>
      </c>
      <c r="E22">
        <v>17521100</v>
      </c>
      <c r="F22" t="s">
        <v>91</v>
      </c>
      <c r="G22" s="4">
        <v>45992</v>
      </c>
    </row>
    <row r="23" spans="1:7" x14ac:dyDescent="0.3">
      <c r="A23">
        <v>19.41</v>
      </c>
      <c r="B23">
        <v>19.62</v>
      </c>
      <c r="C23">
        <v>19.02</v>
      </c>
      <c r="D23">
        <v>19.61</v>
      </c>
      <c r="E23">
        <v>8208300</v>
      </c>
      <c r="F23" t="s">
        <v>91</v>
      </c>
      <c r="G23" s="4">
        <v>45993</v>
      </c>
    </row>
    <row r="24" spans="1:7" x14ac:dyDescent="0.3">
      <c r="A24">
        <v>19.61</v>
      </c>
      <c r="B24">
        <v>19.73</v>
      </c>
      <c r="C24">
        <v>19.37</v>
      </c>
      <c r="D24">
        <v>19.61</v>
      </c>
      <c r="E24">
        <v>6397500</v>
      </c>
      <c r="F24" t="s">
        <v>91</v>
      </c>
      <c r="G24" s="4">
        <v>45994</v>
      </c>
    </row>
    <row r="25" spans="1:7" x14ac:dyDescent="0.3">
      <c r="A25">
        <v>19.350000000000001</v>
      </c>
      <c r="B25">
        <v>19.37</v>
      </c>
      <c r="C25">
        <v>18.84</v>
      </c>
      <c r="D25">
        <v>19.04</v>
      </c>
      <c r="E25">
        <v>8842600</v>
      </c>
      <c r="F25" t="s">
        <v>91</v>
      </c>
      <c r="G25" s="4">
        <v>45995</v>
      </c>
    </row>
    <row r="26" spans="1:7" x14ac:dyDescent="0.3">
      <c r="A26">
        <v>19.39</v>
      </c>
      <c r="B26">
        <v>19.71</v>
      </c>
      <c r="C26">
        <v>19.260000000000002</v>
      </c>
      <c r="D26">
        <v>19.48</v>
      </c>
      <c r="E26">
        <v>8286900</v>
      </c>
      <c r="F26" t="s">
        <v>91</v>
      </c>
      <c r="G26" s="4">
        <v>45996</v>
      </c>
    </row>
    <row r="27" spans="1:7" x14ac:dyDescent="0.3">
      <c r="A27">
        <v>19.46</v>
      </c>
      <c r="B27">
        <v>19.489999999999998</v>
      </c>
      <c r="C27">
        <v>19.22</v>
      </c>
      <c r="D27">
        <v>19.38</v>
      </c>
      <c r="E27">
        <v>6133200</v>
      </c>
      <c r="F27" t="s">
        <v>91</v>
      </c>
      <c r="G27" s="4">
        <v>45999</v>
      </c>
    </row>
    <row r="28" spans="1:7" x14ac:dyDescent="0.3">
      <c r="A28">
        <v>19.59</v>
      </c>
      <c r="B28">
        <v>20.100000000000001</v>
      </c>
      <c r="C28">
        <v>19.59</v>
      </c>
      <c r="D28">
        <v>20.07</v>
      </c>
      <c r="E28">
        <v>19259000</v>
      </c>
      <c r="F28" t="s">
        <v>91</v>
      </c>
      <c r="G28" s="4">
        <v>46000</v>
      </c>
    </row>
    <row r="29" spans="1:7" x14ac:dyDescent="0.3">
      <c r="A29">
        <v>20.149999999999999</v>
      </c>
      <c r="B29">
        <v>20.58</v>
      </c>
      <c r="C29">
        <v>19.89</v>
      </c>
      <c r="D29">
        <v>20.53</v>
      </c>
      <c r="E29">
        <v>11003100</v>
      </c>
      <c r="F29" t="s">
        <v>91</v>
      </c>
      <c r="G29" s="4">
        <v>46001</v>
      </c>
    </row>
    <row r="30" spans="1:7" x14ac:dyDescent="0.3">
      <c r="A30">
        <v>20.8</v>
      </c>
      <c r="B30">
        <v>21.27</v>
      </c>
      <c r="C30">
        <v>20.69</v>
      </c>
      <c r="D30">
        <v>21.01</v>
      </c>
      <c r="E30">
        <v>12335800</v>
      </c>
      <c r="F30" t="s">
        <v>91</v>
      </c>
      <c r="G30" s="4">
        <v>46002</v>
      </c>
    </row>
    <row r="31" spans="1:7" x14ac:dyDescent="0.3">
      <c r="A31">
        <v>21.4</v>
      </c>
      <c r="B31">
        <v>21.41</v>
      </c>
      <c r="C31">
        <v>20</v>
      </c>
      <c r="D31">
        <v>20.399999999999999</v>
      </c>
      <c r="E31">
        <v>19924300</v>
      </c>
      <c r="F31" t="s">
        <v>91</v>
      </c>
      <c r="G31" s="4">
        <v>46003</v>
      </c>
    </row>
    <row r="32" spans="1:7" x14ac:dyDescent="0.3">
      <c r="A32">
        <v>21.04</v>
      </c>
      <c r="B32">
        <v>21.23</v>
      </c>
      <c r="C32">
        <v>20.72</v>
      </c>
      <c r="D32">
        <v>21.19</v>
      </c>
      <c r="E32">
        <v>8776400</v>
      </c>
      <c r="F32" t="s">
        <v>91</v>
      </c>
      <c r="G32" s="4">
        <v>46006</v>
      </c>
    </row>
    <row r="33" spans="1:7" x14ac:dyDescent="0.3">
      <c r="A33">
        <v>21.03</v>
      </c>
      <c r="B33">
        <v>21.19</v>
      </c>
      <c r="C33">
        <v>20.83</v>
      </c>
      <c r="D33">
        <v>21.09</v>
      </c>
      <c r="E33">
        <v>6021700</v>
      </c>
      <c r="F33" t="s">
        <v>91</v>
      </c>
      <c r="G33" s="4">
        <v>46007</v>
      </c>
    </row>
    <row r="34" spans="1:7" x14ac:dyDescent="0.3">
      <c r="A34">
        <v>21.64</v>
      </c>
      <c r="B34">
        <v>22</v>
      </c>
      <c r="C34">
        <v>21.54</v>
      </c>
      <c r="D34">
        <v>21.92</v>
      </c>
      <c r="E34">
        <v>15250100</v>
      </c>
      <c r="F34" t="s">
        <v>91</v>
      </c>
      <c r="G34" s="4">
        <v>46008</v>
      </c>
    </row>
    <row r="35" spans="1:7" x14ac:dyDescent="0.3">
      <c r="A35">
        <v>21.77</v>
      </c>
      <c r="B35">
        <v>21.86</v>
      </c>
      <c r="C35">
        <v>21.32</v>
      </c>
      <c r="D35">
        <v>21.6</v>
      </c>
      <c r="E35">
        <v>9206400</v>
      </c>
      <c r="F35" t="s">
        <v>91</v>
      </c>
      <c r="G35" s="4">
        <v>46009</v>
      </c>
    </row>
    <row r="36" spans="1:7" x14ac:dyDescent="0.3">
      <c r="A36">
        <v>67.150000000000006</v>
      </c>
      <c r="B36">
        <v>69.09</v>
      </c>
      <c r="C36">
        <v>65.81</v>
      </c>
      <c r="D36">
        <v>68.89</v>
      </c>
      <c r="E36">
        <v>1490200</v>
      </c>
      <c r="F36" t="s">
        <v>92</v>
      </c>
      <c r="G36" s="3">
        <v>45986</v>
      </c>
    </row>
    <row r="37" spans="1:7" x14ac:dyDescent="0.3">
      <c r="A37">
        <v>68.88</v>
      </c>
      <c r="B37">
        <v>69.5</v>
      </c>
      <c r="C37">
        <v>68.12</v>
      </c>
      <c r="D37">
        <v>68.17</v>
      </c>
      <c r="E37">
        <v>1544200</v>
      </c>
      <c r="F37" t="s">
        <v>92</v>
      </c>
      <c r="G37" s="3">
        <v>45987</v>
      </c>
    </row>
    <row r="38" spans="1:7" x14ac:dyDescent="0.3">
      <c r="A38">
        <v>68.83</v>
      </c>
      <c r="B38">
        <v>70.209999999999994</v>
      </c>
      <c r="C38">
        <v>68.42</v>
      </c>
      <c r="D38">
        <v>69.319999999999993</v>
      </c>
      <c r="E38">
        <v>791200</v>
      </c>
      <c r="F38" t="s">
        <v>92</v>
      </c>
      <c r="G38" s="3">
        <v>45989</v>
      </c>
    </row>
    <row r="39" spans="1:7" x14ac:dyDescent="0.3">
      <c r="A39">
        <v>68.58</v>
      </c>
      <c r="B39">
        <v>69.935000000000002</v>
      </c>
      <c r="C39">
        <v>67.481999999999999</v>
      </c>
      <c r="D39">
        <v>68.599999999999994</v>
      </c>
      <c r="E39">
        <v>3201600</v>
      </c>
      <c r="F39" t="s">
        <v>92</v>
      </c>
      <c r="G39" s="3">
        <v>45992</v>
      </c>
    </row>
    <row r="40" spans="1:7" x14ac:dyDescent="0.3">
      <c r="A40">
        <v>69.78</v>
      </c>
      <c r="B40">
        <v>70.819999999999993</v>
      </c>
      <c r="C40">
        <v>69.22</v>
      </c>
      <c r="D40">
        <v>69.400000000000006</v>
      </c>
      <c r="E40">
        <v>2573500</v>
      </c>
      <c r="F40" t="s">
        <v>92</v>
      </c>
      <c r="G40" s="3">
        <v>45993</v>
      </c>
    </row>
    <row r="41" spans="1:7" x14ac:dyDescent="0.3">
      <c r="A41">
        <v>69.11</v>
      </c>
      <c r="B41">
        <v>71.66</v>
      </c>
      <c r="C41">
        <v>68.42</v>
      </c>
      <c r="D41">
        <v>71.41</v>
      </c>
      <c r="E41">
        <v>2623100</v>
      </c>
      <c r="F41" t="s">
        <v>92</v>
      </c>
      <c r="G41" s="3">
        <v>45994</v>
      </c>
    </row>
    <row r="42" spans="1:7" x14ac:dyDescent="0.3">
      <c r="A42">
        <v>71.400000000000006</v>
      </c>
      <c r="B42">
        <v>71.95</v>
      </c>
      <c r="C42">
        <v>69.67</v>
      </c>
      <c r="D42">
        <v>70.430000000000007</v>
      </c>
      <c r="E42">
        <v>8937100</v>
      </c>
      <c r="F42" t="s">
        <v>92</v>
      </c>
      <c r="G42" s="3">
        <v>45995</v>
      </c>
    </row>
    <row r="43" spans="1:7" x14ac:dyDescent="0.3">
      <c r="A43">
        <v>87.04</v>
      </c>
      <c r="B43">
        <v>90.26</v>
      </c>
      <c r="C43">
        <v>84.33</v>
      </c>
      <c r="D43">
        <v>86.27</v>
      </c>
      <c r="E43">
        <v>17138700</v>
      </c>
      <c r="F43" t="s">
        <v>92</v>
      </c>
      <c r="G43" s="3">
        <v>45996</v>
      </c>
    </row>
    <row r="44" spans="1:7" x14ac:dyDescent="0.3">
      <c r="A44">
        <v>85.53</v>
      </c>
      <c r="B44">
        <v>89.72</v>
      </c>
      <c r="C44">
        <v>84.86</v>
      </c>
      <c r="D44">
        <v>89.1</v>
      </c>
      <c r="E44">
        <v>5946000</v>
      </c>
      <c r="F44" t="s">
        <v>92</v>
      </c>
      <c r="G44" s="3">
        <v>45999</v>
      </c>
    </row>
    <row r="45" spans="1:7" x14ac:dyDescent="0.3">
      <c r="A45">
        <v>88.49</v>
      </c>
      <c r="B45">
        <v>92.57</v>
      </c>
      <c r="C45">
        <v>88.07</v>
      </c>
      <c r="D45">
        <v>91.31</v>
      </c>
      <c r="E45">
        <v>5035200</v>
      </c>
      <c r="F45" t="s">
        <v>92</v>
      </c>
      <c r="G45" s="3">
        <v>46000</v>
      </c>
    </row>
    <row r="46" spans="1:7" x14ac:dyDescent="0.3">
      <c r="A46">
        <v>92.06</v>
      </c>
      <c r="B46">
        <v>92.766000000000005</v>
      </c>
      <c r="C46">
        <v>89.531999999999996</v>
      </c>
      <c r="D46">
        <v>89.91</v>
      </c>
      <c r="E46">
        <v>2902700</v>
      </c>
      <c r="F46" t="s">
        <v>92</v>
      </c>
      <c r="G46" s="3">
        <v>46001</v>
      </c>
    </row>
    <row r="47" spans="1:7" x14ac:dyDescent="0.3">
      <c r="A47">
        <v>88.78</v>
      </c>
      <c r="B47">
        <v>89.599000000000004</v>
      </c>
      <c r="C47">
        <v>85.5</v>
      </c>
      <c r="D47">
        <v>87.08</v>
      </c>
      <c r="E47">
        <v>2893900</v>
      </c>
      <c r="F47" t="s">
        <v>92</v>
      </c>
      <c r="G47" s="3">
        <v>46002</v>
      </c>
    </row>
    <row r="48" spans="1:7" x14ac:dyDescent="0.3">
      <c r="A48">
        <v>85.99</v>
      </c>
      <c r="B48">
        <v>86.33</v>
      </c>
      <c r="C48">
        <v>80.778000000000006</v>
      </c>
      <c r="D48">
        <v>81.53</v>
      </c>
      <c r="E48">
        <v>4418900</v>
      </c>
      <c r="F48" t="s">
        <v>92</v>
      </c>
      <c r="G48" s="3">
        <v>46003</v>
      </c>
    </row>
    <row r="49" spans="1:7" x14ac:dyDescent="0.3">
      <c r="A49">
        <v>82.11</v>
      </c>
      <c r="B49">
        <v>83.25</v>
      </c>
      <c r="C49">
        <v>79.8</v>
      </c>
      <c r="D49">
        <v>79.89</v>
      </c>
      <c r="E49">
        <v>3852500</v>
      </c>
      <c r="F49" t="s">
        <v>92</v>
      </c>
      <c r="G49" s="3">
        <v>46006</v>
      </c>
    </row>
    <row r="50" spans="1:7" x14ac:dyDescent="0.3">
      <c r="A50">
        <v>78.180000000000007</v>
      </c>
      <c r="B50">
        <v>79.5</v>
      </c>
      <c r="C50">
        <v>76.709999999999994</v>
      </c>
      <c r="D50">
        <v>77.91</v>
      </c>
      <c r="E50">
        <v>4448700</v>
      </c>
      <c r="F50" t="s">
        <v>92</v>
      </c>
      <c r="G50" s="3">
        <v>46007</v>
      </c>
    </row>
    <row r="51" spans="1:7" x14ac:dyDescent="0.3">
      <c r="A51">
        <v>77.489999999999995</v>
      </c>
      <c r="B51">
        <v>77.84</v>
      </c>
      <c r="C51">
        <v>73.010000000000005</v>
      </c>
      <c r="D51">
        <v>73.19</v>
      </c>
      <c r="E51">
        <v>5746100</v>
      </c>
      <c r="F51" t="s">
        <v>92</v>
      </c>
      <c r="G51" s="3">
        <v>46008</v>
      </c>
    </row>
    <row r="52" spans="1:7" x14ac:dyDescent="0.3">
      <c r="A52">
        <v>75.510000000000005</v>
      </c>
      <c r="B52">
        <v>76.819999999999993</v>
      </c>
      <c r="C52">
        <v>74.42</v>
      </c>
      <c r="D52">
        <v>75.91</v>
      </c>
      <c r="E52">
        <v>5273200</v>
      </c>
      <c r="F52" t="s">
        <v>92</v>
      </c>
      <c r="G52" s="3">
        <v>46009</v>
      </c>
    </row>
  </sheetData>
  <pageMargins left="0.75" right="0.75" top="1" bottom="1" header="0.5" footer="0.5"/>
  <pageSetup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Y30"/>
  <sheetViews>
    <sheetView tabSelected="1" workbookViewId="0">
      <pane xSplit="4" ySplit="4" topLeftCell="K5" activePane="bottomRight" state="frozen"/>
      <selection pane="topRight" activeCell="E1" sqref="E1"/>
      <selection pane="bottomLeft" activeCell="A5" sqref="A5"/>
      <selection pane="bottomRight" activeCell="S7" sqref="S7"/>
    </sheetView>
  </sheetViews>
  <sheetFormatPr defaultRowHeight="14.4" x14ac:dyDescent="0.3"/>
  <cols>
    <col min="1" max="1" width="18.109375" bestFit="1" customWidth="1"/>
    <col min="5" max="8" width="18.77734375" bestFit="1" customWidth="1"/>
    <col min="9" max="10" width="17.44140625" bestFit="1" customWidth="1"/>
    <col min="11" max="11" width="17.44140625" style="8" bestFit="1" customWidth="1"/>
    <col min="12" max="12" width="12.6640625" customWidth="1"/>
    <col min="13" max="14" width="9" customWidth="1"/>
    <col min="15" max="19" width="12" bestFit="1" customWidth="1"/>
    <col min="20" max="20" width="12" customWidth="1"/>
    <col min="21" max="23" width="12" bestFit="1" customWidth="1"/>
    <col min="24" max="24" width="15.77734375" customWidth="1"/>
    <col min="25" max="25" width="12" bestFit="1" customWidth="1"/>
  </cols>
  <sheetData>
    <row r="1" spans="1:25" x14ac:dyDescent="0.3">
      <c r="A1" s="1" t="s">
        <v>73</v>
      </c>
      <c r="B1" s="6" t="s">
        <v>91</v>
      </c>
      <c r="C1" s="6" t="s">
        <v>92</v>
      </c>
      <c r="D1" s="6" t="s">
        <v>12</v>
      </c>
      <c r="E1" s="8" t="s">
        <v>1685</v>
      </c>
      <c r="F1" s="8" t="s">
        <v>1686</v>
      </c>
      <c r="G1" s="21" t="s">
        <v>1687</v>
      </c>
      <c r="H1" s="21" t="s">
        <v>1688</v>
      </c>
      <c r="I1" s="21" t="s">
        <v>1754</v>
      </c>
      <c r="J1" s="21" t="s">
        <v>1755</v>
      </c>
      <c r="K1" s="21" t="s">
        <v>1689</v>
      </c>
      <c r="L1" s="22" t="s">
        <v>1690</v>
      </c>
      <c r="M1" s="8" t="s">
        <v>1697</v>
      </c>
      <c r="N1" s="8" t="s">
        <v>1698</v>
      </c>
      <c r="O1" s="45" t="s">
        <v>1688</v>
      </c>
      <c r="P1" s="46" t="s">
        <v>1697</v>
      </c>
      <c r="Q1" s="47" t="s">
        <v>1698</v>
      </c>
      <c r="R1" s="8" t="s">
        <v>1691</v>
      </c>
      <c r="S1" s="8" t="s">
        <v>1692</v>
      </c>
      <c r="T1" s="21" t="s">
        <v>1699</v>
      </c>
      <c r="U1" s="21" t="s">
        <v>1693</v>
      </c>
      <c r="V1" s="8" t="s">
        <v>1694</v>
      </c>
      <c r="W1" s="8" t="s">
        <v>1695</v>
      </c>
      <c r="X1" s="21" t="s">
        <v>1700</v>
      </c>
      <c r="Y1" s="21" t="s">
        <v>1696</v>
      </c>
    </row>
    <row r="2" spans="1:25" x14ac:dyDescent="0.3">
      <c r="A2" s="2">
        <v>45986</v>
      </c>
      <c r="B2">
        <v>17.05</v>
      </c>
      <c r="C2">
        <v>68.89</v>
      </c>
      <c r="D2">
        <v>673.03099999999995</v>
      </c>
      <c r="E2" s="10">
        <f>B2/B$2</f>
        <v>1</v>
      </c>
      <c r="F2" s="10">
        <f t="shared" ref="F2:G2" si="0">C2/C$2</f>
        <v>1</v>
      </c>
      <c r="G2" s="10">
        <f t="shared" si="0"/>
        <v>1</v>
      </c>
      <c r="H2" s="10">
        <f>AVERAGE(E2:F2)</f>
        <v>1</v>
      </c>
      <c r="I2" s="10"/>
      <c r="J2" s="10"/>
      <c r="K2"/>
      <c r="M2">
        <f>E2/SUM($E2:$F2)</f>
        <v>0.5</v>
      </c>
      <c r="N2">
        <f>F2/SUM($E2:$F2)</f>
        <v>0.5</v>
      </c>
      <c r="O2" s="48">
        <f>SUMPRODUCT($E2:$F2,M$2:N$2)</f>
        <v>1</v>
      </c>
      <c r="P2" s="49">
        <f>E2*$M$2/$O2</f>
        <v>0.5</v>
      </c>
      <c r="Q2" s="50">
        <f>F2*$M$2/$O2</f>
        <v>0.5</v>
      </c>
      <c r="R2">
        <v>2.913032716915433E-2</v>
      </c>
      <c r="S2">
        <v>4.8618632721300403E-2</v>
      </c>
      <c r="T2">
        <f t="shared" ref="T2:T18" si="1">SUMPRODUCT($M2:$N2,R2:S2)</f>
        <v>3.8874479945227365E-2</v>
      </c>
      <c r="U2">
        <v>1.4713565524374811E-2</v>
      </c>
      <c r="V2">
        <v>1.935483870967732E-2</v>
      </c>
      <c r="W2">
        <v>4.7612135288140532E-2</v>
      </c>
      <c r="X2" s="9">
        <f t="shared" ref="X2:X18" si="2">SUMPRODUCT($M2:$N2,V2:W2)</f>
        <v>3.3483486998908928E-2</v>
      </c>
      <c r="Y2">
        <v>1.7378099968649158E-2</v>
      </c>
    </row>
    <row r="3" spans="1:25" x14ac:dyDescent="0.3">
      <c r="A3" s="2">
        <v>45987</v>
      </c>
      <c r="B3">
        <v>17.670000000000002</v>
      </c>
      <c r="C3">
        <v>68.17</v>
      </c>
      <c r="D3">
        <v>677.678</v>
      </c>
      <c r="E3" s="10">
        <f t="shared" ref="E3:E18" si="3">B3/B$2</f>
        <v>1.0363636363636364</v>
      </c>
      <c r="F3" s="10">
        <f t="shared" ref="F3:F18" si="4">C3/C$2</f>
        <v>0.98954855566845701</v>
      </c>
      <c r="G3" s="10">
        <f t="shared" ref="G3:G18" si="5">D3/D$2</f>
        <v>1.0069045853757108</v>
      </c>
      <c r="H3" s="10">
        <f>AVERAGE(E3:F3)</f>
        <v>1.0129560960160466</v>
      </c>
      <c r="I3" s="10">
        <f>E3/E2-1</f>
        <v>3.6363636363636376E-2</v>
      </c>
      <c r="J3" s="10">
        <f>F3/F2-1</f>
        <v>-1.0451444331542992E-2</v>
      </c>
      <c r="K3">
        <f>H3/H2-1</f>
        <v>1.2956096016046637E-2</v>
      </c>
      <c r="L3">
        <f t="shared" ref="L3:L13" si="6">G3/G2-1</f>
        <v>6.9045853757108144E-3</v>
      </c>
      <c r="M3">
        <f>E3/SUM($E3:$F3)</f>
        <v>0.5115540744755136</v>
      </c>
      <c r="N3">
        <f>F3/SUM($E3:$F3)</f>
        <v>0.48844592552448651</v>
      </c>
      <c r="O3" s="48">
        <f>SUMPRODUCT($E3:$F3,M$2:N$2)</f>
        <v>1.0129560960160466</v>
      </c>
      <c r="P3" s="49">
        <f>E3*$M$2/$O3</f>
        <v>0.5115540744755136</v>
      </c>
      <c r="Q3" s="50">
        <f>F3*$M$2/$O3</f>
        <v>0.48844592552448651</v>
      </c>
      <c r="R3">
        <v>2.8728017693601161E-2</v>
      </c>
      <c r="S3">
        <v>4.7068661231600618E-2</v>
      </c>
      <c r="T3">
        <f t="shared" si="1"/>
        <v>3.7686430301234003E-2</v>
      </c>
      <c r="U3">
        <v>1.427099114704514E-2</v>
      </c>
      <c r="V3">
        <v>3.678551216751548E-2</v>
      </c>
      <c r="W3">
        <v>2.0243508874871578E-2</v>
      </c>
      <c r="X3" s="9">
        <f t="shared" si="2"/>
        <v>2.8705638059210926E-2</v>
      </c>
      <c r="Y3">
        <v>9.8291518980991831E-3</v>
      </c>
    </row>
    <row r="4" spans="1:25" x14ac:dyDescent="0.3">
      <c r="A4" s="2">
        <v>45989</v>
      </c>
      <c r="B4">
        <v>18.649999999999999</v>
      </c>
      <c r="C4">
        <v>69.319999999999993</v>
      </c>
      <c r="D4">
        <v>681.37699999999995</v>
      </c>
      <c r="E4" s="10">
        <f t="shared" si="3"/>
        <v>1.0938416422287389</v>
      </c>
      <c r="F4" s="10">
        <f t="shared" si="4"/>
        <v>1.0062418348091158</v>
      </c>
      <c r="G4" s="10">
        <f t="shared" si="5"/>
        <v>1.0124006175049887</v>
      </c>
      <c r="H4" s="10">
        <f>AVERAGE(E4:F4)</f>
        <v>1.0500417385189273</v>
      </c>
      <c r="I4" s="10">
        <f t="shared" ref="I4:I18" si="7">E4/E3-1</f>
        <v>5.546123372948486E-2</v>
      </c>
      <c r="J4" s="10">
        <f t="shared" ref="J4:J18" si="8">F4/F3-1</f>
        <v>1.6869590729059469E-2</v>
      </c>
      <c r="K4">
        <f t="shared" ref="K4:K13" si="9">H4/H3-1</f>
        <v>3.6611302946631508E-2</v>
      </c>
      <c r="L4">
        <f t="shared" si="6"/>
        <v>5.458344523505243E-3</v>
      </c>
      <c r="M4">
        <f t="shared" ref="M4:M18" si="10">E4/SUM($E4:$F4)</f>
        <v>0.52085626794778217</v>
      </c>
      <c r="N4">
        <f t="shared" ref="N4:N18" si="11">F4/SUM($E4:$F4)</f>
        <v>0.47914373205221783</v>
      </c>
      <c r="O4" s="48">
        <f t="shared" ref="O4:O18" si="12">SUMPRODUCT($E4:$F4,M$2:N$2)</f>
        <v>1.0500417385189273</v>
      </c>
      <c r="P4" s="49">
        <f t="shared" ref="P4:P17" si="13">E4*$M$2/$O4</f>
        <v>0.52085626794778217</v>
      </c>
      <c r="Q4" s="50">
        <f t="shared" ref="Q4:Q17" si="14">F4*$M$2/$O4</f>
        <v>0.47914373205221783</v>
      </c>
      <c r="R4">
        <v>2.9219122728445499E-2</v>
      </c>
      <c r="S4">
        <v>4.5083585720526731E-2</v>
      </c>
      <c r="T4">
        <f t="shared" si="1"/>
        <v>3.6820480733475595E-2</v>
      </c>
      <c r="U4">
        <v>1.3596708010932729E-2</v>
      </c>
      <c r="V4">
        <v>5.5227882037533392E-2</v>
      </c>
      <c r="W4">
        <v>2.9428736295441321E-2</v>
      </c>
      <c r="X4" s="9">
        <f t="shared" si="2"/>
        <v>4.2866383062908311E-2</v>
      </c>
      <c r="Y4">
        <v>5.8381776901773206E-3</v>
      </c>
    </row>
    <row r="5" spans="1:25" x14ac:dyDescent="0.3">
      <c r="A5" s="2">
        <v>45992</v>
      </c>
      <c r="B5">
        <v>19.309999999999999</v>
      </c>
      <c r="C5">
        <v>68.599999999999994</v>
      </c>
      <c r="D5">
        <v>678.26599999999996</v>
      </c>
      <c r="E5" s="10">
        <f t="shared" si="3"/>
        <v>1.1325513196480936</v>
      </c>
      <c r="F5" s="10">
        <f t="shared" si="4"/>
        <v>0.9957903904775729</v>
      </c>
      <c r="G5" s="10">
        <f t="shared" si="5"/>
        <v>1.0077782449842578</v>
      </c>
      <c r="H5" s="10">
        <f t="shared" ref="H5:H18" si="15">AVERAGE(E5:F5)</f>
        <v>1.0641708550628333</v>
      </c>
      <c r="I5" s="10">
        <f t="shared" si="7"/>
        <v>3.5388739946380587E-2</v>
      </c>
      <c r="J5" s="10">
        <f t="shared" si="8"/>
        <v>-1.0386612810155627E-2</v>
      </c>
      <c r="K5">
        <f t="shared" si="9"/>
        <v>1.3455766590606988E-2</v>
      </c>
      <c r="L5">
        <f t="shared" si="6"/>
        <v>-4.5657543474464379E-3</v>
      </c>
      <c r="M5">
        <f t="shared" si="10"/>
        <v>0.53212851783148252</v>
      </c>
      <c r="N5">
        <f t="shared" si="11"/>
        <v>0.46787148216851754</v>
      </c>
      <c r="O5" s="48">
        <f t="shared" si="12"/>
        <v>1.0641708550628333</v>
      </c>
      <c r="P5" s="49">
        <f t="shared" si="13"/>
        <v>0.53212851783148252</v>
      </c>
      <c r="Q5" s="50">
        <f t="shared" si="14"/>
        <v>0.46787148216851754</v>
      </c>
      <c r="R5">
        <v>2.9755775340355159E-2</v>
      </c>
      <c r="S5">
        <v>4.4856855589243932E-2</v>
      </c>
      <c r="T5">
        <f t="shared" si="1"/>
        <v>3.6821140138748473E-2</v>
      </c>
      <c r="U5">
        <v>1.317174904059437E-2</v>
      </c>
      <c r="V5">
        <v>4.9715173485240863E-2</v>
      </c>
      <c r="W5">
        <v>3.5758017492711423E-2</v>
      </c>
      <c r="X5" s="9">
        <f t="shared" si="2"/>
        <v>4.3185018224158912E-2</v>
      </c>
      <c r="Y5">
        <v>6.8365508517306542E-3</v>
      </c>
    </row>
    <row r="6" spans="1:25" x14ac:dyDescent="0.3">
      <c r="A6" s="2">
        <v>45993</v>
      </c>
      <c r="B6">
        <v>19.61</v>
      </c>
      <c r="C6">
        <v>69.400000000000006</v>
      </c>
      <c r="D6">
        <v>679.52200000000005</v>
      </c>
      <c r="E6" s="10">
        <f t="shared" si="3"/>
        <v>1.1501466275659824</v>
      </c>
      <c r="F6" s="10">
        <f t="shared" si="4"/>
        <v>1.0074031064015097</v>
      </c>
      <c r="G6" s="10">
        <f t="shared" si="5"/>
        <v>1.0096444294542155</v>
      </c>
      <c r="H6" s="10">
        <f t="shared" si="15"/>
        <v>1.078774866983746</v>
      </c>
      <c r="I6" s="10">
        <f t="shared" si="7"/>
        <v>1.5535991714137998E-2</v>
      </c>
      <c r="J6" s="10">
        <f t="shared" si="8"/>
        <v>1.1661807580174877E-2</v>
      </c>
      <c r="K6">
        <f t="shared" si="9"/>
        <v>1.3723371441186849E-2</v>
      </c>
      <c r="L6">
        <f t="shared" si="6"/>
        <v>1.8517808647346978E-3</v>
      </c>
      <c r="M6">
        <f t="shared" si="10"/>
        <v>0.53308000712965797</v>
      </c>
      <c r="N6">
        <f t="shared" si="11"/>
        <v>0.46691999287034197</v>
      </c>
      <c r="O6" s="48">
        <f t="shared" si="12"/>
        <v>1.078774866983746</v>
      </c>
      <c r="P6" s="49">
        <f t="shared" si="13"/>
        <v>0.53308000712965797</v>
      </c>
      <c r="Q6" s="50">
        <f t="shared" si="14"/>
        <v>0.46691999287034197</v>
      </c>
      <c r="R6">
        <v>2.9393138645331669E-2</v>
      </c>
      <c r="S6">
        <v>4.3457537890580211E-2</v>
      </c>
      <c r="T6">
        <f t="shared" si="1"/>
        <v>3.5960087840648761E-2</v>
      </c>
      <c r="U6">
        <v>1.2678801522244539E-2</v>
      </c>
      <c r="V6">
        <v>3.0596634370219349E-2</v>
      </c>
      <c r="W6">
        <v>3.1988472622478357E-2</v>
      </c>
      <c r="X6" s="9">
        <f t="shared" si="2"/>
        <v>3.1246511477040793E-2</v>
      </c>
      <c r="Y6">
        <v>6.5869832028985064E-3</v>
      </c>
    </row>
    <row r="7" spans="1:25" x14ac:dyDescent="0.3">
      <c r="A7" s="2">
        <v>45994</v>
      </c>
      <c r="B7">
        <v>19.61</v>
      </c>
      <c r="C7">
        <v>71.41</v>
      </c>
      <c r="D7">
        <v>681.875</v>
      </c>
      <c r="E7" s="10">
        <f t="shared" si="3"/>
        <v>1.1501466275659824</v>
      </c>
      <c r="F7" s="10">
        <f t="shared" si="4"/>
        <v>1.0365800551604005</v>
      </c>
      <c r="G7" s="10">
        <f t="shared" si="5"/>
        <v>1.0131405537040643</v>
      </c>
      <c r="H7" s="10">
        <f t="shared" si="15"/>
        <v>1.0933633413631916</v>
      </c>
      <c r="I7" s="10">
        <f t="shared" si="7"/>
        <v>0</v>
      </c>
      <c r="J7" s="10">
        <f t="shared" si="8"/>
        <v>2.8962536023054541E-2</v>
      </c>
      <c r="K7">
        <f t="shared" si="9"/>
        <v>1.3523187113391844E-2</v>
      </c>
      <c r="L7">
        <f t="shared" si="6"/>
        <v>3.4627282118901981E-3</v>
      </c>
      <c r="M7">
        <f t="shared" si="10"/>
        <v>0.5259672535444595</v>
      </c>
      <c r="N7">
        <f t="shared" si="11"/>
        <v>0.47403274645554039</v>
      </c>
      <c r="O7" s="48">
        <f t="shared" si="12"/>
        <v>1.0933633413631916</v>
      </c>
      <c r="P7" s="49">
        <f t="shared" si="13"/>
        <v>0.5259672535444595</v>
      </c>
      <c r="Q7" s="50">
        <f t="shared" si="14"/>
        <v>0.47403274645554039</v>
      </c>
      <c r="R7">
        <v>2.8604913072245941E-2</v>
      </c>
      <c r="S7">
        <v>4.2458429876649391E-2</v>
      </c>
      <c r="T7">
        <f t="shared" si="1"/>
        <v>3.5171933691105287E-2</v>
      </c>
      <c r="U7">
        <v>1.2277786500875481E-2</v>
      </c>
      <c r="V7">
        <v>1.835798062213154E-2</v>
      </c>
      <c r="W7">
        <v>4.5371796667133382E-2</v>
      </c>
      <c r="X7" s="9">
        <f t="shared" si="2"/>
        <v>3.1163414034188507E-2</v>
      </c>
      <c r="Y7">
        <v>7.6333638863428652E-3</v>
      </c>
    </row>
    <row r="8" spans="1:25" x14ac:dyDescent="0.3">
      <c r="A8" s="2">
        <v>45995</v>
      </c>
      <c r="B8">
        <v>19.04</v>
      </c>
      <c r="C8">
        <v>70.430000000000007</v>
      </c>
      <c r="D8">
        <v>682.37400000000002</v>
      </c>
      <c r="E8" s="10">
        <f t="shared" si="3"/>
        <v>1.1167155425219941</v>
      </c>
      <c r="F8" s="10">
        <f t="shared" si="4"/>
        <v>1.0223544781535783</v>
      </c>
      <c r="G8" s="10">
        <f t="shared" si="5"/>
        <v>1.0138819757188007</v>
      </c>
      <c r="H8" s="10">
        <f t="shared" si="15"/>
        <v>1.0695350103377863</v>
      </c>
      <c r="I8" s="10">
        <f t="shared" si="7"/>
        <v>-2.9066802651708357E-2</v>
      </c>
      <c r="J8" s="10">
        <f t="shared" si="8"/>
        <v>-1.3723568127713026E-2</v>
      </c>
      <c r="K8">
        <f t="shared" si="9"/>
        <v>-2.1793607050787367E-2</v>
      </c>
      <c r="L8">
        <f t="shared" si="6"/>
        <v>7.3180568285979852E-4</v>
      </c>
      <c r="M8">
        <f t="shared" si="10"/>
        <v>0.52205656277175394</v>
      </c>
      <c r="N8">
        <f t="shared" si="11"/>
        <v>0.47794343722824595</v>
      </c>
      <c r="O8" s="48">
        <f t="shared" si="12"/>
        <v>1.0695350103377863</v>
      </c>
      <c r="P8" s="49">
        <f t="shared" si="13"/>
        <v>0.52205656277175394</v>
      </c>
      <c r="Q8" s="50">
        <f t="shared" si="14"/>
        <v>0.47794343722824595</v>
      </c>
      <c r="R8">
        <v>3.0245537550673988E-2</v>
      </c>
      <c r="S8">
        <v>4.2286600887801389E-2</v>
      </c>
      <c r="T8">
        <f t="shared" si="1"/>
        <v>3.6000484749903666E-2</v>
      </c>
      <c r="U8">
        <v>1.181305514840188E-2</v>
      </c>
      <c r="V8">
        <v>4.0441176470588223E-2</v>
      </c>
      <c r="W8">
        <v>3.2372568507738203E-2</v>
      </c>
      <c r="X8" s="9">
        <f t="shared" si="2"/>
        <v>3.6584838247176489E-2</v>
      </c>
      <c r="Y8">
        <v>5.8882665517737036E-3</v>
      </c>
    </row>
    <row r="9" spans="1:25" x14ac:dyDescent="0.3">
      <c r="A9" s="2">
        <v>45996</v>
      </c>
      <c r="B9">
        <v>19.48</v>
      </c>
      <c r="C9">
        <v>86.27</v>
      </c>
      <c r="D9">
        <v>683.67</v>
      </c>
      <c r="E9" s="10">
        <f t="shared" si="3"/>
        <v>1.1425219941348974</v>
      </c>
      <c r="F9" s="10">
        <f t="shared" si="4"/>
        <v>1.252286253447525</v>
      </c>
      <c r="G9" s="10">
        <f t="shared" si="5"/>
        <v>1.0158075928151897</v>
      </c>
      <c r="H9" s="10">
        <f t="shared" si="15"/>
        <v>1.1974041237912112</v>
      </c>
      <c r="I9" s="10">
        <f t="shared" si="7"/>
        <v>2.3109243697479132E-2</v>
      </c>
      <c r="J9" s="10">
        <f t="shared" si="8"/>
        <v>0.22490416015902293</v>
      </c>
      <c r="K9">
        <f t="shared" si="9"/>
        <v>0.11955579968629593</v>
      </c>
      <c r="L9">
        <f t="shared" si="6"/>
        <v>1.899251729989393E-3</v>
      </c>
      <c r="M9">
        <f t="shared" si="10"/>
        <v>0.47708287095147695</v>
      </c>
      <c r="N9">
        <f t="shared" si="11"/>
        <v>0.52291712904852305</v>
      </c>
      <c r="O9" s="48">
        <f t="shared" si="12"/>
        <v>1.1974041237912112</v>
      </c>
      <c r="P9" s="49">
        <f t="shared" si="13"/>
        <v>0.47708287095147695</v>
      </c>
      <c r="Q9" s="50">
        <f t="shared" si="14"/>
        <v>0.52291712904852305</v>
      </c>
      <c r="R9">
        <v>2.9907507533524589E-2</v>
      </c>
      <c r="S9">
        <v>4.8475044219031677E-2</v>
      </c>
      <c r="T9">
        <f t="shared" si="1"/>
        <v>3.9616790510613085E-2</v>
      </c>
      <c r="U9">
        <v>1.136513042214002E-2</v>
      </c>
      <c r="V9">
        <v>3.4394250513347109E-2</v>
      </c>
      <c r="W9">
        <v>0.22985974266836681</v>
      </c>
      <c r="X9" s="9">
        <f t="shared" si="2"/>
        <v>0.13660650449910661</v>
      </c>
      <c r="Y9">
        <v>5.8332236312840157E-3</v>
      </c>
    </row>
    <row r="10" spans="1:25" x14ac:dyDescent="0.3">
      <c r="A10" s="2">
        <v>45999</v>
      </c>
      <c r="B10">
        <v>19.38</v>
      </c>
      <c r="C10">
        <v>89.1</v>
      </c>
      <c r="D10">
        <v>681.61599999999999</v>
      </c>
      <c r="E10" s="10">
        <f t="shared" si="3"/>
        <v>1.136656891495601</v>
      </c>
      <c r="F10" s="10">
        <f t="shared" si="4"/>
        <v>1.293366236028451</v>
      </c>
      <c r="G10" s="10">
        <f t="shared" si="5"/>
        <v>1.0127557274479184</v>
      </c>
      <c r="H10" s="10">
        <f t="shared" si="15"/>
        <v>1.215011563762026</v>
      </c>
      <c r="I10" s="10">
        <f t="shared" si="7"/>
        <v>-5.1334702258728493E-3</v>
      </c>
      <c r="J10" s="10">
        <f t="shared" si="8"/>
        <v>3.2803987481163643E-2</v>
      </c>
      <c r="K10">
        <f t="shared" si="9"/>
        <v>1.4704676241690473E-2</v>
      </c>
      <c r="L10">
        <f t="shared" si="6"/>
        <v>-3.0043734550294632E-3</v>
      </c>
      <c r="M10">
        <f t="shared" si="10"/>
        <v>0.46775558578890541</v>
      </c>
      <c r="N10">
        <f t="shared" si="11"/>
        <v>0.53224441421109459</v>
      </c>
      <c r="O10" s="48">
        <f t="shared" si="12"/>
        <v>1.215011563762026</v>
      </c>
      <c r="P10" s="49">
        <f t="shared" si="13"/>
        <v>0.46775558578890541</v>
      </c>
      <c r="Q10" s="50">
        <f t="shared" si="14"/>
        <v>0.53224441421109459</v>
      </c>
      <c r="R10">
        <v>2.890969043118741E-2</v>
      </c>
      <c r="S10">
        <v>4.747895369735948E-2</v>
      </c>
      <c r="T10">
        <f t="shared" si="1"/>
        <v>3.8793077080622761E-2</v>
      </c>
      <c r="U10">
        <v>1.11148656076314E-2</v>
      </c>
      <c r="V10">
        <v>1.393188854489162E-2</v>
      </c>
      <c r="W10">
        <v>5.4545454545454543E-2</v>
      </c>
      <c r="X10" s="9">
        <f t="shared" si="2"/>
        <v>3.5548232189884864E-2</v>
      </c>
      <c r="Y10">
        <v>7.4161991502546152E-3</v>
      </c>
    </row>
    <row r="11" spans="1:25" x14ac:dyDescent="0.3">
      <c r="A11" s="2">
        <v>46000</v>
      </c>
      <c r="B11">
        <v>20.07</v>
      </c>
      <c r="C11">
        <v>91.31</v>
      </c>
      <c r="D11">
        <v>681.02800000000002</v>
      </c>
      <c r="E11" s="10">
        <f t="shared" si="3"/>
        <v>1.1771260997067448</v>
      </c>
      <c r="F11" s="10">
        <f t="shared" si="4"/>
        <v>1.3254463637683263</v>
      </c>
      <c r="G11" s="10">
        <f t="shared" si="5"/>
        <v>1.0118820678393716</v>
      </c>
      <c r="H11" s="10">
        <f t="shared" si="15"/>
        <v>1.2512862317375355</v>
      </c>
      <c r="I11" s="10">
        <f t="shared" si="7"/>
        <v>3.5603715170278605E-2</v>
      </c>
      <c r="J11" s="10">
        <f t="shared" si="8"/>
        <v>2.4803591470258235E-2</v>
      </c>
      <c r="K11">
        <f t="shared" si="9"/>
        <v>2.9855409658154031E-2</v>
      </c>
      <c r="L11">
        <f t="shared" si="6"/>
        <v>-8.6265580620148441E-4</v>
      </c>
      <c r="M11">
        <f t="shared" si="10"/>
        <v>0.47036643968829894</v>
      </c>
      <c r="N11">
        <f t="shared" si="11"/>
        <v>0.52963356031170106</v>
      </c>
      <c r="O11" s="48">
        <f t="shared" si="12"/>
        <v>1.2512862317375355</v>
      </c>
      <c r="P11" s="49">
        <f t="shared" si="13"/>
        <v>0.47036643968829894</v>
      </c>
      <c r="Q11" s="50">
        <f t="shared" si="14"/>
        <v>0.52963356031170106</v>
      </c>
      <c r="R11">
        <v>2.848426011542942E-2</v>
      </c>
      <c r="S11">
        <v>4.6540726307282468E-2</v>
      </c>
      <c r="T11">
        <f t="shared" si="1"/>
        <v>3.8047570591268412E-2</v>
      </c>
      <c r="U11">
        <v>1.062269236131121E-2</v>
      </c>
      <c r="V11">
        <v>3.5874439461883532E-2</v>
      </c>
      <c r="W11">
        <v>4.9282663454167118E-2</v>
      </c>
      <c r="X11" s="9">
        <f t="shared" si="2"/>
        <v>4.2975884872373457E-2</v>
      </c>
      <c r="Y11">
        <v>4.0996845944660572E-3</v>
      </c>
    </row>
    <row r="12" spans="1:25" x14ac:dyDescent="0.3">
      <c r="A12" s="7">
        <v>46001</v>
      </c>
      <c r="B12" s="12">
        <v>20.53</v>
      </c>
      <c r="C12" s="12">
        <v>89.91</v>
      </c>
      <c r="D12" s="12">
        <v>685.54399999999998</v>
      </c>
      <c r="E12" s="13">
        <f t="shared" si="3"/>
        <v>1.2041055718475073</v>
      </c>
      <c r="F12" s="13">
        <f t="shared" si="4"/>
        <v>1.3051241109014371</v>
      </c>
      <c r="G12" s="13">
        <f t="shared" si="5"/>
        <v>1.0185920113635183</v>
      </c>
      <c r="H12" s="13">
        <f t="shared" si="15"/>
        <v>1.2546148413744722</v>
      </c>
      <c r="I12" s="13">
        <f t="shared" si="7"/>
        <v>2.291978076731449E-2</v>
      </c>
      <c r="J12" s="13">
        <f t="shared" si="8"/>
        <v>-1.5332384185740788E-2</v>
      </c>
      <c r="K12" s="12">
        <f t="shared" si="9"/>
        <v>2.6601504535972431E-3</v>
      </c>
      <c r="L12" s="12">
        <f t="shared" si="6"/>
        <v>6.6311517294441735E-3</v>
      </c>
      <c r="M12" s="12">
        <f t="shared" si="10"/>
        <v>0.47987060735244041</v>
      </c>
      <c r="N12" s="12">
        <f t="shared" si="11"/>
        <v>0.52012939264755964</v>
      </c>
      <c r="O12" s="54">
        <f t="shared" si="12"/>
        <v>1.2546148413744722</v>
      </c>
      <c r="P12" s="55">
        <f t="shared" si="13"/>
        <v>0.47987060735244041</v>
      </c>
      <c r="Q12" s="56">
        <f t="shared" si="14"/>
        <v>0.52012939264755964</v>
      </c>
      <c r="R12" s="12">
        <v>2.825770060092091E-2</v>
      </c>
      <c r="S12" s="12">
        <v>4.6458552479887449E-2</v>
      </c>
      <c r="T12" s="12">
        <f t="shared" si="1"/>
        <v>3.7724498634395975E-2</v>
      </c>
      <c r="U12" s="12">
        <v>1.0594668731767121E-2</v>
      </c>
      <c r="V12" s="12">
        <v>3.3609352167559559E-2</v>
      </c>
      <c r="W12" s="12">
        <v>3.5969302635969397E-2</v>
      </c>
      <c r="X12" s="16">
        <f t="shared" si="2"/>
        <v>3.4836831771371896E-2</v>
      </c>
      <c r="Y12" s="12">
        <v>1.114005811443184E-2</v>
      </c>
    </row>
    <row r="13" spans="1:25" x14ac:dyDescent="0.3">
      <c r="A13" s="2">
        <v>46002</v>
      </c>
      <c r="B13">
        <v>21.01</v>
      </c>
      <c r="C13">
        <v>87.08</v>
      </c>
      <c r="D13">
        <v>687.14</v>
      </c>
      <c r="E13" s="10">
        <f>B13/B$2</f>
        <v>1.2322580645161292</v>
      </c>
      <c r="F13" s="10">
        <f>C13/C$2</f>
        <v>1.2640441283205108</v>
      </c>
      <c r="G13" s="10">
        <f t="shared" si="5"/>
        <v>1.0209633731581458</v>
      </c>
      <c r="H13" s="10">
        <f>AVERAGE(E13:F13)</f>
        <v>1.24815109641832</v>
      </c>
      <c r="I13" s="10">
        <f t="shared" si="7"/>
        <v>2.3380418899171973E-2</v>
      </c>
      <c r="J13" s="10">
        <f t="shared" si="8"/>
        <v>-3.1475920364809395E-2</v>
      </c>
      <c r="K13" s="14">
        <f t="shared" si="9"/>
        <v>-5.151975525071073E-3</v>
      </c>
      <c r="L13" s="14">
        <f t="shared" si="6"/>
        <v>2.3280781394046102E-3</v>
      </c>
      <c r="M13">
        <f t="shared" si="10"/>
        <v>0.49363337021142822</v>
      </c>
      <c r="N13">
        <f t="shared" si="11"/>
        <v>0.50636662978857183</v>
      </c>
      <c r="O13" s="48">
        <f t="shared" si="12"/>
        <v>1.24815109641832</v>
      </c>
      <c r="P13" s="49">
        <f t="shared" si="13"/>
        <v>0.49363337021142822</v>
      </c>
      <c r="Q13" s="50">
        <f t="shared" si="14"/>
        <v>0.50636662978857183</v>
      </c>
      <c r="R13">
        <v>2.8155632397429041E-2</v>
      </c>
      <c r="S13">
        <v>4.815945099339429E-2</v>
      </c>
      <c r="T13">
        <f t="shared" si="1"/>
        <v>3.8284898602769929E-2</v>
      </c>
      <c r="U13">
        <v>1.0548843295986401E-2</v>
      </c>
      <c r="V13">
        <v>3.5221323179438283E-2</v>
      </c>
      <c r="W13">
        <v>5.0643086816720223E-2</v>
      </c>
      <c r="X13" s="9">
        <f t="shared" si="2"/>
        <v>4.3030389657844684E-2</v>
      </c>
      <c r="Y13">
        <v>1.027301568821504E-2</v>
      </c>
    </row>
    <row r="14" spans="1:25" x14ac:dyDescent="0.3">
      <c r="A14" s="2">
        <v>46003</v>
      </c>
      <c r="B14">
        <v>20.399999999999999</v>
      </c>
      <c r="C14">
        <v>81.53</v>
      </c>
      <c r="D14">
        <v>679.75099999999998</v>
      </c>
      <c r="E14" s="10">
        <f t="shared" si="3"/>
        <v>1.1964809384164221</v>
      </c>
      <c r="F14" s="10">
        <f t="shared" si="4"/>
        <v>1.1834809115982001</v>
      </c>
      <c r="G14" s="10">
        <f t="shared" si="5"/>
        <v>1.0099846812405373</v>
      </c>
      <c r="H14" s="10">
        <f t="shared" si="15"/>
        <v>1.189980925007311</v>
      </c>
      <c r="I14" s="10">
        <f t="shared" si="7"/>
        <v>-2.9033793431699428E-2</v>
      </c>
      <c r="J14" s="10">
        <f t="shared" si="8"/>
        <v>-6.3734497014239611E-2</v>
      </c>
      <c r="K14" s="14">
        <f t="shared" ref="K14:K18" si="16">H14/H13-1</f>
        <v>-4.6605071756082639E-2</v>
      </c>
      <c r="L14" s="14">
        <f t="shared" ref="L14:L18" si="17">G14/G13-1</f>
        <v>-1.0753267165351965E-2</v>
      </c>
      <c r="M14">
        <f t="shared" si="10"/>
        <v>0.50273114184963563</v>
      </c>
      <c r="N14">
        <f t="shared" si="11"/>
        <v>0.49726885815036448</v>
      </c>
      <c r="O14" s="48">
        <f t="shared" si="12"/>
        <v>1.189980925007311</v>
      </c>
      <c r="P14" s="49">
        <f t="shared" si="13"/>
        <v>0.50273114184963563</v>
      </c>
      <c r="Q14" s="50">
        <f t="shared" si="14"/>
        <v>0.49726885815036448</v>
      </c>
      <c r="R14">
        <v>3.1863262873633752E-2</v>
      </c>
      <c r="S14">
        <v>5.3284877523227268E-2</v>
      </c>
      <c r="T14">
        <f t="shared" si="1"/>
        <v>4.2515564730174246E-2</v>
      </c>
      <c r="U14">
        <v>1.0949589142752609E-2</v>
      </c>
      <c r="V14">
        <v>6.9117647058823548E-2</v>
      </c>
      <c r="W14">
        <v>7.7296700601005672E-2</v>
      </c>
      <c r="X14" s="9">
        <f t="shared" si="2"/>
        <v>7.3184835674495158E-2</v>
      </c>
      <c r="Y14">
        <v>1.466860659270822E-2</v>
      </c>
    </row>
    <row r="15" spans="1:25" x14ac:dyDescent="0.3">
      <c r="A15" s="2">
        <v>46006</v>
      </c>
      <c r="B15">
        <v>21.19</v>
      </c>
      <c r="C15">
        <v>79.89</v>
      </c>
      <c r="D15">
        <v>678.72400000000005</v>
      </c>
      <c r="E15" s="10">
        <f t="shared" si="3"/>
        <v>1.2428152492668623</v>
      </c>
      <c r="F15" s="10">
        <f t="shared" si="4"/>
        <v>1.1596748439541298</v>
      </c>
      <c r="G15" s="10">
        <f t="shared" si="5"/>
        <v>1.0084587485569017</v>
      </c>
      <c r="H15" s="10">
        <f t="shared" si="15"/>
        <v>1.201245046610496</v>
      </c>
      <c r="I15" s="10">
        <f t="shared" si="7"/>
        <v>3.8725490196078738E-2</v>
      </c>
      <c r="J15" s="10">
        <f t="shared" si="8"/>
        <v>-2.0115294983441778E-2</v>
      </c>
      <c r="K15" s="14">
        <f t="shared" si="16"/>
        <v>9.4658001371876743E-3</v>
      </c>
      <c r="L15" s="14">
        <f t="shared" si="17"/>
        <v>-1.510847354398881E-3</v>
      </c>
      <c r="M15">
        <f t="shared" si="10"/>
        <v>0.51730296527493003</v>
      </c>
      <c r="N15">
        <f t="shared" si="11"/>
        <v>0.48269703472506997</v>
      </c>
      <c r="O15" s="48">
        <f t="shared" si="12"/>
        <v>1.201245046610496</v>
      </c>
      <c r="P15" s="49">
        <f t="shared" si="13"/>
        <v>0.51730296527493003</v>
      </c>
      <c r="Q15" s="50">
        <f t="shared" si="14"/>
        <v>0.48269703472506997</v>
      </c>
      <c r="R15">
        <v>3.1282064700625868E-2</v>
      </c>
      <c r="S15">
        <v>5.35791256174502E-2</v>
      </c>
      <c r="T15">
        <f t="shared" si="1"/>
        <v>4.2044789888261228E-2</v>
      </c>
      <c r="U15">
        <v>1.0865969946323431E-2</v>
      </c>
      <c r="V15">
        <v>3.9169419537517777E-2</v>
      </c>
      <c r="W15">
        <v>4.3184378520465673E-2</v>
      </c>
      <c r="X15" s="9">
        <f t="shared" si="2"/>
        <v>4.1107428333129511E-2</v>
      </c>
      <c r="Y15">
        <v>9.5635339254247463E-3</v>
      </c>
    </row>
    <row r="16" spans="1:25" x14ac:dyDescent="0.3">
      <c r="A16" s="2">
        <v>46007</v>
      </c>
      <c r="B16">
        <v>21.09</v>
      </c>
      <c r="C16">
        <v>77.91</v>
      </c>
      <c r="D16">
        <v>676.87</v>
      </c>
      <c r="E16" s="10">
        <f t="shared" si="3"/>
        <v>1.2369501466275659</v>
      </c>
      <c r="F16" s="10">
        <f t="shared" si="4"/>
        <v>1.1309333720423864</v>
      </c>
      <c r="G16" s="10">
        <f t="shared" si="5"/>
        <v>1.0057040463217892</v>
      </c>
      <c r="H16" s="10">
        <f t="shared" si="15"/>
        <v>1.1839417593349761</v>
      </c>
      <c r="I16" s="10">
        <f t="shared" si="7"/>
        <v>-4.7192071731950724E-3</v>
      </c>
      <c r="J16" s="10">
        <f t="shared" si="8"/>
        <v>-2.4784078107397689E-2</v>
      </c>
      <c r="K16" s="14">
        <f t="shared" si="16"/>
        <v>-1.4404460875275915E-2</v>
      </c>
      <c r="L16" s="14">
        <f t="shared" si="17"/>
        <v>-2.7315963484420003E-3</v>
      </c>
      <c r="M16">
        <f t="shared" si="10"/>
        <v>0.52238639986918134</v>
      </c>
      <c r="N16">
        <f t="shared" si="11"/>
        <v>0.47761360013081866</v>
      </c>
      <c r="O16" s="48">
        <f t="shared" si="12"/>
        <v>1.1839417593349761</v>
      </c>
      <c r="P16" s="49">
        <f t="shared" si="13"/>
        <v>0.52238639986918134</v>
      </c>
      <c r="Q16" s="50">
        <f t="shared" si="14"/>
        <v>0.47761360013081866</v>
      </c>
      <c r="R16">
        <v>3.040462766064286E-2</v>
      </c>
      <c r="S16">
        <v>5.393189256148602E-2</v>
      </c>
      <c r="T16">
        <f t="shared" si="1"/>
        <v>4.1641569351166009E-2</v>
      </c>
      <c r="U16">
        <v>1.0759285874268909E-2</v>
      </c>
      <c r="V16">
        <v>1.706970128022774E-2</v>
      </c>
      <c r="W16">
        <v>4.0816326530612332E-2</v>
      </c>
      <c r="X16" s="9">
        <f t="shared" si="2"/>
        <v>2.8411412457021328E-2</v>
      </c>
      <c r="Y16">
        <v>8.9854772703768723E-3</v>
      </c>
    </row>
    <row r="17" spans="1:25" x14ac:dyDescent="0.3">
      <c r="A17" s="2">
        <v>46008</v>
      </c>
      <c r="B17">
        <v>21.92</v>
      </c>
      <c r="C17">
        <v>73.19</v>
      </c>
      <c r="D17">
        <v>669.42200000000003</v>
      </c>
      <c r="E17" s="10">
        <f t="shared" si="3"/>
        <v>1.2856304985337244</v>
      </c>
      <c r="F17" s="10">
        <f t="shared" si="4"/>
        <v>1.0624183480911598</v>
      </c>
      <c r="G17" s="10">
        <f t="shared" si="5"/>
        <v>0.99463769128019375</v>
      </c>
      <c r="H17" s="10">
        <f t="shared" si="15"/>
        <v>1.1740244233124422</v>
      </c>
      <c r="I17" s="10">
        <f t="shared" si="7"/>
        <v>3.9355144618302695E-2</v>
      </c>
      <c r="J17" s="10">
        <f t="shared" si="8"/>
        <v>-6.0582723655499993E-2</v>
      </c>
      <c r="K17" s="14">
        <f t="shared" si="16"/>
        <v>-8.3765404373477015E-3</v>
      </c>
      <c r="L17" s="14">
        <f t="shared" si="17"/>
        <v>-1.1003590054220247E-2</v>
      </c>
      <c r="M17">
        <f t="shared" si="10"/>
        <v>0.54753141118921189</v>
      </c>
      <c r="N17">
        <f t="shared" si="11"/>
        <v>0.452468588810788</v>
      </c>
      <c r="O17" s="48">
        <f t="shared" si="12"/>
        <v>1.1740244233124422</v>
      </c>
      <c r="P17" s="49">
        <f t="shared" si="13"/>
        <v>0.54753141118921189</v>
      </c>
      <c r="Q17" s="50">
        <f t="shared" si="14"/>
        <v>0.452468588810788</v>
      </c>
      <c r="R17">
        <v>3.0129160472231669E-2</v>
      </c>
      <c r="S17">
        <v>5.8091307109724093E-2</v>
      </c>
      <c r="T17">
        <f t="shared" si="1"/>
        <v>4.2781153501418187E-2</v>
      </c>
      <c r="U17">
        <v>1.108486039196214E-2</v>
      </c>
      <c r="V17">
        <v>4.151459854014599E-2</v>
      </c>
      <c r="W17">
        <v>6.6949036753654753E-2</v>
      </c>
      <c r="X17" s="9">
        <f t="shared" si="2"/>
        <v>5.3022882905807478E-2</v>
      </c>
      <c r="Y17">
        <v>1.376112526926212E-2</v>
      </c>
    </row>
    <row r="18" spans="1:25" ht="15" thickBot="1" x14ac:dyDescent="0.35">
      <c r="A18" s="2">
        <v>46009</v>
      </c>
      <c r="B18">
        <v>21.6</v>
      </c>
      <c r="C18">
        <v>75.91</v>
      </c>
      <c r="D18">
        <v>674.47699999999998</v>
      </c>
      <c r="E18" s="10">
        <f t="shared" si="3"/>
        <v>1.2668621700879765</v>
      </c>
      <c r="F18" s="10">
        <f t="shared" si="4"/>
        <v>1.1019015822325446</v>
      </c>
      <c r="G18" s="10">
        <f t="shared" si="5"/>
        <v>1.0021484894455084</v>
      </c>
      <c r="H18" s="10">
        <f t="shared" si="15"/>
        <v>1.1843818761602605</v>
      </c>
      <c r="I18" s="10">
        <f t="shared" si="7"/>
        <v>-1.4598540145985384E-2</v>
      </c>
      <c r="J18" s="10">
        <f t="shared" si="8"/>
        <v>3.7163546932641234E-2</v>
      </c>
      <c r="K18" s="14">
        <f t="shared" si="16"/>
        <v>8.8221783483817262E-3</v>
      </c>
      <c r="L18" s="14">
        <f t="shared" si="17"/>
        <v>7.5512905162959942E-3</v>
      </c>
      <c r="M18">
        <f t="shared" si="10"/>
        <v>0.53481997470069165</v>
      </c>
      <c r="N18">
        <f t="shared" si="11"/>
        <v>0.46518002529930841</v>
      </c>
      <c r="O18" s="51">
        <f t="shared" si="12"/>
        <v>1.1843818761602605</v>
      </c>
      <c r="P18" s="52">
        <f>E18*$M$2/$O18</f>
        <v>0.53481997470069165</v>
      </c>
      <c r="Q18" s="53">
        <f>F18*$M$2/$O18</f>
        <v>0.46518002529930841</v>
      </c>
      <c r="R18">
        <v>3.037567978891249E-2</v>
      </c>
      <c r="S18">
        <v>5.5424784966867882E-2</v>
      </c>
      <c r="T18">
        <f t="shared" si="1"/>
        <v>4.2028023169318821E-2</v>
      </c>
      <c r="U18">
        <v>1.120210202794219E-2</v>
      </c>
      <c r="V18">
        <v>2.7777777777777839E-2</v>
      </c>
      <c r="W18">
        <v>4.7819786589382109E-2</v>
      </c>
      <c r="X18" s="9">
        <f t="shared" si="2"/>
        <v>3.7100919943808874E-2</v>
      </c>
      <c r="Y18">
        <v>1.38062528447968E-2</v>
      </c>
    </row>
    <row r="19" spans="1:25" x14ac:dyDescent="0.3">
      <c r="A19" s="17"/>
      <c r="E19" s="10"/>
      <c r="F19" s="10"/>
      <c r="G19" s="10"/>
      <c r="H19" s="10"/>
      <c r="I19" s="10"/>
      <c r="J19" s="10"/>
      <c r="K19" s="14"/>
      <c r="L19" s="14"/>
      <c r="X19" s="9"/>
    </row>
    <row r="20" spans="1:25" s="14" customFormat="1" x14ac:dyDescent="0.3">
      <c r="A20" s="27" t="s">
        <v>1731</v>
      </c>
      <c r="B20" s="12"/>
      <c r="C20" s="12"/>
      <c r="D20" s="12"/>
      <c r="E20" s="12"/>
      <c r="F20" s="12"/>
      <c r="G20" s="12"/>
      <c r="H20" s="28"/>
      <c r="I20" s="28"/>
      <c r="J20" s="28"/>
      <c r="K20" s="28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</row>
    <row r="21" spans="1:25" x14ac:dyDescent="0.3">
      <c r="A21" s="2">
        <v>46002</v>
      </c>
      <c r="E21">
        <f t="shared" ref="E21:F21" si="18">E13/E$13</f>
        <v>1</v>
      </c>
      <c r="F21">
        <f t="shared" si="18"/>
        <v>1</v>
      </c>
      <c r="G21" s="10"/>
      <c r="H21" s="25">
        <f>AVERAGE(E21:F21)</f>
        <v>1</v>
      </c>
      <c r="I21" s="25"/>
      <c r="J21" s="25"/>
      <c r="K21" s="23"/>
      <c r="M21">
        <f>E21/SUM($E21:$F21)</f>
        <v>0.5</v>
      </c>
      <c r="N21">
        <f t="shared" ref="N21:N22" si="19">F21/SUM($E21:$F21)</f>
        <v>0.5</v>
      </c>
      <c r="R21">
        <f>R13</f>
        <v>2.8155632397429041E-2</v>
      </c>
      <c r="S21">
        <f>S13</f>
        <v>4.815945099339429E-2</v>
      </c>
      <c r="T21">
        <f t="shared" ref="T21:T26" si="20">SUMPRODUCT($M21:$N21,R21:S21)</f>
        <v>3.8157541695411662E-2</v>
      </c>
      <c r="V21">
        <f>V13</f>
        <v>3.5221323179438283E-2</v>
      </c>
      <c r="W21">
        <f>W13</f>
        <v>5.0643086816720223E-2</v>
      </c>
      <c r="X21" s="9">
        <f>SUMPRODUCT($M21:$N21,V21:W21)</f>
        <v>4.2932204998079253E-2</v>
      </c>
    </row>
    <row r="22" spans="1:25" x14ac:dyDescent="0.3">
      <c r="A22" s="2">
        <v>46003</v>
      </c>
      <c r="E22">
        <f t="shared" ref="E22:F22" si="21">E14/E$13</f>
        <v>0.97096620656830057</v>
      </c>
      <c r="F22">
        <f t="shared" si="21"/>
        <v>0.93626550298576039</v>
      </c>
      <c r="G22" s="10"/>
      <c r="H22" s="25">
        <f t="shared" ref="H22:H26" si="22">AVERAGE(E22:F22)</f>
        <v>0.95361585477703048</v>
      </c>
      <c r="I22" s="25"/>
      <c r="J22" s="25"/>
      <c r="K22" s="23">
        <f>H22/H21-1</f>
        <v>-4.6384145222969519E-2</v>
      </c>
      <c r="M22">
        <f t="shared" ref="M22" si="23">E22/SUM($E22:$F22)</f>
        <v>0.50909713890785036</v>
      </c>
      <c r="N22">
        <f t="shared" si="19"/>
        <v>0.4909028610921497</v>
      </c>
      <c r="R22">
        <f t="shared" ref="R22:S22" si="24">R14</f>
        <v>3.1863262873633752E-2</v>
      </c>
      <c r="S22">
        <f t="shared" si="24"/>
        <v>5.3284877523227268E-2</v>
      </c>
      <c r="T22">
        <f t="shared" si="20"/>
        <v>4.237919479433272E-2</v>
      </c>
      <c r="V22">
        <f t="shared" ref="V22:W22" si="25">V14</f>
        <v>6.9117647058823548E-2</v>
      </c>
      <c r="W22">
        <f t="shared" si="25"/>
        <v>7.7296700601005672E-2</v>
      </c>
      <c r="X22" s="9">
        <f t="shared" ref="X22:X26" si="26">SUMPRODUCT($M22:$N22,V22:W22)</f>
        <v>7.3132767843706648E-2</v>
      </c>
    </row>
    <row r="23" spans="1:25" x14ac:dyDescent="0.3">
      <c r="A23" s="2">
        <v>46006</v>
      </c>
      <c r="E23">
        <f t="shared" ref="E23:F23" si="27">E15/E$13</f>
        <v>1.008567348881485</v>
      </c>
      <c r="F23">
        <f t="shared" si="27"/>
        <v>0.91743224621038133</v>
      </c>
      <c r="G23" s="10"/>
      <c r="H23" s="25">
        <f t="shared" si="22"/>
        <v>0.96299979754593323</v>
      </c>
      <c r="I23" s="25"/>
      <c r="J23" s="25"/>
      <c r="K23" s="23">
        <f t="shared" ref="K23:K26" si="28">H23/H22-1</f>
        <v>9.840380402543536E-3</v>
      </c>
      <c r="M23">
        <f t="shared" ref="M23:M26" si="29">E23/SUM($E23:$F23)</f>
        <v>0.5236591697379761</v>
      </c>
      <c r="N23">
        <f t="shared" ref="N23:N26" si="30">F23/SUM($E23:$F23)</f>
        <v>0.47634083026202378</v>
      </c>
      <c r="R23">
        <f t="shared" ref="R23:S23" si="31">R15</f>
        <v>3.1282064700625868E-2</v>
      </c>
      <c r="S23">
        <f t="shared" si="31"/>
        <v>5.35791256174502E-2</v>
      </c>
      <c r="T23">
        <f t="shared" si="20"/>
        <v>4.1903065210148888E-2</v>
      </c>
      <c r="V23">
        <f t="shared" ref="V23:W23" si="32">V15</f>
        <v>3.9169419537517777E-2</v>
      </c>
      <c r="W23">
        <f t="shared" si="32"/>
        <v>4.3184378520465673E-2</v>
      </c>
      <c r="X23" s="9">
        <f t="shared" si="26"/>
        <v>4.1081908432923142E-2</v>
      </c>
    </row>
    <row r="24" spans="1:25" x14ac:dyDescent="0.3">
      <c r="A24" s="2">
        <v>46007</v>
      </c>
      <c r="E24">
        <f t="shared" ref="E24:F24" si="33">E16/E$13</f>
        <v>1.0038077106139931</v>
      </c>
      <c r="F24">
        <f t="shared" si="33"/>
        <v>0.89469453376205799</v>
      </c>
      <c r="G24" s="10"/>
      <c r="H24" s="25">
        <f t="shared" si="22"/>
        <v>0.94925112218802554</v>
      </c>
      <c r="I24" s="25"/>
      <c r="J24" s="25"/>
      <c r="K24" s="23">
        <f t="shared" si="28"/>
        <v>-1.4276924453093587E-2</v>
      </c>
      <c r="M24">
        <f t="shared" si="29"/>
        <v>0.52873664678963694</v>
      </c>
      <c r="N24">
        <f t="shared" si="30"/>
        <v>0.47126335321036306</v>
      </c>
      <c r="R24">
        <f t="shared" ref="R24:S24" si="34">R16</f>
        <v>3.040462766064286E-2</v>
      </c>
      <c r="S24">
        <f t="shared" si="34"/>
        <v>5.393189256148602E-2</v>
      </c>
      <c r="T24">
        <f t="shared" si="20"/>
        <v>4.1492165409682688E-2</v>
      </c>
      <c r="V24">
        <f t="shared" ref="V24:W24" si="35">V16</f>
        <v>1.706970128022774E-2</v>
      </c>
      <c r="W24">
        <f t="shared" si="35"/>
        <v>4.0816326530612332E-2</v>
      </c>
      <c r="X24" s="9">
        <f t="shared" si="26"/>
        <v>2.826061552315386E-2</v>
      </c>
    </row>
    <row r="25" spans="1:25" x14ac:dyDescent="0.3">
      <c r="A25" s="2">
        <v>46008</v>
      </c>
      <c r="E25">
        <f t="shared" ref="E25:F25" si="36">E17/E$13</f>
        <v>1.043312708234174</v>
      </c>
      <c r="F25">
        <f t="shared" si="36"/>
        <v>0.8404915020670648</v>
      </c>
      <c r="G25" s="10"/>
      <c r="H25" s="25">
        <f t="shared" si="22"/>
        <v>0.94190210515061934</v>
      </c>
      <c r="I25" s="25"/>
      <c r="J25" s="25"/>
      <c r="K25" s="23">
        <f t="shared" si="28"/>
        <v>-7.7419102971052478E-3</v>
      </c>
      <c r="M25">
        <f t="shared" si="29"/>
        <v>0.55383287845361495</v>
      </c>
      <c r="N25">
        <f t="shared" si="30"/>
        <v>0.4461671215463851</v>
      </c>
      <c r="R25">
        <f t="shared" ref="R25:S25" si="37">R17</f>
        <v>3.0129160472231669E-2</v>
      </c>
      <c r="S25">
        <f t="shared" si="37"/>
        <v>5.8091307109724093E-2</v>
      </c>
      <c r="T25">
        <f t="shared" si="20"/>
        <v>4.2604950949739595E-2</v>
      </c>
      <c r="V25">
        <f t="shared" ref="V25:W25" si="38">V17</f>
        <v>4.151459854014599E-2</v>
      </c>
      <c r="W25">
        <f t="shared" si="38"/>
        <v>6.6949036753654753E-2</v>
      </c>
      <c r="X25" s="9">
        <f t="shared" si="26"/>
        <v>5.2862608626016577E-2</v>
      </c>
    </row>
    <row r="26" spans="1:25" x14ac:dyDescent="0.3">
      <c r="A26" s="2">
        <v>46009</v>
      </c>
      <c r="E26">
        <f t="shared" ref="E26:F26" si="39">E18/E$13</f>
        <v>1.0280818657782007</v>
      </c>
      <c r="F26">
        <f t="shared" si="39"/>
        <v>0.87172714745062019</v>
      </c>
      <c r="G26" s="10"/>
      <c r="H26" s="25">
        <f t="shared" si="22"/>
        <v>0.9499045066144105</v>
      </c>
      <c r="I26" s="25"/>
      <c r="J26" s="25"/>
      <c r="K26" s="23">
        <f t="shared" si="28"/>
        <v>8.4960012511188232E-3</v>
      </c>
      <c r="M26">
        <f t="shared" si="29"/>
        <v>0.54115011489019305</v>
      </c>
      <c r="N26">
        <f t="shared" si="30"/>
        <v>0.45884988510980695</v>
      </c>
      <c r="R26">
        <f t="shared" ref="R26:S26" si="40">R18</f>
        <v>3.037567978891249E-2</v>
      </c>
      <c r="S26">
        <f t="shared" si="40"/>
        <v>5.5424784966867882E-2</v>
      </c>
      <c r="T26">
        <f t="shared" si="20"/>
        <v>4.1869458821920794E-2</v>
      </c>
      <c r="V26">
        <f t="shared" ref="V26:W26" si="41">V18</f>
        <v>2.7777777777777839E-2</v>
      </c>
      <c r="W26">
        <f t="shared" si="41"/>
        <v>4.7819786589382109E-2</v>
      </c>
      <c r="X26" s="9">
        <f t="shared" si="26"/>
        <v>3.6974051218352198E-2</v>
      </c>
    </row>
    <row r="27" spans="1:25" x14ac:dyDescent="0.3">
      <c r="H27" s="10"/>
      <c r="I27" s="10"/>
      <c r="J27" s="10"/>
    </row>
    <row r="28" spans="1:25" x14ac:dyDescent="0.3">
      <c r="E28">
        <f>SQRT(252)</f>
        <v>15.874507866387544</v>
      </c>
    </row>
    <row r="29" spans="1:25" x14ac:dyDescent="0.3">
      <c r="E29">
        <f>E12/E2-1</f>
        <v>0.20410557184750733</v>
      </c>
      <c r="F29">
        <f>E29*E28</f>
        <v>3.2400755058667832</v>
      </c>
    </row>
    <row r="30" spans="1:25" x14ac:dyDescent="0.3">
      <c r="E30">
        <f>LN(E12/E2)</f>
        <v>0.18573702730131642</v>
      </c>
      <c r="F30">
        <f>E30*E28</f>
        <v>2.9484839009741854</v>
      </c>
    </row>
  </sheetData>
  <pageMargins left="0.75" right="0.75" top="1" bottom="1" header="0.5" footer="0.5"/>
  <pageSetup orientation="portrait" horizontalDpi="0" verticalDpi="0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8"/>
  <sheetViews>
    <sheetView workbookViewId="0">
      <selection activeCell="B1" sqref="B1:C12"/>
    </sheetView>
  </sheetViews>
  <sheetFormatPr defaultRowHeight="14.4" x14ac:dyDescent="0.3"/>
  <cols>
    <col min="1" max="1" width="18.109375" bestFit="1" customWidth="1"/>
  </cols>
  <sheetData>
    <row r="1" spans="1:4" x14ac:dyDescent="0.3">
      <c r="A1" s="1" t="s">
        <v>73</v>
      </c>
      <c r="B1" s="6" t="s">
        <v>91</v>
      </c>
      <c r="C1" s="6" t="s">
        <v>92</v>
      </c>
      <c r="D1" s="6" t="s">
        <v>12</v>
      </c>
    </row>
    <row r="2" spans="1:4" x14ac:dyDescent="0.3">
      <c r="A2" s="2">
        <v>45986</v>
      </c>
      <c r="B2">
        <v>2.913032716915433E-2</v>
      </c>
      <c r="C2">
        <v>4.8618632721300403E-2</v>
      </c>
      <c r="D2">
        <v>1.4713565524374811E-2</v>
      </c>
    </row>
    <row r="3" spans="1:4" x14ac:dyDescent="0.3">
      <c r="A3" s="2">
        <v>45987</v>
      </c>
      <c r="B3">
        <v>2.8728017693601161E-2</v>
      </c>
      <c r="C3">
        <v>4.7068661231600618E-2</v>
      </c>
      <c r="D3">
        <v>1.427099114704514E-2</v>
      </c>
    </row>
    <row r="4" spans="1:4" x14ac:dyDescent="0.3">
      <c r="A4" s="2">
        <v>45989</v>
      </c>
      <c r="B4">
        <v>2.9219122728445499E-2</v>
      </c>
      <c r="C4">
        <v>4.5083585720526731E-2</v>
      </c>
      <c r="D4">
        <v>1.3596708010932729E-2</v>
      </c>
    </row>
    <row r="5" spans="1:4" x14ac:dyDescent="0.3">
      <c r="A5" s="2">
        <v>45992</v>
      </c>
      <c r="B5">
        <v>2.9755775340355159E-2</v>
      </c>
      <c r="C5">
        <v>4.4856855589243932E-2</v>
      </c>
      <c r="D5">
        <v>1.317174904059437E-2</v>
      </c>
    </row>
    <row r="6" spans="1:4" x14ac:dyDescent="0.3">
      <c r="A6" s="2">
        <v>45993</v>
      </c>
      <c r="B6">
        <v>2.9393138645331669E-2</v>
      </c>
      <c r="C6">
        <v>4.3457537890580211E-2</v>
      </c>
      <c r="D6">
        <v>1.2678801522244539E-2</v>
      </c>
    </row>
    <row r="7" spans="1:4" x14ac:dyDescent="0.3">
      <c r="A7" s="2">
        <v>45994</v>
      </c>
      <c r="B7">
        <v>2.8604913072245941E-2</v>
      </c>
      <c r="C7">
        <v>4.2458429876649391E-2</v>
      </c>
      <c r="D7">
        <v>1.2277786500875481E-2</v>
      </c>
    </row>
    <row r="8" spans="1:4" x14ac:dyDescent="0.3">
      <c r="A8" s="2">
        <v>45995</v>
      </c>
      <c r="B8">
        <v>3.0245537550673988E-2</v>
      </c>
      <c r="C8">
        <v>4.2286600887801389E-2</v>
      </c>
      <c r="D8">
        <v>1.181305514840188E-2</v>
      </c>
    </row>
    <row r="9" spans="1:4" x14ac:dyDescent="0.3">
      <c r="A9" s="2">
        <v>45996</v>
      </c>
      <c r="B9">
        <v>2.9907507533524589E-2</v>
      </c>
      <c r="C9">
        <v>4.8475044219031677E-2</v>
      </c>
      <c r="D9">
        <v>1.136513042214002E-2</v>
      </c>
    </row>
    <row r="10" spans="1:4" x14ac:dyDescent="0.3">
      <c r="A10" s="2">
        <v>45999</v>
      </c>
      <c r="B10">
        <v>2.890969043118741E-2</v>
      </c>
      <c r="C10">
        <v>4.747895369735948E-2</v>
      </c>
      <c r="D10">
        <v>1.11148656076314E-2</v>
      </c>
    </row>
    <row r="11" spans="1:4" x14ac:dyDescent="0.3">
      <c r="A11" s="2">
        <v>46000</v>
      </c>
      <c r="B11">
        <v>2.848426011542942E-2</v>
      </c>
      <c r="C11">
        <v>4.6540726307282468E-2</v>
      </c>
      <c r="D11">
        <v>1.062269236131121E-2</v>
      </c>
    </row>
    <row r="12" spans="1:4" x14ac:dyDescent="0.3">
      <c r="A12" s="7">
        <v>46001</v>
      </c>
      <c r="B12">
        <v>2.825770060092091E-2</v>
      </c>
      <c r="C12">
        <v>4.6458552479887449E-2</v>
      </c>
      <c r="D12">
        <v>1.0594668731767121E-2</v>
      </c>
    </row>
    <row r="13" spans="1:4" x14ac:dyDescent="0.3">
      <c r="A13" s="2">
        <v>46002</v>
      </c>
      <c r="B13">
        <v>2.8155632397429041E-2</v>
      </c>
      <c r="C13">
        <v>4.815945099339429E-2</v>
      </c>
      <c r="D13">
        <v>1.0548843295986401E-2</v>
      </c>
    </row>
    <row r="14" spans="1:4" x14ac:dyDescent="0.3">
      <c r="A14" s="2">
        <v>46003</v>
      </c>
      <c r="B14">
        <v>3.1863262873633752E-2</v>
      </c>
      <c r="C14">
        <v>5.3284877523227268E-2</v>
      </c>
      <c r="D14">
        <v>1.0949589142752609E-2</v>
      </c>
    </row>
    <row r="15" spans="1:4" x14ac:dyDescent="0.3">
      <c r="A15" s="2">
        <v>46006</v>
      </c>
      <c r="B15">
        <v>3.1282064700625868E-2</v>
      </c>
      <c r="C15">
        <v>5.35791256174502E-2</v>
      </c>
      <c r="D15">
        <v>1.0865969946323431E-2</v>
      </c>
    </row>
    <row r="16" spans="1:4" x14ac:dyDescent="0.3">
      <c r="A16" s="2">
        <v>46007</v>
      </c>
      <c r="B16">
        <v>3.040462766064286E-2</v>
      </c>
      <c r="C16">
        <v>5.393189256148602E-2</v>
      </c>
      <c r="D16">
        <v>1.0759285874268909E-2</v>
      </c>
    </row>
    <row r="17" spans="1:4" x14ac:dyDescent="0.3">
      <c r="A17" s="2">
        <v>46008</v>
      </c>
      <c r="B17">
        <v>3.0129160472231669E-2</v>
      </c>
      <c r="C17">
        <v>5.8091307109724093E-2</v>
      </c>
      <c r="D17">
        <v>1.108486039196214E-2</v>
      </c>
    </row>
    <row r="18" spans="1:4" x14ac:dyDescent="0.3">
      <c r="A18" s="2">
        <v>46009</v>
      </c>
      <c r="B18">
        <v>3.037567978891249E-2</v>
      </c>
      <c r="C18">
        <v>5.5424784966867882E-2</v>
      </c>
      <c r="D18">
        <v>1.120210202794219E-2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8"/>
  <sheetViews>
    <sheetView workbookViewId="0">
      <selection activeCell="S15" sqref="S15"/>
    </sheetView>
  </sheetViews>
  <sheetFormatPr defaultRowHeight="14.4" x14ac:dyDescent="0.3"/>
  <cols>
    <col min="1" max="1" width="18.109375" bestFit="1" customWidth="1"/>
  </cols>
  <sheetData>
    <row r="1" spans="1:4" x14ac:dyDescent="0.3">
      <c r="A1" s="1" t="s">
        <v>73</v>
      </c>
      <c r="B1" s="6" t="s">
        <v>91</v>
      </c>
      <c r="C1" s="6" t="s">
        <v>92</v>
      </c>
      <c r="D1" s="6" t="s">
        <v>12</v>
      </c>
    </row>
    <row r="2" spans="1:4" x14ac:dyDescent="0.3">
      <c r="A2" s="2">
        <v>45986</v>
      </c>
      <c r="B2">
        <v>1.935483870967732E-2</v>
      </c>
      <c r="C2">
        <v>4.7612135288140532E-2</v>
      </c>
      <c r="D2">
        <v>1.7378099968649158E-2</v>
      </c>
    </row>
    <row r="3" spans="1:4" x14ac:dyDescent="0.3">
      <c r="A3" s="2">
        <v>45987</v>
      </c>
      <c r="B3">
        <v>3.678551216751548E-2</v>
      </c>
      <c r="C3">
        <v>2.0243508874871578E-2</v>
      </c>
      <c r="D3">
        <v>9.8291518980991831E-3</v>
      </c>
    </row>
    <row r="4" spans="1:4" x14ac:dyDescent="0.3">
      <c r="A4" s="2">
        <v>45989</v>
      </c>
      <c r="B4">
        <v>5.5227882037533392E-2</v>
      </c>
      <c r="C4">
        <v>2.9428736295441321E-2</v>
      </c>
      <c r="D4">
        <v>5.8381776901773206E-3</v>
      </c>
    </row>
    <row r="5" spans="1:4" x14ac:dyDescent="0.3">
      <c r="A5" s="2">
        <v>45992</v>
      </c>
      <c r="B5">
        <v>4.9715173485240863E-2</v>
      </c>
      <c r="C5">
        <v>3.5758017492711423E-2</v>
      </c>
      <c r="D5">
        <v>6.8365508517306542E-3</v>
      </c>
    </row>
    <row r="6" spans="1:4" x14ac:dyDescent="0.3">
      <c r="A6" s="2">
        <v>45993</v>
      </c>
      <c r="B6">
        <v>3.0596634370219349E-2</v>
      </c>
      <c r="C6">
        <v>3.1988472622478357E-2</v>
      </c>
      <c r="D6">
        <v>6.5869832028985064E-3</v>
      </c>
    </row>
    <row r="7" spans="1:4" x14ac:dyDescent="0.3">
      <c r="A7" s="2">
        <v>45994</v>
      </c>
      <c r="B7">
        <v>1.835798062213154E-2</v>
      </c>
      <c r="C7">
        <v>4.5371796667133382E-2</v>
      </c>
      <c r="D7">
        <v>7.6333638863428652E-3</v>
      </c>
    </row>
    <row r="8" spans="1:4" x14ac:dyDescent="0.3">
      <c r="A8" s="2">
        <v>45995</v>
      </c>
      <c r="B8">
        <v>4.0441176470588223E-2</v>
      </c>
      <c r="C8">
        <v>3.2372568507738203E-2</v>
      </c>
      <c r="D8">
        <v>5.8882665517737036E-3</v>
      </c>
    </row>
    <row r="9" spans="1:4" x14ac:dyDescent="0.3">
      <c r="A9" s="2">
        <v>45996</v>
      </c>
      <c r="B9">
        <v>3.4394250513347109E-2</v>
      </c>
      <c r="C9">
        <v>0.22985974266836681</v>
      </c>
      <c r="D9">
        <v>5.8332236312840157E-3</v>
      </c>
    </row>
    <row r="10" spans="1:4" x14ac:dyDescent="0.3">
      <c r="A10" s="2">
        <v>45999</v>
      </c>
      <c r="B10">
        <v>1.393188854489162E-2</v>
      </c>
      <c r="C10">
        <v>5.4545454545454543E-2</v>
      </c>
      <c r="D10">
        <v>7.4161991502546152E-3</v>
      </c>
    </row>
    <row r="11" spans="1:4" x14ac:dyDescent="0.3">
      <c r="A11" s="2">
        <v>46000</v>
      </c>
      <c r="B11">
        <v>3.5874439461883532E-2</v>
      </c>
      <c r="C11">
        <v>4.9282663454167118E-2</v>
      </c>
      <c r="D11">
        <v>4.0996845944660572E-3</v>
      </c>
    </row>
    <row r="12" spans="1:4" x14ac:dyDescent="0.3">
      <c r="A12" s="7">
        <v>46001</v>
      </c>
      <c r="B12">
        <v>3.3609352167559559E-2</v>
      </c>
      <c r="C12">
        <v>3.5969302635969397E-2</v>
      </c>
      <c r="D12">
        <v>1.114005811443184E-2</v>
      </c>
    </row>
    <row r="13" spans="1:4" x14ac:dyDescent="0.3">
      <c r="A13" s="2">
        <v>46002</v>
      </c>
      <c r="B13">
        <v>3.5221323179438283E-2</v>
      </c>
      <c r="C13">
        <v>5.0643086816720223E-2</v>
      </c>
      <c r="D13">
        <v>1.027301568821504E-2</v>
      </c>
    </row>
    <row r="14" spans="1:4" x14ac:dyDescent="0.3">
      <c r="A14" s="2">
        <v>46003</v>
      </c>
      <c r="B14">
        <v>6.9117647058823548E-2</v>
      </c>
      <c r="C14">
        <v>7.7296700601005672E-2</v>
      </c>
      <c r="D14">
        <v>1.466860659270822E-2</v>
      </c>
    </row>
    <row r="15" spans="1:4" x14ac:dyDescent="0.3">
      <c r="A15" s="2">
        <v>46006</v>
      </c>
      <c r="B15">
        <v>3.9169419537517777E-2</v>
      </c>
      <c r="C15">
        <v>4.3184378520465673E-2</v>
      </c>
      <c r="D15">
        <v>9.5635339254247463E-3</v>
      </c>
    </row>
    <row r="16" spans="1:4" x14ac:dyDescent="0.3">
      <c r="A16" s="2">
        <v>46007</v>
      </c>
      <c r="B16">
        <v>1.706970128022774E-2</v>
      </c>
      <c r="C16">
        <v>4.0816326530612332E-2</v>
      </c>
      <c r="D16">
        <v>8.9854772703768723E-3</v>
      </c>
    </row>
    <row r="17" spans="1:4" x14ac:dyDescent="0.3">
      <c r="A17" s="2">
        <v>46008</v>
      </c>
      <c r="B17">
        <v>4.151459854014599E-2</v>
      </c>
      <c r="C17">
        <v>6.6949036753654753E-2</v>
      </c>
      <c r="D17">
        <v>1.376112526926212E-2</v>
      </c>
    </row>
    <row r="18" spans="1:4" x14ac:dyDescent="0.3">
      <c r="A18" s="2">
        <v>46009</v>
      </c>
      <c r="B18">
        <v>2.7777777777777839E-2</v>
      </c>
      <c r="C18">
        <v>4.7819786589382109E-2</v>
      </c>
      <c r="D18">
        <v>1.38062528447968E-2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8"/>
  <sheetViews>
    <sheetView workbookViewId="0"/>
  </sheetViews>
  <sheetFormatPr defaultRowHeight="14.4" x14ac:dyDescent="0.3"/>
  <sheetData>
    <row r="1" spans="1:3" x14ac:dyDescent="0.3">
      <c r="A1" s="1" t="s">
        <v>73</v>
      </c>
      <c r="B1" s="1" t="s">
        <v>91</v>
      </c>
      <c r="C1" s="1" t="s">
        <v>92</v>
      </c>
    </row>
    <row r="2" spans="1:3" x14ac:dyDescent="0.3">
      <c r="A2" s="2">
        <v>45986</v>
      </c>
      <c r="B2">
        <v>0.5</v>
      </c>
      <c r="C2">
        <v>0.5</v>
      </c>
    </row>
    <row r="3" spans="1:3" x14ac:dyDescent="0.3">
      <c r="A3" s="2">
        <v>45987</v>
      </c>
      <c r="B3">
        <v>0.5115540744755136</v>
      </c>
      <c r="C3">
        <v>0.48844592552448651</v>
      </c>
    </row>
    <row r="4" spans="1:3" x14ac:dyDescent="0.3">
      <c r="A4" s="2">
        <v>45989</v>
      </c>
      <c r="B4">
        <v>0.52085626794778217</v>
      </c>
      <c r="C4">
        <v>0.47914373205221777</v>
      </c>
    </row>
    <row r="5" spans="1:3" x14ac:dyDescent="0.3">
      <c r="A5" s="2">
        <v>45992</v>
      </c>
      <c r="B5">
        <v>0.53212851783148252</v>
      </c>
      <c r="C5">
        <v>0.46787148216851748</v>
      </c>
    </row>
    <row r="6" spans="1:3" x14ac:dyDescent="0.3">
      <c r="A6" s="2">
        <v>45993</v>
      </c>
      <c r="B6">
        <v>0.53308000712965797</v>
      </c>
      <c r="C6">
        <v>0.46691999287034203</v>
      </c>
    </row>
    <row r="7" spans="1:3" x14ac:dyDescent="0.3">
      <c r="A7" s="2">
        <v>45994</v>
      </c>
      <c r="B7">
        <v>0.5259672535444595</v>
      </c>
      <c r="C7">
        <v>0.47403274645554039</v>
      </c>
    </row>
    <row r="8" spans="1:3" x14ac:dyDescent="0.3">
      <c r="A8" s="2">
        <v>45995</v>
      </c>
      <c r="B8">
        <v>0.52205656277175394</v>
      </c>
      <c r="C8">
        <v>0.47794343722824589</v>
      </c>
    </row>
    <row r="9" spans="1:3" x14ac:dyDescent="0.3">
      <c r="A9" s="2">
        <v>45996</v>
      </c>
      <c r="B9">
        <v>0.47708287095147689</v>
      </c>
      <c r="C9">
        <v>0.52291712904852305</v>
      </c>
    </row>
    <row r="10" spans="1:3" x14ac:dyDescent="0.3">
      <c r="A10" s="2">
        <v>45999</v>
      </c>
      <c r="B10">
        <v>0.46775558578890541</v>
      </c>
      <c r="C10">
        <v>0.53224441421109459</v>
      </c>
    </row>
    <row r="11" spans="1:3" x14ac:dyDescent="0.3">
      <c r="A11" s="2">
        <v>46000</v>
      </c>
      <c r="B11">
        <v>0.47036643968829889</v>
      </c>
      <c r="C11">
        <v>0.52963356031170106</v>
      </c>
    </row>
    <row r="12" spans="1:3" x14ac:dyDescent="0.3">
      <c r="A12" s="2">
        <v>46001</v>
      </c>
      <c r="B12">
        <v>0.47987060735244041</v>
      </c>
      <c r="C12">
        <v>0.52012939264755964</v>
      </c>
    </row>
    <row r="13" spans="1:3" x14ac:dyDescent="0.3">
      <c r="A13" s="2">
        <v>46002</v>
      </c>
      <c r="B13">
        <v>0.49363337021142822</v>
      </c>
      <c r="C13">
        <v>0.50636662978857183</v>
      </c>
    </row>
    <row r="14" spans="1:3" x14ac:dyDescent="0.3">
      <c r="A14" s="2">
        <v>46003</v>
      </c>
      <c r="B14">
        <v>0.50273114184963563</v>
      </c>
      <c r="C14">
        <v>0.49726885815036448</v>
      </c>
    </row>
    <row r="15" spans="1:3" x14ac:dyDescent="0.3">
      <c r="A15" s="2">
        <v>46006</v>
      </c>
      <c r="B15">
        <v>0.51730296527493003</v>
      </c>
      <c r="C15">
        <v>0.48269703472506997</v>
      </c>
    </row>
    <row r="16" spans="1:3" x14ac:dyDescent="0.3">
      <c r="A16" s="2">
        <v>46007</v>
      </c>
      <c r="B16">
        <v>0.52238639986918134</v>
      </c>
      <c r="C16">
        <v>0.47761360013081872</v>
      </c>
    </row>
    <row r="17" spans="1:3" x14ac:dyDescent="0.3">
      <c r="A17" s="2">
        <v>46008</v>
      </c>
      <c r="B17">
        <v>0.54753141118921189</v>
      </c>
      <c r="C17">
        <v>0.452468588810788</v>
      </c>
    </row>
    <row r="18" spans="1:3" x14ac:dyDescent="0.3">
      <c r="A18" s="2">
        <v>46009</v>
      </c>
      <c r="B18">
        <v>0.53481997470069165</v>
      </c>
      <c r="C18">
        <v>0.46518002529930841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580"/>
  <sheetViews>
    <sheetView workbookViewId="0"/>
  </sheetViews>
  <sheetFormatPr defaultRowHeight="14.4" x14ac:dyDescent="0.3"/>
  <sheetData>
    <row r="1" spans="1:15" x14ac:dyDescent="0.3">
      <c r="A1" s="1" t="s">
        <v>90</v>
      </c>
      <c r="B1" s="1" t="s">
        <v>93</v>
      </c>
      <c r="C1" s="1" t="s">
        <v>94</v>
      </c>
      <c r="D1" s="1" t="s">
        <v>95</v>
      </c>
      <c r="E1" s="1" t="s">
        <v>96</v>
      </c>
      <c r="F1" s="1" t="s">
        <v>97</v>
      </c>
      <c r="G1" s="1" t="s">
        <v>98</v>
      </c>
      <c r="H1" s="1" t="s">
        <v>99</v>
      </c>
      <c r="I1" s="1" t="s">
        <v>100</v>
      </c>
      <c r="J1" s="1" t="s">
        <v>101</v>
      </c>
      <c r="K1" s="1" t="s">
        <v>102</v>
      </c>
      <c r="L1" s="1" t="s">
        <v>103</v>
      </c>
      <c r="M1" s="1" t="s">
        <v>104</v>
      </c>
      <c r="N1" s="1" t="s">
        <v>105</v>
      </c>
      <c r="O1" s="1" t="s">
        <v>106</v>
      </c>
    </row>
    <row r="2" spans="1:15" x14ac:dyDescent="0.3">
      <c r="A2" s="1" t="s">
        <v>107</v>
      </c>
      <c r="B2">
        <v>3.9055126093426842</v>
      </c>
      <c r="C2">
        <v>2.7270466639732739E-2</v>
      </c>
      <c r="D2">
        <v>2.293071906377862E-2</v>
      </c>
      <c r="E2">
        <v>44.39114115141254</v>
      </c>
      <c r="F2">
        <v>-1.9746883962244669E-2</v>
      </c>
      <c r="G2">
        <v>0.2</v>
      </c>
      <c r="H2">
        <v>8.183857387512522E-2</v>
      </c>
      <c r="I2">
        <v>0.89234958940523756</v>
      </c>
      <c r="J2">
        <v>-8.7343869487636949E-2</v>
      </c>
      <c r="K2">
        <v>2.0122659182699509E-2</v>
      </c>
      <c r="L2">
        <v>0</v>
      </c>
      <c r="M2">
        <v>220438919.0255</v>
      </c>
      <c r="N2">
        <v>0</v>
      </c>
      <c r="O2" t="b">
        <v>1</v>
      </c>
    </row>
    <row r="3" spans="1:15" x14ac:dyDescent="0.3">
      <c r="A3" s="1" t="s">
        <v>108</v>
      </c>
      <c r="B3">
        <v>1.730863234480472</v>
      </c>
      <c r="C3">
        <v>3.8773817976713081E-2</v>
      </c>
      <c r="D3">
        <v>4.502688172043022E-2</v>
      </c>
      <c r="E3">
        <v>66.977954886815894</v>
      </c>
      <c r="F3">
        <v>0.1508120649651972</v>
      </c>
      <c r="G3">
        <v>0.4</v>
      </c>
      <c r="H3">
        <v>0.15643230557937499</v>
      </c>
      <c r="I3">
        <v>2.451549327144765</v>
      </c>
      <c r="J3">
        <v>0</v>
      </c>
      <c r="K3">
        <v>2.6915113871635699E-2</v>
      </c>
      <c r="L3">
        <v>0</v>
      </c>
      <c r="M3">
        <v>185632165.61414999</v>
      </c>
      <c r="N3">
        <v>0</v>
      </c>
      <c r="O3" t="b">
        <v>1</v>
      </c>
    </row>
    <row r="4" spans="1:15" x14ac:dyDescent="0.3">
      <c r="A4" s="1" t="s">
        <v>109</v>
      </c>
      <c r="B4">
        <v>0.52416928477297098</v>
      </c>
      <c r="C4">
        <v>3.4621485123710112E-2</v>
      </c>
      <c r="D4">
        <v>2.8401585204755709E-2</v>
      </c>
      <c r="E4">
        <v>69.988494630866285</v>
      </c>
      <c r="F4">
        <v>0.13749060856498871</v>
      </c>
      <c r="G4">
        <v>0.8</v>
      </c>
      <c r="H4">
        <v>8.2039305827499728E-2</v>
      </c>
      <c r="I4">
        <v>1.4879445218237479</v>
      </c>
      <c r="J4">
        <v>0</v>
      </c>
      <c r="K4">
        <v>7.3186959414504038E-3</v>
      </c>
      <c r="L4">
        <v>0</v>
      </c>
      <c r="M4">
        <v>696133264</v>
      </c>
      <c r="N4">
        <v>0</v>
      </c>
      <c r="O4" t="b">
        <v>1</v>
      </c>
    </row>
    <row r="5" spans="1:15" x14ac:dyDescent="0.3">
      <c r="A5" s="1" t="s">
        <v>110</v>
      </c>
      <c r="B5">
        <v>4.556324650535597</v>
      </c>
      <c r="C5">
        <v>5.515463806482989E-2</v>
      </c>
      <c r="D5">
        <v>4.5151918653916039E-2</v>
      </c>
      <c r="E5">
        <v>33.40431699725012</v>
      </c>
      <c r="F5">
        <v>-0.21828573591476</v>
      </c>
      <c r="G5">
        <v>0.4</v>
      </c>
      <c r="H5">
        <v>-8.5352025759204801E-3</v>
      </c>
      <c r="I5">
        <v>1.864880833506366</v>
      </c>
      <c r="J5">
        <v>-0.2040659023027267</v>
      </c>
      <c r="K5">
        <v>1.1757501530924591E-2</v>
      </c>
      <c r="L5">
        <v>0</v>
      </c>
      <c r="M5">
        <v>76325204.423999995</v>
      </c>
      <c r="N5">
        <v>0</v>
      </c>
      <c r="O5" t="b">
        <v>0</v>
      </c>
    </row>
    <row r="6" spans="1:15" x14ac:dyDescent="0.3">
      <c r="A6" s="1" t="s">
        <v>111</v>
      </c>
      <c r="B6">
        <v>4.9559362025182558</v>
      </c>
      <c r="C6">
        <v>1.779388911535032E-2</v>
      </c>
      <c r="D6">
        <v>1.1869926288691201E-2</v>
      </c>
      <c r="E6">
        <v>58.820907636525469</v>
      </c>
      <c r="F6">
        <v>3.4701944438252808E-2</v>
      </c>
      <c r="G6">
        <v>0.2</v>
      </c>
      <c r="H6">
        <v>0.215713804529991</v>
      </c>
      <c r="I6">
        <v>0.89160997592055113</v>
      </c>
      <c r="J6">
        <v>-2.589167675100212E-2</v>
      </c>
      <c r="K6">
        <v>5.7705988350469362E-3</v>
      </c>
      <c r="L6">
        <v>0</v>
      </c>
      <c r="M6">
        <v>11112909724.613001</v>
      </c>
      <c r="N6">
        <v>0</v>
      </c>
      <c r="O6" t="b">
        <v>1</v>
      </c>
    </row>
    <row r="7" spans="1:15" x14ac:dyDescent="0.3">
      <c r="A7" s="1" t="s">
        <v>112</v>
      </c>
      <c r="B7">
        <v>5.0843942988432236</v>
      </c>
      <c r="C7">
        <v>2.276088287310683E-2</v>
      </c>
      <c r="D7">
        <v>2.211448498766691E-2</v>
      </c>
      <c r="E7">
        <v>47.574510847066428</v>
      </c>
      <c r="F7">
        <v>2.958555336369173E-2</v>
      </c>
      <c r="G7">
        <v>0.2</v>
      </c>
      <c r="H7">
        <v>-9.8802716932206956E-3</v>
      </c>
      <c r="I7">
        <v>3.8910613590646757E-2</v>
      </c>
      <c r="J7">
        <v>-4.6976458441769009E-2</v>
      </c>
      <c r="K7">
        <v>9.823244880430293E-3</v>
      </c>
      <c r="L7">
        <v>0</v>
      </c>
      <c r="M7">
        <v>1119136698.1860001</v>
      </c>
      <c r="N7">
        <v>0</v>
      </c>
      <c r="O7" t="b">
        <v>1</v>
      </c>
    </row>
    <row r="8" spans="1:15" x14ac:dyDescent="0.3">
      <c r="A8" s="1" t="s">
        <v>113</v>
      </c>
      <c r="B8">
        <v>5.9641488681479067E-2</v>
      </c>
      <c r="C8">
        <v>2.4343464767950639E-2</v>
      </c>
      <c r="D8">
        <v>3.265306122448982E-2</v>
      </c>
      <c r="E8">
        <v>47.892650267538322</v>
      </c>
      <c r="F8">
        <v>4.098360655737876E-3</v>
      </c>
      <c r="G8">
        <v>0.2</v>
      </c>
      <c r="H8">
        <v>2.44359354380859E-2</v>
      </c>
      <c r="I8">
        <v>0.17311675030105461</v>
      </c>
      <c r="J8">
        <v>-6.4885496183206048E-2</v>
      </c>
      <c r="K8">
        <v>-8.0971659919027994E-3</v>
      </c>
      <c r="L8">
        <v>0</v>
      </c>
      <c r="M8">
        <v>70374169.194124997</v>
      </c>
      <c r="N8">
        <v>0</v>
      </c>
      <c r="O8" t="b">
        <v>0</v>
      </c>
    </row>
    <row r="9" spans="1:15" x14ac:dyDescent="0.3">
      <c r="A9" s="1" t="s">
        <v>114</v>
      </c>
      <c r="B9">
        <v>3.352475953346636</v>
      </c>
      <c r="C9">
        <v>2.627950108447626E-2</v>
      </c>
      <c r="D9">
        <v>3.4255702751430743E-2</v>
      </c>
      <c r="E9">
        <v>63.931647605880947</v>
      </c>
      <c r="F9">
        <v>6.1314475873543987E-2</v>
      </c>
      <c r="G9">
        <v>0.8</v>
      </c>
      <c r="H9">
        <v>-6.8157810899680902E-3</v>
      </c>
      <c r="I9">
        <v>0.917589679979392</v>
      </c>
      <c r="J9">
        <v>0</v>
      </c>
      <c r="K9">
        <v>1.7385756439907359E-2</v>
      </c>
      <c r="L9">
        <v>0</v>
      </c>
      <c r="M9">
        <v>567842690</v>
      </c>
      <c r="N9">
        <v>0</v>
      </c>
      <c r="O9" t="b">
        <v>1</v>
      </c>
    </row>
    <row r="10" spans="1:15" x14ac:dyDescent="0.3">
      <c r="A10" s="1" t="s">
        <v>115</v>
      </c>
      <c r="B10">
        <v>2.4941003835907072</v>
      </c>
      <c r="C10">
        <v>2.04548468293041E-2</v>
      </c>
      <c r="D10">
        <v>1.950267362136273E-2</v>
      </c>
      <c r="E10">
        <v>38.277863750818582</v>
      </c>
      <c r="F10">
        <v>-2.6537650890975258E-2</v>
      </c>
      <c r="G10">
        <v>0.4</v>
      </c>
      <c r="H10">
        <v>-0.14723369075157919</v>
      </c>
      <c r="I10">
        <v>0.1423132981480586</v>
      </c>
      <c r="J10">
        <v>-6.1570667733891422E-2</v>
      </c>
      <c r="K10">
        <v>1.071792703852004E-2</v>
      </c>
      <c r="L10">
        <v>0</v>
      </c>
      <c r="M10">
        <v>737553806.90250003</v>
      </c>
      <c r="N10">
        <v>0</v>
      </c>
      <c r="O10" t="b">
        <v>1</v>
      </c>
    </row>
    <row r="11" spans="1:15" x14ac:dyDescent="0.3">
      <c r="A11" s="1" t="s">
        <v>116</v>
      </c>
      <c r="B11">
        <v>6.8259867551984144</v>
      </c>
      <c r="C11">
        <v>5.3524557007750453E-2</v>
      </c>
      <c r="D11">
        <v>0.12114796518466241</v>
      </c>
      <c r="E11">
        <v>66.012456884965587</v>
      </c>
      <c r="F11">
        <v>0.2017527327553712</v>
      </c>
      <c r="G11">
        <v>0.8</v>
      </c>
      <c r="H11">
        <v>0.18238055485831861</v>
      </c>
      <c r="I11">
        <v>-0.45758647630304933</v>
      </c>
      <c r="J11">
        <v>-5.45894096545263E-3</v>
      </c>
      <c r="K11">
        <v>3.6492197659297787E-2</v>
      </c>
      <c r="L11">
        <v>0</v>
      </c>
      <c r="M11">
        <v>2908489</v>
      </c>
      <c r="N11">
        <v>1</v>
      </c>
      <c r="O11" t="b">
        <v>0</v>
      </c>
    </row>
    <row r="12" spans="1:15" x14ac:dyDescent="0.3">
      <c r="A12" s="1" t="s">
        <v>117</v>
      </c>
      <c r="B12">
        <v>1.540098242520713</v>
      </c>
      <c r="C12">
        <v>1.6782153672449739E-2</v>
      </c>
      <c r="D12">
        <v>1.6781083142639271E-2</v>
      </c>
      <c r="E12">
        <v>51.900952179492833</v>
      </c>
      <c r="F12">
        <v>2.2051453391246149E-2</v>
      </c>
      <c r="G12">
        <v>0.2</v>
      </c>
      <c r="H12">
        <v>-5.1404764248831572E-2</v>
      </c>
      <c r="I12">
        <v>-0.18144751251750449</v>
      </c>
      <c r="J12">
        <v>-2.7860169491525481E-2</v>
      </c>
      <c r="K12">
        <v>-1.6318537859008051E-3</v>
      </c>
      <c r="L12">
        <v>0</v>
      </c>
      <c r="M12">
        <v>163032223</v>
      </c>
      <c r="N12">
        <v>0</v>
      </c>
      <c r="O12" t="b">
        <v>1</v>
      </c>
    </row>
    <row r="13" spans="1:15" x14ac:dyDescent="0.3">
      <c r="A13" s="1" t="s">
        <v>118</v>
      </c>
      <c r="B13">
        <v>0.39119560180798763</v>
      </c>
      <c r="C13">
        <v>2.3132612016320001E-2</v>
      </c>
      <c r="D13">
        <v>2.8726864171249551E-2</v>
      </c>
      <c r="E13">
        <v>36.619366460031102</v>
      </c>
      <c r="F13">
        <v>-2.4031303022957862E-2</v>
      </c>
      <c r="G13">
        <v>0.2</v>
      </c>
      <c r="H13">
        <v>-8.3554093063878718E-2</v>
      </c>
      <c r="I13">
        <v>1.4961669546802789E-2</v>
      </c>
      <c r="J13">
        <v>-6.9290038525041342E-2</v>
      </c>
      <c r="K13">
        <v>-9.8714255603173928E-3</v>
      </c>
      <c r="L13">
        <v>0</v>
      </c>
      <c r="M13">
        <v>115652883.21070001</v>
      </c>
      <c r="N13">
        <v>0</v>
      </c>
      <c r="O13" t="b">
        <v>1</v>
      </c>
    </row>
    <row r="14" spans="1:15" x14ac:dyDescent="0.3">
      <c r="A14" s="1" t="s">
        <v>119</v>
      </c>
      <c r="B14">
        <v>3.2951167792845419</v>
      </c>
      <c r="C14">
        <v>3.3350540515518758E-2</v>
      </c>
      <c r="D14">
        <v>3.188077224766582E-2</v>
      </c>
      <c r="E14">
        <v>22.84295871300078</v>
      </c>
      <c r="F14">
        <v>-0.24152688749856049</v>
      </c>
      <c r="G14">
        <v>0.2</v>
      </c>
      <c r="H14">
        <v>-0.2264358899050451</v>
      </c>
      <c r="I14">
        <v>0.88888501133104203</v>
      </c>
      <c r="J14">
        <v>-0.25926828354012821</v>
      </c>
      <c r="K14">
        <v>-1.1469861099021589E-2</v>
      </c>
      <c r="L14">
        <v>0</v>
      </c>
      <c r="M14">
        <v>94843482.583550006</v>
      </c>
      <c r="N14">
        <v>0</v>
      </c>
      <c r="O14" t="b">
        <v>1</v>
      </c>
    </row>
    <row r="15" spans="1:15" x14ac:dyDescent="0.3">
      <c r="A15" s="1" t="s">
        <v>120</v>
      </c>
      <c r="B15">
        <v>6.7722336754356807</v>
      </c>
      <c r="C15">
        <v>2.4877796177487619E-2</v>
      </c>
      <c r="D15">
        <v>2.0534861509073452E-2</v>
      </c>
      <c r="E15">
        <v>67.022151272543141</v>
      </c>
      <c r="F15">
        <v>0.11314659578818249</v>
      </c>
      <c r="G15">
        <v>0.4</v>
      </c>
      <c r="H15">
        <v>6.548404468001133E-2</v>
      </c>
      <c r="I15">
        <v>0.84456470242771864</v>
      </c>
      <c r="J15">
        <v>-2.308960967564611E-3</v>
      </c>
      <c r="K15">
        <v>9.9803361406896052E-3</v>
      </c>
      <c r="L15">
        <v>0</v>
      </c>
      <c r="M15">
        <v>975432946.75200009</v>
      </c>
      <c r="N15">
        <v>0</v>
      </c>
      <c r="O15" t="b">
        <v>1</v>
      </c>
    </row>
    <row r="16" spans="1:15" x14ac:dyDescent="0.3">
      <c r="A16" s="1" t="s">
        <v>121</v>
      </c>
      <c r="B16">
        <v>1.3931617158906531</v>
      </c>
      <c r="C16">
        <v>9.8417708602295401E-3</v>
      </c>
      <c r="D16">
        <v>1.1274689875385029E-2</v>
      </c>
      <c r="E16">
        <v>61.649809922370871</v>
      </c>
      <c r="F16">
        <v>8.6143629717772008E-3</v>
      </c>
      <c r="G16">
        <v>0.6</v>
      </c>
      <c r="H16">
        <v>-3.0902320039050801E-2</v>
      </c>
      <c r="I16">
        <v>0.95089915033756345</v>
      </c>
      <c r="J16">
        <v>0</v>
      </c>
      <c r="K16">
        <v>8.118732907930859E-3</v>
      </c>
      <c r="L16">
        <v>0</v>
      </c>
      <c r="M16">
        <v>341976001.46399999</v>
      </c>
      <c r="N16">
        <v>0</v>
      </c>
      <c r="O16" t="b">
        <v>1</v>
      </c>
    </row>
    <row r="17" spans="1:15" x14ac:dyDescent="0.3">
      <c r="A17" s="1" t="s">
        <v>122</v>
      </c>
      <c r="B17">
        <v>0.57073595769804497</v>
      </c>
      <c r="C17">
        <v>8.5980237646945071E-3</v>
      </c>
      <c r="D17">
        <v>1.2753860731938569E-2</v>
      </c>
      <c r="E17">
        <v>62.316289722931018</v>
      </c>
      <c r="F17">
        <v>9.4313082328540965E-3</v>
      </c>
      <c r="G17">
        <v>0.6</v>
      </c>
      <c r="H17">
        <v>-1.212831175318348E-2</v>
      </c>
      <c r="I17">
        <v>0.82142108412318515</v>
      </c>
      <c r="J17">
        <v>-2.9668853426823022E-4</v>
      </c>
      <c r="K17">
        <v>1.124744064739458E-2</v>
      </c>
      <c r="L17">
        <v>0</v>
      </c>
      <c r="M17">
        <v>63924838.12985</v>
      </c>
      <c r="N17">
        <v>0</v>
      </c>
      <c r="O17" t="b">
        <v>0</v>
      </c>
    </row>
    <row r="18" spans="1:15" x14ac:dyDescent="0.3">
      <c r="A18" s="1" t="s">
        <v>123</v>
      </c>
      <c r="B18">
        <v>8.7658678608664857</v>
      </c>
      <c r="C18">
        <v>2.5546783612235849E-2</v>
      </c>
      <c r="D18">
        <v>2.1420452889575451E-2</v>
      </c>
      <c r="E18">
        <v>58.879976228588902</v>
      </c>
      <c r="F18">
        <v>4.3424053519841799E-2</v>
      </c>
      <c r="G18">
        <v>0.6</v>
      </c>
      <c r="H18">
        <v>-5.6232479959296401E-2</v>
      </c>
      <c r="I18">
        <v>0.74974687243324167</v>
      </c>
      <c r="J18">
        <v>-9.0394501241841674E-3</v>
      </c>
      <c r="K18">
        <v>-3.4560873605947728E-3</v>
      </c>
      <c r="L18">
        <v>0</v>
      </c>
      <c r="M18">
        <v>1330194601.5</v>
      </c>
      <c r="N18">
        <v>0</v>
      </c>
      <c r="O18" t="b">
        <v>1</v>
      </c>
    </row>
    <row r="19" spans="1:15" x14ac:dyDescent="0.3">
      <c r="A19" s="1" t="s">
        <v>124</v>
      </c>
      <c r="B19">
        <v>1.0205514351474481</v>
      </c>
      <c r="C19">
        <v>1.4420576866737519E-2</v>
      </c>
      <c r="D19">
        <v>1.0524159077581729E-2</v>
      </c>
      <c r="E19">
        <v>33.241873782092803</v>
      </c>
      <c r="F19">
        <v>-2.6156130411868261E-2</v>
      </c>
      <c r="G19">
        <v>0</v>
      </c>
      <c r="H19">
        <v>-9.8827759854561978E-2</v>
      </c>
      <c r="I19">
        <v>-4.6895139700380228E-2</v>
      </c>
      <c r="J19">
        <v>-5.2645599324260162E-2</v>
      </c>
      <c r="K19">
        <v>-5.6065369113489361E-4</v>
      </c>
      <c r="L19">
        <v>0</v>
      </c>
      <c r="M19">
        <v>74836857.78639999</v>
      </c>
      <c r="N19">
        <v>0</v>
      </c>
      <c r="O19" t="b">
        <v>0</v>
      </c>
    </row>
    <row r="20" spans="1:15" x14ac:dyDescent="0.3">
      <c r="A20" s="1" t="s">
        <v>125</v>
      </c>
      <c r="B20">
        <v>7.1721284950618012</v>
      </c>
      <c r="C20">
        <v>2.5551686712654849E-2</v>
      </c>
      <c r="D20">
        <v>2.8910795144839019E-2</v>
      </c>
      <c r="E20">
        <v>73.200446781433158</v>
      </c>
      <c r="F20">
        <v>0.21794916298565489</v>
      </c>
      <c r="G20">
        <v>0.4</v>
      </c>
      <c r="H20">
        <v>9.5335992275599774E-2</v>
      </c>
      <c r="I20">
        <v>1.682380159381718</v>
      </c>
      <c r="J20">
        <v>0</v>
      </c>
      <c r="K20">
        <v>1.9293480234441329E-2</v>
      </c>
      <c r="L20">
        <v>0</v>
      </c>
      <c r="M20">
        <v>760696707.07400012</v>
      </c>
      <c r="N20">
        <v>0</v>
      </c>
      <c r="O20" t="b">
        <v>1</v>
      </c>
    </row>
    <row r="21" spans="1:15" x14ac:dyDescent="0.3">
      <c r="A21" s="1" t="s">
        <v>126</v>
      </c>
      <c r="B21">
        <v>1.5098976101050821</v>
      </c>
      <c r="C21">
        <v>2.6134325872228789E-2</v>
      </c>
      <c r="D21">
        <v>3.1266389150922919E-2</v>
      </c>
      <c r="E21">
        <v>44.187293463448299</v>
      </c>
      <c r="F21">
        <v>4.8223221316264109E-2</v>
      </c>
      <c r="G21">
        <v>0.4</v>
      </c>
      <c r="H21">
        <v>-7.0751709854627143E-2</v>
      </c>
      <c r="I21">
        <v>-0.19851508466392301</v>
      </c>
      <c r="J21">
        <v>-4.1653396499329857E-2</v>
      </c>
      <c r="K21">
        <v>2.4099688387040348E-3</v>
      </c>
      <c r="L21">
        <v>0</v>
      </c>
      <c r="M21">
        <v>177902422.67039999</v>
      </c>
      <c r="N21">
        <v>0</v>
      </c>
      <c r="O21" t="b">
        <v>1</v>
      </c>
    </row>
    <row r="22" spans="1:15" x14ac:dyDescent="0.3">
      <c r="A22" s="1" t="s">
        <v>127</v>
      </c>
      <c r="B22">
        <v>4.2566721127712013</v>
      </c>
      <c r="C22">
        <v>1.6519602725813241E-2</v>
      </c>
      <c r="D22">
        <v>1.24187927381109E-2</v>
      </c>
      <c r="E22">
        <v>49.386727400861567</v>
      </c>
      <c r="F22">
        <v>2.0782163626855921E-2</v>
      </c>
      <c r="G22">
        <v>0.4</v>
      </c>
      <c r="H22">
        <v>-0.22040387051226301</v>
      </c>
      <c r="I22">
        <v>0.27236223659088332</v>
      </c>
      <c r="J22">
        <v>-8.7555299095980477E-3</v>
      </c>
      <c r="K22">
        <v>4.2950906568135494E-3</v>
      </c>
      <c r="L22">
        <v>0</v>
      </c>
      <c r="M22">
        <v>495731700.50400001</v>
      </c>
      <c r="N22">
        <v>0</v>
      </c>
      <c r="O22" t="b">
        <v>1</v>
      </c>
    </row>
    <row r="23" spans="1:15" x14ac:dyDescent="0.3">
      <c r="A23" s="1" t="s">
        <v>128</v>
      </c>
      <c r="B23">
        <v>7.0396663677991986</v>
      </c>
      <c r="C23">
        <v>2.345773531422592E-2</v>
      </c>
      <c r="D23">
        <v>2.3892035988004049E-2</v>
      </c>
      <c r="E23">
        <v>48.079315332438028</v>
      </c>
      <c r="F23">
        <v>4.6197107659347036E-3</v>
      </c>
      <c r="G23">
        <v>0.2</v>
      </c>
      <c r="H23">
        <v>-0.1776780944639097</v>
      </c>
      <c r="I23">
        <v>0.84561562630408182</v>
      </c>
      <c r="J23">
        <v>-3.2715551974214267E-2</v>
      </c>
      <c r="K23">
        <v>-2.161263507896805E-3</v>
      </c>
      <c r="L23">
        <v>0</v>
      </c>
      <c r="M23">
        <v>395505825</v>
      </c>
      <c r="N23">
        <v>0</v>
      </c>
      <c r="O23" t="b">
        <v>1</v>
      </c>
    </row>
    <row r="24" spans="1:15" x14ac:dyDescent="0.3">
      <c r="A24" s="1" t="s">
        <v>129</v>
      </c>
      <c r="B24">
        <v>0.15737918866017911</v>
      </c>
      <c r="C24">
        <v>1.9562360305802249E-2</v>
      </c>
      <c r="D24">
        <v>2.098694841516463E-2</v>
      </c>
      <c r="E24">
        <v>46.899333371635763</v>
      </c>
      <c r="F24">
        <v>-3.6904938822014399E-3</v>
      </c>
      <c r="G24">
        <v>0.4</v>
      </c>
      <c r="H24">
        <v>-0.14149723336281469</v>
      </c>
      <c r="I24">
        <v>0.81526727062902338</v>
      </c>
      <c r="J24">
        <v>-3.3413031202316423E-2</v>
      </c>
      <c r="K24">
        <v>1.249987414544762E-2</v>
      </c>
      <c r="L24">
        <v>0</v>
      </c>
      <c r="M24">
        <v>81047659.340865001</v>
      </c>
      <c r="N24">
        <v>0</v>
      </c>
      <c r="O24" t="b">
        <v>0</v>
      </c>
    </row>
    <row r="25" spans="1:15" x14ac:dyDescent="0.3">
      <c r="A25" s="1" t="s">
        <v>130</v>
      </c>
      <c r="B25">
        <v>1.5457514218003869</v>
      </c>
      <c r="C25">
        <v>1.581007897924094E-2</v>
      </c>
      <c r="D25">
        <v>1.1660018410555389E-2</v>
      </c>
      <c r="E25">
        <v>30.290417051259201</v>
      </c>
      <c r="F25">
        <v>-5.6219472170202837E-2</v>
      </c>
      <c r="G25">
        <v>0</v>
      </c>
      <c r="H25">
        <v>-8.5081286555740404E-2</v>
      </c>
      <c r="I25">
        <v>-3.9449677505201458E-3</v>
      </c>
      <c r="J25">
        <v>-7.4060043564731615E-2</v>
      </c>
      <c r="K25">
        <v>-5.7962172056132974E-3</v>
      </c>
      <c r="L25">
        <v>0</v>
      </c>
      <c r="M25">
        <v>155664990.759</v>
      </c>
      <c r="N25">
        <v>0</v>
      </c>
      <c r="O25" t="b">
        <v>1</v>
      </c>
    </row>
    <row r="26" spans="1:15" x14ac:dyDescent="0.3">
      <c r="A26" s="1" t="s">
        <v>131</v>
      </c>
      <c r="B26">
        <v>0.1770615811138187</v>
      </c>
      <c r="C26">
        <v>2.455777824047416E-2</v>
      </c>
      <c r="D26">
        <v>0.11095700416088761</v>
      </c>
      <c r="E26">
        <v>34.056457723067467</v>
      </c>
      <c r="F26">
        <v>-5.7516339869281063E-2</v>
      </c>
      <c r="G26">
        <v>0.2</v>
      </c>
      <c r="H26">
        <v>-9.8613064621634161E-2</v>
      </c>
      <c r="I26">
        <v>0.30113364957019068</v>
      </c>
      <c r="J26">
        <v>-0.10099750623441391</v>
      </c>
      <c r="K26">
        <v>-8.6185044359949226E-2</v>
      </c>
      <c r="L26">
        <v>0</v>
      </c>
      <c r="M26">
        <v>41359519.457774997</v>
      </c>
      <c r="N26">
        <v>0</v>
      </c>
      <c r="O26" t="b">
        <v>0</v>
      </c>
    </row>
    <row r="27" spans="1:15" x14ac:dyDescent="0.3">
      <c r="A27" s="1" t="s">
        <v>132</v>
      </c>
      <c r="B27">
        <v>8.6672912899329244</v>
      </c>
      <c r="C27">
        <v>3.9147126687230638E-2</v>
      </c>
      <c r="D27">
        <v>2.934919581035483E-2</v>
      </c>
      <c r="E27">
        <v>64.168049638788887</v>
      </c>
      <c r="F27">
        <v>1.0409726088662859E-2</v>
      </c>
      <c r="G27">
        <v>0.8</v>
      </c>
      <c r="H27">
        <v>0.17337269364511121</v>
      </c>
      <c r="I27">
        <v>2.558466600809882</v>
      </c>
      <c r="J27">
        <v>-1.7133865084338899E-3</v>
      </c>
      <c r="K27">
        <v>9.0414686961737267E-4</v>
      </c>
      <c r="L27">
        <v>0</v>
      </c>
      <c r="M27">
        <v>42176439.7095</v>
      </c>
      <c r="N27">
        <v>1</v>
      </c>
      <c r="O27" t="b">
        <v>0</v>
      </c>
    </row>
    <row r="28" spans="1:15" x14ac:dyDescent="0.3">
      <c r="A28" s="1" t="s">
        <v>133</v>
      </c>
      <c r="B28">
        <v>5.5986451875976808</v>
      </c>
      <c r="C28">
        <v>3.4176424693544469E-2</v>
      </c>
      <c r="D28">
        <v>3.7053767641744353E-2</v>
      </c>
      <c r="E28">
        <v>46.979898408876558</v>
      </c>
      <c r="F28">
        <v>-2.044428498819029E-2</v>
      </c>
      <c r="G28">
        <v>0.4</v>
      </c>
      <c r="H28">
        <v>2.5304606606796572E-2</v>
      </c>
      <c r="I28">
        <v>0.95860253707764542</v>
      </c>
      <c r="J28">
        <v>-5.7005854281914958E-2</v>
      </c>
      <c r="K28">
        <v>-1.3055553882024061E-2</v>
      </c>
      <c r="L28">
        <v>0</v>
      </c>
      <c r="M28">
        <v>329279155.23890001</v>
      </c>
      <c r="N28">
        <v>0</v>
      </c>
      <c r="O28" t="b">
        <v>1</v>
      </c>
    </row>
    <row r="29" spans="1:15" x14ac:dyDescent="0.3">
      <c r="A29" s="1" t="s">
        <v>134</v>
      </c>
      <c r="B29">
        <v>1.9878957037519771</v>
      </c>
      <c r="C29">
        <v>1.755099328782294E-2</v>
      </c>
      <c r="D29">
        <v>2.4703347930498679E-2</v>
      </c>
      <c r="E29">
        <v>33.274754623275072</v>
      </c>
      <c r="F29">
        <v>-6.8544971586937509E-2</v>
      </c>
      <c r="G29">
        <v>0.2</v>
      </c>
      <c r="H29">
        <v>1.3775265654771199E-2</v>
      </c>
      <c r="I29">
        <v>0.15428256331337489</v>
      </c>
      <c r="J29">
        <v>-7.7647212110847907E-2</v>
      </c>
      <c r="K29">
        <v>-1.6455509339261432E-2</v>
      </c>
      <c r="L29">
        <v>0</v>
      </c>
      <c r="M29">
        <v>328539743.25779998</v>
      </c>
      <c r="N29">
        <v>0</v>
      </c>
      <c r="O29" t="b">
        <v>1</v>
      </c>
    </row>
    <row r="30" spans="1:15" x14ac:dyDescent="0.3">
      <c r="A30" s="1" t="s">
        <v>135</v>
      </c>
      <c r="B30">
        <v>2.5837939152275</v>
      </c>
      <c r="C30">
        <v>1.8537367650484641E-2</v>
      </c>
      <c r="D30">
        <v>1.3595632178959999E-2</v>
      </c>
      <c r="E30">
        <v>66.355165144214283</v>
      </c>
      <c r="F30">
        <v>2.5606498752787091E-2</v>
      </c>
      <c r="G30">
        <v>0.8</v>
      </c>
      <c r="H30">
        <v>7.9005064959803667E-2</v>
      </c>
      <c r="I30">
        <v>0.568959279596572</v>
      </c>
      <c r="J30">
        <v>-1.6474110577094909E-3</v>
      </c>
      <c r="K30">
        <v>4.2347334271197751E-4</v>
      </c>
      <c r="L30">
        <v>0</v>
      </c>
      <c r="M30">
        <v>144455337.77500001</v>
      </c>
      <c r="N30">
        <v>0</v>
      </c>
      <c r="O30" t="b">
        <v>1</v>
      </c>
    </row>
    <row r="31" spans="1:15" x14ac:dyDescent="0.3">
      <c r="A31" s="1" t="s">
        <v>136</v>
      </c>
      <c r="B31">
        <v>0.36733925469447071</v>
      </c>
      <c r="C31">
        <v>2.661878657206309E-2</v>
      </c>
      <c r="D31">
        <v>2.5362318840579681E-2</v>
      </c>
      <c r="E31">
        <v>47.548578781293173</v>
      </c>
      <c r="F31">
        <v>-2.885292047853627E-2</v>
      </c>
      <c r="G31">
        <v>0.4</v>
      </c>
      <c r="H31">
        <v>3.4377800734687318E-2</v>
      </c>
      <c r="I31">
        <v>1.122214611284579</v>
      </c>
      <c r="J31">
        <v>-3.2936229852838061E-2</v>
      </c>
      <c r="K31">
        <v>-1.146131805157591E-2</v>
      </c>
      <c r="L31">
        <v>0</v>
      </c>
      <c r="M31">
        <v>140542355.38620001</v>
      </c>
      <c r="N31">
        <v>0</v>
      </c>
      <c r="O31" t="b">
        <v>1</v>
      </c>
    </row>
    <row r="32" spans="1:15" x14ac:dyDescent="0.3">
      <c r="A32" s="1" t="s">
        <v>137</v>
      </c>
      <c r="B32">
        <v>2.6912917154149851</v>
      </c>
      <c r="C32">
        <v>2.0601613008879589E-2</v>
      </c>
      <c r="D32">
        <v>1.0594404256133611E-2</v>
      </c>
      <c r="E32">
        <v>43.436385948229287</v>
      </c>
      <c r="F32">
        <v>-5.1286520403494677E-2</v>
      </c>
      <c r="G32">
        <v>0.6</v>
      </c>
      <c r="H32">
        <v>-7.9801645714818736E-2</v>
      </c>
      <c r="I32">
        <v>0.19406589168222649</v>
      </c>
      <c r="J32">
        <v>-5.7508332972598608E-2</v>
      </c>
      <c r="K32">
        <v>1.878978449267654E-3</v>
      </c>
      <c r="L32">
        <v>0</v>
      </c>
      <c r="M32">
        <v>57088644.625</v>
      </c>
      <c r="N32">
        <v>0</v>
      </c>
      <c r="O32" t="b">
        <v>0</v>
      </c>
    </row>
    <row r="33" spans="1:15" x14ac:dyDescent="0.3">
      <c r="A33" s="1" t="s">
        <v>138</v>
      </c>
      <c r="B33">
        <v>1.587319003128123</v>
      </c>
      <c r="C33">
        <v>1.4887210105963279E-2</v>
      </c>
      <c r="D33">
        <v>1.213621826435194E-2</v>
      </c>
      <c r="E33">
        <v>37.254713149120427</v>
      </c>
      <c r="F33">
        <v>-5.1337716761720047E-2</v>
      </c>
      <c r="G33">
        <v>0.4</v>
      </c>
      <c r="H33">
        <v>-6.6852382144240344E-2</v>
      </c>
      <c r="I33">
        <v>-0.14578305462636859</v>
      </c>
      <c r="J33">
        <v>-6.3132644453816944E-2</v>
      </c>
      <c r="K33">
        <v>-7.6873679606138667E-3</v>
      </c>
      <c r="L33">
        <v>0</v>
      </c>
      <c r="M33">
        <v>209318077.59799999</v>
      </c>
      <c r="N33">
        <v>0</v>
      </c>
      <c r="O33" t="b">
        <v>1</v>
      </c>
    </row>
    <row r="34" spans="1:15" x14ac:dyDescent="0.3">
      <c r="A34" s="1" t="s">
        <v>139</v>
      </c>
      <c r="B34">
        <v>3.5503892943966999</v>
      </c>
      <c r="C34">
        <v>5.0104280191881172E-2</v>
      </c>
      <c r="D34">
        <v>4.4171605983629833E-2</v>
      </c>
      <c r="E34">
        <v>52.201381910228299</v>
      </c>
      <c r="F34">
        <v>-6.8734393481403644E-2</v>
      </c>
      <c r="G34">
        <v>0.6</v>
      </c>
      <c r="H34">
        <v>-6.5078811521807459E-2</v>
      </c>
      <c r="I34">
        <v>3.1551532046565152</v>
      </c>
      <c r="J34">
        <v>-0.10246991766941101</v>
      </c>
      <c r="K34">
        <v>3.5662087109032507E-2</v>
      </c>
      <c r="L34">
        <v>0</v>
      </c>
      <c r="M34">
        <v>364610006</v>
      </c>
      <c r="N34">
        <v>0</v>
      </c>
      <c r="O34" t="b">
        <v>1</v>
      </c>
    </row>
    <row r="35" spans="1:15" x14ac:dyDescent="0.3">
      <c r="A35" s="1" t="s">
        <v>140</v>
      </c>
      <c r="B35">
        <v>0.89559477772236207</v>
      </c>
      <c r="C35">
        <v>5.7095166245209883E-2</v>
      </c>
      <c r="D35">
        <v>6.7557057248501931E-2</v>
      </c>
      <c r="E35">
        <v>64.782884183303722</v>
      </c>
      <c r="F35">
        <v>0.32071500138925152</v>
      </c>
      <c r="G35">
        <v>0.6</v>
      </c>
      <c r="H35">
        <v>0.14828713425795539</v>
      </c>
      <c r="I35">
        <v>2.5702500950857168</v>
      </c>
      <c r="J35">
        <v>-1.382505862604444E-2</v>
      </c>
      <c r="K35">
        <v>1.8836061314627232E-2</v>
      </c>
      <c r="L35">
        <v>0</v>
      </c>
      <c r="M35">
        <v>142861790.811795</v>
      </c>
      <c r="N35">
        <v>0</v>
      </c>
      <c r="O35" t="b">
        <v>1</v>
      </c>
    </row>
    <row r="36" spans="1:15" x14ac:dyDescent="0.3">
      <c r="A36" s="1" t="s">
        <v>141</v>
      </c>
      <c r="B36">
        <v>3.432597385168902</v>
      </c>
      <c r="C36">
        <v>3.1826333609962558E-2</v>
      </c>
      <c r="D36">
        <v>5.0707437832625657E-2</v>
      </c>
      <c r="E36">
        <v>55.461292306687348</v>
      </c>
      <c r="F36">
        <v>2.98979211825483E-2</v>
      </c>
      <c r="G36">
        <v>0.4</v>
      </c>
      <c r="H36">
        <v>-4.2531069533944102E-2</v>
      </c>
      <c r="I36">
        <v>0.93286307646650457</v>
      </c>
      <c r="J36">
        <v>-2.7360940769064371E-2</v>
      </c>
      <c r="K36">
        <v>3.912595261722851E-2</v>
      </c>
      <c r="L36">
        <v>0</v>
      </c>
      <c r="M36">
        <v>77457086.112949997</v>
      </c>
      <c r="N36">
        <v>1</v>
      </c>
      <c r="O36" t="b">
        <v>0</v>
      </c>
    </row>
    <row r="37" spans="1:15" x14ac:dyDescent="0.3">
      <c r="A37" s="1" t="s">
        <v>142</v>
      </c>
      <c r="B37">
        <v>0.26908754400712193</v>
      </c>
      <c r="C37">
        <v>2.7055993115245361E-3</v>
      </c>
      <c r="D37">
        <v>3.6961142537691128E-3</v>
      </c>
      <c r="E37">
        <v>51.268926034587182</v>
      </c>
      <c r="F37">
        <v>2.642304904444392E-3</v>
      </c>
      <c r="G37">
        <v>0.2</v>
      </c>
      <c r="H37">
        <v>-9.0171186066214312E-2</v>
      </c>
      <c r="I37">
        <v>4.4065643438325926E-3</v>
      </c>
      <c r="J37">
        <v>-5.3017475464041119E-3</v>
      </c>
      <c r="K37">
        <v>3.2066444820799682E-3</v>
      </c>
      <c r="L37">
        <v>0</v>
      </c>
      <c r="M37">
        <v>768224015.15260005</v>
      </c>
      <c r="N37">
        <v>0</v>
      </c>
      <c r="O37" t="b">
        <v>1</v>
      </c>
    </row>
    <row r="38" spans="1:15" x14ac:dyDescent="0.3">
      <c r="A38" s="1" t="s">
        <v>143</v>
      </c>
      <c r="B38">
        <v>1.3643887117744149</v>
      </c>
      <c r="C38">
        <v>3.6686977998774267E-2</v>
      </c>
      <c r="D38">
        <v>4.3022317827372987E-2</v>
      </c>
      <c r="E38">
        <v>63.310089923470073</v>
      </c>
      <c r="F38">
        <v>0.14395570593663501</v>
      </c>
      <c r="G38">
        <v>0.6</v>
      </c>
      <c r="H38">
        <v>5.6714452325535188E-2</v>
      </c>
      <c r="I38">
        <v>1.422696894669583</v>
      </c>
      <c r="J38">
        <v>-8.2666666666667554E-3</v>
      </c>
      <c r="K38">
        <v>1.6675779114269981E-2</v>
      </c>
      <c r="L38">
        <v>0</v>
      </c>
      <c r="M38">
        <v>90173260</v>
      </c>
      <c r="N38">
        <v>0</v>
      </c>
      <c r="O38" t="b">
        <v>0</v>
      </c>
    </row>
    <row r="39" spans="1:15" x14ac:dyDescent="0.3">
      <c r="A39" s="1" t="s">
        <v>144</v>
      </c>
      <c r="B39">
        <v>0.15328226123389971</v>
      </c>
      <c r="C39">
        <v>1.509218435999958E-2</v>
      </c>
      <c r="D39">
        <v>1.25241227206489E-2</v>
      </c>
      <c r="E39">
        <v>57.124677997197459</v>
      </c>
      <c r="F39">
        <v>2.432732000092774E-2</v>
      </c>
      <c r="G39">
        <v>0.6</v>
      </c>
      <c r="H39">
        <v>6.0448115744111399E-3</v>
      </c>
      <c r="I39">
        <v>0.2805261067696001</v>
      </c>
      <c r="J39">
        <v>-2.25960428054508E-2</v>
      </c>
      <c r="K39">
        <v>3.874589807456585E-3</v>
      </c>
      <c r="L39">
        <v>0</v>
      </c>
      <c r="M39">
        <v>207986305.89509499</v>
      </c>
      <c r="N39">
        <v>0</v>
      </c>
      <c r="O39" t="b">
        <v>1</v>
      </c>
    </row>
    <row r="40" spans="1:15" x14ac:dyDescent="0.3">
      <c r="A40" s="1" t="s">
        <v>145</v>
      </c>
      <c r="B40">
        <v>1.167781241108647</v>
      </c>
      <c r="C40">
        <v>2.4395864483760479E-2</v>
      </c>
      <c r="D40">
        <v>2.9926046628227568E-2</v>
      </c>
      <c r="E40">
        <v>47.565514077304762</v>
      </c>
      <c r="F40">
        <v>-2.4726170295996889E-2</v>
      </c>
      <c r="G40">
        <v>0.2</v>
      </c>
      <c r="H40">
        <v>8.0443918017686411E-2</v>
      </c>
      <c r="I40">
        <v>3.0207385134293611E-2</v>
      </c>
      <c r="J40">
        <v>-5.2383393943473133E-2</v>
      </c>
      <c r="K40">
        <v>-2.6699280821291031E-2</v>
      </c>
      <c r="L40">
        <v>0</v>
      </c>
      <c r="M40">
        <v>53436696.737899996</v>
      </c>
      <c r="N40">
        <v>0</v>
      </c>
      <c r="O40" t="b">
        <v>0</v>
      </c>
    </row>
    <row r="41" spans="1:15" x14ac:dyDescent="0.3">
      <c r="A41" s="1" t="s">
        <v>146</v>
      </c>
      <c r="B41">
        <v>1.807126110960837</v>
      </c>
      <c r="C41">
        <v>2.2405019154654971E-2</v>
      </c>
      <c r="D41">
        <v>7.9550244739465203E-2</v>
      </c>
      <c r="E41">
        <v>66.97797613193147</v>
      </c>
      <c r="F41">
        <v>5.4082063385647139E-2</v>
      </c>
      <c r="G41">
        <v>0.6</v>
      </c>
      <c r="H41">
        <v>-5.0670424222396563E-3</v>
      </c>
      <c r="I41">
        <v>0.25096371501972681</v>
      </c>
      <c r="J41">
        <v>0</v>
      </c>
      <c r="K41">
        <v>6.0978802049420189E-2</v>
      </c>
      <c r="L41">
        <v>0</v>
      </c>
      <c r="M41">
        <v>325577193.21735001</v>
      </c>
      <c r="N41">
        <v>0</v>
      </c>
      <c r="O41" t="b">
        <v>1</v>
      </c>
    </row>
    <row r="42" spans="1:15" x14ac:dyDescent="0.3">
      <c r="A42" s="1" t="s">
        <v>147</v>
      </c>
      <c r="B42">
        <v>0.94332874863580329</v>
      </c>
      <c r="C42">
        <v>1.813239432643857E-2</v>
      </c>
      <c r="D42">
        <v>1.6419187113763681E-2</v>
      </c>
      <c r="E42">
        <v>62.262742309761897</v>
      </c>
      <c r="F42">
        <v>-5.7631905022603735E-4</v>
      </c>
      <c r="G42">
        <v>1</v>
      </c>
      <c r="H42">
        <v>0.10767404455845279</v>
      </c>
      <c r="I42">
        <v>1.7128688607245399</v>
      </c>
      <c r="J42">
        <v>0</v>
      </c>
      <c r="K42">
        <v>7.7424028761370334E-3</v>
      </c>
      <c r="L42">
        <v>0</v>
      </c>
      <c r="M42">
        <v>37015644.861300007</v>
      </c>
      <c r="N42">
        <v>0</v>
      </c>
      <c r="O42" t="b">
        <v>0</v>
      </c>
    </row>
    <row r="43" spans="1:15" x14ac:dyDescent="0.3">
      <c r="A43" s="1" t="s">
        <v>148</v>
      </c>
      <c r="B43">
        <v>2.1716207905898148</v>
      </c>
      <c r="C43">
        <v>2.1361185011015079E-2</v>
      </c>
      <c r="D43">
        <v>3.5202927347484807E-2</v>
      </c>
      <c r="E43">
        <v>63.949617998969742</v>
      </c>
      <c r="F43">
        <v>3.2066945980490091E-2</v>
      </c>
      <c r="G43">
        <v>0.6</v>
      </c>
      <c r="H43">
        <v>6.5750050178021352E-2</v>
      </c>
      <c r="I43">
        <v>1.6079546204572941</v>
      </c>
      <c r="J43">
        <v>0</v>
      </c>
      <c r="K43">
        <v>2.84138500321689E-2</v>
      </c>
      <c r="L43">
        <v>0</v>
      </c>
      <c r="M43">
        <v>40832231.541000001</v>
      </c>
      <c r="N43">
        <v>0</v>
      </c>
      <c r="O43" t="b">
        <v>0</v>
      </c>
    </row>
    <row r="44" spans="1:15" x14ac:dyDescent="0.3">
      <c r="A44" s="1" t="s">
        <v>149</v>
      </c>
      <c r="B44">
        <v>6.3576953846364912</v>
      </c>
      <c r="C44">
        <v>2.4097057594789549E-2</v>
      </c>
      <c r="D44">
        <v>4.2029738057967607E-2</v>
      </c>
      <c r="E44">
        <v>62.910268317475307</v>
      </c>
      <c r="F44">
        <v>1.9502299161482162E-2</v>
      </c>
      <c r="G44">
        <v>0.4</v>
      </c>
      <c r="H44">
        <v>-7.1993014615471654E-2</v>
      </c>
      <c r="I44">
        <v>0.72840451055313327</v>
      </c>
      <c r="J44">
        <v>0</v>
      </c>
      <c r="K44">
        <v>2.7282638321068479E-2</v>
      </c>
      <c r="L44">
        <v>0</v>
      </c>
      <c r="M44">
        <v>71423188.7465</v>
      </c>
      <c r="N44">
        <v>0</v>
      </c>
      <c r="O44" t="b">
        <v>0</v>
      </c>
    </row>
    <row r="45" spans="1:15" x14ac:dyDescent="0.3">
      <c r="A45" s="1" t="s">
        <v>150</v>
      </c>
      <c r="B45">
        <v>3.9789480263624908</v>
      </c>
      <c r="C45">
        <v>1.7918507895966329E-2</v>
      </c>
      <c r="D45">
        <v>1.2649848237847761E-2</v>
      </c>
      <c r="E45">
        <v>52.236725475350489</v>
      </c>
      <c r="F45">
        <v>-1.011469863190795E-2</v>
      </c>
      <c r="G45">
        <v>0.6</v>
      </c>
      <c r="H45">
        <v>3.9299063779302717E-3</v>
      </c>
      <c r="I45">
        <v>7.7795828220631358E-2</v>
      </c>
      <c r="J45">
        <v>-2.0852165247567171E-2</v>
      </c>
      <c r="K45">
        <v>2.519187358916541E-3</v>
      </c>
      <c r="L45">
        <v>0</v>
      </c>
      <c r="M45">
        <v>76219763.428499997</v>
      </c>
      <c r="N45">
        <v>0</v>
      </c>
      <c r="O45" t="b">
        <v>0</v>
      </c>
    </row>
    <row r="46" spans="1:15" x14ac:dyDescent="0.3">
      <c r="A46" s="1" t="s">
        <v>151</v>
      </c>
      <c r="B46">
        <v>4.9659273704104212</v>
      </c>
      <c r="C46">
        <v>2.071579141408586E-2</v>
      </c>
      <c r="D46">
        <v>1.7090986454861391E-2</v>
      </c>
      <c r="E46">
        <v>33.787591455763021</v>
      </c>
      <c r="F46">
        <v>-3.9718465581335738E-2</v>
      </c>
      <c r="G46">
        <v>0.6</v>
      </c>
      <c r="H46">
        <v>-0.22421766259464629</v>
      </c>
      <c r="I46">
        <v>-0.20419471622930871</v>
      </c>
      <c r="J46">
        <v>-7.0269746155486867E-2</v>
      </c>
      <c r="K46">
        <v>2.249361356975399E-3</v>
      </c>
      <c r="L46">
        <v>0</v>
      </c>
      <c r="M46">
        <v>434322374.94700003</v>
      </c>
      <c r="N46">
        <v>0</v>
      </c>
      <c r="O46" t="b">
        <v>1</v>
      </c>
    </row>
    <row r="47" spans="1:15" x14ac:dyDescent="0.3">
      <c r="A47" s="1" t="s">
        <v>152</v>
      </c>
      <c r="B47">
        <v>2.4890236615875461</v>
      </c>
      <c r="C47">
        <v>2.879148249378306E-2</v>
      </c>
      <c r="D47">
        <v>1.7929438982070531E-2</v>
      </c>
      <c r="E47">
        <v>54.285516210040932</v>
      </c>
      <c r="F47">
        <v>-7.6905417814508992E-3</v>
      </c>
      <c r="G47">
        <v>0.6</v>
      </c>
      <c r="H47">
        <v>3.7407304406411553E-2</v>
      </c>
      <c r="I47">
        <v>0.87288037269086383</v>
      </c>
      <c r="J47">
        <v>-4.6962848638518302E-2</v>
      </c>
      <c r="K47">
        <v>9.2225075881391394E-3</v>
      </c>
      <c r="L47">
        <v>0</v>
      </c>
      <c r="M47">
        <v>145276524.5</v>
      </c>
      <c r="N47">
        <v>0</v>
      </c>
      <c r="O47" t="b">
        <v>1</v>
      </c>
    </row>
    <row r="48" spans="1:15" x14ac:dyDescent="0.3">
      <c r="A48" s="1" t="s">
        <v>153</v>
      </c>
      <c r="B48">
        <v>0.80092401265161672</v>
      </c>
      <c r="C48">
        <v>1.23466010891262E-2</v>
      </c>
      <c r="D48">
        <v>1.325728379836595E-2</v>
      </c>
      <c r="E48">
        <v>48.623220120502317</v>
      </c>
      <c r="F48">
        <v>1.264439587886357E-2</v>
      </c>
      <c r="G48">
        <v>0.6</v>
      </c>
      <c r="H48">
        <v>0</v>
      </c>
      <c r="I48">
        <v>1</v>
      </c>
      <c r="J48">
        <v>-4.1449186367822346E-3</v>
      </c>
      <c r="K48">
        <v>5.8923864164988071E-3</v>
      </c>
      <c r="O48" t="b">
        <v>0</v>
      </c>
    </row>
    <row r="49" spans="1:15" x14ac:dyDescent="0.3">
      <c r="A49" s="1" t="s">
        <v>154</v>
      </c>
      <c r="B49">
        <v>0.17941702671400231</v>
      </c>
      <c r="C49">
        <v>2.8146937971856088E-3</v>
      </c>
      <c r="D49">
        <v>1.5625245124954151E-3</v>
      </c>
      <c r="E49">
        <v>64.47454462735729</v>
      </c>
      <c r="F49">
        <v>5.9622631980962293E-3</v>
      </c>
      <c r="G49">
        <v>0.4</v>
      </c>
      <c r="H49">
        <v>-8.3713135023190402E-2</v>
      </c>
      <c r="I49">
        <v>3.2781338085538708E-2</v>
      </c>
      <c r="J49">
        <v>-2.1836966305326388E-3</v>
      </c>
      <c r="K49">
        <v>0</v>
      </c>
      <c r="L49">
        <v>0</v>
      </c>
      <c r="M49">
        <v>47240308.162100002</v>
      </c>
      <c r="N49">
        <v>0</v>
      </c>
      <c r="O49" t="b">
        <v>0</v>
      </c>
    </row>
    <row r="50" spans="1:15" x14ac:dyDescent="0.3">
      <c r="A50" s="1" t="s">
        <v>155</v>
      </c>
      <c r="B50">
        <v>13.31163625190878</v>
      </c>
      <c r="C50">
        <v>8.1012909666851984E-2</v>
      </c>
      <c r="D50">
        <v>2.79280649971092E-2</v>
      </c>
      <c r="E50">
        <v>52.126248183632782</v>
      </c>
      <c r="F50">
        <v>-5.4247726487855467E-2</v>
      </c>
      <c r="G50">
        <v>0.6</v>
      </c>
      <c r="H50">
        <v>-9.3866361938792595E-2</v>
      </c>
      <c r="I50">
        <v>2.6426610632209728</v>
      </c>
      <c r="J50">
        <v>-6.5010811425970205E-2</v>
      </c>
      <c r="K50">
        <v>-1.654895858271499E-2</v>
      </c>
      <c r="L50">
        <v>0</v>
      </c>
      <c r="M50">
        <v>542068009</v>
      </c>
      <c r="N50">
        <v>0</v>
      </c>
      <c r="O50" t="b">
        <v>1</v>
      </c>
    </row>
    <row r="51" spans="1:15" x14ac:dyDescent="0.3">
      <c r="A51" s="1" t="s">
        <v>156</v>
      </c>
      <c r="B51">
        <v>6.2191392619532939</v>
      </c>
      <c r="C51">
        <v>4.6827694372770623E-2</v>
      </c>
      <c r="D51">
        <v>3.8137475622886989E-2</v>
      </c>
      <c r="E51">
        <v>67.323808692655888</v>
      </c>
      <c r="F51">
        <v>0.28606150985784562</v>
      </c>
      <c r="G51">
        <v>0.8</v>
      </c>
      <c r="H51">
        <v>0.2469863796364466</v>
      </c>
      <c r="I51">
        <v>1.9423087332614279</v>
      </c>
      <c r="J51">
        <v>0</v>
      </c>
      <c r="K51">
        <v>3.031784082357758E-2</v>
      </c>
      <c r="L51">
        <v>0</v>
      </c>
      <c r="M51">
        <v>229870581.90239999</v>
      </c>
      <c r="N51">
        <v>0</v>
      </c>
      <c r="O51" t="b">
        <v>1</v>
      </c>
    </row>
    <row r="52" spans="1:15" x14ac:dyDescent="0.3">
      <c r="A52" s="1" t="s">
        <v>157</v>
      </c>
      <c r="B52">
        <v>1.612898669448261</v>
      </c>
      <c r="C52">
        <v>2.0108448690291249E-2</v>
      </c>
      <c r="D52">
        <v>2.1443710260566001E-2</v>
      </c>
      <c r="E52">
        <v>58.832207633828709</v>
      </c>
      <c r="F52">
        <v>7.8236322086301824E-2</v>
      </c>
      <c r="G52">
        <v>0.4</v>
      </c>
      <c r="H52">
        <v>-3.8461845803698651E-2</v>
      </c>
      <c r="I52">
        <v>0.74534907143077611</v>
      </c>
      <c r="J52">
        <v>-6.44122383252832E-3</v>
      </c>
      <c r="K52">
        <v>1.957544171857117E-2</v>
      </c>
      <c r="L52">
        <v>0</v>
      </c>
      <c r="M52">
        <v>135219857.5036</v>
      </c>
      <c r="N52">
        <v>0</v>
      </c>
      <c r="O52" t="b">
        <v>1</v>
      </c>
    </row>
    <row r="53" spans="1:15" x14ac:dyDescent="0.3">
      <c r="A53" s="1" t="s">
        <v>158</v>
      </c>
      <c r="B53">
        <v>4.9535563897820243</v>
      </c>
      <c r="C53">
        <v>3.009816739447092E-2</v>
      </c>
      <c r="D53">
        <v>4.6238911167821202E-2</v>
      </c>
      <c r="E53">
        <v>79.175434499204187</v>
      </c>
      <c r="F53">
        <v>0.19062432178253649</v>
      </c>
      <c r="G53">
        <v>1</v>
      </c>
      <c r="H53">
        <v>0.1357133725969131</v>
      </c>
      <c r="I53">
        <v>1.3949093228396869</v>
      </c>
      <c r="J53">
        <v>0</v>
      </c>
      <c r="K53">
        <v>3.5094339622641517E-2</v>
      </c>
      <c r="L53">
        <v>0</v>
      </c>
      <c r="M53">
        <v>169924492</v>
      </c>
      <c r="N53">
        <v>0</v>
      </c>
      <c r="O53" t="b">
        <v>1</v>
      </c>
    </row>
    <row r="54" spans="1:15" x14ac:dyDescent="0.3">
      <c r="A54" s="1" t="s">
        <v>159</v>
      </c>
      <c r="B54">
        <v>3.543418297457289</v>
      </c>
      <c r="C54">
        <v>1.770142572551936E-2</v>
      </c>
      <c r="D54">
        <v>1.30234742253106E-2</v>
      </c>
      <c r="E54">
        <v>40.720656682483913</v>
      </c>
      <c r="F54">
        <v>-8.5879422121628579E-3</v>
      </c>
      <c r="G54">
        <v>0.4</v>
      </c>
      <c r="H54">
        <v>-4.6086189485720817E-2</v>
      </c>
      <c r="I54">
        <v>-4.5060830721173242E-2</v>
      </c>
      <c r="J54">
        <v>-5.6836600075386379E-2</v>
      </c>
      <c r="K54">
        <v>6.9486797508466758E-4</v>
      </c>
      <c r="L54">
        <v>0</v>
      </c>
      <c r="M54">
        <v>290543055.2525</v>
      </c>
      <c r="N54">
        <v>0</v>
      </c>
      <c r="O54" t="b">
        <v>1</v>
      </c>
    </row>
    <row r="55" spans="1:15" x14ac:dyDescent="0.3">
      <c r="A55" s="1" t="s">
        <v>160</v>
      </c>
      <c r="B55">
        <v>3.171467640651997</v>
      </c>
      <c r="C55">
        <v>1.9784576672813459E-2</v>
      </c>
      <c r="D55">
        <v>2.2707423580786121E-2</v>
      </c>
      <c r="E55">
        <v>41.302651287579423</v>
      </c>
      <c r="F55">
        <v>-3.9429530201342211E-2</v>
      </c>
      <c r="G55">
        <v>0.2</v>
      </c>
      <c r="H55">
        <v>-0.20674943962277231</v>
      </c>
      <c r="I55">
        <v>0.51331365475026269</v>
      </c>
      <c r="J55">
        <v>-4.7986696757334468E-2</v>
      </c>
      <c r="K55">
        <v>1.784240269223436E-2</v>
      </c>
      <c r="L55">
        <v>0</v>
      </c>
      <c r="M55">
        <v>126599655.67749999</v>
      </c>
      <c r="N55">
        <v>0</v>
      </c>
      <c r="O55" t="b">
        <v>1</v>
      </c>
    </row>
    <row r="56" spans="1:15" x14ac:dyDescent="0.3">
      <c r="A56" s="1" t="s">
        <v>161</v>
      </c>
      <c r="B56">
        <v>1.1725753732663231</v>
      </c>
      <c r="C56">
        <v>2.63559310691464E-2</v>
      </c>
      <c r="D56">
        <v>6.1811643065857493E-2</v>
      </c>
      <c r="E56">
        <v>71.976960977915738</v>
      </c>
      <c r="F56">
        <v>0.13292589763178</v>
      </c>
      <c r="G56">
        <v>0.6</v>
      </c>
      <c r="H56">
        <v>2.4689868870128751E-2</v>
      </c>
      <c r="I56">
        <v>1.551943919178818</v>
      </c>
      <c r="J56">
        <v>0</v>
      </c>
      <c r="K56">
        <v>5.0779404818138918E-2</v>
      </c>
      <c r="L56">
        <v>0</v>
      </c>
      <c r="M56">
        <v>118341432.17925</v>
      </c>
      <c r="N56">
        <v>0</v>
      </c>
      <c r="O56" t="b">
        <v>1</v>
      </c>
    </row>
    <row r="57" spans="1:15" x14ac:dyDescent="0.3">
      <c r="A57" s="1" t="s">
        <v>162</v>
      </c>
      <c r="B57">
        <v>17.39717003112824</v>
      </c>
      <c r="C57">
        <v>4.3013326487485147E-2</v>
      </c>
      <c r="D57">
        <v>3.2636107402462519E-2</v>
      </c>
      <c r="E57">
        <v>32.663326806281567</v>
      </c>
      <c r="F57">
        <v>-8.4310618066561038E-2</v>
      </c>
      <c r="G57">
        <v>0</v>
      </c>
      <c r="H57">
        <v>-0.13963750911288539</v>
      </c>
      <c r="I57">
        <v>0.46145456230850201</v>
      </c>
      <c r="J57">
        <v>-0.14542880686260021</v>
      </c>
      <c r="K57">
        <v>-2.5890513234267051E-2</v>
      </c>
      <c r="L57">
        <v>0</v>
      </c>
      <c r="M57">
        <v>293556296.5</v>
      </c>
      <c r="N57">
        <v>0</v>
      </c>
      <c r="O57" t="b">
        <v>1</v>
      </c>
    </row>
    <row r="58" spans="1:15" x14ac:dyDescent="0.3">
      <c r="A58" s="1" t="s">
        <v>163</v>
      </c>
      <c r="B58">
        <v>2.594593777479131</v>
      </c>
      <c r="C58">
        <v>2.6500703501900091E-2</v>
      </c>
      <c r="D58">
        <v>5.0840290644348897E-2</v>
      </c>
      <c r="E58">
        <v>78.287285660821397</v>
      </c>
      <c r="F58">
        <v>0.18962628325777689</v>
      </c>
      <c r="G58">
        <v>0.6</v>
      </c>
      <c r="H58">
        <v>4.5701692833741543E-2</v>
      </c>
      <c r="I58">
        <v>0.74782294050653686</v>
      </c>
      <c r="J58">
        <v>0</v>
      </c>
      <c r="K58">
        <v>4.7268300822782772E-2</v>
      </c>
      <c r="L58">
        <v>0</v>
      </c>
      <c r="M58">
        <v>70300770.82280001</v>
      </c>
      <c r="N58">
        <v>0</v>
      </c>
      <c r="O58" t="b">
        <v>0</v>
      </c>
    </row>
    <row r="59" spans="1:15" x14ac:dyDescent="0.3">
      <c r="A59" s="1" t="s">
        <v>164</v>
      </c>
      <c r="B59">
        <v>2.6560739578960479</v>
      </c>
      <c r="C59">
        <v>2.2329706744930969E-2</v>
      </c>
      <c r="D59">
        <v>3.6789185190167058E-2</v>
      </c>
      <c r="E59">
        <v>53.654322671446437</v>
      </c>
      <c r="F59">
        <v>-2.0028176208405139E-2</v>
      </c>
      <c r="G59">
        <v>0.4</v>
      </c>
      <c r="H59">
        <v>-0.1202070479432174</v>
      </c>
      <c r="I59">
        <v>0.93215979126976611</v>
      </c>
      <c r="J59">
        <v>-3.72636622636624E-2</v>
      </c>
      <c r="K59">
        <v>3.2561611847530703E-2</v>
      </c>
      <c r="L59">
        <v>0</v>
      </c>
      <c r="M59">
        <v>70430079.453000009</v>
      </c>
      <c r="N59">
        <v>0</v>
      </c>
      <c r="O59" t="b">
        <v>0</v>
      </c>
    </row>
    <row r="60" spans="1:15" x14ac:dyDescent="0.3">
      <c r="A60" s="1" t="s">
        <v>165</v>
      </c>
      <c r="B60">
        <v>0.39361312873164161</v>
      </c>
      <c r="C60">
        <v>2.1901708717637719E-2</v>
      </c>
      <c r="D60">
        <v>3.902781023603643E-2</v>
      </c>
      <c r="E60">
        <v>53.2134845800554</v>
      </c>
      <c r="F60">
        <v>1.904637699238498E-2</v>
      </c>
      <c r="G60">
        <v>0.6</v>
      </c>
      <c r="H60">
        <v>-6.236709540420142E-2</v>
      </c>
      <c r="I60">
        <v>0.37423187568221028</v>
      </c>
      <c r="J60">
        <v>-2.6235370611183199E-2</v>
      </c>
      <c r="K60">
        <v>-2.0994487176693499E-2</v>
      </c>
      <c r="L60">
        <v>0</v>
      </c>
      <c r="M60">
        <v>42970501.555299997</v>
      </c>
      <c r="N60">
        <v>0</v>
      </c>
      <c r="O60" t="b">
        <v>0</v>
      </c>
    </row>
    <row r="61" spans="1:15" x14ac:dyDescent="0.3">
      <c r="A61" s="1" t="s">
        <v>166</v>
      </c>
      <c r="B61">
        <v>8.9281658804782769</v>
      </c>
      <c r="C61">
        <v>3.2488859019159898E-2</v>
      </c>
      <c r="D61">
        <v>3.7215209219561271E-2</v>
      </c>
      <c r="E61">
        <v>72.635021483891592</v>
      </c>
      <c r="F61">
        <v>0.17274504113891639</v>
      </c>
      <c r="G61">
        <v>0.6</v>
      </c>
      <c r="H61">
        <v>0.31181610234826462</v>
      </c>
      <c r="I61">
        <v>2.3164152760516359</v>
      </c>
      <c r="J61">
        <v>0</v>
      </c>
      <c r="K61">
        <v>2.998422080380192E-2</v>
      </c>
      <c r="L61">
        <v>0</v>
      </c>
      <c r="M61">
        <v>1201257142.8050001</v>
      </c>
      <c r="N61">
        <v>0</v>
      </c>
      <c r="O61" t="b">
        <v>1</v>
      </c>
    </row>
    <row r="62" spans="1:15" x14ac:dyDescent="0.3">
      <c r="A62" s="1" t="s">
        <v>167</v>
      </c>
      <c r="B62">
        <v>0.74570258355176855</v>
      </c>
      <c r="C62">
        <v>1.8426559248009421E-2</v>
      </c>
      <c r="D62">
        <v>1.463593030697651E-2</v>
      </c>
      <c r="E62">
        <v>43.824151818601592</v>
      </c>
      <c r="F62">
        <v>-2.728343428516489E-2</v>
      </c>
      <c r="G62">
        <v>0.2</v>
      </c>
      <c r="H62">
        <v>-6.8615459884280861E-2</v>
      </c>
      <c r="I62">
        <v>0.1000775639629685</v>
      </c>
      <c r="J62">
        <v>-4.8723957904832187E-2</v>
      </c>
      <c r="K62">
        <v>1.109814689429256E-2</v>
      </c>
      <c r="L62">
        <v>0</v>
      </c>
      <c r="M62">
        <v>200347127.2502</v>
      </c>
      <c r="N62">
        <v>0</v>
      </c>
      <c r="O62" t="b">
        <v>1</v>
      </c>
    </row>
    <row r="63" spans="1:15" x14ac:dyDescent="0.3">
      <c r="A63" s="1" t="s">
        <v>168</v>
      </c>
      <c r="B63">
        <v>10.750205371374131</v>
      </c>
      <c r="C63">
        <v>4.8551193981456631E-2</v>
      </c>
      <c r="D63">
        <v>1.7794237196278689E-2</v>
      </c>
      <c r="E63">
        <v>48.737756568219837</v>
      </c>
      <c r="F63">
        <v>-9.2466595622592074E-2</v>
      </c>
      <c r="G63">
        <v>0.6</v>
      </c>
      <c r="H63">
        <v>0.13419686135790571</v>
      </c>
      <c r="I63">
        <v>2.9964532543551061</v>
      </c>
      <c r="J63">
        <v>-0.14473328440650471</v>
      </c>
      <c r="K63">
        <v>-9.024456276509607E-4</v>
      </c>
      <c r="L63">
        <v>0</v>
      </c>
      <c r="M63">
        <v>5917527342</v>
      </c>
      <c r="N63">
        <v>0</v>
      </c>
      <c r="O63" t="b">
        <v>1</v>
      </c>
    </row>
    <row r="64" spans="1:15" x14ac:dyDescent="0.3">
      <c r="A64" s="1" t="s">
        <v>169</v>
      </c>
      <c r="B64">
        <v>3.620443981773382</v>
      </c>
      <c r="C64">
        <v>1.8042679067942699E-2</v>
      </c>
      <c r="D64">
        <v>2.9054121399382099E-2</v>
      </c>
      <c r="E64">
        <v>60.52360629378834</v>
      </c>
      <c r="F64">
        <v>1.496191237316769E-2</v>
      </c>
      <c r="G64">
        <v>0.4</v>
      </c>
      <c r="H64">
        <v>4.8513942698033266E-3</v>
      </c>
      <c r="I64">
        <v>0.55312519173138042</v>
      </c>
      <c r="J64">
        <v>0</v>
      </c>
      <c r="K64">
        <v>2.3932234525692712E-2</v>
      </c>
      <c r="L64">
        <v>0</v>
      </c>
      <c r="M64">
        <v>214791086.755</v>
      </c>
      <c r="N64">
        <v>0</v>
      </c>
      <c r="O64" t="b">
        <v>1</v>
      </c>
    </row>
    <row r="65" spans="1:15" x14ac:dyDescent="0.3">
      <c r="A65" s="1" t="s">
        <v>170</v>
      </c>
      <c r="B65">
        <v>7.2813184023729223</v>
      </c>
      <c r="C65">
        <v>2.604284274249051E-2</v>
      </c>
      <c r="D65">
        <v>3.8302514396079991E-2</v>
      </c>
      <c r="E65">
        <v>71.452018647751672</v>
      </c>
      <c r="F65">
        <v>7.7206406448058429E-2</v>
      </c>
      <c r="G65">
        <v>0.8</v>
      </c>
      <c r="H65">
        <v>0.13367578808120639</v>
      </c>
      <c r="I65">
        <v>1.295200934821219</v>
      </c>
      <c r="J65">
        <v>0</v>
      </c>
      <c r="K65">
        <v>3.1503296427609628E-2</v>
      </c>
      <c r="L65">
        <v>0</v>
      </c>
      <c r="M65">
        <v>41899256.039999999</v>
      </c>
      <c r="N65">
        <v>0</v>
      </c>
      <c r="O65" t="b">
        <v>0</v>
      </c>
    </row>
    <row r="66" spans="1:15" x14ac:dyDescent="0.3">
      <c r="A66" s="1" t="s">
        <v>171</v>
      </c>
      <c r="B66">
        <v>7.7892551509223438</v>
      </c>
      <c r="C66">
        <v>2.486911385627006E-2</v>
      </c>
      <c r="D66">
        <v>1.417259985313375E-2</v>
      </c>
      <c r="E66">
        <v>41.906883178501779</v>
      </c>
      <c r="F66">
        <v>-1.8630387647420199E-2</v>
      </c>
      <c r="G66">
        <v>0.2</v>
      </c>
      <c r="H66">
        <v>6.7547049871694478E-2</v>
      </c>
      <c r="I66">
        <v>0.75291461783767255</v>
      </c>
      <c r="J66">
        <v>-8.7072224505440499E-2</v>
      </c>
      <c r="K66">
        <v>4.8766402515318941E-3</v>
      </c>
      <c r="L66">
        <v>0</v>
      </c>
      <c r="M66">
        <v>741548549.34899998</v>
      </c>
      <c r="N66">
        <v>0</v>
      </c>
      <c r="O66" t="b">
        <v>1</v>
      </c>
    </row>
    <row r="67" spans="1:15" x14ac:dyDescent="0.3">
      <c r="A67" s="1" t="s">
        <v>172</v>
      </c>
      <c r="B67">
        <v>0.57560913946463088</v>
      </c>
      <c r="C67">
        <v>1.8846046337246899E-2</v>
      </c>
      <c r="D67">
        <v>2.5937458050532571E-2</v>
      </c>
      <c r="E67">
        <v>39.767320278690462</v>
      </c>
      <c r="F67">
        <v>-2.1882405687568052E-2</v>
      </c>
      <c r="G67">
        <v>0.2</v>
      </c>
      <c r="H67">
        <v>-0.18955817124971999</v>
      </c>
      <c r="I67">
        <v>8.7869468526762085E-2</v>
      </c>
      <c r="J67">
        <v>-4.8736276570894743E-2</v>
      </c>
      <c r="K67">
        <v>2.2544887225345089E-2</v>
      </c>
      <c r="L67">
        <v>0</v>
      </c>
      <c r="M67">
        <v>79037169.755100012</v>
      </c>
      <c r="N67">
        <v>0</v>
      </c>
      <c r="O67" t="b">
        <v>0</v>
      </c>
    </row>
    <row r="68" spans="1:15" x14ac:dyDescent="0.3">
      <c r="A68" s="1" t="s">
        <v>173</v>
      </c>
      <c r="B68">
        <v>1.9677036525047309</v>
      </c>
      <c r="C68">
        <v>4.2000077961680482E-2</v>
      </c>
      <c r="D68">
        <v>5.0373532550693691E-2</v>
      </c>
      <c r="E68">
        <v>78.822136351174265</v>
      </c>
      <c r="F68">
        <v>0.33334471727969223</v>
      </c>
      <c r="G68">
        <v>0.6</v>
      </c>
      <c r="H68">
        <v>0.26155695277594743</v>
      </c>
      <c r="I68">
        <v>3.1762339939435851</v>
      </c>
      <c r="J68">
        <v>0</v>
      </c>
      <c r="K68">
        <v>5.0212956736157777E-2</v>
      </c>
      <c r="L68">
        <v>0</v>
      </c>
      <c r="M68">
        <v>42857506.17735</v>
      </c>
      <c r="N68">
        <v>0</v>
      </c>
      <c r="O68" t="b">
        <v>0</v>
      </c>
    </row>
    <row r="69" spans="1:15" x14ac:dyDescent="0.3">
      <c r="A69" s="1" t="s">
        <v>174</v>
      </c>
      <c r="B69">
        <v>0.49201892285288512</v>
      </c>
      <c r="C69">
        <v>1.0588999547033909E-2</v>
      </c>
      <c r="D69">
        <v>7.8058585906410766E-3</v>
      </c>
      <c r="E69">
        <v>56.586148938161656</v>
      </c>
      <c r="F69">
        <v>2.2597676409548791E-2</v>
      </c>
      <c r="G69">
        <v>0.2</v>
      </c>
      <c r="H69">
        <v>-5.9902626791797253E-2</v>
      </c>
      <c r="I69">
        <v>0.29763449118179852</v>
      </c>
      <c r="J69">
        <v>-1.4143347258851359E-2</v>
      </c>
      <c r="K69">
        <v>-4.2164411085787718E-4</v>
      </c>
      <c r="L69">
        <v>0</v>
      </c>
      <c r="M69">
        <v>66310583.796999998</v>
      </c>
      <c r="N69">
        <v>0</v>
      </c>
      <c r="O69" t="b">
        <v>0</v>
      </c>
    </row>
    <row r="70" spans="1:15" x14ac:dyDescent="0.3">
      <c r="A70" s="1" t="s">
        <v>175</v>
      </c>
      <c r="B70">
        <v>10.959001336062251</v>
      </c>
      <c r="C70">
        <v>2.210389644119494E-2</v>
      </c>
      <c r="D70">
        <v>4.4262245484524843E-2</v>
      </c>
      <c r="E70">
        <v>72.18870376832426</v>
      </c>
      <c r="F70">
        <v>8.2647118553020427E-2</v>
      </c>
      <c r="G70">
        <v>0.8</v>
      </c>
      <c r="H70">
        <v>-5.9301713601549538E-2</v>
      </c>
      <c r="I70">
        <v>0.96666009142270326</v>
      </c>
      <c r="J70">
        <v>0</v>
      </c>
      <c r="K70">
        <v>3.9836325846632097E-2</v>
      </c>
      <c r="L70">
        <v>0</v>
      </c>
      <c r="M70">
        <v>235960769.998</v>
      </c>
      <c r="N70">
        <v>0</v>
      </c>
      <c r="O70" t="b">
        <v>1</v>
      </c>
    </row>
    <row r="71" spans="1:15" x14ac:dyDescent="0.3">
      <c r="A71" s="1" t="s">
        <v>176</v>
      </c>
      <c r="B71">
        <v>1.308380682202638</v>
      </c>
      <c r="C71">
        <v>2.3993777410648051E-2</v>
      </c>
      <c r="D71">
        <v>2.9506693563176131E-2</v>
      </c>
      <c r="E71">
        <v>65.747082116183208</v>
      </c>
      <c r="F71">
        <v>0.1187935986869102</v>
      </c>
      <c r="G71">
        <v>0.8</v>
      </c>
      <c r="H71">
        <v>-5.5021343517539442E-2</v>
      </c>
      <c r="I71">
        <v>0.97504728932844553</v>
      </c>
      <c r="J71">
        <v>-3.8363171355498831E-3</v>
      </c>
      <c r="K71">
        <v>1.906185759671097E-2</v>
      </c>
      <c r="O71" t="b">
        <v>0</v>
      </c>
    </row>
    <row r="72" spans="1:15" x14ac:dyDescent="0.3">
      <c r="A72" s="1" t="s">
        <v>177</v>
      </c>
      <c r="B72">
        <v>3.7914194064449278</v>
      </c>
      <c r="C72">
        <v>2.123770834259411E-2</v>
      </c>
      <c r="D72">
        <v>1.7084633352565281E-2</v>
      </c>
      <c r="E72">
        <v>48.658157506969637</v>
      </c>
      <c r="F72">
        <v>3.0058206171201811E-3</v>
      </c>
      <c r="G72">
        <v>0.8</v>
      </c>
      <c r="H72">
        <v>-0.1301231113145257</v>
      </c>
      <c r="I72">
        <v>-7.4914774476151552E-2</v>
      </c>
      <c r="J72">
        <v>-2.4512455671578889E-2</v>
      </c>
      <c r="K72">
        <v>3.9534360589359441E-3</v>
      </c>
      <c r="L72">
        <v>0</v>
      </c>
      <c r="M72">
        <v>511424337.03200012</v>
      </c>
      <c r="N72">
        <v>0</v>
      </c>
      <c r="O72" t="b">
        <v>1</v>
      </c>
    </row>
    <row r="73" spans="1:15" x14ac:dyDescent="0.3">
      <c r="A73" s="1" t="s">
        <v>178</v>
      </c>
      <c r="B73">
        <v>1.3053987528778961</v>
      </c>
      <c r="C73">
        <v>4.4101309218847841E-2</v>
      </c>
      <c r="D73">
        <v>3.7499999999999978E-2</v>
      </c>
      <c r="E73">
        <v>68.453992362583236</v>
      </c>
      <c r="F73">
        <v>0.29767645769399409</v>
      </c>
      <c r="G73">
        <v>0.6</v>
      </c>
      <c r="H73">
        <v>8.941172144714464E-2</v>
      </c>
      <c r="I73">
        <v>1.8081030563778431</v>
      </c>
      <c r="J73">
        <v>-1.333333333333331E-2</v>
      </c>
      <c r="K73">
        <v>2.635228848821081E-2</v>
      </c>
      <c r="L73">
        <v>0</v>
      </c>
      <c r="M73">
        <v>41262205.5</v>
      </c>
      <c r="N73">
        <v>0</v>
      </c>
      <c r="O73" t="b">
        <v>0</v>
      </c>
    </row>
    <row r="74" spans="1:15" x14ac:dyDescent="0.3">
      <c r="A74" s="1" t="s">
        <v>179</v>
      </c>
      <c r="B74">
        <v>0.47628752341828212</v>
      </c>
      <c r="C74">
        <v>2.2360916592407611E-2</v>
      </c>
      <c r="D74">
        <v>1.455399061032858E-2</v>
      </c>
      <c r="E74">
        <v>34.128570700039148</v>
      </c>
      <c r="F74">
        <v>-7.951598962834916E-2</v>
      </c>
      <c r="G74">
        <v>0.4</v>
      </c>
      <c r="H74">
        <v>9.3961984836668372E-3</v>
      </c>
      <c r="I74">
        <v>0.24034720490471789</v>
      </c>
      <c r="J74">
        <v>-9.3617021276595769E-2</v>
      </c>
      <c r="K74">
        <v>1.4104372355430159E-3</v>
      </c>
      <c r="L74">
        <v>0</v>
      </c>
      <c r="M74">
        <v>32679298.682</v>
      </c>
      <c r="N74">
        <v>0</v>
      </c>
      <c r="O74" t="b">
        <v>0</v>
      </c>
    </row>
    <row r="75" spans="1:15" x14ac:dyDescent="0.3">
      <c r="A75" s="1" t="s">
        <v>180</v>
      </c>
      <c r="B75">
        <v>5.5891167240314017</v>
      </c>
      <c r="C75">
        <v>2.4113886979167321E-2</v>
      </c>
      <c r="D75">
        <v>1.94149624644059E-2</v>
      </c>
      <c r="E75">
        <v>51.415343762669913</v>
      </c>
      <c r="F75">
        <v>-6.6908212560386482E-2</v>
      </c>
      <c r="G75">
        <v>0.6</v>
      </c>
      <c r="H75">
        <v>-2.5553984111939869E-2</v>
      </c>
      <c r="I75">
        <v>1.723854592604825</v>
      </c>
      <c r="J75">
        <v>-6.953030911280611E-2</v>
      </c>
      <c r="K75">
        <v>1.6935766935767042E-2</v>
      </c>
      <c r="L75">
        <v>0</v>
      </c>
      <c r="M75">
        <v>8569014765</v>
      </c>
      <c r="N75">
        <v>0</v>
      </c>
      <c r="O75" t="b">
        <v>1</v>
      </c>
    </row>
    <row r="76" spans="1:15" x14ac:dyDescent="0.3">
      <c r="A76" s="1" t="s">
        <v>181</v>
      </c>
      <c r="B76">
        <v>5.4002887777114834</v>
      </c>
      <c r="C76">
        <v>2.4357443406754241E-2</v>
      </c>
      <c r="D76">
        <v>2.8956745297911628E-2</v>
      </c>
      <c r="E76">
        <v>67.485817748464399</v>
      </c>
      <c r="F76">
        <v>0.14899461028192371</v>
      </c>
      <c r="G76">
        <v>0.8</v>
      </c>
      <c r="H76">
        <v>-6.0446445968674038E-2</v>
      </c>
      <c r="I76">
        <v>0.44155853217902508</v>
      </c>
      <c r="J76">
        <v>0</v>
      </c>
      <c r="K76">
        <v>2.810108972872705E-2</v>
      </c>
      <c r="L76">
        <v>0</v>
      </c>
      <c r="M76">
        <v>80850060</v>
      </c>
      <c r="N76">
        <v>0</v>
      </c>
      <c r="O76" t="b">
        <v>0</v>
      </c>
    </row>
    <row r="77" spans="1:15" x14ac:dyDescent="0.3">
      <c r="A77" s="1" t="s">
        <v>182</v>
      </c>
      <c r="B77">
        <v>5.2083882003705124</v>
      </c>
      <c r="C77">
        <v>3.9350167727187309E-2</v>
      </c>
      <c r="D77">
        <v>3.3242671501964381E-2</v>
      </c>
      <c r="E77">
        <v>50.636748330507153</v>
      </c>
      <c r="F77">
        <v>-3.5698674049249417E-2</v>
      </c>
      <c r="G77">
        <v>1</v>
      </c>
      <c r="H77">
        <v>-9.6135424430168467E-2</v>
      </c>
      <c r="I77">
        <v>1.6611388397650391</v>
      </c>
      <c r="J77">
        <v>-1.941028300488945E-2</v>
      </c>
      <c r="K77">
        <v>1.7840664410950561E-2</v>
      </c>
      <c r="L77">
        <v>0</v>
      </c>
      <c r="M77">
        <v>959321344</v>
      </c>
      <c r="N77">
        <v>0</v>
      </c>
      <c r="O77" t="b">
        <v>1</v>
      </c>
    </row>
    <row r="78" spans="1:15" x14ac:dyDescent="0.3">
      <c r="A78" s="1" t="s">
        <v>183</v>
      </c>
      <c r="B78">
        <v>6.2433922970170022</v>
      </c>
      <c r="C78">
        <v>1.8360218488507579E-2</v>
      </c>
      <c r="D78">
        <v>2.9378032642258519E-2</v>
      </c>
      <c r="E78">
        <v>41.474053724653601</v>
      </c>
      <c r="F78">
        <v>-1.397628091744718E-2</v>
      </c>
      <c r="G78">
        <v>0.4</v>
      </c>
      <c r="H78">
        <v>-0.14809602598924709</v>
      </c>
      <c r="I78">
        <v>-0.1162655040131096</v>
      </c>
      <c r="J78">
        <v>-3.9189647377938508E-2</v>
      </c>
      <c r="K78">
        <v>-1.773592535890689E-2</v>
      </c>
      <c r="L78">
        <v>0</v>
      </c>
      <c r="M78">
        <v>409234688.70249999</v>
      </c>
      <c r="N78">
        <v>0</v>
      </c>
      <c r="O78" t="b">
        <v>1</v>
      </c>
    </row>
    <row r="79" spans="1:15" x14ac:dyDescent="0.3">
      <c r="A79" s="1" t="s">
        <v>184</v>
      </c>
      <c r="B79">
        <v>1.421594397539685</v>
      </c>
      <c r="C79">
        <v>2.0930423992044821E-2</v>
      </c>
      <c r="D79">
        <v>2.6354534746760781E-2</v>
      </c>
      <c r="E79">
        <v>57.247033145643748</v>
      </c>
      <c r="F79">
        <v>2.644703037630336E-2</v>
      </c>
      <c r="G79">
        <v>0.4</v>
      </c>
      <c r="H79">
        <v>-0.15713614258884931</v>
      </c>
      <c r="I79">
        <v>0.59459722076197041</v>
      </c>
      <c r="J79">
        <v>-1.6169337057180271E-3</v>
      </c>
      <c r="K79">
        <v>2.2429625169351208E-2</v>
      </c>
      <c r="L79">
        <v>0</v>
      </c>
      <c r="M79">
        <v>85159693.603049994</v>
      </c>
      <c r="N79">
        <v>0</v>
      </c>
      <c r="O79" t="b">
        <v>0</v>
      </c>
    </row>
    <row r="80" spans="1:15" x14ac:dyDescent="0.3">
      <c r="A80" s="1" t="s">
        <v>185</v>
      </c>
      <c r="B80">
        <v>0.97606372159156318</v>
      </c>
      <c r="C80">
        <v>3.7437096420754878E-2</v>
      </c>
      <c r="D80">
        <v>2.6595479458885189E-2</v>
      </c>
      <c r="E80">
        <v>60.442619586297027</v>
      </c>
      <c r="F80">
        <v>8.0905947613243434E-2</v>
      </c>
      <c r="G80">
        <v>0.4</v>
      </c>
      <c r="H80">
        <v>6.8915448384605435E-2</v>
      </c>
      <c r="I80">
        <v>0.62539743193390762</v>
      </c>
      <c r="J80">
        <v>-2.8780355153903758E-2</v>
      </c>
      <c r="K80">
        <v>-2.6509674309715958E-3</v>
      </c>
      <c r="L80">
        <v>0</v>
      </c>
      <c r="M80">
        <v>145756306.20365</v>
      </c>
      <c r="N80">
        <v>0</v>
      </c>
      <c r="O80" t="b">
        <v>1</v>
      </c>
    </row>
    <row r="81" spans="1:15" x14ac:dyDescent="0.3">
      <c r="A81" s="1" t="s">
        <v>186</v>
      </c>
      <c r="B81">
        <v>7.205275509856337</v>
      </c>
      <c r="C81">
        <v>3.0661399220648679E-2</v>
      </c>
      <c r="D81">
        <v>3.4345411604502211E-2</v>
      </c>
      <c r="E81">
        <v>35.181196379859372</v>
      </c>
      <c r="F81">
        <v>-8.4043701789465963E-2</v>
      </c>
      <c r="G81">
        <v>0.4</v>
      </c>
      <c r="H81">
        <v>-0.18723760590141331</v>
      </c>
      <c r="I81">
        <v>0.43610923640053689</v>
      </c>
      <c r="J81">
        <v>-0.10006357133009609</v>
      </c>
      <c r="K81">
        <v>2.5784851236206219E-2</v>
      </c>
      <c r="L81">
        <v>0</v>
      </c>
      <c r="M81">
        <v>305702713.45099998</v>
      </c>
      <c r="N81">
        <v>0</v>
      </c>
      <c r="O81" t="b">
        <v>1</v>
      </c>
    </row>
    <row r="82" spans="1:15" x14ac:dyDescent="0.3">
      <c r="A82" s="1" t="s">
        <v>187</v>
      </c>
      <c r="B82">
        <v>1.032443623869765</v>
      </c>
      <c r="C82">
        <v>2.5856339190327201E-2</v>
      </c>
      <c r="D82">
        <v>5.9353869271224581E-2</v>
      </c>
      <c r="E82">
        <v>63.64534625735488</v>
      </c>
      <c r="F82">
        <v>6.112144565506239E-2</v>
      </c>
      <c r="G82">
        <v>0.6</v>
      </c>
      <c r="H82">
        <v>7.8250616996113354E-2</v>
      </c>
      <c r="I82">
        <v>1.350625082914382</v>
      </c>
      <c r="J82">
        <v>0</v>
      </c>
      <c r="K82">
        <v>5.9151193633952159E-2</v>
      </c>
      <c r="L82">
        <v>0</v>
      </c>
      <c r="M82">
        <v>69942227.879999995</v>
      </c>
      <c r="N82">
        <v>0</v>
      </c>
      <c r="O82" t="b">
        <v>0</v>
      </c>
    </row>
    <row r="83" spans="1:15" x14ac:dyDescent="0.3">
      <c r="A83" s="1" t="s">
        <v>188</v>
      </c>
      <c r="B83">
        <v>3.9756107051466918</v>
      </c>
      <c r="C83">
        <v>2.872281292325642E-2</v>
      </c>
      <c r="D83">
        <v>2.2136649014182139E-2</v>
      </c>
      <c r="E83">
        <v>53.568164674130827</v>
      </c>
      <c r="F83">
        <v>-3.5939905135366601E-2</v>
      </c>
      <c r="G83">
        <v>0.6</v>
      </c>
      <c r="H83">
        <v>0.1137351887609277</v>
      </c>
      <c r="I83">
        <v>1.556912718302313</v>
      </c>
      <c r="J83">
        <v>-3.3388270458259317E-2</v>
      </c>
      <c r="K83">
        <v>7.2299783823659425E-4</v>
      </c>
      <c r="L83">
        <v>0</v>
      </c>
      <c r="M83">
        <v>702749404.52780008</v>
      </c>
      <c r="N83">
        <v>0</v>
      </c>
      <c r="O83" t="b">
        <v>1</v>
      </c>
    </row>
    <row r="84" spans="1:15" x14ac:dyDescent="0.3">
      <c r="A84" s="1" t="s">
        <v>189</v>
      </c>
      <c r="B84">
        <v>2.7215758204565779</v>
      </c>
      <c r="C84">
        <v>8.7821097788208388E-2</v>
      </c>
      <c r="D84">
        <v>5.9696676347208828E-2</v>
      </c>
      <c r="E84">
        <v>58.374252274229192</v>
      </c>
      <c r="F84">
        <v>-1.4312977099236729E-2</v>
      </c>
      <c r="G84">
        <v>0.8</v>
      </c>
      <c r="H84">
        <v>0.17876970367513029</v>
      </c>
      <c r="I84">
        <v>1.7772142424523589</v>
      </c>
      <c r="J84">
        <v>-5.4317973756484728E-2</v>
      </c>
      <c r="K84">
        <v>-5.4317973756484728E-2</v>
      </c>
      <c r="L84">
        <v>0</v>
      </c>
      <c r="M84">
        <v>298799995.5</v>
      </c>
      <c r="N84">
        <v>0</v>
      </c>
      <c r="O84" t="b">
        <v>1</v>
      </c>
    </row>
    <row r="85" spans="1:15" x14ac:dyDescent="0.3">
      <c r="A85" s="1" t="s">
        <v>190</v>
      </c>
      <c r="B85">
        <v>4.3301732172759468</v>
      </c>
      <c r="C85">
        <v>2.916452185080181E-2</v>
      </c>
      <c r="D85">
        <v>4.3462154990099297E-2</v>
      </c>
      <c r="E85">
        <v>76.431389446700805</v>
      </c>
      <c r="F85">
        <v>0.14318052326029049</v>
      </c>
      <c r="G85">
        <v>0.8</v>
      </c>
      <c r="H85">
        <v>4.5060374765509788E-2</v>
      </c>
      <c r="I85">
        <v>1.172622165285643</v>
      </c>
      <c r="J85">
        <v>0</v>
      </c>
      <c r="K85">
        <v>3.6069920798297288E-2</v>
      </c>
      <c r="L85">
        <v>0</v>
      </c>
      <c r="M85">
        <v>454700356.24449998</v>
      </c>
      <c r="N85">
        <v>0</v>
      </c>
      <c r="O85" t="b">
        <v>1</v>
      </c>
    </row>
    <row r="86" spans="1:15" x14ac:dyDescent="0.3">
      <c r="A86" s="1" t="s">
        <v>191</v>
      </c>
      <c r="B86">
        <v>33.810290371074927</v>
      </c>
      <c r="C86">
        <v>4.8075148406146809E-2</v>
      </c>
      <c r="D86">
        <v>3.7126037993402361E-2</v>
      </c>
      <c r="E86">
        <v>67.082255773619593</v>
      </c>
      <c r="F86">
        <v>7.9776453970398453E-2</v>
      </c>
      <c r="G86">
        <v>0.6</v>
      </c>
      <c r="H86">
        <v>9.0343599953453035E-2</v>
      </c>
      <c r="I86">
        <v>1.746164325431975</v>
      </c>
      <c r="J86">
        <v>-2.9449918578013379E-2</v>
      </c>
      <c r="K86">
        <v>-2.9449918578013379E-2</v>
      </c>
      <c r="L86">
        <v>0</v>
      </c>
      <c r="M86">
        <v>2313184237</v>
      </c>
      <c r="N86">
        <v>0</v>
      </c>
      <c r="O86" t="b">
        <v>1</v>
      </c>
    </row>
    <row r="87" spans="1:15" x14ac:dyDescent="0.3">
      <c r="A87" s="1" t="s">
        <v>192</v>
      </c>
      <c r="B87">
        <v>7.0652770202247828</v>
      </c>
      <c r="C87">
        <v>3.052614828353762E-2</v>
      </c>
      <c r="D87">
        <v>2.9812054439403789E-2</v>
      </c>
      <c r="E87">
        <v>44.156944986088178</v>
      </c>
      <c r="F87">
        <v>-9.2210542830247988E-2</v>
      </c>
      <c r="G87">
        <v>0.2</v>
      </c>
      <c r="H87">
        <v>-0.17902230190264051</v>
      </c>
      <c r="I87">
        <v>1.1417500170288331</v>
      </c>
      <c r="J87">
        <v>-7.682182601412002E-2</v>
      </c>
      <c r="K87">
        <v>-9.0765081131994885E-3</v>
      </c>
      <c r="L87">
        <v>0</v>
      </c>
      <c r="M87">
        <v>59034499.5</v>
      </c>
      <c r="N87">
        <v>0</v>
      </c>
      <c r="O87" t="b">
        <v>0</v>
      </c>
    </row>
    <row r="88" spans="1:15" x14ac:dyDescent="0.3">
      <c r="A88" s="1" t="s">
        <v>193</v>
      </c>
      <c r="B88">
        <v>2.093176142590619</v>
      </c>
      <c r="C88">
        <v>2.6647691185112909E-2</v>
      </c>
      <c r="D88">
        <v>3.3227243793761928E-2</v>
      </c>
      <c r="E88">
        <v>51.012640749112883</v>
      </c>
      <c r="F88">
        <v>-4.8570736434108593E-2</v>
      </c>
      <c r="G88">
        <v>0.4</v>
      </c>
      <c r="H88">
        <v>-0.10651340215108041</v>
      </c>
      <c r="I88">
        <v>1.227620316862277</v>
      </c>
      <c r="J88">
        <v>-5.0640560792845069E-2</v>
      </c>
      <c r="K88">
        <v>2.8814669286182149E-2</v>
      </c>
      <c r="L88">
        <v>0</v>
      </c>
      <c r="M88">
        <v>175059910</v>
      </c>
      <c r="N88">
        <v>0</v>
      </c>
      <c r="O88" t="b">
        <v>1</v>
      </c>
    </row>
    <row r="89" spans="1:15" x14ac:dyDescent="0.3">
      <c r="A89" s="1" t="s">
        <v>194</v>
      </c>
      <c r="B89">
        <v>1.340185684395004</v>
      </c>
      <c r="C89">
        <v>3.6094416493267001E-2</v>
      </c>
      <c r="D89">
        <v>2.4508483705898101E-2</v>
      </c>
      <c r="E89">
        <v>62.183779227774622</v>
      </c>
      <c r="F89">
        <v>9.6898079763663159E-2</v>
      </c>
      <c r="G89">
        <v>0.8</v>
      </c>
      <c r="H89">
        <v>6.4907410520239517E-2</v>
      </c>
      <c r="I89">
        <v>1.5252140230272619</v>
      </c>
      <c r="J89">
        <v>-5.8902275769745494E-3</v>
      </c>
      <c r="K89">
        <v>-5.8902275769745494E-3</v>
      </c>
      <c r="L89">
        <v>0</v>
      </c>
      <c r="M89">
        <v>160433986</v>
      </c>
      <c r="N89">
        <v>0</v>
      </c>
      <c r="O89" t="b">
        <v>1</v>
      </c>
    </row>
    <row r="90" spans="1:15" x14ac:dyDescent="0.3">
      <c r="A90" s="1" t="s">
        <v>195</v>
      </c>
      <c r="B90">
        <v>0.27632791600072992</v>
      </c>
      <c r="C90">
        <v>1.3449297232086691E-2</v>
      </c>
      <c r="D90">
        <v>8.5564516521545609E-3</v>
      </c>
      <c r="E90">
        <v>66.476826448952323</v>
      </c>
      <c r="F90">
        <v>3.6472968132815968E-2</v>
      </c>
      <c r="G90">
        <v>0.6</v>
      </c>
      <c r="H90">
        <v>-0.1248149402119554</v>
      </c>
      <c r="I90">
        <v>0.78676236611157069</v>
      </c>
      <c r="J90">
        <v>0</v>
      </c>
      <c r="K90">
        <v>1.4329929568883679E-3</v>
      </c>
      <c r="L90">
        <v>0</v>
      </c>
      <c r="M90">
        <v>91448393.514499992</v>
      </c>
      <c r="N90">
        <v>0</v>
      </c>
      <c r="O90" t="b">
        <v>0</v>
      </c>
    </row>
    <row r="91" spans="1:15" x14ac:dyDescent="0.3">
      <c r="A91" s="1" t="s">
        <v>196</v>
      </c>
      <c r="B91">
        <v>2.042694539972056</v>
      </c>
      <c r="C91">
        <v>4.4606453288816052E-2</v>
      </c>
      <c r="D91">
        <v>3.012641476884383E-2</v>
      </c>
      <c r="E91">
        <v>30.79316343591427</v>
      </c>
      <c r="F91">
        <v>-0.14356755058415599</v>
      </c>
      <c r="G91">
        <v>0.4</v>
      </c>
      <c r="H91">
        <v>-0.27954140012571682</v>
      </c>
      <c r="I91">
        <v>0.74858688346934765</v>
      </c>
      <c r="J91">
        <v>-0.15277965355391221</v>
      </c>
      <c r="K91">
        <v>2.6055997203724871E-2</v>
      </c>
      <c r="L91">
        <v>0</v>
      </c>
      <c r="M91">
        <v>120325913.10475001</v>
      </c>
      <c r="N91">
        <v>0</v>
      </c>
      <c r="O91" t="b">
        <v>1</v>
      </c>
    </row>
    <row r="92" spans="1:15" x14ac:dyDescent="0.3">
      <c r="A92" s="1" t="s">
        <v>197</v>
      </c>
      <c r="B92">
        <v>5.5932149817858026</v>
      </c>
      <c r="C92">
        <v>3.1576892574864797E-2</v>
      </c>
      <c r="D92">
        <v>3.6346186416755993E-2</v>
      </c>
      <c r="E92">
        <v>78.451767787633031</v>
      </c>
      <c r="F92">
        <v>0.162644157242158</v>
      </c>
      <c r="G92">
        <v>0.8</v>
      </c>
      <c r="H92">
        <v>-4.6124953367621298E-2</v>
      </c>
      <c r="I92">
        <v>1.411288957267939</v>
      </c>
      <c r="J92">
        <v>0</v>
      </c>
      <c r="K92">
        <v>1.1807177987353199E-2</v>
      </c>
      <c r="L92">
        <v>0</v>
      </c>
      <c r="M92">
        <v>247367442.1085</v>
      </c>
      <c r="N92">
        <v>0</v>
      </c>
      <c r="O92" t="b">
        <v>1</v>
      </c>
    </row>
    <row r="93" spans="1:15" x14ac:dyDescent="0.3">
      <c r="A93" s="1" t="s">
        <v>198</v>
      </c>
      <c r="B93">
        <v>20.032523336054329</v>
      </c>
      <c r="C93">
        <v>2.2505671586718869E-2</v>
      </c>
      <c r="D93">
        <v>1.8537034748514231E-2</v>
      </c>
      <c r="E93">
        <v>51.07747998429565</v>
      </c>
      <c r="F93">
        <v>2.3314900612763308E-2</v>
      </c>
      <c r="G93">
        <v>0.2</v>
      </c>
      <c r="H93">
        <v>0.1158439278148361</v>
      </c>
      <c r="I93">
        <v>0.21457450961688601</v>
      </c>
      <c r="J93">
        <v>-4.2490937059627143E-2</v>
      </c>
      <c r="K93">
        <v>7.8703859862150338E-4</v>
      </c>
      <c r="L93">
        <v>0</v>
      </c>
      <c r="M93">
        <v>217151451.5</v>
      </c>
      <c r="N93">
        <v>0</v>
      </c>
      <c r="O93" t="b">
        <v>1</v>
      </c>
    </row>
    <row r="94" spans="1:15" x14ac:dyDescent="0.3">
      <c r="A94" s="1" t="s">
        <v>199</v>
      </c>
      <c r="B94">
        <v>2.5875062881319422</v>
      </c>
      <c r="C94">
        <v>3.1114794229580831E-2</v>
      </c>
      <c r="D94">
        <v>2.9701779701779691E-2</v>
      </c>
      <c r="E94">
        <v>56.737242038680201</v>
      </c>
      <c r="F94">
        <v>3.8628681796233359E-3</v>
      </c>
      <c r="G94">
        <v>0.8</v>
      </c>
      <c r="H94">
        <v>2.502324319430042E-2</v>
      </c>
      <c r="I94">
        <v>2.6145076210021969</v>
      </c>
      <c r="J94">
        <v>0</v>
      </c>
      <c r="K94">
        <v>7.6335877862594437E-3</v>
      </c>
      <c r="L94">
        <v>0</v>
      </c>
      <c r="M94">
        <v>651161158.5</v>
      </c>
      <c r="N94">
        <v>0</v>
      </c>
      <c r="O94" t="b">
        <v>1</v>
      </c>
    </row>
    <row r="95" spans="1:15" x14ac:dyDescent="0.3">
      <c r="A95" s="1" t="s">
        <v>200</v>
      </c>
      <c r="B95">
        <v>5.5918991078000024</v>
      </c>
      <c r="C95">
        <v>3.9513136714245348E-2</v>
      </c>
      <c r="D95">
        <v>1.9785189372526931E-2</v>
      </c>
      <c r="E95">
        <v>47.152603222556863</v>
      </c>
      <c r="F95">
        <v>-8.6024283130973878E-2</v>
      </c>
      <c r="G95">
        <v>0.6</v>
      </c>
      <c r="H95">
        <v>-6.6642643152465306E-2</v>
      </c>
      <c r="I95">
        <v>2.4983002001061152</v>
      </c>
      <c r="J95">
        <v>-5.4895151596099923E-2</v>
      </c>
      <c r="K95">
        <v>-2.8887479743535671E-3</v>
      </c>
      <c r="L95">
        <v>0</v>
      </c>
      <c r="M95">
        <v>599008449</v>
      </c>
      <c r="N95">
        <v>0</v>
      </c>
      <c r="O95" t="b">
        <v>1</v>
      </c>
    </row>
    <row r="96" spans="1:15" x14ac:dyDescent="0.3">
      <c r="A96" s="1" t="s">
        <v>201</v>
      </c>
      <c r="B96">
        <v>0.82338280596849067</v>
      </c>
      <c r="C96">
        <v>2.2142279512948171E-2</v>
      </c>
      <c r="D96">
        <v>2.0107029527241489E-2</v>
      </c>
      <c r="E96">
        <v>47.587044717509521</v>
      </c>
      <c r="F96">
        <v>-4.8012332264608659E-3</v>
      </c>
      <c r="G96">
        <v>0.6</v>
      </c>
      <c r="H96">
        <v>-8.9792202723300435E-2</v>
      </c>
      <c r="I96">
        <v>0.41887902347456701</v>
      </c>
      <c r="J96">
        <v>-2.8822447870962331E-2</v>
      </c>
      <c r="K96">
        <v>3.2266419182871431E-3</v>
      </c>
      <c r="L96">
        <v>0</v>
      </c>
      <c r="M96">
        <v>72662568.350950003</v>
      </c>
      <c r="N96">
        <v>0</v>
      </c>
      <c r="O96" t="b">
        <v>0</v>
      </c>
    </row>
    <row r="97" spans="1:15" x14ac:dyDescent="0.3">
      <c r="A97" s="1" t="s">
        <v>202</v>
      </c>
      <c r="B97">
        <v>4.3961326034252917</v>
      </c>
      <c r="C97">
        <v>6.3832330527447245E-2</v>
      </c>
      <c r="D97">
        <v>6.6356904312472667E-2</v>
      </c>
      <c r="E97">
        <v>76.092995347932941</v>
      </c>
      <c r="F97">
        <v>0.72823086574654972</v>
      </c>
      <c r="G97">
        <v>0.6</v>
      </c>
      <c r="H97">
        <v>0.28712887964588157</v>
      </c>
      <c r="I97">
        <v>1.835744352022767</v>
      </c>
      <c r="J97">
        <v>0</v>
      </c>
      <c r="K97">
        <v>5.8114194391989393E-4</v>
      </c>
      <c r="L97">
        <v>0</v>
      </c>
      <c r="M97">
        <v>31586926.5</v>
      </c>
      <c r="N97">
        <v>0</v>
      </c>
      <c r="O97" t="b">
        <v>0</v>
      </c>
    </row>
    <row r="98" spans="1:15" x14ac:dyDescent="0.3">
      <c r="A98" s="1" t="s">
        <v>203</v>
      </c>
      <c r="B98">
        <v>1.325320576342357</v>
      </c>
      <c r="C98">
        <v>3.3577921873381232E-2</v>
      </c>
      <c r="D98">
        <v>4.1677223207499448E-2</v>
      </c>
      <c r="E98">
        <v>74.297928779256807</v>
      </c>
      <c r="F98">
        <v>0.30955540809555399</v>
      </c>
      <c r="G98">
        <v>0.6</v>
      </c>
      <c r="H98">
        <v>2.4455381156165551E-2</v>
      </c>
      <c r="I98">
        <v>1.206620505871155</v>
      </c>
      <c r="J98">
        <v>0</v>
      </c>
      <c r="K98">
        <v>2.0423991726990609E-2</v>
      </c>
      <c r="L98">
        <v>0</v>
      </c>
      <c r="M98">
        <v>121216813</v>
      </c>
      <c r="N98">
        <v>0</v>
      </c>
      <c r="O98" t="b">
        <v>1</v>
      </c>
    </row>
    <row r="99" spans="1:15" x14ac:dyDescent="0.3">
      <c r="A99" s="1" t="s">
        <v>204</v>
      </c>
      <c r="B99">
        <v>30.615341566421591</v>
      </c>
      <c r="C99">
        <v>2.7387701003195059E-2</v>
      </c>
      <c r="D99">
        <v>2.240908887596722E-2</v>
      </c>
      <c r="E99">
        <v>61.767899099623548</v>
      </c>
      <c r="F99">
        <v>7.7528869695976388E-2</v>
      </c>
      <c r="G99">
        <v>0.4</v>
      </c>
      <c r="H99">
        <v>0.23855337563617579</v>
      </c>
      <c r="I99">
        <v>1.7575220427885809</v>
      </c>
      <c r="J99">
        <v>-1.8930684032227089E-2</v>
      </c>
      <c r="K99">
        <v>7.0902178417628914E-3</v>
      </c>
      <c r="L99">
        <v>0</v>
      </c>
      <c r="M99">
        <v>1124452376.8559999</v>
      </c>
      <c r="N99">
        <v>0</v>
      </c>
      <c r="O99" t="b">
        <v>1</v>
      </c>
    </row>
    <row r="100" spans="1:15" x14ac:dyDescent="0.3">
      <c r="A100" s="1" t="s">
        <v>205</v>
      </c>
      <c r="B100">
        <v>9.0520831529574117</v>
      </c>
      <c r="C100">
        <v>4.4981530277069227E-2</v>
      </c>
      <c r="D100">
        <v>4.7753925660902329E-2</v>
      </c>
      <c r="E100">
        <v>46.125059175590181</v>
      </c>
      <c r="F100">
        <v>2.6682312126932391E-2</v>
      </c>
      <c r="G100">
        <v>0.6</v>
      </c>
      <c r="H100">
        <v>-1.285244707581674E-2</v>
      </c>
      <c r="I100">
        <v>-0.24692136386020211</v>
      </c>
      <c r="J100">
        <v>-7.3181964721595327E-2</v>
      </c>
      <c r="K100">
        <v>2.344504907694667E-2</v>
      </c>
      <c r="L100">
        <v>0</v>
      </c>
      <c r="M100">
        <v>71218101.5</v>
      </c>
      <c r="N100">
        <v>0</v>
      </c>
      <c r="O100" t="b">
        <v>0</v>
      </c>
    </row>
    <row r="101" spans="1:15" x14ac:dyDescent="0.3">
      <c r="A101" s="1" t="s">
        <v>206</v>
      </c>
      <c r="B101">
        <v>6.4317537292827236</v>
      </c>
      <c r="C101">
        <v>2.0899281004980421E-2</v>
      </c>
      <c r="D101">
        <v>2.1608448415921942E-2</v>
      </c>
      <c r="E101">
        <v>55.576187954159437</v>
      </c>
      <c r="F101">
        <v>1.725448715829847E-2</v>
      </c>
      <c r="G101">
        <v>0.8</v>
      </c>
      <c r="H101">
        <v>-0.18774632121687829</v>
      </c>
      <c r="I101">
        <v>0.2071322290554658</v>
      </c>
      <c r="J101">
        <v>0</v>
      </c>
      <c r="K101">
        <v>4.7011197806143823E-3</v>
      </c>
      <c r="L101">
        <v>0</v>
      </c>
      <c r="M101">
        <v>19563807.550000001</v>
      </c>
      <c r="N101">
        <v>0</v>
      </c>
      <c r="O101" t="b">
        <v>0</v>
      </c>
    </row>
    <row r="102" spans="1:15" x14ac:dyDescent="0.3">
      <c r="A102" s="1" t="s">
        <v>207</v>
      </c>
      <c r="B102">
        <v>5.9670635674321906</v>
      </c>
      <c r="C102">
        <v>7.5484675109831631E-2</v>
      </c>
      <c r="D102">
        <v>0.1187855787476281</v>
      </c>
      <c r="E102">
        <v>66.507011859817041</v>
      </c>
      <c r="F102">
        <v>0.15065502183406099</v>
      </c>
      <c r="G102">
        <v>0.8</v>
      </c>
      <c r="H102">
        <v>0.20584359431310839</v>
      </c>
      <c r="I102">
        <v>3.6949435311483332</v>
      </c>
      <c r="J102">
        <v>0</v>
      </c>
      <c r="K102">
        <v>8.5255354200988398E-2</v>
      </c>
      <c r="L102">
        <v>0</v>
      </c>
      <c r="M102">
        <v>384123243</v>
      </c>
      <c r="N102">
        <v>0</v>
      </c>
      <c r="O102" t="b">
        <v>1</v>
      </c>
    </row>
    <row r="103" spans="1:15" x14ac:dyDescent="0.3">
      <c r="A103" s="1" t="s">
        <v>208</v>
      </c>
      <c r="B103">
        <v>0.47805532665344341</v>
      </c>
      <c r="C103">
        <v>2.9096489753709279E-2</v>
      </c>
      <c r="D103">
        <v>3.2866707242848507E-2</v>
      </c>
      <c r="E103">
        <v>72.466605031625335</v>
      </c>
      <c r="F103">
        <v>6.8270481144343309E-2</v>
      </c>
      <c r="G103">
        <v>0.8</v>
      </c>
      <c r="H103">
        <v>0.24494736581619181</v>
      </c>
      <c r="I103">
        <v>1.7218747469435181</v>
      </c>
      <c r="J103">
        <v>0</v>
      </c>
      <c r="K103">
        <v>2.8804007514088958E-2</v>
      </c>
      <c r="L103">
        <v>0</v>
      </c>
      <c r="M103">
        <v>96666545.794</v>
      </c>
      <c r="N103">
        <v>0</v>
      </c>
      <c r="O103" t="b">
        <v>1</v>
      </c>
    </row>
    <row r="104" spans="1:15" x14ac:dyDescent="0.3">
      <c r="A104" s="1" t="s">
        <v>209</v>
      </c>
      <c r="B104">
        <v>3.4006642591619651</v>
      </c>
      <c r="C104">
        <v>3.2470774937095062E-2</v>
      </c>
      <c r="D104">
        <v>6.0154683471784563E-2</v>
      </c>
      <c r="E104">
        <v>68.936917263557547</v>
      </c>
      <c r="F104">
        <v>6.7584097859327397E-2</v>
      </c>
      <c r="G104">
        <v>0.6</v>
      </c>
      <c r="H104">
        <v>0.20275773979078179</v>
      </c>
      <c r="I104">
        <v>1.5559799723377961</v>
      </c>
      <c r="J104">
        <v>0</v>
      </c>
      <c r="K104">
        <v>5.3409776704888452E-2</v>
      </c>
      <c r="L104">
        <v>0</v>
      </c>
      <c r="M104">
        <v>115856320</v>
      </c>
      <c r="N104">
        <v>0</v>
      </c>
      <c r="O104" t="b">
        <v>1</v>
      </c>
    </row>
    <row r="105" spans="1:15" x14ac:dyDescent="0.3">
      <c r="A105" s="1" t="s">
        <v>210</v>
      </c>
      <c r="B105">
        <v>2.6067252228052462</v>
      </c>
      <c r="C105">
        <v>1.5714713360453141E-2</v>
      </c>
      <c r="D105">
        <v>1.042935169220746E-2</v>
      </c>
      <c r="E105">
        <v>35.36914999322714</v>
      </c>
      <c r="F105">
        <v>-5.6272721583441987E-2</v>
      </c>
      <c r="G105">
        <v>0.4</v>
      </c>
      <c r="H105">
        <v>-4.8570925314710092E-2</v>
      </c>
      <c r="I105">
        <v>-7.0999686235655335E-2</v>
      </c>
      <c r="J105">
        <v>-6.1021861449807042E-2</v>
      </c>
      <c r="K105">
        <v>3.126492945736858E-3</v>
      </c>
      <c r="L105">
        <v>0</v>
      </c>
      <c r="M105">
        <v>133921705.7245</v>
      </c>
      <c r="N105">
        <v>0</v>
      </c>
      <c r="O105" t="b">
        <v>1</v>
      </c>
    </row>
    <row r="106" spans="1:15" x14ac:dyDescent="0.3">
      <c r="A106" s="1" t="s">
        <v>93</v>
      </c>
      <c r="B106">
        <v>2.8934556073070419</v>
      </c>
      <c r="C106">
        <v>2.4694508895681849E-2</v>
      </c>
      <c r="D106">
        <v>2.2787402918835891E-2</v>
      </c>
      <c r="E106">
        <v>38.117540172475088</v>
      </c>
      <c r="F106">
        <v>6.7881079223235394E-3</v>
      </c>
      <c r="G106">
        <v>0.2</v>
      </c>
      <c r="H106">
        <v>-0.19743512807198521</v>
      </c>
      <c r="I106">
        <v>-3.8122092867975098E-2</v>
      </c>
      <c r="J106">
        <v>-6.076152304609217E-2</v>
      </c>
      <c r="K106">
        <v>1.253024541997938E-2</v>
      </c>
      <c r="L106">
        <v>0</v>
      </c>
      <c r="M106">
        <v>53719695.100500003</v>
      </c>
      <c r="N106">
        <v>0</v>
      </c>
      <c r="O106" t="b">
        <v>0</v>
      </c>
    </row>
    <row r="107" spans="1:15" x14ac:dyDescent="0.3">
      <c r="A107" s="1" t="s">
        <v>211</v>
      </c>
      <c r="B107">
        <v>3.4834571095738278</v>
      </c>
      <c r="C107">
        <v>4.2310908655093259E-2</v>
      </c>
      <c r="D107">
        <v>4.6034252398882633E-2</v>
      </c>
      <c r="E107">
        <v>56.093703659198717</v>
      </c>
      <c r="F107">
        <v>0.1225552755871155</v>
      </c>
      <c r="G107">
        <v>0.4</v>
      </c>
      <c r="H107">
        <v>0.10860357875127979</v>
      </c>
      <c r="I107">
        <v>1.588768869616497</v>
      </c>
      <c r="J107">
        <v>-6.4431818181818201E-2</v>
      </c>
      <c r="K107">
        <v>2.4769728653223799E-2</v>
      </c>
      <c r="L107">
        <v>0</v>
      </c>
      <c r="M107">
        <v>136879984.3788</v>
      </c>
      <c r="N107">
        <v>0</v>
      </c>
      <c r="O107" t="b">
        <v>1</v>
      </c>
    </row>
    <row r="108" spans="1:15" x14ac:dyDescent="0.3">
      <c r="A108" s="1" t="s">
        <v>212</v>
      </c>
      <c r="B108">
        <v>0.2397132022049191</v>
      </c>
      <c r="C108">
        <v>5.3269600489982007E-2</v>
      </c>
      <c r="D108">
        <v>4.7777777777777947E-2</v>
      </c>
      <c r="E108">
        <v>53.173189186809893</v>
      </c>
      <c r="F108">
        <v>3.2110091743119178E-2</v>
      </c>
      <c r="G108">
        <v>0.6</v>
      </c>
      <c r="H108">
        <v>-0.1101338970945961</v>
      </c>
      <c r="I108">
        <v>2.482796944601152</v>
      </c>
      <c r="J108">
        <v>-2.386117136659438E-2</v>
      </c>
      <c r="K108">
        <v>-2.386117136659438E-2</v>
      </c>
      <c r="L108">
        <v>0</v>
      </c>
      <c r="M108">
        <v>89757482.25</v>
      </c>
      <c r="N108">
        <v>0</v>
      </c>
      <c r="O108" t="b">
        <v>0</v>
      </c>
    </row>
    <row r="109" spans="1:15" x14ac:dyDescent="0.3">
      <c r="A109" s="1" t="s">
        <v>213</v>
      </c>
      <c r="B109">
        <v>16.73618835181767</v>
      </c>
      <c r="C109">
        <v>6.8241338845331997E-2</v>
      </c>
      <c r="D109">
        <v>0.1572680937818553</v>
      </c>
      <c r="E109">
        <v>30.12308077617331</v>
      </c>
      <c r="F109">
        <v>-0.26543265342798089</v>
      </c>
      <c r="G109">
        <v>0.4</v>
      </c>
      <c r="H109">
        <v>4.9253903549993407E-3</v>
      </c>
      <c r="I109">
        <v>1.695213673686411</v>
      </c>
      <c r="J109">
        <v>-0.25249169435215951</v>
      </c>
      <c r="K109">
        <v>-0.12852675716011661</v>
      </c>
      <c r="L109">
        <v>0</v>
      </c>
      <c r="M109">
        <v>139120953.5</v>
      </c>
      <c r="N109">
        <v>0</v>
      </c>
      <c r="O109" t="b">
        <v>1</v>
      </c>
    </row>
    <row r="110" spans="1:15" x14ac:dyDescent="0.3">
      <c r="A110" s="1" t="s">
        <v>214</v>
      </c>
      <c r="B110">
        <v>3.0706824414288079</v>
      </c>
      <c r="C110">
        <v>1.757970620035729E-2</v>
      </c>
      <c r="D110">
        <v>1.5365943024640449E-2</v>
      </c>
      <c r="E110">
        <v>40.056938469435167</v>
      </c>
      <c r="F110">
        <v>-2.3189664035458972E-3</v>
      </c>
      <c r="G110">
        <v>0.2</v>
      </c>
      <c r="H110">
        <v>-0.20509992963684689</v>
      </c>
      <c r="I110">
        <v>0.20533553856323131</v>
      </c>
      <c r="J110">
        <v>-3.0779218617348891E-2</v>
      </c>
      <c r="K110">
        <v>5.4742949902428784E-3</v>
      </c>
      <c r="L110">
        <v>0</v>
      </c>
      <c r="M110">
        <v>151837971.5835</v>
      </c>
      <c r="N110">
        <v>0</v>
      </c>
      <c r="O110" t="b">
        <v>1</v>
      </c>
    </row>
    <row r="111" spans="1:15" x14ac:dyDescent="0.3">
      <c r="A111" s="1" t="s">
        <v>215</v>
      </c>
      <c r="B111">
        <v>0.69593082312892407</v>
      </c>
      <c r="C111">
        <v>8.5892572161736496E-3</v>
      </c>
      <c r="D111">
        <v>1.195703957128437E-2</v>
      </c>
      <c r="E111">
        <v>65.072415892779745</v>
      </c>
      <c r="F111">
        <v>2.271023247946968E-2</v>
      </c>
      <c r="G111">
        <v>0.6</v>
      </c>
      <c r="H111">
        <v>-2.4972737770664621E-2</v>
      </c>
      <c r="I111">
        <v>0.71765811233134524</v>
      </c>
      <c r="J111">
        <v>0</v>
      </c>
      <c r="K111">
        <v>9.8576013460878187E-3</v>
      </c>
      <c r="L111">
        <v>0</v>
      </c>
      <c r="M111">
        <v>37417749.744650006</v>
      </c>
      <c r="N111">
        <v>0</v>
      </c>
      <c r="O111" t="b">
        <v>0</v>
      </c>
    </row>
    <row r="112" spans="1:15" x14ac:dyDescent="0.3">
      <c r="A112" s="1" t="s">
        <v>216</v>
      </c>
      <c r="B112">
        <v>0.90305925210594951</v>
      </c>
      <c r="C112">
        <v>9.8143359467599001E-3</v>
      </c>
      <c r="D112">
        <v>1.355006776120676E-2</v>
      </c>
      <c r="E112">
        <v>66.441457792829524</v>
      </c>
      <c r="F112">
        <v>4.0076275477908707E-2</v>
      </c>
      <c r="G112">
        <v>0.6</v>
      </c>
      <c r="H112">
        <v>2.9052992159051591E-2</v>
      </c>
      <c r="I112">
        <v>0.74460117182075569</v>
      </c>
      <c r="J112">
        <v>0</v>
      </c>
      <c r="K112">
        <v>7.875542333504626E-3</v>
      </c>
      <c r="L112">
        <v>0</v>
      </c>
      <c r="M112">
        <v>38422119.954899997</v>
      </c>
      <c r="N112">
        <v>0</v>
      </c>
      <c r="O112" t="b">
        <v>0</v>
      </c>
    </row>
    <row r="113" spans="1:15" x14ac:dyDescent="0.3">
      <c r="A113" s="1" t="s">
        <v>217</v>
      </c>
      <c r="B113">
        <v>0.79245349077503546</v>
      </c>
      <c r="C113">
        <v>1.03659017133851E-2</v>
      </c>
      <c r="D113">
        <v>1.204477285897229E-2</v>
      </c>
      <c r="E113">
        <v>58.729577369662991</v>
      </c>
      <c r="F113">
        <v>-4.8709814728276069E-3</v>
      </c>
      <c r="G113">
        <v>0.6</v>
      </c>
      <c r="H113">
        <v>-1.1384702724943321E-2</v>
      </c>
      <c r="I113">
        <v>1.0311174319409739</v>
      </c>
      <c r="J113">
        <v>-7.288720597745213E-3</v>
      </c>
      <c r="K113">
        <v>8.0514257458379479E-3</v>
      </c>
      <c r="L113">
        <v>0</v>
      </c>
      <c r="M113">
        <v>42029131.192300007</v>
      </c>
      <c r="N113">
        <v>0</v>
      </c>
      <c r="O113" t="b">
        <v>0</v>
      </c>
    </row>
    <row r="114" spans="1:15" x14ac:dyDescent="0.3">
      <c r="A114" s="1" t="s">
        <v>218</v>
      </c>
      <c r="B114">
        <v>15.0072387699304</v>
      </c>
      <c r="C114">
        <v>3.6409341454192223E-2</v>
      </c>
      <c r="D114">
        <v>3.6442727830734448E-2</v>
      </c>
      <c r="E114">
        <v>68.089244531427767</v>
      </c>
      <c r="F114">
        <v>0.15228986933403399</v>
      </c>
      <c r="G114">
        <v>1</v>
      </c>
      <c r="H114">
        <v>7.6093643296295532E-2</v>
      </c>
      <c r="I114">
        <v>2.2921868309216848</v>
      </c>
      <c r="J114">
        <v>0</v>
      </c>
      <c r="K114">
        <v>1.644086270757605E-2</v>
      </c>
      <c r="L114">
        <v>0</v>
      </c>
      <c r="M114">
        <v>5965064115.6604996</v>
      </c>
      <c r="N114">
        <v>0</v>
      </c>
      <c r="O114" t="b">
        <v>1</v>
      </c>
    </row>
    <row r="115" spans="1:15" x14ac:dyDescent="0.3">
      <c r="A115" s="1" t="s">
        <v>219</v>
      </c>
      <c r="B115">
        <v>0.86129995277424176</v>
      </c>
      <c r="C115">
        <v>1.133775741665822E-2</v>
      </c>
      <c r="D115">
        <v>1.7573327506272531E-2</v>
      </c>
      <c r="E115">
        <v>69.03886633555463</v>
      </c>
      <c r="F115">
        <v>4.0529582897310457E-2</v>
      </c>
      <c r="G115">
        <v>0.6</v>
      </c>
      <c r="H115">
        <v>2.4756792505873121E-2</v>
      </c>
      <c r="I115">
        <v>0.91899433526832841</v>
      </c>
      <c r="J115">
        <v>0</v>
      </c>
      <c r="K115">
        <v>1.6124523320033331E-2</v>
      </c>
      <c r="L115">
        <v>0</v>
      </c>
      <c r="M115">
        <v>26469842.457800001</v>
      </c>
      <c r="N115">
        <v>1</v>
      </c>
      <c r="O115" t="b">
        <v>0</v>
      </c>
    </row>
    <row r="116" spans="1:15" x14ac:dyDescent="0.3">
      <c r="A116" s="1" t="s">
        <v>220</v>
      </c>
      <c r="B116">
        <v>0.45162051869734993</v>
      </c>
      <c r="C116">
        <v>3.9237230121403108E-2</v>
      </c>
      <c r="D116">
        <v>8.1233709817549848E-2</v>
      </c>
      <c r="E116">
        <v>48.361059862132507</v>
      </c>
      <c r="F116">
        <v>8.6956521739134374E-4</v>
      </c>
      <c r="G116">
        <v>0.2</v>
      </c>
      <c r="H116">
        <v>-4.381667432033691E-2</v>
      </c>
      <c r="I116">
        <v>1.0791174977926781</v>
      </c>
      <c r="J116">
        <v>-2.8691983122362871E-2</v>
      </c>
      <c r="K116">
        <v>8.2784571966133536E-2</v>
      </c>
      <c r="L116">
        <v>0</v>
      </c>
      <c r="M116">
        <v>126306292</v>
      </c>
      <c r="N116">
        <v>0</v>
      </c>
      <c r="O116" t="b">
        <v>1</v>
      </c>
    </row>
    <row r="117" spans="1:15" x14ac:dyDescent="0.3">
      <c r="A117" s="1" t="s">
        <v>221</v>
      </c>
      <c r="B117">
        <v>1.188475241718483</v>
      </c>
      <c r="C117">
        <v>1.0561126440408439E-2</v>
      </c>
      <c r="D117">
        <v>1.3560466707543529E-2</v>
      </c>
      <c r="E117">
        <v>64.601911273332519</v>
      </c>
      <c r="F117">
        <v>2.1087207033908321E-2</v>
      </c>
      <c r="G117">
        <v>0.6</v>
      </c>
      <c r="H117">
        <v>-5.074992497533834E-3</v>
      </c>
      <c r="I117">
        <v>1.0033715550318321</v>
      </c>
      <c r="J117">
        <v>0</v>
      </c>
      <c r="K117">
        <v>1.056970437156513E-2</v>
      </c>
      <c r="L117">
        <v>0</v>
      </c>
      <c r="M117">
        <v>27077164.612550002</v>
      </c>
      <c r="N117">
        <v>0</v>
      </c>
      <c r="O117" t="b">
        <v>0</v>
      </c>
    </row>
    <row r="118" spans="1:15" x14ac:dyDescent="0.3">
      <c r="A118" s="1" t="s">
        <v>222</v>
      </c>
      <c r="B118">
        <v>1.6397507212449229</v>
      </c>
      <c r="C118">
        <v>1.5625900257722879E-2</v>
      </c>
      <c r="D118">
        <v>2.8292896758085669E-2</v>
      </c>
      <c r="E118">
        <v>71.816729564789426</v>
      </c>
      <c r="F118">
        <v>6.9346844276327646E-2</v>
      </c>
      <c r="G118">
        <v>0.4</v>
      </c>
      <c r="H118">
        <v>-8.8085679608480329E-3</v>
      </c>
      <c r="I118">
        <v>1.133359354250959</v>
      </c>
      <c r="J118">
        <v>0</v>
      </c>
      <c r="K118">
        <v>2.3815331180424781E-2</v>
      </c>
      <c r="L118">
        <v>0</v>
      </c>
      <c r="M118">
        <v>80277424.275399998</v>
      </c>
      <c r="N118">
        <v>0</v>
      </c>
      <c r="O118" t="b">
        <v>0</v>
      </c>
    </row>
    <row r="119" spans="1:15" x14ac:dyDescent="0.3">
      <c r="A119" s="1" t="s">
        <v>223</v>
      </c>
      <c r="B119">
        <v>4.0108596836446893</v>
      </c>
      <c r="C119">
        <v>2.275962073714408E-2</v>
      </c>
      <c r="D119">
        <v>3.3876761222741282E-2</v>
      </c>
      <c r="E119">
        <v>58.127580328767642</v>
      </c>
      <c r="F119">
        <v>2.5822074497499958E-2</v>
      </c>
      <c r="G119">
        <v>0.4</v>
      </c>
      <c r="H119">
        <v>1.308021894064011E-2</v>
      </c>
      <c r="I119">
        <v>0.2295400621911674</v>
      </c>
      <c r="J119">
        <v>-1.243513443842947E-2</v>
      </c>
      <c r="K119">
        <v>2.4057598772713851E-2</v>
      </c>
      <c r="L119">
        <v>0</v>
      </c>
      <c r="M119">
        <v>112885695.288</v>
      </c>
      <c r="N119">
        <v>0</v>
      </c>
      <c r="O119" t="b">
        <v>1</v>
      </c>
    </row>
    <row r="120" spans="1:15" x14ac:dyDescent="0.3">
      <c r="A120" s="1" t="s">
        <v>224</v>
      </c>
      <c r="B120">
        <v>3.8280430046881282</v>
      </c>
      <c r="C120">
        <v>2.079983375907743E-2</v>
      </c>
      <c r="D120">
        <v>2.2397061540300509E-2</v>
      </c>
      <c r="E120">
        <v>43.696995953150861</v>
      </c>
      <c r="F120">
        <v>-2.044878754976465E-2</v>
      </c>
      <c r="G120">
        <v>0.4</v>
      </c>
      <c r="H120">
        <v>-0.18050602470276089</v>
      </c>
      <c r="I120">
        <v>0.7286206069289487</v>
      </c>
      <c r="J120">
        <v>-3.3489305163875487E-2</v>
      </c>
      <c r="K120">
        <v>1.2794620206144639E-2</v>
      </c>
      <c r="L120">
        <v>0</v>
      </c>
      <c r="M120">
        <v>46555230.173</v>
      </c>
      <c r="N120">
        <v>0</v>
      </c>
      <c r="O120" t="b">
        <v>0</v>
      </c>
    </row>
    <row r="121" spans="1:15" x14ac:dyDescent="0.3">
      <c r="A121" s="1" t="s">
        <v>225</v>
      </c>
      <c r="B121">
        <v>2.8126157678839729</v>
      </c>
      <c r="C121">
        <v>2.1998824962135989E-2</v>
      </c>
      <c r="D121">
        <v>1.2897624615769789E-2</v>
      </c>
      <c r="E121">
        <v>43.891779624680957</v>
      </c>
      <c r="F121">
        <v>4.7071211906895014E-3</v>
      </c>
      <c r="G121">
        <v>0.4</v>
      </c>
      <c r="H121">
        <v>-0.1082749866357834</v>
      </c>
      <c r="I121">
        <v>-0.38651241669533248</v>
      </c>
      <c r="J121">
        <v>-3.0285332888369879E-2</v>
      </c>
      <c r="K121">
        <v>4.4466441977577542E-3</v>
      </c>
      <c r="L121">
        <v>0</v>
      </c>
      <c r="M121">
        <v>168682266.09299999</v>
      </c>
      <c r="N121">
        <v>0</v>
      </c>
      <c r="O121" t="b">
        <v>1</v>
      </c>
    </row>
    <row r="122" spans="1:15" x14ac:dyDescent="0.3">
      <c r="A122" s="1" t="s">
        <v>226</v>
      </c>
      <c r="B122">
        <v>0.35409151644587827</v>
      </c>
      <c r="C122">
        <v>3.0525130728092952E-2</v>
      </c>
      <c r="D122">
        <v>3.1034482758620641E-2</v>
      </c>
      <c r="E122">
        <v>54.825039943788781</v>
      </c>
      <c r="F122">
        <v>7.1504447667168458E-2</v>
      </c>
      <c r="G122">
        <v>0.6</v>
      </c>
      <c r="H122">
        <v>0.24458173007887901</v>
      </c>
      <c r="I122">
        <v>0.75675032144574039</v>
      </c>
      <c r="J122">
        <v>-7.0512820512820595E-2</v>
      </c>
      <c r="K122">
        <v>-2.7661357921207049E-2</v>
      </c>
      <c r="L122">
        <v>0</v>
      </c>
      <c r="M122">
        <v>10576813.69045</v>
      </c>
      <c r="N122">
        <v>0</v>
      </c>
      <c r="O122" t="b">
        <v>0</v>
      </c>
    </row>
    <row r="123" spans="1:15" x14ac:dyDescent="0.3">
      <c r="A123" s="1" t="s">
        <v>227</v>
      </c>
      <c r="B123">
        <v>20.013963473657761</v>
      </c>
      <c r="C123">
        <v>3.5211674156226808E-2</v>
      </c>
      <c r="D123">
        <v>5.7970759513714262E-2</v>
      </c>
      <c r="E123">
        <v>47.158388980154889</v>
      </c>
      <c r="F123">
        <v>-2.787802083155189E-2</v>
      </c>
      <c r="G123">
        <v>0.8</v>
      </c>
      <c r="H123">
        <v>-0.18371168893254089</v>
      </c>
      <c r="I123">
        <v>1.3557834711640511</v>
      </c>
      <c r="J123">
        <v>-6.6237897165226656E-3</v>
      </c>
      <c r="K123">
        <v>3.9769505167840391E-2</v>
      </c>
      <c r="L123">
        <v>0</v>
      </c>
      <c r="M123">
        <v>382380872.5</v>
      </c>
      <c r="N123">
        <v>0</v>
      </c>
      <c r="O123" t="b">
        <v>1</v>
      </c>
    </row>
    <row r="124" spans="1:15" x14ac:dyDescent="0.3">
      <c r="A124" s="1" t="s">
        <v>228</v>
      </c>
      <c r="B124">
        <v>8.1697161302432839</v>
      </c>
      <c r="C124">
        <v>2.1801141411448219E-2</v>
      </c>
      <c r="D124">
        <v>3.9886534058462188E-2</v>
      </c>
      <c r="E124">
        <v>63.23715475917254</v>
      </c>
      <c r="F124">
        <v>2.0903654666067251E-2</v>
      </c>
      <c r="G124">
        <v>0.6</v>
      </c>
      <c r="H124">
        <v>9.92156915404145E-2</v>
      </c>
      <c r="I124">
        <v>1.0063916622472331</v>
      </c>
      <c r="J124">
        <v>0</v>
      </c>
      <c r="K124">
        <v>3.2043249436110477E-2</v>
      </c>
      <c r="L124">
        <v>0</v>
      </c>
      <c r="M124">
        <v>771877180.36750007</v>
      </c>
      <c r="N124">
        <v>0</v>
      </c>
      <c r="O124" t="b">
        <v>1</v>
      </c>
    </row>
    <row r="125" spans="1:15" x14ac:dyDescent="0.3">
      <c r="A125" s="1" t="s">
        <v>229</v>
      </c>
      <c r="B125">
        <v>1.9439369827157</v>
      </c>
      <c r="C125">
        <v>1.936963912630231E-2</v>
      </c>
      <c r="D125">
        <v>2.6903148664806729E-2</v>
      </c>
      <c r="E125">
        <v>54.765444429082777</v>
      </c>
      <c r="F125">
        <v>6.6198595787361203E-3</v>
      </c>
      <c r="G125">
        <v>0.6</v>
      </c>
      <c r="H125">
        <v>-2.8182381364142729E-2</v>
      </c>
      <c r="I125">
        <v>-0.25677066343326971</v>
      </c>
      <c r="J125">
        <v>-2.2689648456519551E-2</v>
      </c>
      <c r="K125">
        <v>1.281663134524158E-2</v>
      </c>
      <c r="L125">
        <v>0</v>
      </c>
      <c r="M125">
        <v>63335542.424500003</v>
      </c>
      <c r="N125">
        <v>0</v>
      </c>
      <c r="O125" t="b">
        <v>0</v>
      </c>
    </row>
    <row r="126" spans="1:15" x14ac:dyDescent="0.3">
      <c r="A126" s="1" t="s">
        <v>230</v>
      </c>
      <c r="B126">
        <v>4.771405339597786</v>
      </c>
      <c r="C126">
        <v>3.1967073158232523E-2</v>
      </c>
      <c r="D126">
        <v>3.2828621197909733E-2</v>
      </c>
      <c r="E126">
        <v>58.792371817314582</v>
      </c>
      <c r="F126">
        <v>8.3164005805514973E-2</v>
      </c>
      <c r="G126">
        <v>0.6</v>
      </c>
      <c r="H126">
        <v>0.1244939801698651</v>
      </c>
      <c r="I126">
        <v>0.69434330622422269</v>
      </c>
      <c r="J126">
        <v>-1.4785478547854841E-2</v>
      </c>
      <c r="K126">
        <v>2.7819859523481542E-2</v>
      </c>
      <c r="L126">
        <v>0</v>
      </c>
      <c r="M126">
        <v>69406436.5</v>
      </c>
      <c r="N126">
        <v>0</v>
      </c>
      <c r="O126" t="b">
        <v>0</v>
      </c>
    </row>
    <row r="127" spans="1:15" x14ac:dyDescent="0.3">
      <c r="A127" s="1" t="s">
        <v>231</v>
      </c>
      <c r="B127">
        <v>0.88923410730832309</v>
      </c>
      <c r="C127">
        <v>3.045322285302476E-2</v>
      </c>
      <c r="D127">
        <v>3.8698630136986267E-2</v>
      </c>
      <c r="E127">
        <v>51.073255572938002</v>
      </c>
      <c r="F127">
        <v>1.5299026425591E-2</v>
      </c>
      <c r="G127">
        <v>0.4</v>
      </c>
      <c r="H127">
        <v>-0.11362301034619129</v>
      </c>
      <c r="I127">
        <v>0.60773263321361282</v>
      </c>
      <c r="J127">
        <v>-3.1830238726790472E-2</v>
      </c>
      <c r="K127">
        <v>2.6722925457102639E-2</v>
      </c>
      <c r="L127">
        <v>0</v>
      </c>
      <c r="M127">
        <v>77278065</v>
      </c>
      <c r="N127">
        <v>0</v>
      </c>
      <c r="O127" t="b">
        <v>0</v>
      </c>
    </row>
    <row r="128" spans="1:15" x14ac:dyDescent="0.3">
      <c r="A128" s="1" t="s">
        <v>232</v>
      </c>
      <c r="B128">
        <v>10.27706632092695</v>
      </c>
      <c r="C128">
        <v>2.7598330525073711E-2</v>
      </c>
      <c r="D128">
        <v>2.1966808099253322E-2</v>
      </c>
      <c r="E128">
        <v>60.356986942978871</v>
      </c>
      <c r="F128">
        <v>2.5218875612576411E-2</v>
      </c>
      <c r="G128">
        <v>0.6</v>
      </c>
      <c r="H128">
        <v>6.3057582727778408E-2</v>
      </c>
      <c r="I128">
        <v>1.363771308478215</v>
      </c>
      <c r="J128">
        <v>-6.2446626814689488E-3</v>
      </c>
      <c r="K128">
        <v>3.71967654986527E-3</v>
      </c>
      <c r="L128">
        <v>0</v>
      </c>
      <c r="M128">
        <v>83937630.166999996</v>
      </c>
      <c r="N128">
        <v>0</v>
      </c>
      <c r="O128" t="b">
        <v>0</v>
      </c>
    </row>
    <row r="129" spans="1:15" x14ac:dyDescent="0.3">
      <c r="A129" s="1" t="s">
        <v>233</v>
      </c>
      <c r="B129">
        <v>3.1354359477106661</v>
      </c>
      <c r="C129">
        <v>1.731022650724701E-2</v>
      </c>
      <c r="D129">
        <v>2.142084225868425E-2</v>
      </c>
      <c r="E129">
        <v>60.076764063151977</v>
      </c>
      <c r="F129">
        <v>4.606855129796994E-2</v>
      </c>
      <c r="G129">
        <v>0.6</v>
      </c>
      <c r="H129">
        <v>6.9815744950782591E-2</v>
      </c>
      <c r="I129">
        <v>0.37506550120283477</v>
      </c>
      <c r="J129">
        <v>-1.9392141364487751E-2</v>
      </c>
      <c r="K129">
        <v>1.881464899008356E-2</v>
      </c>
      <c r="L129">
        <v>0</v>
      </c>
      <c r="M129">
        <v>357642884.39700001</v>
      </c>
      <c r="N129">
        <v>0</v>
      </c>
      <c r="O129" t="b">
        <v>1</v>
      </c>
    </row>
    <row r="130" spans="1:15" x14ac:dyDescent="0.3">
      <c r="A130" s="1" t="s">
        <v>234</v>
      </c>
      <c r="B130">
        <v>96.758817420999947</v>
      </c>
      <c r="C130">
        <v>2.8282707006456919E-2</v>
      </c>
      <c r="D130">
        <v>3.34743198884579E-2</v>
      </c>
      <c r="E130">
        <v>23.822405818212179</v>
      </c>
      <c r="F130">
        <v>-8.2337068042885209E-2</v>
      </c>
      <c r="G130">
        <v>0.2</v>
      </c>
      <c r="H130">
        <v>-0.23621576110344361</v>
      </c>
      <c r="I130">
        <v>-0.41549780964062288</v>
      </c>
      <c r="J130">
        <v>-0.13780919618442769</v>
      </c>
      <c r="K130">
        <v>-2.1631391255358508E-2</v>
      </c>
      <c r="L130">
        <v>0</v>
      </c>
      <c r="M130">
        <v>442229670</v>
      </c>
      <c r="N130">
        <v>1</v>
      </c>
      <c r="O130" t="b">
        <v>1</v>
      </c>
    </row>
    <row r="131" spans="1:15" x14ac:dyDescent="0.3">
      <c r="A131" s="1" t="s">
        <v>235</v>
      </c>
      <c r="B131">
        <v>1.489823871806651</v>
      </c>
      <c r="C131">
        <v>3.5975916753155528E-2</v>
      </c>
      <c r="D131">
        <v>3.9271510225371099E-2</v>
      </c>
      <c r="E131">
        <v>65.742287709342847</v>
      </c>
      <c r="F131">
        <v>0.20514924786757599</v>
      </c>
      <c r="G131">
        <v>0.8</v>
      </c>
      <c r="H131">
        <v>0.17823081752699479</v>
      </c>
      <c r="I131">
        <v>1.509174171724879</v>
      </c>
      <c r="J131">
        <v>-1.346454835874011E-2</v>
      </c>
      <c r="K131">
        <v>2.077956651310009E-2</v>
      </c>
      <c r="L131">
        <v>0</v>
      </c>
      <c r="M131">
        <v>400146620.7015</v>
      </c>
      <c r="N131">
        <v>0</v>
      </c>
      <c r="O131" t="b">
        <v>1</v>
      </c>
    </row>
    <row r="132" spans="1:15" x14ac:dyDescent="0.3">
      <c r="A132" s="1" t="s">
        <v>236</v>
      </c>
      <c r="B132">
        <v>5.5182811664712128</v>
      </c>
      <c r="C132">
        <v>2.776912825317639E-2</v>
      </c>
      <c r="D132">
        <v>1.509661835748792E-2</v>
      </c>
      <c r="E132">
        <v>51.09462391101389</v>
      </c>
      <c r="F132">
        <v>2.0070838252656431E-2</v>
      </c>
      <c r="G132">
        <v>0.4</v>
      </c>
      <c r="H132">
        <v>-0.10844826715173631</v>
      </c>
      <c r="I132">
        <v>1.1851882230549351</v>
      </c>
      <c r="J132">
        <v>-3.6602511271634268E-2</v>
      </c>
      <c r="K132">
        <v>-8.2347656834855787E-3</v>
      </c>
      <c r="L132">
        <v>0</v>
      </c>
      <c r="M132">
        <v>1430288220</v>
      </c>
      <c r="N132">
        <v>0</v>
      </c>
      <c r="O132" t="b">
        <v>1</v>
      </c>
    </row>
    <row r="133" spans="1:15" x14ac:dyDescent="0.3">
      <c r="A133" s="1" t="s">
        <v>237</v>
      </c>
      <c r="B133">
        <v>5.4623526055897473</v>
      </c>
      <c r="C133">
        <v>3.4393354776411957E-2</v>
      </c>
      <c r="D133">
        <v>3.009696511774337E-2</v>
      </c>
      <c r="E133">
        <v>47.895263971369602</v>
      </c>
      <c r="F133">
        <v>-4.2618602688528462E-2</v>
      </c>
      <c r="G133">
        <v>0.4</v>
      </c>
      <c r="H133">
        <v>-2.6963256039758618E-3</v>
      </c>
      <c r="I133">
        <v>1.3659961617641441</v>
      </c>
      <c r="J133">
        <v>-3.3118227200779282E-2</v>
      </c>
      <c r="K133">
        <v>1.833803539369061E-2</v>
      </c>
      <c r="L133">
        <v>0</v>
      </c>
      <c r="M133">
        <v>1886613111.0355</v>
      </c>
      <c r="N133">
        <v>0</v>
      </c>
      <c r="O133" t="b">
        <v>1</v>
      </c>
    </row>
    <row r="134" spans="1:15" x14ac:dyDescent="0.3">
      <c r="A134" s="1" t="s">
        <v>238</v>
      </c>
      <c r="B134">
        <v>0.98719410929462603</v>
      </c>
      <c r="C134">
        <v>1.8357522115713811E-2</v>
      </c>
      <c r="D134">
        <v>2.237429336506996E-2</v>
      </c>
      <c r="E134">
        <v>61.361042164936812</v>
      </c>
      <c r="F134">
        <v>1.761563512984177E-2</v>
      </c>
      <c r="G134">
        <v>0.6</v>
      </c>
      <c r="H134">
        <v>3.4250028865275318E-2</v>
      </c>
      <c r="I134">
        <v>0.77347401849126185</v>
      </c>
      <c r="J134">
        <v>0</v>
      </c>
      <c r="K134">
        <v>1.008659065722517E-2</v>
      </c>
      <c r="L134">
        <v>0</v>
      </c>
      <c r="M134">
        <v>1669594051.8829999</v>
      </c>
      <c r="N134">
        <v>0</v>
      </c>
      <c r="O134" t="b">
        <v>1</v>
      </c>
    </row>
    <row r="135" spans="1:15" x14ac:dyDescent="0.3">
      <c r="A135" s="1" t="s">
        <v>239</v>
      </c>
      <c r="B135">
        <v>2.631684629640588</v>
      </c>
      <c r="C135">
        <v>2.8507412920004891E-2</v>
      </c>
      <c r="D135">
        <v>3.2358491179191443E-2</v>
      </c>
      <c r="E135">
        <v>66.173543604688348</v>
      </c>
      <c r="F135">
        <v>7.2526640115622376E-2</v>
      </c>
      <c r="G135">
        <v>0.8</v>
      </c>
      <c r="H135">
        <v>-9.3037432382941834E-2</v>
      </c>
      <c r="I135">
        <v>0.29895522808740582</v>
      </c>
      <c r="J135">
        <v>0</v>
      </c>
      <c r="K135">
        <v>2.7505270211008789E-2</v>
      </c>
      <c r="L135">
        <v>0</v>
      </c>
      <c r="M135">
        <v>203227423.14300001</v>
      </c>
      <c r="N135">
        <v>0</v>
      </c>
      <c r="O135" t="b">
        <v>1</v>
      </c>
    </row>
    <row r="136" spans="1:15" x14ac:dyDescent="0.3">
      <c r="A136" s="1" t="s">
        <v>240</v>
      </c>
      <c r="B136">
        <v>0.92066881898572639</v>
      </c>
      <c r="C136">
        <v>2.618243919808343E-2</v>
      </c>
      <c r="D136">
        <v>1.9275614555961211E-2</v>
      </c>
      <c r="E136">
        <v>58.802452806707407</v>
      </c>
      <c r="F136">
        <v>-1.050457411873296E-2</v>
      </c>
      <c r="G136">
        <v>1</v>
      </c>
      <c r="H136">
        <v>7.7826074097203579E-3</v>
      </c>
      <c r="I136">
        <v>2.1246505409035898</v>
      </c>
      <c r="J136">
        <v>0</v>
      </c>
      <c r="K136">
        <v>4.7690210791304644E-3</v>
      </c>
      <c r="L136">
        <v>0</v>
      </c>
      <c r="M136">
        <v>11556978.73955</v>
      </c>
      <c r="N136">
        <v>0</v>
      </c>
      <c r="O136" t="b">
        <v>0</v>
      </c>
    </row>
    <row r="137" spans="1:15" x14ac:dyDescent="0.3">
      <c r="A137" s="1" t="s">
        <v>241</v>
      </c>
      <c r="B137">
        <v>1.1026961985369279</v>
      </c>
      <c r="C137">
        <v>2.315241337576511E-2</v>
      </c>
      <c r="D137">
        <v>3.4540823932291492E-2</v>
      </c>
      <c r="E137">
        <v>46.8267107391259</v>
      </c>
      <c r="F137">
        <v>3.3477342904074892E-2</v>
      </c>
      <c r="G137">
        <v>0.6</v>
      </c>
      <c r="H137">
        <v>-9.8377473311701297E-2</v>
      </c>
      <c r="I137">
        <v>-6.8006130990272598E-2</v>
      </c>
      <c r="J137">
        <v>-3.8224496472175302E-2</v>
      </c>
      <c r="K137">
        <v>1.9201633198089318E-2</v>
      </c>
      <c r="L137">
        <v>0</v>
      </c>
      <c r="M137">
        <v>124737941.8387</v>
      </c>
      <c r="N137">
        <v>0</v>
      </c>
      <c r="O137" t="b">
        <v>1</v>
      </c>
    </row>
    <row r="138" spans="1:15" x14ac:dyDescent="0.3">
      <c r="A138" s="1" t="s">
        <v>242</v>
      </c>
      <c r="B138">
        <v>1.3462373661198259</v>
      </c>
      <c r="C138">
        <v>2.4438563391456839E-2</v>
      </c>
      <c r="D138">
        <v>3.6471664615351042E-2</v>
      </c>
      <c r="E138">
        <v>65.461165161322583</v>
      </c>
      <c r="F138">
        <v>4.9002824046479487E-2</v>
      </c>
      <c r="G138">
        <v>0.6</v>
      </c>
      <c r="H138">
        <v>-5.579954738809835E-2</v>
      </c>
      <c r="I138">
        <v>1.636135729617205</v>
      </c>
      <c r="J138">
        <v>0</v>
      </c>
      <c r="K138">
        <v>2.2221562430992488E-2</v>
      </c>
      <c r="L138">
        <v>0</v>
      </c>
      <c r="M138">
        <v>97218182.407849997</v>
      </c>
      <c r="N138">
        <v>0</v>
      </c>
      <c r="O138" t="b">
        <v>1</v>
      </c>
    </row>
    <row r="139" spans="1:15" x14ac:dyDescent="0.3">
      <c r="A139" s="1" t="s">
        <v>243</v>
      </c>
      <c r="B139">
        <v>7.5747979168463262</v>
      </c>
      <c r="C139">
        <v>2.7345840855040889E-2</v>
      </c>
      <c r="D139">
        <v>1.1805054151624479E-2</v>
      </c>
      <c r="E139">
        <v>65.114366333390677</v>
      </c>
      <c r="F139">
        <v>6.9456777730589669E-2</v>
      </c>
      <c r="G139">
        <v>0.6</v>
      </c>
      <c r="H139">
        <v>-1.9648124965072271E-3</v>
      </c>
      <c r="I139">
        <v>0.80093838245600424</v>
      </c>
      <c r="J139">
        <v>-2.3410768953717742E-3</v>
      </c>
      <c r="K139">
        <v>2.569763654131529E-3</v>
      </c>
      <c r="L139">
        <v>0</v>
      </c>
      <c r="M139">
        <v>62213779.6065</v>
      </c>
      <c r="N139">
        <v>0</v>
      </c>
      <c r="O139" t="b">
        <v>0</v>
      </c>
    </row>
    <row r="140" spans="1:15" x14ac:dyDescent="0.3">
      <c r="A140" s="1" t="s">
        <v>244</v>
      </c>
      <c r="B140">
        <v>0.54856169859751847</v>
      </c>
      <c r="C140">
        <v>3.0056528332558129E-2</v>
      </c>
      <c r="D140">
        <v>2.5741055284641899E-2</v>
      </c>
      <c r="E140">
        <v>41.155949712000243</v>
      </c>
      <c r="F140">
        <v>2.9274922597127381E-2</v>
      </c>
      <c r="G140">
        <v>0.4</v>
      </c>
      <c r="H140">
        <v>-0.20554113535079291</v>
      </c>
      <c r="I140">
        <v>1.029885895352197</v>
      </c>
      <c r="J140">
        <v>-4.29771480708524E-2</v>
      </c>
      <c r="K140">
        <v>5.5037986678494466E-3</v>
      </c>
      <c r="L140">
        <v>0</v>
      </c>
      <c r="M140">
        <v>136574888.36179999</v>
      </c>
      <c r="N140">
        <v>0</v>
      </c>
      <c r="O140" t="b">
        <v>1</v>
      </c>
    </row>
    <row r="141" spans="1:15" x14ac:dyDescent="0.3">
      <c r="A141" s="1" t="s">
        <v>245</v>
      </c>
      <c r="B141">
        <v>0.48505458173054927</v>
      </c>
      <c r="C141">
        <v>8.6518937797306125E-3</v>
      </c>
      <c r="D141">
        <v>1.254294245443556E-2</v>
      </c>
      <c r="E141">
        <v>59.742179011320317</v>
      </c>
      <c r="F141">
        <v>-3.871623434426708E-3</v>
      </c>
      <c r="G141">
        <v>0.6</v>
      </c>
      <c r="H141">
        <v>-0.18615071600953781</v>
      </c>
      <c r="I141">
        <v>0.78134243276570403</v>
      </c>
      <c r="J141">
        <v>-4.7469590348442336E-3</v>
      </c>
      <c r="K141">
        <v>1.1978382593438971E-2</v>
      </c>
      <c r="L141">
        <v>0</v>
      </c>
      <c r="M141">
        <v>10576416.86655</v>
      </c>
      <c r="N141">
        <v>0</v>
      </c>
      <c r="O141" t="b">
        <v>0</v>
      </c>
    </row>
    <row r="142" spans="1:15" x14ac:dyDescent="0.3">
      <c r="A142" s="1" t="s">
        <v>246</v>
      </c>
      <c r="B142">
        <v>1.0313156141430231</v>
      </c>
      <c r="C142">
        <v>1.125514417828786E-2</v>
      </c>
      <c r="D142">
        <v>1.6371168583420699E-2</v>
      </c>
      <c r="E142">
        <v>68.766585553082038</v>
      </c>
      <c r="F142">
        <v>5.6344539219834289E-2</v>
      </c>
      <c r="G142">
        <v>0.8</v>
      </c>
      <c r="H142">
        <v>5.8748961267084968E-2</v>
      </c>
      <c r="I142">
        <v>0.76438500112009911</v>
      </c>
      <c r="J142">
        <v>0</v>
      </c>
      <c r="K142">
        <v>1.351529222298309E-2</v>
      </c>
      <c r="L142">
        <v>0</v>
      </c>
      <c r="M142">
        <v>16471598.73435</v>
      </c>
      <c r="N142">
        <v>0</v>
      </c>
      <c r="O142" t="b">
        <v>0</v>
      </c>
    </row>
    <row r="143" spans="1:15" x14ac:dyDescent="0.3">
      <c r="A143" s="1" t="s">
        <v>247</v>
      </c>
      <c r="B143">
        <v>0.10445160036617861</v>
      </c>
      <c r="C143">
        <v>3.1524945029480757E-2</v>
      </c>
      <c r="D143">
        <v>2.108471916216469E-2</v>
      </c>
      <c r="E143">
        <v>39.78966272838025</v>
      </c>
      <c r="F143">
        <v>-8.033374783496916E-2</v>
      </c>
      <c r="G143">
        <v>0.4</v>
      </c>
      <c r="H143">
        <v>1.1913887769252351E-2</v>
      </c>
      <c r="I143">
        <v>1.068886891166553</v>
      </c>
      <c r="J143">
        <v>-0.1075286195286196</v>
      </c>
      <c r="K143">
        <v>0</v>
      </c>
      <c r="L143">
        <v>0</v>
      </c>
      <c r="M143">
        <v>104353994.124075</v>
      </c>
      <c r="N143">
        <v>0</v>
      </c>
      <c r="O143" t="b">
        <v>1</v>
      </c>
    </row>
    <row r="144" spans="1:15" x14ac:dyDescent="0.3">
      <c r="A144" s="1" t="s">
        <v>248</v>
      </c>
      <c r="B144">
        <v>0.63391585089242242</v>
      </c>
      <c r="C144">
        <v>8.8351503205246935E-3</v>
      </c>
      <c r="D144">
        <v>1.358340778237551E-2</v>
      </c>
      <c r="E144">
        <v>62.301738671899699</v>
      </c>
      <c r="F144">
        <v>1.8474672026663749E-2</v>
      </c>
      <c r="G144">
        <v>0.4</v>
      </c>
      <c r="H144">
        <v>-7.1621816584674326E-3</v>
      </c>
      <c r="I144">
        <v>0.61622939615756123</v>
      </c>
      <c r="J144">
        <v>0</v>
      </c>
      <c r="K144">
        <v>1.2335802469135791E-2</v>
      </c>
      <c r="L144">
        <v>0</v>
      </c>
      <c r="M144">
        <v>26397434.162999999</v>
      </c>
      <c r="N144">
        <v>0</v>
      </c>
      <c r="O144" t="b">
        <v>0</v>
      </c>
    </row>
    <row r="145" spans="1:15" x14ac:dyDescent="0.3">
      <c r="A145" s="1" t="s">
        <v>249</v>
      </c>
      <c r="B145">
        <v>0.61107804035424351</v>
      </c>
      <c r="C145">
        <v>8.5435229262127311E-3</v>
      </c>
      <c r="D145">
        <v>1.3174359282659471E-2</v>
      </c>
      <c r="E145">
        <v>62.882563041408247</v>
      </c>
      <c r="F145">
        <v>1.5752079425017881E-2</v>
      </c>
      <c r="G145">
        <v>0.4</v>
      </c>
      <c r="H145">
        <v>-3.54461877512217E-2</v>
      </c>
      <c r="I145">
        <v>0.71906217753942592</v>
      </c>
      <c r="J145">
        <v>0</v>
      </c>
      <c r="K145">
        <v>1.1942355251467029E-2</v>
      </c>
      <c r="L145">
        <v>0</v>
      </c>
      <c r="M145">
        <v>6218031.28125</v>
      </c>
      <c r="N145">
        <v>0</v>
      </c>
      <c r="O145" t="b">
        <v>0</v>
      </c>
    </row>
    <row r="146" spans="1:15" x14ac:dyDescent="0.3">
      <c r="A146" s="1" t="s">
        <v>250</v>
      </c>
      <c r="B146">
        <v>2.5742372833434461</v>
      </c>
      <c r="C146">
        <v>3.5409041036361007E-2</v>
      </c>
      <c r="D146">
        <v>3.7276478679504919E-2</v>
      </c>
      <c r="E146">
        <v>63.169810485968917</v>
      </c>
      <c r="F146">
        <v>0.1574590033434167</v>
      </c>
      <c r="G146">
        <v>0.6</v>
      </c>
      <c r="H146">
        <v>0.17079878733451831</v>
      </c>
      <c r="I146">
        <v>1.72264466441224</v>
      </c>
      <c r="J146">
        <v>-2.755484216158377E-2</v>
      </c>
      <c r="K146">
        <v>1.4371424584903149E-2</v>
      </c>
      <c r="L146">
        <v>0</v>
      </c>
      <c r="M146">
        <v>105459687</v>
      </c>
      <c r="N146">
        <v>0</v>
      </c>
      <c r="O146" t="b">
        <v>1</v>
      </c>
    </row>
    <row r="147" spans="1:15" x14ac:dyDescent="0.3">
      <c r="A147" s="1" t="s">
        <v>251</v>
      </c>
      <c r="B147">
        <v>0.72021106656556855</v>
      </c>
      <c r="C147">
        <v>1.092601262139215E-2</v>
      </c>
      <c r="D147">
        <v>1.1083618666476671E-2</v>
      </c>
      <c r="E147">
        <v>58.767741003228899</v>
      </c>
      <c r="F147">
        <v>5.4990649301520636E-3</v>
      </c>
      <c r="G147">
        <v>0.8</v>
      </c>
      <c r="H147">
        <v>-2.6338131191590671E-2</v>
      </c>
      <c r="I147">
        <v>0.91956204989478407</v>
      </c>
      <c r="J147">
        <v>-2.8711072520416492E-3</v>
      </c>
      <c r="K147">
        <v>7.979166698524276E-3</v>
      </c>
      <c r="L147">
        <v>0</v>
      </c>
      <c r="M147">
        <v>76516884.81735</v>
      </c>
      <c r="N147">
        <v>0</v>
      </c>
      <c r="O147" t="b">
        <v>0</v>
      </c>
    </row>
    <row r="148" spans="1:15" x14ac:dyDescent="0.3">
      <c r="A148" s="1" t="s">
        <v>252</v>
      </c>
      <c r="B148">
        <v>1.2912898593305231</v>
      </c>
      <c r="C148">
        <v>1.0411948551286271E-2</v>
      </c>
      <c r="D148">
        <v>1.069182389937102E-2</v>
      </c>
      <c r="E148">
        <v>60.55058915816479</v>
      </c>
      <c r="F148">
        <v>8.2680910221701875E-3</v>
      </c>
      <c r="G148">
        <v>0.6</v>
      </c>
      <c r="H148">
        <v>-6.0543356242715722E-2</v>
      </c>
      <c r="I148">
        <v>1.001176218071431</v>
      </c>
      <c r="J148">
        <v>0</v>
      </c>
      <c r="K148">
        <v>6.4352779829095494E-3</v>
      </c>
      <c r="L148">
        <v>0</v>
      </c>
      <c r="M148">
        <v>18590380.420000002</v>
      </c>
      <c r="N148">
        <v>0</v>
      </c>
      <c r="O148" t="b">
        <v>0</v>
      </c>
    </row>
    <row r="149" spans="1:15" x14ac:dyDescent="0.3">
      <c r="A149" s="1" t="s">
        <v>253</v>
      </c>
      <c r="B149">
        <v>0.39674604405205288</v>
      </c>
      <c r="C149">
        <v>1.774356189857124E-2</v>
      </c>
      <c r="D149">
        <v>2.191413237924859E-2</v>
      </c>
      <c r="E149">
        <v>69.015475705638991</v>
      </c>
      <c r="F149">
        <v>5.971563981042638E-2</v>
      </c>
      <c r="G149">
        <v>0.8</v>
      </c>
      <c r="H149">
        <v>0.13121947914567639</v>
      </c>
      <c r="I149">
        <v>0.79840709302834711</v>
      </c>
      <c r="J149">
        <v>0</v>
      </c>
      <c r="K149">
        <v>2.147099132023755E-2</v>
      </c>
      <c r="L149">
        <v>0</v>
      </c>
      <c r="M149">
        <v>23929003.600000001</v>
      </c>
      <c r="N149">
        <v>0</v>
      </c>
      <c r="O149" t="b">
        <v>0</v>
      </c>
    </row>
    <row r="150" spans="1:15" x14ac:dyDescent="0.3">
      <c r="A150" s="1" t="s">
        <v>254</v>
      </c>
      <c r="B150">
        <v>2.3752839681657179</v>
      </c>
      <c r="C150">
        <v>3.2469638955706023E-2</v>
      </c>
      <c r="D150">
        <v>2.307050878967647E-2</v>
      </c>
      <c r="E150">
        <v>42.979613286567869</v>
      </c>
      <c r="F150">
        <v>-5.1566547476125213E-2</v>
      </c>
      <c r="G150">
        <v>0.6</v>
      </c>
      <c r="H150">
        <v>-6.4395157429981587E-2</v>
      </c>
      <c r="I150">
        <v>1.6400997522493981</v>
      </c>
      <c r="J150">
        <v>-8.4712341381752321E-2</v>
      </c>
      <c r="K150">
        <v>1.2984603199000629E-2</v>
      </c>
      <c r="L150">
        <v>0</v>
      </c>
      <c r="M150">
        <v>241053600.77954999</v>
      </c>
      <c r="N150">
        <v>0</v>
      </c>
      <c r="O150" t="b">
        <v>1</v>
      </c>
    </row>
    <row r="151" spans="1:15" x14ac:dyDescent="0.3">
      <c r="A151" s="1" t="s">
        <v>255</v>
      </c>
      <c r="B151">
        <v>0.45181775061034019</v>
      </c>
      <c r="C151">
        <v>1.9483301018125929E-2</v>
      </c>
      <c r="D151">
        <v>1.2505390254419969E-2</v>
      </c>
      <c r="E151">
        <v>49.246191375201512</v>
      </c>
      <c r="F151">
        <v>1.0897994768962469E-2</v>
      </c>
      <c r="G151">
        <v>0.6</v>
      </c>
      <c r="H151">
        <v>-8.1143314044506684E-2</v>
      </c>
      <c r="I151">
        <v>-0.30217111498297472</v>
      </c>
      <c r="J151">
        <v>-1.5286624203821649E-2</v>
      </c>
      <c r="K151">
        <v>1.7278617710583259E-3</v>
      </c>
      <c r="L151">
        <v>0</v>
      </c>
      <c r="M151">
        <v>66537980.310500003</v>
      </c>
      <c r="N151">
        <v>0</v>
      </c>
      <c r="O151" t="b">
        <v>0</v>
      </c>
    </row>
    <row r="152" spans="1:15" x14ac:dyDescent="0.3">
      <c r="A152" s="1" t="s">
        <v>256</v>
      </c>
      <c r="B152">
        <v>0.72741029847168526</v>
      </c>
      <c r="C152">
        <v>1.9203017383096231E-2</v>
      </c>
      <c r="D152">
        <v>1.267159450897563E-2</v>
      </c>
      <c r="E152">
        <v>61.268965203328932</v>
      </c>
      <c r="F152">
        <v>3.8092628117292422E-2</v>
      </c>
      <c r="G152">
        <v>0.8</v>
      </c>
      <c r="H152">
        <v>0.17101434469917029</v>
      </c>
      <c r="I152">
        <v>0.66993287858062511</v>
      </c>
      <c r="J152">
        <v>-1.6614745586708168E-2</v>
      </c>
      <c r="K152">
        <v>4.774535809018543E-3</v>
      </c>
      <c r="L152">
        <v>0</v>
      </c>
      <c r="M152">
        <v>7826866</v>
      </c>
      <c r="N152">
        <v>0</v>
      </c>
      <c r="O152" t="b">
        <v>0</v>
      </c>
    </row>
    <row r="153" spans="1:15" x14ac:dyDescent="0.3">
      <c r="A153" s="1" t="s">
        <v>257</v>
      </c>
      <c r="B153">
        <v>0.42912187413317332</v>
      </c>
      <c r="C153">
        <v>1.8231180234906118E-2</v>
      </c>
      <c r="D153">
        <v>3.1485525410191242E-2</v>
      </c>
      <c r="E153">
        <v>71.044159443674644</v>
      </c>
      <c r="F153">
        <v>7.2493484243716599E-2</v>
      </c>
      <c r="G153">
        <v>0.6</v>
      </c>
      <c r="H153">
        <v>0.10813597437629879</v>
      </c>
      <c r="I153">
        <v>1.000590768551024</v>
      </c>
      <c r="J153">
        <v>0</v>
      </c>
      <c r="K153">
        <v>2.9388868965879219E-2</v>
      </c>
      <c r="L153">
        <v>0</v>
      </c>
      <c r="M153">
        <v>218456543.96610001</v>
      </c>
      <c r="N153">
        <v>0</v>
      </c>
      <c r="O153" t="b">
        <v>1</v>
      </c>
    </row>
    <row r="154" spans="1:15" x14ac:dyDescent="0.3">
      <c r="A154" s="1" t="s">
        <v>258</v>
      </c>
      <c r="B154">
        <v>3.325695087725983</v>
      </c>
      <c r="C154">
        <v>2.1321975237864929E-2</v>
      </c>
      <c r="D154">
        <v>5.4790831864080743E-2</v>
      </c>
      <c r="E154">
        <v>63.995674459006452</v>
      </c>
      <c r="F154">
        <v>9.8214411445791461E-2</v>
      </c>
      <c r="G154">
        <v>0.6</v>
      </c>
      <c r="H154">
        <v>3.2887826667851051E-3</v>
      </c>
      <c r="I154">
        <v>0.55610091734365241</v>
      </c>
      <c r="J154">
        <v>0</v>
      </c>
      <c r="K154">
        <v>5.0740014685771502E-2</v>
      </c>
      <c r="L154">
        <v>0</v>
      </c>
      <c r="M154">
        <v>431159886.54000002</v>
      </c>
      <c r="N154">
        <v>0</v>
      </c>
      <c r="O154" t="b">
        <v>1</v>
      </c>
    </row>
    <row r="155" spans="1:15" x14ac:dyDescent="0.3">
      <c r="A155" s="1" t="s">
        <v>259</v>
      </c>
      <c r="B155">
        <v>11.782159284857499</v>
      </c>
      <c r="C155">
        <v>0.116321051286973</v>
      </c>
      <c r="D155">
        <v>9.2704116892092014E-2</v>
      </c>
      <c r="E155">
        <v>45.955300769494663</v>
      </c>
      <c r="F155">
        <v>-0.2724987430869783</v>
      </c>
      <c r="G155">
        <v>0.4</v>
      </c>
      <c r="H155">
        <v>0.1167895027651538</v>
      </c>
      <c r="I155">
        <v>4.8151287757644861</v>
      </c>
      <c r="J155">
        <v>-0.2028803021956401</v>
      </c>
      <c r="K155">
        <v>-7.4470029239765978E-2</v>
      </c>
      <c r="L155">
        <v>0</v>
      </c>
      <c r="M155">
        <v>180800420</v>
      </c>
      <c r="N155">
        <v>0</v>
      </c>
      <c r="O155" t="b">
        <v>1</v>
      </c>
    </row>
    <row r="156" spans="1:15" x14ac:dyDescent="0.3">
      <c r="A156" s="1" t="s">
        <v>260</v>
      </c>
      <c r="B156">
        <v>0.50451834059605971</v>
      </c>
      <c r="C156">
        <v>2.9642675710696811E-2</v>
      </c>
      <c r="D156">
        <v>4.2890716803760102E-2</v>
      </c>
      <c r="E156">
        <v>49.799267575137513</v>
      </c>
      <c r="F156">
        <v>5.517668939863607E-2</v>
      </c>
      <c r="G156">
        <v>0.6</v>
      </c>
      <c r="H156">
        <v>-0.16994381916509449</v>
      </c>
      <c r="I156">
        <v>0.88501329371477699</v>
      </c>
      <c r="J156">
        <v>-2.7428571428571469E-2</v>
      </c>
      <c r="K156">
        <v>3.6540803897685548E-2</v>
      </c>
      <c r="L156">
        <v>0</v>
      </c>
      <c r="M156">
        <v>116324406</v>
      </c>
      <c r="N156">
        <v>0</v>
      </c>
      <c r="O156" t="b">
        <v>1</v>
      </c>
    </row>
    <row r="157" spans="1:15" x14ac:dyDescent="0.3">
      <c r="A157" s="1" t="s">
        <v>261</v>
      </c>
      <c r="B157">
        <v>0.49949290335680069</v>
      </c>
      <c r="C157">
        <v>2.1722277212237739E-2</v>
      </c>
      <c r="D157">
        <v>3.2172910913479263E-2</v>
      </c>
      <c r="E157">
        <v>58.511980034705473</v>
      </c>
      <c r="F157">
        <v>3.5079585148906967E-2</v>
      </c>
      <c r="G157">
        <v>0.6</v>
      </c>
      <c r="H157">
        <v>-0.107388161004072</v>
      </c>
      <c r="I157">
        <v>1.0888615208302379</v>
      </c>
      <c r="J157">
        <v>-6.3951604191422318E-3</v>
      </c>
      <c r="K157">
        <v>-6.3951604191422318E-3</v>
      </c>
      <c r="L157">
        <v>0</v>
      </c>
      <c r="M157">
        <v>83331221.002700001</v>
      </c>
      <c r="N157">
        <v>0</v>
      </c>
      <c r="O157" t="b">
        <v>0</v>
      </c>
    </row>
    <row r="158" spans="1:15" x14ac:dyDescent="0.3">
      <c r="A158" s="1" t="s">
        <v>262</v>
      </c>
      <c r="B158">
        <v>0.66762839001185015</v>
      </c>
      <c r="C158">
        <v>2.3804338866234651E-2</v>
      </c>
      <c r="D158">
        <v>2.2897687768527231E-2</v>
      </c>
      <c r="E158">
        <v>47.296166283126411</v>
      </c>
      <c r="F158">
        <v>-8.8603358127715359E-2</v>
      </c>
      <c r="G158">
        <v>0.4</v>
      </c>
      <c r="H158">
        <v>7.2785043761635193E-2</v>
      </c>
      <c r="I158">
        <v>0.91795536514021769</v>
      </c>
      <c r="J158">
        <v>-3.3695670898723377E-2</v>
      </c>
      <c r="K158">
        <v>7.095432853721384E-3</v>
      </c>
      <c r="L158">
        <v>0</v>
      </c>
      <c r="M158">
        <v>13258164.753</v>
      </c>
      <c r="N158">
        <v>0</v>
      </c>
      <c r="O158" t="b">
        <v>0</v>
      </c>
    </row>
    <row r="159" spans="1:15" x14ac:dyDescent="0.3">
      <c r="A159" s="1" t="s">
        <v>263</v>
      </c>
      <c r="B159">
        <v>1.1513118525118231</v>
      </c>
      <c r="C159">
        <v>2.946113903917252E-2</v>
      </c>
      <c r="D159">
        <v>1.9529670667110151E-2</v>
      </c>
      <c r="E159">
        <v>42.09079077569001</v>
      </c>
      <c r="F159">
        <v>-9.9352614318078514E-2</v>
      </c>
      <c r="G159">
        <v>0.4</v>
      </c>
      <c r="H159">
        <v>9.9877567454797422E-2</v>
      </c>
      <c r="I159">
        <v>0.63662338657088036</v>
      </c>
      <c r="J159">
        <v>-6.5947067385947133E-2</v>
      </c>
      <c r="K159">
        <v>5.097631735972552E-3</v>
      </c>
      <c r="L159">
        <v>0</v>
      </c>
      <c r="M159">
        <v>28985177.092999998</v>
      </c>
      <c r="N159">
        <v>0</v>
      </c>
      <c r="O159" t="b">
        <v>0</v>
      </c>
    </row>
    <row r="160" spans="1:15" x14ac:dyDescent="0.3">
      <c r="A160" s="1" t="s">
        <v>264</v>
      </c>
      <c r="B160">
        <v>2.7102498134427129</v>
      </c>
      <c r="C160">
        <v>8.6203874473368747E-2</v>
      </c>
      <c r="D160">
        <v>7.3791348600509024E-2</v>
      </c>
      <c r="E160">
        <v>59.577476208569969</v>
      </c>
      <c r="F160">
        <v>-7.7194012327560846E-2</v>
      </c>
      <c r="G160">
        <v>0.8</v>
      </c>
      <c r="H160">
        <v>0</v>
      </c>
      <c r="I160">
        <v>1</v>
      </c>
      <c r="J160">
        <v>-0.12690919189114119</v>
      </c>
      <c r="K160">
        <v>1.353965183752415E-2</v>
      </c>
      <c r="O160" t="b">
        <v>0</v>
      </c>
    </row>
    <row r="161" spans="1:15" x14ac:dyDescent="0.3">
      <c r="A161" s="1" t="s">
        <v>265</v>
      </c>
      <c r="B161">
        <v>0.81368979057842616</v>
      </c>
      <c r="C161">
        <v>2.736858041419761E-2</v>
      </c>
      <c r="D161">
        <v>2.166776541499044E-2</v>
      </c>
      <c r="E161">
        <v>67.109484148989807</v>
      </c>
      <c r="F161">
        <v>0.1153176675369887</v>
      </c>
      <c r="G161">
        <v>0.6</v>
      </c>
      <c r="H161">
        <v>3.1803073948300321E-2</v>
      </c>
      <c r="I161">
        <v>0.32035655132074781</v>
      </c>
      <c r="J161">
        <v>-8.2625881882015806E-3</v>
      </c>
      <c r="K161">
        <v>1.454379175965537E-2</v>
      </c>
      <c r="L161">
        <v>0</v>
      </c>
      <c r="M161">
        <v>4420275.9676000001</v>
      </c>
      <c r="N161">
        <v>0</v>
      </c>
      <c r="O161" t="b">
        <v>0</v>
      </c>
    </row>
    <row r="162" spans="1:15" x14ac:dyDescent="0.3">
      <c r="A162" s="1" t="s">
        <v>266</v>
      </c>
      <c r="B162">
        <v>0.93270514534138704</v>
      </c>
      <c r="C162">
        <v>3.098461724861927E-2</v>
      </c>
      <c r="D162">
        <v>2.4028144122356449E-2</v>
      </c>
      <c r="E162">
        <v>65.316350239619453</v>
      </c>
      <c r="F162">
        <v>0.1207240614156577</v>
      </c>
      <c r="G162">
        <v>0.4</v>
      </c>
      <c r="H162">
        <v>6.363137170202017E-2</v>
      </c>
      <c r="I162">
        <v>0.3694615511233999</v>
      </c>
      <c r="J162">
        <v>-6.5732687072572737E-4</v>
      </c>
      <c r="K162">
        <v>2.4619710064025521E-2</v>
      </c>
      <c r="L162">
        <v>0</v>
      </c>
      <c r="M162">
        <v>100482815.4201</v>
      </c>
      <c r="N162">
        <v>0</v>
      </c>
      <c r="O162" t="b">
        <v>1</v>
      </c>
    </row>
    <row r="163" spans="1:15" x14ac:dyDescent="0.3">
      <c r="A163" s="1" t="s">
        <v>267</v>
      </c>
      <c r="B163">
        <v>2.31423826587889</v>
      </c>
      <c r="C163">
        <v>2.5437535142050719E-2</v>
      </c>
      <c r="D163">
        <v>2.5245858032718099E-2</v>
      </c>
      <c r="E163">
        <v>41.418175432119988</v>
      </c>
      <c r="F163">
        <v>-3.0482418047330651E-2</v>
      </c>
      <c r="G163">
        <v>0.2</v>
      </c>
      <c r="H163">
        <v>5.7227526156510132E-2</v>
      </c>
      <c r="I163">
        <v>0.18576873199627461</v>
      </c>
      <c r="J163">
        <v>-5.1911916272312952E-2</v>
      </c>
      <c r="K163">
        <v>5.4658871453772129E-4</v>
      </c>
      <c r="L163">
        <v>0</v>
      </c>
      <c r="M163">
        <v>128405063.81910001</v>
      </c>
      <c r="N163">
        <v>0</v>
      </c>
      <c r="O163" t="b">
        <v>1</v>
      </c>
    </row>
    <row r="164" spans="1:15" x14ac:dyDescent="0.3">
      <c r="A164" s="1" t="s">
        <v>268</v>
      </c>
      <c r="B164">
        <v>1.1418223621158961</v>
      </c>
      <c r="C164">
        <v>1.9235227878841261E-2</v>
      </c>
      <c r="D164">
        <v>2.7258637826182271E-2</v>
      </c>
      <c r="E164">
        <v>71.464891026771809</v>
      </c>
      <c r="F164">
        <v>8.3601673566844115E-2</v>
      </c>
      <c r="G164">
        <v>0.6</v>
      </c>
      <c r="H164">
        <v>8.0691165800886588E-2</v>
      </c>
      <c r="I164">
        <v>1.1129955412701069</v>
      </c>
      <c r="J164">
        <v>0</v>
      </c>
      <c r="K164">
        <v>2.5757554812132041E-2</v>
      </c>
      <c r="L164">
        <v>0</v>
      </c>
      <c r="M164">
        <v>143826294.081</v>
      </c>
      <c r="N164">
        <v>0</v>
      </c>
      <c r="O164" t="b">
        <v>1</v>
      </c>
    </row>
    <row r="165" spans="1:15" x14ac:dyDescent="0.3">
      <c r="A165" s="1" t="s">
        <v>269</v>
      </c>
      <c r="B165">
        <v>4.7784585060993336</v>
      </c>
      <c r="C165">
        <v>3.7903216515422652E-2</v>
      </c>
      <c r="D165">
        <v>2.197192036170378E-2</v>
      </c>
      <c r="E165">
        <v>55.562113488819897</v>
      </c>
      <c r="F165">
        <v>-4.7233978234582863E-2</v>
      </c>
      <c r="G165">
        <v>0.8</v>
      </c>
      <c r="H165">
        <v>5.2023231514886997E-2</v>
      </c>
      <c r="I165">
        <v>1.951263825723029</v>
      </c>
      <c r="J165">
        <v>-4.456233421750655E-2</v>
      </c>
      <c r="K165">
        <v>1.7185735033080411E-2</v>
      </c>
      <c r="L165">
        <v>0</v>
      </c>
      <c r="M165">
        <v>356835759</v>
      </c>
      <c r="N165">
        <v>0</v>
      </c>
      <c r="O165" t="b">
        <v>1</v>
      </c>
    </row>
    <row r="166" spans="1:15" x14ac:dyDescent="0.3">
      <c r="A166" s="1" t="s">
        <v>270</v>
      </c>
      <c r="B166">
        <v>5.2455625131879779</v>
      </c>
      <c r="C166">
        <v>2.9544142569349351E-2</v>
      </c>
      <c r="D166">
        <v>5.0295691354547888E-2</v>
      </c>
      <c r="E166">
        <v>61.74310764556629</v>
      </c>
      <c r="F166">
        <v>0.13624728017406909</v>
      </c>
      <c r="G166">
        <v>0.4</v>
      </c>
      <c r="H166">
        <v>0.10838908477884369</v>
      </c>
      <c r="I166">
        <v>0.44658112366172309</v>
      </c>
      <c r="J166">
        <v>-2.4932725575264939E-2</v>
      </c>
      <c r="K166">
        <v>9.72474977252058E-3</v>
      </c>
      <c r="L166">
        <v>0</v>
      </c>
      <c r="M166">
        <v>203363602</v>
      </c>
      <c r="N166">
        <v>0</v>
      </c>
      <c r="O166" t="b">
        <v>1</v>
      </c>
    </row>
    <row r="167" spans="1:15" x14ac:dyDescent="0.3">
      <c r="A167" s="1" t="s">
        <v>271</v>
      </c>
      <c r="B167">
        <v>1.9937430377498989E-2</v>
      </c>
      <c r="C167">
        <v>2.1922899712897251E-4</v>
      </c>
      <c r="D167">
        <v>1.0995850166152921E-4</v>
      </c>
      <c r="E167">
        <v>98.860114017537597</v>
      </c>
      <c r="F167">
        <v>3.072857382357741E-3</v>
      </c>
      <c r="G167">
        <v>0.8</v>
      </c>
      <c r="H167">
        <v>-8.2159746719777577E-2</v>
      </c>
      <c r="I167">
        <v>-3.5519492788610511E-4</v>
      </c>
      <c r="J167">
        <v>0</v>
      </c>
      <c r="K167">
        <v>0</v>
      </c>
      <c r="L167">
        <v>7.9365079365079361E-3</v>
      </c>
      <c r="M167">
        <v>762665651.88470006</v>
      </c>
      <c r="N167">
        <v>0</v>
      </c>
      <c r="O167" t="b">
        <v>1</v>
      </c>
    </row>
    <row r="168" spans="1:15" x14ac:dyDescent="0.3">
      <c r="A168" s="1" t="s">
        <v>272</v>
      </c>
      <c r="B168">
        <v>0.91550968032453406</v>
      </c>
      <c r="C168">
        <v>3.612903237271247E-2</v>
      </c>
      <c r="D168">
        <v>2.1310181531175969E-2</v>
      </c>
      <c r="E168">
        <v>41.969843134353859</v>
      </c>
      <c r="F168">
        <v>-8.1884057971014501E-2</v>
      </c>
      <c r="G168">
        <v>0.6</v>
      </c>
      <c r="H168">
        <v>9.4514075994627245E-3</v>
      </c>
      <c r="I168">
        <v>2.0927912684735079</v>
      </c>
      <c r="J168">
        <v>-6.8039720485472688E-2</v>
      </c>
      <c r="K168">
        <v>-1.182499014584226E-3</v>
      </c>
      <c r="L168">
        <v>0</v>
      </c>
      <c r="M168">
        <v>73108418.5</v>
      </c>
      <c r="N168">
        <v>0</v>
      </c>
      <c r="O168" t="b">
        <v>0</v>
      </c>
    </row>
    <row r="169" spans="1:15" x14ac:dyDescent="0.3">
      <c r="A169" s="1" t="s">
        <v>273</v>
      </c>
      <c r="B169">
        <v>8.9285100732625231E-2</v>
      </c>
      <c r="C169">
        <v>1.7067511212841429E-3</v>
      </c>
      <c r="D169">
        <v>2.4544615190516912E-3</v>
      </c>
      <c r="E169">
        <v>58.432855824386017</v>
      </c>
      <c r="F169">
        <v>3.5508883935251312E-3</v>
      </c>
      <c r="G169">
        <v>0.2</v>
      </c>
      <c r="H169">
        <v>-8.9327456823636242E-2</v>
      </c>
      <c r="I169">
        <v>7.7505873598934141E-2</v>
      </c>
      <c r="J169">
        <v>-1.5097724843488041E-3</v>
      </c>
      <c r="K169">
        <v>1.702282475490202E-3</v>
      </c>
      <c r="L169">
        <v>0</v>
      </c>
      <c r="M169">
        <v>73297014.194200009</v>
      </c>
      <c r="N169">
        <v>0</v>
      </c>
      <c r="O169" t="b">
        <v>0</v>
      </c>
    </row>
    <row r="170" spans="1:15" x14ac:dyDescent="0.3">
      <c r="A170" s="1" t="s">
        <v>274</v>
      </c>
      <c r="B170">
        <v>9.8163466969702142</v>
      </c>
      <c r="C170">
        <v>3.1163005387207031E-2</v>
      </c>
      <c r="D170">
        <v>2.8952380952380969E-2</v>
      </c>
      <c r="E170">
        <v>49.854233222328652</v>
      </c>
      <c r="F170">
        <v>2.479016201444462E-2</v>
      </c>
      <c r="G170">
        <v>0.2</v>
      </c>
      <c r="H170">
        <v>4.8798826290339152E-2</v>
      </c>
      <c r="I170">
        <v>1.174479795676568</v>
      </c>
      <c r="J170">
        <v>-5.1804581439450881E-2</v>
      </c>
      <c r="K170">
        <v>2.2561272520694731E-2</v>
      </c>
      <c r="L170">
        <v>0</v>
      </c>
      <c r="M170">
        <v>64852679.5</v>
      </c>
      <c r="N170">
        <v>0</v>
      </c>
      <c r="O170" t="b">
        <v>0</v>
      </c>
    </row>
    <row r="171" spans="1:15" x14ac:dyDescent="0.3">
      <c r="A171" s="1" t="s">
        <v>275</v>
      </c>
      <c r="B171">
        <v>0.63564564050584249</v>
      </c>
      <c r="C171">
        <v>1.8218875661543121E-2</v>
      </c>
      <c r="D171">
        <v>2.4084679014256451E-2</v>
      </c>
      <c r="E171">
        <v>50.59216175646899</v>
      </c>
      <c r="F171">
        <v>-1.3693750742074681E-2</v>
      </c>
      <c r="G171">
        <v>0.2</v>
      </c>
      <c r="H171">
        <v>0.1131690879640526</v>
      </c>
      <c r="I171">
        <v>0.46074462301305669</v>
      </c>
      <c r="J171">
        <v>-3.076115310570127E-2</v>
      </c>
      <c r="K171">
        <v>1.0305934816917E-2</v>
      </c>
      <c r="L171">
        <v>0</v>
      </c>
      <c r="M171">
        <v>15426632.1567</v>
      </c>
      <c r="N171">
        <v>0</v>
      </c>
      <c r="O171" t="b">
        <v>0</v>
      </c>
    </row>
    <row r="172" spans="1:15" x14ac:dyDescent="0.3">
      <c r="A172" s="1" t="s">
        <v>276</v>
      </c>
      <c r="B172">
        <v>1.404273307643809</v>
      </c>
      <c r="C172">
        <v>3.144364773049281E-2</v>
      </c>
      <c r="D172">
        <v>2.4294670846395E-2</v>
      </c>
      <c r="E172">
        <v>60.93453201085439</v>
      </c>
      <c r="F172">
        <v>0.14366197183098589</v>
      </c>
      <c r="G172">
        <v>0.6</v>
      </c>
      <c r="H172">
        <v>-8.524217142956958E-2</v>
      </c>
      <c r="I172">
        <v>0.66788494551723343</v>
      </c>
      <c r="J172">
        <v>0</v>
      </c>
      <c r="K172">
        <v>2.1734156943491009E-2</v>
      </c>
      <c r="L172">
        <v>0</v>
      </c>
      <c r="M172">
        <v>85504125.5</v>
      </c>
      <c r="N172">
        <v>0</v>
      </c>
      <c r="O172" t="b">
        <v>0</v>
      </c>
    </row>
    <row r="173" spans="1:15" x14ac:dyDescent="0.3">
      <c r="A173" s="1" t="s">
        <v>277</v>
      </c>
      <c r="B173">
        <v>0.22885480236069231</v>
      </c>
      <c r="C173">
        <v>2.9519710440831189E-3</v>
      </c>
      <c r="D173">
        <v>4.3559523824879378E-3</v>
      </c>
      <c r="E173">
        <v>50.986954147185308</v>
      </c>
      <c r="F173">
        <v>4.0082054894932106E-3</v>
      </c>
      <c r="G173">
        <v>0.2</v>
      </c>
      <c r="H173">
        <v>-9.0371109933394533E-2</v>
      </c>
      <c r="I173">
        <v>-9.1249455857718258E-3</v>
      </c>
      <c r="J173">
        <v>-6.563443847444228E-3</v>
      </c>
      <c r="K173">
        <v>3.2130831881860278E-3</v>
      </c>
      <c r="L173">
        <v>0</v>
      </c>
      <c r="M173">
        <v>102896303.9832</v>
      </c>
      <c r="N173">
        <v>0</v>
      </c>
      <c r="O173" t="b">
        <v>1</v>
      </c>
    </row>
    <row r="174" spans="1:15" x14ac:dyDescent="0.3">
      <c r="A174" s="1" t="s">
        <v>278</v>
      </c>
      <c r="B174">
        <v>2.4686422701109598</v>
      </c>
      <c r="C174">
        <v>2.7548736414584982E-2</v>
      </c>
      <c r="D174">
        <v>1.9752259792433991E-2</v>
      </c>
      <c r="E174">
        <v>44.754119120912272</v>
      </c>
      <c r="F174">
        <v>-2.4918389553862941E-2</v>
      </c>
      <c r="G174">
        <v>0.4</v>
      </c>
      <c r="H174">
        <v>-0.1276487485274842</v>
      </c>
      <c r="I174">
        <v>0.2017819602820923</v>
      </c>
      <c r="J174">
        <v>-5.0540368722186813E-2</v>
      </c>
      <c r="K174">
        <v>-8.3001328021248266E-3</v>
      </c>
      <c r="L174">
        <v>0</v>
      </c>
      <c r="M174">
        <v>179113386.5</v>
      </c>
      <c r="N174">
        <v>0</v>
      </c>
      <c r="O174" t="b">
        <v>1</v>
      </c>
    </row>
    <row r="175" spans="1:15" x14ac:dyDescent="0.3">
      <c r="A175" s="1" t="s">
        <v>279</v>
      </c>
      <c r="B175">
        <v>2.1168352776678292</v>
      </c>
      <c r="C175">
        <v>1.7960895973695708E-2</v>
      </c>
      <c r="D175">
        <v>3.5313682567157008E-2</v>
      </c>
      <c r="E175">
        <v>77.433449824797123</v>
      </c>
      <c r="F175">
        <v>6.6868227860705565E-2</v>
      </c>
      <c r="G175">
        <v>1</v>
      </c>
      <c r="H175">
        <v>0.12212218112815559</v>
      </c>
      <c r="I175">
        <v>0.74355551721719959</v>
      </c>
      <c r="J175">
        <v>0</v>
      </c>
      <c r="K175">
        <v>2.1131702752579699E-2</v>
      </c>
      <c r="L175">
        <v>0</v>
      </c>
      <c r="M175">
        <v>333824651.47229999</v>
      </c>
      <c r="N175">
        <v>0</v>
      </c>
      <c r="O175" t="b">
        <v>1</v>
      </c>
    </row>
    <row r="176" spans="1:15" x14ac:dyDescent="0.3">
      <c r="A176" s="1" t="s">
        <v>280</v>
      </c>
      <c r="B176">
        <v>1.3708282538134799</v>
      </c>
      <c r="C176">
        <v>1.041821138329138E-2</v>
      </c>
      <c r="D176">
        <v>1.0685514515883921E-2</v>
      </c>
      <c r="E176">
        <v>60.769085626005911</v>
      </c>
      <c r="F176">
        <v>8.7860527163163837E-3</v>
      </c>
      <c r="G176">
        <v>0.6</v>
      </c>
      <c r="H176">
        <v>-4.2811866615643946E-3</v>
      </c>
      <c r="I176">
        <v>1.0177601386045441</v>
      </c>
      <c r="J176">
        <v>0</v>
      </c>
      <c r="K176">
        <v>6.9409901050714318E-3</v>
      </c>
      <c r="L176">
        <v>0</v>
      </c>
      <c r="M176">
        <v>11151268.569499999</v>
      </c>
      <c r="N176">
        <v>0</v>
      </c>
      <c r="O176" t="b">
        <v>0</v>
      </c>
    </row>
    <row r="177" spans="1:15" x14ac:dyDescent="0.3">
      <c r="A177" s="1" t="s">
        <v>281</v>
      </c>
      <c r="B177">
        <v>3.3963755799678641E-2</v>
      </c>
      <c r="C177">
        <v>1.6409196927084091E-3</v>
      </c>
      <c r="D177">
        <v>1.4300898637550519E-3</v>
      </c>
      <c r="E177">
        <v>79.962341232887567</v>
      </c>
      <c r="F177">
        <v>8.1635038771772361E-3</v>
      </c>
      <c r="G177">
        <v>1</v>
      </c>
      <c r="H177">
        <v>-6.8752820149443644E-2</v>
      </c>
      <c r="I177">
        <v>9.4510133454821857E-2</v>
      </c>
      <c r="J177">
        <v>0</v>
      </c>
      <c r="K177">
        <v>9.526895344393882E-4</v>
      </c>
      <c r="L177">
        <v>0</v>
      </c>
      <c r="M177">
        <v>193914652.89735001</v>
      </c>
      <c r="N177">
        <v>0</v>
      </c>
      <c r="O177" t="b">
        <v>1</v>
      </c>
    </row>
    <row r="178" spans="1:15" x14ac:dyDescent="0.3">
      <c r="A178" s="1" t="s">
        <v>282</v>
      </c>
      <c r="B178">
        <v>150.18187922068839</v>
      </c>
      <c r="C178">
        <v>2.852354411154933E-2</v>
      </c>
      <c r="D178">
        <v>5.7019784661142388E-2</v>
      </c>
      <c r="E178">
        <v>62.14611399522272</v>
      </c>
      <c r="F178">
        <v>6.6330880759548405E-2</v>
      </c>
      <c r="G178">
        <v>0.6</v>
      </c>
      <c r="H178">
        <v>-6.9767871087221212E-2</v>
      </c>
      <c r="I178">
        <v>0.80021341658436884</v>
      </c>
      <c r="J178">
        <v>0</v>
      </c>
      <c r="K178">
        <v>1.567536598680919E-2</v>
      </c>
      <c r="L178">
        <v>0</v>
      </c>
      <c r="M178">
        <v>1140149565.8199999</v>
      </c>
      <c r="N178">
        <v>0</v>
      </c>
      <c r="O178" t="b">
        <v>1</v>
      </c>
    </row>
    <row r="179" spans="1:15" x14ac:dyDescent="0.3">
      <c r="A179" s="1" t="s">
        <v>283</v>
      </c>
      <c r="B179">
        <v>1.3933261338067351</v>
      </c>
      <c r="C179">
        <v>2.9112843506654579E-2</v>
      </c>
      <c r="D179">
        <v>2.6228857384636241E-2</v>
      </c>
      <c r="E179">
        <v>46.969245727187968</v>
      </c>
      <c r="F179">
        <v>-1.5572870171916661E-2</v>
      </c>
      <c r="G179">
        <v>0.6</v>
      </c>
      <c r="H179">
        <v>-1.0160326426978721E-2</v>
      </c>
      <c r="I179">
        <v>0.89868205247518196</v>
      </c>
      <c r="J179">
        <v>-5.0779654024807767E-2</v>
      </c>
      <c r="K179">
        <v>7.3393838874529216E-3</v>
      </c>
      <c r="L179">
        <v>0</v>
      </c>
      <c r="M179">
        <v>289668489.07700002</v>
      </c>
      <c r="N179">
        <v>0</v>
      </c>
      <c r="O179" t="b">
        <v>1</v>
      </c>
    </row>
    <row r="180" spans="1:15" x14ac:dyDescent="0.3">
      <c r="A180" s="1" t="s">
        <v>284</v>
      </c>
      <c r="B180">
        <v>14.56706309398934</v>
      </c>
      <c r="C180">
        <v>3.3061877199249523E-2</v>
      </c>
      <c r="D180">
        <v>5.4425783023150293E-2</v>
      </c>
      <c r="E180">
        <v>53.554688653023618</v>
      </c>
      <c r="F180">
        <v>1.635487070655817E-2</v>
      </c>
      <c r="G180">
        <v>0.2</v>
      </c>
      <c r="H180">
        <v>4.6040698817024968E-4</v>
      </c>
      <c r="I180">
        <v>1.2490812241712601</v>
      </c>
      <c r="J180">
        <v>-3.1924944521345533E-2</v>
      </c>
      <c r="K180">
        <v>5.1124841949567117E-2</v>
      </c>
      <c r="L180">
        <v>0</v>
      </c>
      <c r="M180">
        <v>112376606</v>
      </c>
      <c r="N180">
        <v>0</v>
      </c>
      <c r="O180" t="b">
        <v>1</v>
      </c>
    </row>
    <row r="181" spans="1:15" x14ac:dyDescent="0.3">
      <c r="A181" s="1" t="s">
        <v>285</v>
      </c>
      <c r="B181">
        <v>4.4631603453450772</v>
      </c>
      <c r="C181">
        <v>4.0729698351387823E-2</v>
      </c>
      <c r="D181">
        <v>5.9773681328709603E-2</v>
      </c>
      <c r="E181">
        <v>49.818702538173007</v>
      </c>
      <c r="F181">
        <v>2.3538202876891349E-2</v>
      </c>
      <c r="G181">
        <v>0.2</v>
      </c>
      <c r="H181">
        <v>-0.19995843909468591</v>
      </c>
      <c r="I181">
        <v>1.3654026865412481</v>
      </c>
      <c r="J181">
        <v>-4.2467668647326103E-2</v>
      </c>
      <c r="K181">
        <v>4.3519664793829183E-2</v>
      </c>
      <c r="L181">
        <v>0</v>
      </c>
      <c r="M181">
        <v>224599344</v>
      </c>
      <c r="N181">
        <v>0</v>
      </c>
      <c r="O181" t="b">
        <v>1</v>
      </c>
    </row>
    <row r="182" spans="1:15" x14ac:dyDescent="0.3">
      <c r="A182" s="1" t="s">
        <v>286</v>
      </c>
      <c r="B182">
        <v>21.175698271597192</v>
      </c>
      <c r="C182">
        <v>1.9655174010170411E-2</v>
      </c>
      <c r="D182">
        <v>1.704165738471811E-2</v>
      </c>
      <c r="E182">
        <v>57.170202897672517</v>
      </c>
      <c r="F182">
        <v>5.5440443523546712E-3</v>
      </c>
      <c r="G182">
        <v>0.6</v>
      </c>
      <c r="H182">
        <v>-0.105518817523001</v>
      </c>
      <c r="I182">
        <v>0.87578802517712928</v>
      </c>
      <c r="J182">
        <v>-4.8401995196748482E-3</v>
      </c>
      <c r="K182">
        <v>1.12448140569561E-2</v>
      </c>
      <c r="L182">
        <v>0</v>
      </c>
      <c r="M182">
        <v>644687507.49099994</v>
      </c>
      <c r="N182">
        <v>0</v>
      </c>
      <c r="O182" t="b">
        <v>1</v>
      </c>
    </row>
    <row r="183" spans="1:15" x14ac:dyDescent="0.3">
      <c r="A183" s="1" t="s">
        <v>287</v>
      </c>
      <c r="B183">
        <v>3.054191623877327</v>
      </c>
      <c r="C183">
        <v>6.6208359503085346E-2</v>
      </c>
      <c r="D183">
        <v>4.8775200520268798E-2</v>
      </c>
      <c r="E183">
        <v>51.861722499677867</v>
      </c>
      <c r="F183">
        <v>-9.8733633827001732E-3</v>
      </c>
      <c r="G183">
        <v>0.6</v>
      </c>
      <c r="H183">
        <v>-3.8511294388637277E-2</v>
      </c>
      <c r="I183">
        <v>3.6885365015446778</v>
      </c>
      <c r="J183">
        <v>-4.729450640231303E-2</v>
      </c>
      <c r="K183">
        <v>4.3374539145535351E-4</v>
      </c>
      <c r="O183" t="b">
        <v>0</v>
      </c>
    </row>
    <row r="184" spans="1:15" x14ac:dyDescent="0.3">
      <c r="A184" s="1" t="s">
        <v>288</v>
      </c>
      <c r="B184">
        <v>0.40608341735845299</v>
      </c>
      <c r="C184">
        <v>5.8275070333097473E-3</v>
      </c>
      <c r="D184">
        <v>5.9827305876967033E-3</v>
      </c>
      <c r="E184">
        <v>46.247894150159297</v>
      </c>
      <c r="F184">
        <v>-2.197962696205868E-3</v>
      </c>
      <c r="G184">
        <v>0.2</v>
      </c>
      <c r="H184">
        <v>-0.1006163330788872</v>
      </c>
      <c r="I184">
        <v>-1.148848570027618E-2</v>
      </c>
      <c r="J184">
        <v>-1.5441500604717939E-2</v>
      </c>
      <c r="K184">
        <v>4.2919259044678082E-3</v>
      </c>
      <c r="L184">
        <v>0</v>
      </c>
      <c r="M184">
        <v>48469270.579000004</v>
      </c>
      <c r="N184">
        <v>0</v>
      </c>
      <c r="O184" t="b">
        <v>0</v>
      </c>
    </row>
    <row r="185" spans="1:15" x14ac:dyDescent="0.3">
      <c r="A185" s="1" t="s">
        <v>289</v>
      </c>
      <c r="B185">
        <v>3.616111452101523</v>
      </c>
      <c r="C185">
        <v>8.9507709210433745E-2</v>
      </c>
      <c r="D185">
        <v>9.0321782178217846E-2</v>
      </c>
      <c r="E185">
        <v>55.640009779287809</v>
      </c>
      <c r="F185">
        <v>-1.7937230631607459E-2</v>
      </c>
      <c r="G185">
        <v>0.8</v>
      </c>
      <c r="H185">
        <v>-1.3098083105950819E-2</v>
      </c>
      <c r="I185">
        <v>5.2758173182585626</v>
      </c>
      <c r="J185">
        <v>-3.8981115979299652E-3</v>
      </c>
      <c r="K185">
        <v>3.034940066309599E-2</v>
      </c>
      <c r="L185">
        <v>0</v>
      </c>
      <c r="M185">
        <v>1767475840.4159999</v>
      </c>
      <c r="N185">
        <v>0</v>
      </c>
      <c r="O185" t="b">
        <v>1</v>
      </c>
    </row>
    <row r="186" spans="1:15" x14ac:dyDescent="0.3">
      <c r="A186" s="1" t="s">
        <v>290</v>
      </c>
      <c r="B186">
        <v>2.2362278366849688</v>
      </c>
      <c r="C186">
        <v>1.725750761448502E-2</v>
      </c>
      <c r="D186">
        <v>2.7241858311467821E-2</v>
      </c>
      <c r="E186">
        <v>62.568285258977973</v>
      </c>
      <c r="F186">
        <v>3.3745512564818718E-2</v>
      </c>
      <c r="G186">
        <v>0.4</v>
      </c>
      <c r="H186">
        <v>-4.4487727322423988E-2</v>
      </c>
      <c r="I186">
        <v>0.79685452637949894</v>
      </c>
      <c r="J186">
        <v>0</v>
      </c>
      <c r="K186">
        <v>2.4347826086956511E-2</v>
      </c>
      <c r="L186">
        <v>0</v>
      </c>
      <c r="M186">
        <v>57536628.020499997</v>
      </c>
      <c r="N186">
        <v>0</v>
      </c>
      <c r="O186" t="b">
        <v>0</v>
      </c>
    </row>
    <row r="187" spans="1:15" x14ac:dyDescent="0.3">
      <c r="A187" s="1" t="s">
        <v>291</v>
      </c>
      <c r="B187">
        <v>1.406236842849969</v>
      </c>
      <c r="C187">
        <v>2.6186905825883969E-2</v>
      </c>
      <c r="D187">
        <v>2.4022346368715069E-2</v>
      </c>
      <c r="E187">
        <v>48.007203512224891</v>
      </c>
      <c r="F187">
        <v>1.9555724321245419E-2</v>
      </c>
      <c r="G187">
        <v>0.2</v>
      </c>
      <c r="H187">
        <v>-8.283004695575473E-2</v>
      </c>
      <c r="I187">
        <v>0.80000088225609034</v>
      </c>
      <c r="J187">
        <v>-4.6011724995558612E-2</v>
      </c>
      <c r="K187">
        <v>-7.443245254931119E-4</v>
      </c>
      <c r="L187">
        <v>0</v>
      </c>
      <c r="M187">
        <v>106354530</v>
      </c>
      <c r="N187">
        <v>0</v>
      </c>
      <c r="O187" t="b">
        <v>1</v>
      </c>
    </row>
    <row r="188" spans="1:15" x14ac:dyDescent="0.3">
      <c r="A188" s="1" t="s">
        <v>292</v>
      </c>
      <c r="B188">
        <v>1.2718734235231119</v>
      </c>
      <c r="C188">
        <v>2.5129928406621999E-2</v>
      </c>
      <c r="D188">
        <v>2.4994121935750301E-2</v>
      </c>
      <c r="E188">
        <v>63.899943430116011</v>
      </c>
      <c r="F188">
        <v>8.3580971139847637E-2</v>
      </c>
      <c r="G188">
        <v>0.6</v>
      </c>
      <c r="H188">
        <v>3.9989794818821263E-2</v>
      </c>
      <c r="I188">
        <v>0.30082187363384838</v>
      </c>
      <c r="J188">
        <v>-1.802452033239621E-2</v>
      </c>
      <c r="K188">
        <v>1.1057085324341241E-2</v>
      </c>
      <c r="L188">
        <v>0</v>
      </c>
      <c r="M188">
        <v>617240830.62045002</v>
      </c>
      <c r="N188">
        <v>0</v>
      </c>
      <c r="O188" t="b">
        <v>1</v>
      </c>
    </row>
    <row r="189" spans="1:15" x14ac:dyDescent="0.3">
      <c r="A189" s="1" t="s">
        <v>293</v>
      </c>
      <c r="B189">
        <v>1.0438643805966401</v>
      </c>
      <c r="C189">
        <v>2.20423585135236E-2</v>
      </c>
      <c r="D189">
        <v>2.7203888743422319E-2</v>
      </c>
      <c r="E189">
        <v>62.353652081458577</v>
      </c>
      <c r="F189">
        <v>2.885572139303472E-2</v>
      </c>
      <c r="G189">
        <v>0.6</v>
      </c>
      <c r="H189">
        <v>-8.7506841860791572E-3</v>
      </c>
      <c r="I189">
        <v>1.605942738102653</v>
      </c>
      <c r="J189">
        <v>0</v>
      </c>
      <c r="K189">
        <v>1.541654695078276E-2</v>
      </c>
      <c r="L189">
        <v>0</v>
      </c>
      <c r="M189">
        <v>135048748.49105</v>
      </c>
      <c r="N189">
        <v>0</v>
      </c>
      <c r="O189" t="b">
        <v>1</v>
      </c>
    </row>
    <row r="190" spans="1:15" x14ac:dyDescent="0.3">
      <c r="A190" s="1" t="s">
        <v>294</v>
      </c>
      <c r="B190">
        <v>0.1988063950678548</v>
      </c>
      <c r="C190">
        <v>2.6942770824120699E-3</v>
      </c>
      <c r="D190">
        <v>3.6360728786638068E-3</v>
      </c>
      <c r="E190">
        <v>51.360926726287211</v>
      </c>
      <c r="F190">
        <v>2.5311777788950001E-3</v>
      </c>
      <c r="G190">
        <v>0.2</v>
      </c>
      <c r="H190">
        <v>-8.9669840644766977E-2</v>
      </c>
      <c r="I190">
        <v>-5.3187634717096728E-3</v>
      </c>
      <c r="J190">
        <v>-5.3662054416908633E-3</v>
      </c>
      <c r="K190">
        <v>2.9713279090060052E-3</v>
      </c>
      <c r="L190">
        <v>0</v>
      </c>
      <c r="M190">
        <v>480560550.10399997</v>
      </c>
      <c r="N190">
        <v>0</v>
      </c>
      <c r="O190" t="b">
        <v>1</v>
      </c>
    </row>
    <row r="191" spans="1:15" x14ac:dyDescent="0.3">
      <c r="A191" s="1" t="s">
        <v>295</v>
      </c>
      <c r="B191">
        <v>8.8824001253640775E-2</v>
      </c>
      <c r="C191">
        <v>1.844187525898659E-3</v>
      </c>
      <c r="D191">
        <v>2.0326258245215389E-3</v>
      </c>
      <c r="E191">
        <v>38.080401176896991</v>
      </c>
      <c r="F191">
        <v>-6.1778196877251279E-3</v>
      </c>
      <c r="G191">
        <v>0.2</v>
      </c>
      <c r="H191">
        <v>-9.8644855468864368E-2</v>
      </c>
      <c r="I191">
        <v>-7.3203816874365996E-4</v>
      </c>
      <c r="J191">
        <v>-7.5764444078133542E-3</v>
      </c>
      <c r="K191">
        <v>-2.0342881340817959E-4</v>
      </c>
      <c r="L191">
        <v>0</v>
      </c>
      <c r="M191">
        <v>163747693.63420001</v>
      </c>
      <c r="N191">
        <v>0</v>
      </c>
      <c r="O191" t="b">
        <v>1</v>
      </c>
    </row>
    <row r="192" spans="1:15" x14ac:dyDescent="0.3">
      <c r="A192" s="1" t="s">
        <v>296</v>
      </c>
      <c r="B192">
        <v>1.003219006630214</v>
      </c>
      <c r="C192">
        <v>1.3808933332831581E-2</v>
      </c>
      <c r="D192">
        <v>1.252580867171384E-2</v>
      </c>
      <c r="E192">
        <v>77.564273838073547</v>
      </c>
      <c r="F192">
        <v>8.0618771381823606E-2</v>
      </c>
      <c r="G192">
        <v>0.8</v>
      </c>
      <c r="H192">
        <v>0.1214232916210895</v>
      </c>
      <c r="I192">
        <v>0.28387960602554252</v>
      </c>
      <c r="J192">
        <v>0</v>
      </c>
      <c r="K192">
        <v>7.2092056009982466E-3</v>
      </c>
      <c r="L192">
        <v>0</v>
      </c>
      <c r="M192">
        <v>89733014.5</v>
      </c>
      <c r="N192">
        <v>0</v>
      </c>
      <c r="O192" t="b">
        <v>0</v>
      </c>
    </row>
    <row r="193" spans="1:15" x14ac:dyDescent="0.3">
      <c r="A193" s="1" t="s">
        <v>297</v>
      </c>
      <c r="B193">
        <v>0.93065395484847713</v>
      </c>
      <c r="C193">
        <v>1.9638192758988759E-2</v>
      </c>
      <c r="D193">
        <v>2.7115425195188791E-2</v>
      </c>
      <c r="E193">
        <v>61.802531886048619</v>
      </c>
      <c r="F193">
        <v>2.932232841007831E-2</v>
      </c>
      <c r="G193">
        <v>0.8</v>
      </c>
      <c r="H193">
        <v>-8.0731451415203253E-3</v>
      </c>
      <c r="I193">
        <v>1.6616214181955899</v>
      </c>
      <c r="J193">
        <v>0</v>
      </c>
      <c r="K193">
        <v>1.520994001713794E-2</v>
      </c>
      <c r="L193">
        <v>0</v>
      </c>
      <c r="M193">
        <v>728661.98730000004</v>
      </c>
      <c r="N193">
        <v>0</v>
      </c>
      <c r="O193" t="b">
        <v>0</v>
      </c>
    </row>
    <row r="194" spans="1:15" x14ac:dyDescent="0.3">
      <c r="A194" s="1" t="s">
        <v>298</v>
      </c>
      <c r="B194">
        <v>3.1167958341312572</v>
      </c>
      <c r="C194">
        <v>3.2556492757416379E-2</v>
      </c>
      <c r="D194">
        <v>1.6420326944168829E-2</v>
      </c>
      <c r="E194">
        <v>39.801210220910527</v>
      </c>
      <c r="F194">
        <v>-8.8845531550394874E-2</v>
      </c>
      <c r="G194">
        <v>0.4</v>
      </c>
      <c r="H194">
        <v>-9.9211928036343294E-2</v>
      </c>
      <c r="I194">
        <v>1.1328877295894151</v>
      </c>
      <c r="J194">
        <v>-0.1429274843330349</v>
      </c>
      <c r="K194">
        <v>-1.199791340636303E-3</v>
      </c>
      <c r="L194">
        <v>0</v>
      </c>
      <c r="M194">
        <v>81949315.5</v>
      </c>
      <c r="N194">
        <v>0</v>
      </c>
      <c r="O194" t="b">
        <v>0</v>
      </c>
    </row>
    <row r="195" spans="1:15" x14ac:dyDescent="0.3">
      <c r="A195" s="1" t="s">
        <v>299</v>
      </c>
      <c r="B195">
        <v>2.769399837252879</v>
      </c>
      <c r="C195">
        <v>2.3302423617562889E-2</v>
      </c>
      <c r="D195">
        <v>4.3880315702674068E-2</v>
      </c>
      <c r="E195">
        <v>71.117914956466365</v>
      </c>
      <c r="F195">
        <v>0.10700646435291269</v>
      </c>
      <c r="G195">
        <v>0.4</v>
      </c>
      <c r="H195">
        <v>3.9001344339746093E-2</v>
      </c>
      <c r="I195">
        <v>1.293272599554516</v>
      </c>
      <c r="J195">
        <v>0</v>
      </c>
      <c r="K195">
        <v>3.1711996388669388E-2</v>
      </c>
      <c r="L195">
        <v>0</v>
      </c>
      <c r="M195">
        <v>19455723.098749999</v>
      </c>
      <c r="N195">
        <v>1</v>
      </c>
      <c r="O195" t="b">
        <v>0</v>
      </c>
    </row>
    <row r="196" spans="1:15" x14ac:dyDescent="0.3">
      <c r="A196" s="1" t="s">
        <v>300</v>
      </c>
      <c r="B196">
        <v>0.2711974522872504</v>
      </c>
      <c r="C196">
        <v>2.934414910768391E-3</v>
      </c>
      <c r="D196">
        <v>3.862816978216734E-3</v>
      </c>
      <c r="E196">
        <v>50.730215409801957</v>
      </c>
      <c r="F196">
        <v>1.3738883206491079E-3</v>
      </c>
      <c r="G196">
        <v>0.2</v>
      </c>
      <c r="H196">
        <v>-8.127149113421514E-2</v>
      </c>
      <c r="I196">
        <v>-2.8857453160019671E-3</v>
      </c>
      <c r="J196">
        <v>-5.8592384388415084E-3</v>
      </c>
      <c r="K196">
        <v>3.4450822617893011E-3</v>
      </c>
      <c r="L196">
        <v>0</v>
      </c>
      <c r="M196">
        <v>27176919.22095</v>
      </c>
      <c r="N196">
        <v>0</v>
      </c>
      <c r="O196" t="b">
        <v>0</v>
      </c>
    </row>
    <row r="197" spans="1:15" x14ac:dyDescent="0.3">
      <c r="A197" s="1" t="s">
        <v>301</v>
      </c>
      <c r="B197">
        <v>3.7943993236872801E-2</v>
      </c>
      <c r="C197">
        <v>3.3078191297073318E-4</v>
      </c>
      <c r="D197">
        <v>3.4870543108714367E-4</v>
      </c>
      <c r="E197">
        <v>86.274444517318642</v>
      </c>
      <c r="F197">
        <v>3.3237120615761122E-3</v>
      </c>
      <c r="G197">
        <v>0.6</v>
      </c>
      <c r="H197">
        <v>-8.2087190450088166E-2</v>
      </c>
      <c r="I197">
        <v>3.258838299131657E-3</v>
      </c>
      <c r="J197">
        <v>-8.7168758716948957E-5</v>
      </c>
      <c r="K197">
        <v>1.7438311971407219E-4</v>
      </c>
      <c r="L197">
        <v>0</v>
      </c>
      <c r="M197">
        <v>102043454</v>
      </c>
      <c r="N197">
        <v>0</v>
      </c>
      <c r="O197" t="b">
        <v>1</v>
      </c>
    </row>
    <row r="198" spans="1:15" x14ac:dyDescent="0.3">
      <c r="A198" s="1" t="s">
        <v>302</v>
      </c>
      <c r="B198">
        <v>0.63311576100046607</v>
      </c>
      <c r="C198">
        <v>1.7874022783107929E-2</v>
      </c>
      <c r="D198">
        <v>1.5609384263572289E-2</v>
      </c>
      <c r="E198">
        <v>50.77069970713967</v>
      </c>
      <c r="F198">
        <v>-2.000603141314905E-2</v>
      </c>
      <c r="G198">
        <v>0.2</v>
      </c>
      <c r="H198">
        <v>1.1726922330874859E-2</v>
      </c>
      <c r="I198">
        <v>0.35716537231537399</v>
      </c>
      <c r="J198">
        <v>-3.6519818516140938E-2</v>
      </c>
      <c r="K198">
        <v>9.2804449598664629E-3</v>
      </c>
      <c r="L198">
        <v>0</v>
      </c>
      <c r="M198">
        <v>261027997.6507</v>
      </c>
      <c r="N198">
        <v>0</v>
      </c>
      <c r="O198" t="b">
        <v>1</v>
      </c>
    </row>
    <row r="199" spans="1:15" x14ac:dyDescent="0.3">
      <c r="A199" s="1" t="s">
        <v>303</v>
      </c>
      <c r="B199">
        <v>2.9512432369212118</v>
      </c>
      <c r="C199">
        <v>2.4585498474851811E-2</v>
      </c>
      <c r="D199">
        <v>4.1236254581806089E-2</v>
      </c>
      <c r="E199">
        <v>62.517379745112478</v>
      </c>
      <c r="F199">
        <v>4.6547109441068553E-2</v>
      </c>
      <c r="G199">
        <v>0.4</v>
      </c>
      <c r="H199">
        <v>-6.324091693169992E-2</v>
      </c>
      <c r="I199">
        <v>1.063210428097598</v>
      </c>
      <c r="J199">
        <v>0</v>
      </c>
      <c r="K199">
        <v>2.9590874002916271E-2</v>
      </c>
      <c r="L199">
        <v>0</v>
      </c>
      <c r="M199">
        <v>54833971.949500002</v>
      </c>
      <c r="N199">
        <v>0</v>
      </c>
      <c r="O199" t="b">
        <v>0</v>
      </c>
    </row>
    <row r="200" spans="1:15" x14ac:dyDescent="0.3">
      <c r="A200" s="1" t="s">
        <v>304</v>
      </c>
      <c r="B200">
        <v>3.9232362377135459</v>
      </c>
      <c r="C200">
        <v>1.7362986438450061E-2</v>
      </c>
      <c r="D200">
        <v>1.2998220876815691E-2</v>
      </c>
      <c r="E200">
        <v>48.275680969054051</v>
      </c>
      <c r="F200">
        <v>1.6803168031680249E-2</v>
      </c>
      <c r="G200">
        <v>0.6</v>
      </c>
      <c r="H200">
        <v>-0.21163007014238869</v>
      </c>
      <c r="I200">
        <v>0.1135339419143056</v>
      </c>
      <c r="J200">
        <v>-2.2026202914608991E-2</v>
      </c>
      <c r="K200">
        <v>7.0552789799038784E-3</v>
      </c>
      <c r="L200">
        <v>0</v>
      </c>
      <c r="M200">
        <v>130108477.53399999</v>
      </c>
      <c r="N200">
        <v>0</v>
      </c>
      <c r="O200" t="b">
        <v>1</v>
      </c>
    </row>
    <row r="201" spans="1:15" x14ac:dyDescent="0.3">
      <c r="A201" s="1" t="s">
        <v>305</v>
      </c>
      <c r="B201">
        <v>10333.245832723949</v>
      </c>
      <c r="C201">
        <v>1.405356061223806E-2</v>
      </c>
      <c r="D201">
        <v>1.33324085105457E-2</v>
      </c>
      <c r="E201">
        <v>37.842264375189373</v>
      </c>
      <c r="F201">
        <v>-1.238952316991271E-2</v>
      </c>
      <c r="G201">
        <v>0.2</v>
      </c>
      <c r="H201">
        <v>-8.6664202043461466E-2</v>
      </c>
      <c r="I201">
        <v>1.2773677439041059E-2</v>
      </c>
      <c r="J201">
        <v>-4.5325473749813328E-2</v>
      </c>
      <c r="K201">
        <v>-1.390737471139492E-3</v>
      </c>
      <c r="L201">
        <v>0</v>
      </c>
      <c r="M201">
        <v>360019500</v>
      </c>
      <c r="N201">
        <v>51</v>
      </c>
      <c r="O201" t="b">
        <v>0</v>
      </c>
    </row>
    <row r="202" spans="1:15" x14ac:dyDescent="0.3">
      <c r="A202" s="1" t="s">
        <v>306</v>
      </c>
      <c r="B202">
        <v>7.2330600514530738</v>
      </c>
      <c r="C202">
        <v>1.474840456630523E-2</v>
      </c>
      <c r="D202">
        <v>1.4191627755235159E-2</v>
      </c>
      <c r="E202">
        <v>38.633427002580937</v>
      </c>
      <c r="F202">
        <v>-1.3179604813071011E-2</v>
      </c>
      <c r="G202">
        <v>0.2</v>
      </c>
      <c r="H202">
        <v>-8.7078174639489234E-2</v>
      </c>
      <c r="I202">
        <v>2.1056421283342751E-2</v>
      </c>
      <c r="J202">
        <v>-4.5503201572565599E-2</v>
      </c>
      <c r="K202">
        <v>-2.0348778055877541E-3</v>
      </c>
      <c r="L202">
        <v>0</v>
      </c>
      <c r="M202">
        <v>2104473487.5</v>
      </c>
      <c r="N202">
        <v>0</v>
      </c>
      <c r="O202" t="b">
        <v>1</v>
      </c>
    </row>
    <row r="203" spans="1:15" x14ac:dyDescent="0.3">
      <c r="A203" s="1" t="s">
        <v>307</v>
      </c>
      <c r="B203">
        <v>1.886212573995375</v>
      </c>
      <c r="C203">
        <v>4.0200608993933823E-2</v>
      </c>
      <c r="D203">
        <v>5.3708439897698267E-2</v>
      </c>
      <c r="E203">
        <v>60.114825715893161</v>
      </c>
      <c r="F203">
        <v>0.15176434489107099</v>
      </c>
      <c r="G203">
        <v>0.4</v>
      </c>
      <c r="H203">
        <v>0.20119757163490101</v>
      </c>
      <c r="I203">
        <v>0.95695454044404582</v>
      </c>
      <c r="J203">
        <v>-4.7862561030548638E-2</v>
      </c>
      <c r="K203">
        <v>3.4391534391534417E-2</v>
      </c>
      <c r="L203">
        <v>0</v>
      </c>
      <c r="M203">
        <v>93612881.082199991</v>
      </c>
      <c r="N203">
        <v>0</v>
      </c>
      <c r="O203" t="b">
        <v>1</v>
      </c>
    </row>
    <row r="204" spans="1:15" x14ac:dyDescent="0.3">
      <c r="A204" s="1" t="s">
        <v>308</v>
      </c>
      <c r="B204">
        <v>1.715150966667494</v>
      </c>
      <c r="C204">
        <v>2.2128124973132421E-2</v>
      </c>
      <c r="D204">
        <v>2.244871629467159E-2</v>
      </c>
      <c r="E204">
        <v>35.580988758350372</v>
      </c>
      <c r="F204">
        <v>-1.273723092599666E-2</v>
      </c>
      <c r="G204">
        <v>0.2</v>
      </c>
      <c r="H204">
        <v>-0.20262398544251151</v>
      </c>
      <c r="I204">
        <v>-0.15213602619215039</v>
      </c>
      <c r="J204">
        <v>-4.5208179354520817E-2</v>
      </c>
      <c r="K204">
        <v>-1.1478127789822601E-2</v>
      </c>
      <c r="L204">
        <v>0</v>
      </c>
      <c r="M204">
        <v>209545201.15724999</v>
      </c>
      <c r="N204">
        <v>0</v>
      </c>
      <c r="O204" t="b">
        <v>1</v>
      </c>
    </row>
    <row r="205" spans="1:15" x14ac:dyDescent="0.3">
      <c r="A205" s="1" t="s">
        <v>309</v>
      </c>
      <c r="B205">
        <v>2.5688280211299901</v>
      </c>
      <c r="C205">
        <v>4.2105032308309948E-2</v>
      </c>
      <c r="D205">
        <v>4.0976889034584497E-2</v>
      </c>
      <c r="E205">
        <v>60.893599985362421</v>
      </c>
      <c r="F205">
        <v>7.6393789696541869E-2</v>
      </c>
      <c r="G205">
        <v>0.4</v>
      </c>
      <c r="H205">
        <v>-6.1820366132128921E-2</v>
      </c>
      <c r="I205">
        <v>1.698097510512256</v>
      </c>
      <c r="J205">
        <v>-3.2674399607908189E-3</v>
      </c>
      <c r="K205">
        <v>3.5823429541596008E-2</v>
      </c>
      <c r="L205">
        <v>0</v>
      </c>
      <c r="M205">
        <v>184947879</v>
      </c>
      <c r="N205">
        <v>0</v>
      </c>
      <c r="O205" t="b">
        <v>1</v>
      </c>
    </row>
    <row r="206" spans="1:15" x14ac:dyDescent="0.3">
      <c r="A206" s="1" t="s">
        <v>310</v>
      </c>
      <c r="B206">
        <v>0.44754234253723202</v>
      </c>
      <c r="C206">
        <v>1.78665323657934E-2</v>
      </c>
      <c r="D206">
        <v>1.5385720901266329E-2</v>
      </c>
      <c r="E206">
        <v>40.890118060500761</v>
      </c>
      <c r="F206">
        <v>-4.6634569639764867E-2</v>
      </c>
      <c r="G206">
        <v>0.4</v>
      </c>
      <c r="H206">
        <v>-0.18485206623959549</v>
      </c>
      <c r="I206">
        <v>0.30279732630651562</v>
      </c>
      <c r="J206">
        <v>-6.3885764256111144E-2</v>
      </c>
      <c r="K206">
        <v>9.9587939779535173E-3</v>
      </c>
      <c r="L206">
        <v>0</v>
      </c>
      <c r="M206">
        <v>57414688.917300001</v>
      </c>
      <c r="N206">
        <v>0</v>
      </c>
      <c r="O206" t="b">
        <v>0</v>
      </c>
    </row>
    <row r="207" spans="1:15" x14ac:dyDescent="0.3">
      <c r="A207" s="1" t="s">
        <v>311</v>
      </c>
      <c r="B207">
        <v>0.58198414115857611</v>
      </c>
      <c r="C207">
        <v>1.932859983920877E-2</v>
      </c>
      <c r="D207">
        <v>1.494520092992359E-2</v>
      </c>
      <c r="E207">
        <v>57.295758437832831</v>
      </c>
      <c r="F207">
        <v>7.0234113712375201E-3</v>
      </c>
      <c r="G207">
        <v>0.6</v>
      </c>
      <c r="H207">
        <v>0.108021314810401</v>
      </c>
      <c r="I207">
        <v>0.56169113622245026</v>
      </c>
      <c r="J207">
        <v>-2.8082633957391859E-2</v>
      </c>
      <c r="K207">
        <v>6.6467264872049903E-4</v>
      </c>
      <c r="L207">
        <v>0</v>
      </c>
      <c r="M207">
        <v>7351636.1151000001</v>
      </c>
      <c r="N207">
        <v>0</v>
      </c>
      <c r="O207" t="b">
        <v>0</v>
      </c>
    </row>
    <row r="208" spans="1:15" x14ac:dyDescent="0.3">
      <c r="A208" s="1" t="s">
        <v>312</v>
      </c>
      <c r="B208">
        <v>0.15646830803982639</v>
      </c>
      <c r="C208">
        <v>2.674671932304724E-2</v>
      </c>
      <c r="D208">
        <v>2.3931623931623881E-2</v>
      </c>
      <c r="E208">
        <v>40.604385872800719</v>
      </c>
      <c r="F208">
        <v>-4.8780487804878203E-2</v>
      </c>
      <c r="G208">
        <v>0.2</v>
      </c>
      <c r="H208">
        <v>2.971850095904344E-2</v>
      </c>
      <c r="I208">
        <v>0.87993294800361677</v>
      </c>
      <c r="J208">
        <v>-0.1068702290076337</v>
      </c>
      <c r="K208">
        <v>-1.8456375838926231E-2</v>
      </c>
      <c r="L208">
        <v>0</v>
      </c>
      <c r="M208">
        <v>2587758.3517999998</v>
      </c>
      <c r="N208">
        <v>0</v>
      </c>
      <c r="O208" t="b">
        <v>0</v>
      </c>
    </row>
    <row r="209" spans="1:15" x14ac:dyDescent="0.3">
      <c r="A209" s="1" t="s">
        <v>313</v>
      </c>
      <c r="B209">
        <v>1.3679996723215061E-2</v>
      </c>
      <c r="C209">
        <v>7.0577293108471672E-4</v>
      </c>
      <c r="D209">
        <v>5.1075684878492723E-4</v>
      </c>
      <c r="E209">
        <v>79.857374511543952</v>
      </c>
      <c r="F209">
        <v>3.6868650255283959E-3</v>
      </c>
      <c r="G209">
        <v>0.4</v>
      </c>
      <c r="H209">
        <v>-8.0882176522850041E-2</v>
      </c>
      <c r="I209">
        <v>6.1290582379570496E-3</v>
      </c>
      <c r="J209">
        <v>-2.5273495324396039E-4</v>
      </c>
      <c r="K209">
        <v>-2.5273495324396039E-4</v>
      </c>
      <c r="L209">
        <v>0</v>
      </c>
      <c r="M209">
        <v>11963534.169849999</v>
      </c>
      <c r="N209">
        <v>0</v>
      </c>
      <c r="O209" t="b">
        <v>0</v>
      </c>
    </row>
    <row r="210" spans="1:15" x14ac:dyDescent="0.3">
      <c r="A210" s="1" t="s">
        <v>314</v>
      </c>
      <c r="B210">
        <v>2.095858541728636E-2</v>
      </c>
      <c r="C210">
        <v>1.0730878146794781E-3</v>
      </c>
      <c r="D210">
        <v>2.027535571473193E-3</v>
      </c>
      <c r="E210">
        <v>74.974982360653513</v>
      </c>
      <c r="F210">
        <v>4.5725278003516667E-3</v>
      </c>
      <c r="G210">
        <v>0.4</v>
      </c>
      <c r="H210">
        <v>-8.3293977482192194E-2</v>
      </c>
      <c r="I210">
        <v>1.0535781724358069E-2</v>
      </c>
      <c r="J210">
        <v>0</v>
      </c>
      <c r="K210">
        <v>1.0147965537918859E-3</v>
      </c>
      <c r="L210">
        <v>0</v>
      </c>
      <c r="M210">
        <v>16823719.398600001</v>
      </c>
      <c r="N210">
        <v>0</v>
      </c>
      <c r="O210" t="b">
        <v>0</v>
      </c>
    </row>
    <row r="211" spans="1:15" x14ac:dyDescent="0.3">
      <c r="A211" s="1" t="s">
        <v>315</v>
      </c>
      <c r="B211">
        <v>0.10208800577569629</v>
      </c>
      <c r="C211">
        <v>1.3034147577125159E-3</v>
      </c>
      <c r="D211">
        <v>2.2828397607358641E-3</v>
      </c>
      <c r="E211">
        <v>57.632815678256136</v>
      </c>
      <c r="F211">
        <v>3.8051126154412529E-3</v>
      </c>
      <c r="G211">
        <v>0.2</v>
      </c>
      <c r="H211">
        <v>-8.4523498507374742E-2</v>
      </c>
      <c r="I211">
        <v>-6.6282230606085051E-3</v>
      </c>
      <c r="J211">
        <v>-1.012717641821981E-3</v>
      </c>
      <c r="K211">
        <v>2.0341715228779922E-3</v>
      </c>
      <c r="L211">
        <v>0</v>
      </c>
      <c r="M211">
        <v>149397187.81775001</v>
      </c>
      <c r="N211">
        <v>0</v>
      </c>
      <c r="O211" t="b">
        <v>1</v>
      </c>
    </row>
    <row r="212" spans="1:15" x14ac:dyDescent="0.3">
      <c r="A212" s="1" t="s">
        <v>316</v>
      </c>
      <c r="B212">
        <v>2.232001499012632</v>
      </c>
      <c r="C212">
        <v>2.4077686073491179E-2</v>
      </c>
      <c r="D212">
        <v>1.8230852211434709E-2</v>
      </c>
      <c r="E212">
        <v>31.5790862578469</v>
      </c>
      <c r="F212">
        <v>-8.1359627390744205E-2</v>
      </c>
      <c r="G212">
        <v>0.2</v>
      </c>
      <c r="H212">
        <v>-0.1748314136449996</v>
      </c>
      <c r="I212">
        <v>0.30727731091125399</v>
      </c>
      <c r="J212">
        <v>-0.11697466184035051</v>
      </c>
      <c r="K212">
        <v>1.837241975575443E-3</v>
      </c>
      <c r="L212">
        <v>0</v>
      </c>
      <c r="M212">
        <v>733957861.5</v>
      </c>
      <c r="N212">
        <v>0</v>
      </c>
      <c r="O212" t="b">
        <v>1</v>
      </c>
    </row>
    <row r="213" spans="1:15" x14ac:dyDescent="0.3">
      <c r="A213" s="1" t="s">
        <v>317</v>
      </c>
      <c r="B213">
        <v>1.1815704416872279</v>
      </c>
      <c r="C213">
        <v>2.8882191192550179E-2</v>
      </c>
      <c r="D213">
        <v>2.004399902224396E-2</v>
      </c>
      <c r="E213">
        <v>32.573945794354429</v>
      </c>
      <c r="F213">
        <v>-0.1153427803450834</v>
      </c>
      <c r="G213">
        <v>0.2</v>
      </c>
      <c r="H213">
        <v>-0.26035243983172562</v>
      </c>
      <c r="I213">
        <v>1.1508214026545109</v>
      </c>
      <c r="J213">
        <v>-8.8784994687734597E-2</v>
      </c>
      <c r="K213">
        <v>-8.9631782945737148E-3</v>
      </c>
      <c r="L213">
        <v>0</v>
      </c>
      <c r="M213">
        <v>68649909.65625</v>
      </c>
      <c r="N213">
        <v>0</v>
      </c>
      <c r="O213" t="b">
        <v>0</v>
      </c>
    </row>
    <row r="214" spans="1:15" x14ac:dyDescent="0.3">
      <c r="A214" s="1" t="s">
        <v>318</v>
      </c>
      <c r="B214">
        <v>1.771694499518776</v>
      </c>
      <c r="C214">
        <v>4.325426024215763E-2</v>
      </c>
      <c r="D214">
        <v>3.1982421875000062E-2</v>
      </c>
      <c r="E214">
        <v>46.173346468708253</v>
      </c>
      <c r="F214">
        <v>-0.12721073939910499</v>
      </c>
      <c r="G214">
        <v>0.4</v>
      </c>
      <c r="H214">
        <v>-0.14779035478425501</v>
      </c>
      <c r="I214">
        <v>1.854950818761552</v>
      </c>
      <c r="J214">
        <v>-9.9780219780219781E-2</v>
      </c>
      <c r="K214">
        <v>-6.5486296386125797E-3</v>
      </c>
      <c r="L214">
        <v>0</v>
      </c>
      <c r="M214">
        <v>56639698</v>
      </c>
      <c r="N214">
        <v>0</v>
      </c>
      <c r="O214" t="b">
        <v>0</v>
      </c>
    </row>
    <row r="215" spans="1:15" x14ac:dyDescent="0.3">
      <c r="A215" s="1" t="s">
        <v>319</v>
      </c>
      <c r="B215">
        <v>0.9262203516219647</v>
      </c>
      <c r="C215">
        <v>1.5972593542846979E-2</v>
      </c>
      <c r="D215">
        <v>2.620710111212473E-2</v>
      </c>
      <c r="E215">
        <v>67.087213441438294</v>
      </c>
      <c r="F215">
        <v>6.0266583778249228E-2</v>
      </c>
      <c r="G215">
        <v>0.6</v>
      </c>
      <c r="H215">
        <v>-6.1962123644446988E-3</v>
      </c>
      <c r="I215">
        <v>0.159753043049744</v>
      </c>
      <c r="J215">
        <v>0</v>
      </c>
      <c r="K215">
        <v>2.5657307097059601E-2</v>
      </c>
      <c r="L215">
        <v>0</v>
      </c>
      <c r="M215">
        <v>220614651.62940001</v>
      </c>
      <c r="N215">
        <v>0</v>
      </c>
      <c r="O215" t="b">
        <v>1</v>
      </c>
    </row>
    <row r="216" spans="1:15" x14ac:dyDescent="0.3">
      <c r="A216" s="1" t="s">
        <v>320</v>
      </c>
      <c r="B216">
        <v>1.0154807798209571</v>
      </c>
      <c r="C216">
        <v>1.6312944254151921E-2</v>
      </c>
      <c r="D216">
        <v>2.9076305220883569E-2</v>
      </c>
      <c r="E216">
        <v>53.828357374885471</v>
      </c>
      <c r="F216">
        <v>-1.7363851617995248E-2</v>
      </c>
      <c r="G216">
        <v>0.4</v>
      </c>
      <c r="H216">
        <v>9.9683814818180248E-3</v>
      </c>
      <c r="I216">
        <v>9.1467523729931804E-2</v>
      </c>
      <c r="J216">
        <v>-3.8758492896849961E-2</v>
      </c>
      <c r="K216">
        <v>2.9947054930509639E-2</v>
      </c>
      <c r="L216">
        <v>0</v>
      </c>
      <c r="M216">
        <v>128098171.8608</v>
      </c>
      <c r="N216">
        <v>0</v>
      </c>
      <c r="O216" t="b">
        <v>1</v>
      </c>
    </row>
    <row r="217" spans="1:15" x14ac:dyDescent="0.3">
      <c r="A217" s="1" t="s">
        <v>321</v>
      </c>
      <c r="B217">
        <v>0.1899962716153939</v>
      </c>
      <c r="C217">
        <v>5.5701047087479876E-3</v>
      </c>
      <c r="D217">
        <v>5.8047493403694051E-3</v>
      </c>
      <c r="E217">
        <v>62.590104978442312</v>
      </c>
      <c r="F217">
        <v>9.1715976331361304E-3</v>
      </c>
      <c r="G217">
        <v>0.4</v>
      </c>
      <c r="H217">
        <v>-8.06460805964022E-2</v>
      </c>
      <c r="I217">
        <v>0.48433284544659599</v>
      </c>
      <c r="J217">
        <v>0</v>
      </c>
      <c r="K217">
        <v>3.2352941176470029E-3</v>
      </c>
      <c r="L217">
        <v>0</v>
      </c>
      <c r="M217">
        <v>31782189.5</v>
      </c>
      <c r="N217">
        <v>0</v>
      </c>
      <c r="O217" t="b">
        <v>0</v>
      </c>
    </row>
    <row r="218" spans="1:15" x14ac:dyDescent="0.3">
      <c r="A218" s="1" t="s">
        <v>322</v>
      </c>
      <c r="B218">
        <v>11.20369024606403</v>
      </c>
      <c r="C218">
        <v>4.1459831425319268E-2</v>
      </c>
      <c r="D218">
        <v>3.1010620582466768E-2</v>
      </c>
      <c r="E218">
        <v>51.648075308465209</v>
      </c>
      <c r="F218">
        <v>-4.2077277561148541E-2</v>
      </c>
      <c r="G218">
        <v>0.8</v>
      </c>
      <c r="H218">
        <v>-3.0957991541180799E-2</v>
      </c>
      <c r="I218">
        <v>0.8065233146987546</v>
      </c>
      <c r="J218">
        <v>-8.8631074837273505E-2</v>
      </c>
      <c r="K218">
        <v>1.513899323816692E-2</v>
      </c>
      <c r="L218">
        <v>0</v>
      </c>
      <c r="M218">
        <v>246055537</v>
      </c>
      <c r="N218">
        <v>0</v>
      </c>
      <c r="O218" t="b">
        <v>1</v>
      </c>
    </row>
    <row r="219" spans="1:15" x14ac:dyDescent="0.3">
      <c r="A219" s="1" t="s">
        <v>323</v>
      </c>
      <c r="B219">
        <v>1.0030221526211429</v>
      </c>
      <c r="C219">
        <v>3.7384351569927067E-2</v>
      </c>
      <c r="D219">
        <v>3.578084234066347E-2</v>
      </c>
      <c r="E219">
        <v>69.998524200357622</v>
      </c>
      <c r="F219">
        <v>0.14952870608397581</v>
      </c>
      <c r="G219">
        <v>0.6</v>
      </c>
      <c r="H219">
        <v>0.1451882382607427</v>
      </c>
      <c r="I219">
        <v>1.03480866136706</v>
      </c>
      <c r="J219">
        <v>0</v>
      </c>
      <c r="K219">
        <v>1.4366729678638951E-2</v>
      </c>
      <c r="L219">
        <v>0</v>
      </c>
      <c r="M219">
        <v>16630892</v>
      </c>
      <c r="N219">
        <v>0</v>
      </c>
      <c r="O219" t="b">
        <v>0</v>
      </c>
    </row>
    <row r="220" spans="1:15" x14ac:dyDescent="0.3">
      <c r="A220" s="1" t="s">
        <v>324</v>
      </c>
      <c r="B220">
        <v>0.98527542912359312</v>
      </c>
      <c r="C220">
        <v>2.2706645981899521E-2</v>
      </c>
      <c r="D220">
        <v>3.5845730154523317E-2</v>
      </c>
      <c r="E220">
        <v>52.20327376936541</v>
      </c>
      <c r="F220">
        <v>-3.3779796697729791E-2</v>
      </c>
      <c r="G220">
        <v>0.6</v>
      </c>
      <c r="H220">
        <v>-5.3853227019542288E-2</v>
      </c>
      <c r="I220">
        <v>0.65044230555050742</v>
      </c>
      <c r="J220">
        <v>-5.0368765456415547E-2</v>
      </c>
      <c r="K220">
        <v>3.3239196487250933E-2</v>
      </c>
      <c r="L220">
        <v>0</v>
      </c>
      <c r="M220">
        <v>84588707.799499989</v>
      </c>
      <c r="N220">
        <v>0</v>
      </c>
      <c r="O220" t="b">
        <v>0</v>
      </c>
    </row>
    <row r="221" spans="1:15" x14ac:dyDescent="0.3">
      <c r="A221" s="1" t="s">
        <v>325</v>
      </c>
      <c r="B221">
        <v>6.7366861760114736</v>
      </c>
      <c r="C221">
        <v>3.7498948934102279E-2</v>
      </c>
      <c r="D221">
        <v>4.4531032563317557E-2</v>
      </c>
      <c r="E221">
        <v>46.823736294135777</v>
      </c>
      <c r="F221">
        <v>-9.4994131189328312E-2</v>
      </c>
      <c r="G221">
        <v>0.6</v>
      </c>
      <c r="H221">
        <v>2.015920429518038E-2</v>
      </c>
      <c r="I221">
        <v>1.994502470258787</v>
      </c>
      <c r="J221">
        <v>-8.5704107079240699E-2</v>
      </c>
      <c r="K221">
        <v>1.4055091442763731E-2</v>
      </c>
      <c r="L221">
        <v>0</v>
      </c>
      <c r="M221">
        <v>138991052.2615</v>
      </c>
      <c r="N221">
        <v>0</v>
      </c>
      <c r="O221" t="b">
        <v>1</v>
      </c>
    </row>
    <row r="222" spans="1:15" x14ac:dyDescent="0.3">
      <c r="A222" s="1" t="s">
        <v>326</v>
      </c>
      <c r="B222">
        <v>4.0921900223010876</v>
      </c>
      <c r="C222">
        <v>2.643516529157491E-2</v>
      </c>
      <c r="D222">
        <v>4.0613432729762769E-2</v>
      </c>
      <c r="E222">
        <v>66.417308442708332</v>
      </c>
      <c r="F222">
        <v>8.5241373508503804E-2</v>
      </c>
      <c r="G222">
        <v>0.6</v>
      </c>
      <c r="H222">
        <v>-0.1870210000222606</v>
      </c>
      <c r="I222">
        <v>0.95466007779148465</v>
      </c>
      <c r="J222">
        <v>0</v>
      </c>
      <c r="K222">
        <v>3.7152786783203329E-3</v>
      </c>
      <c r="L222">
        <v>0</v>
      </c>
      <c r="M222">
        <v>589702398.0575</v>
      </c>
      <c r="N222">
        <v>0</v>
      </c>
      <c r="O222" t="b">
        <v>1</v>
      </c>
    </row>
    <row r="223" spans="1:15" x14ac:dyDescent="0.3">
      <c r="A223" s="1" t="s">
        <v>327</v>
      </c>
      <c r="B223">
        <v>1.5698010155420801</v>
      </c>
      <c r="C223">
        <v>2.2545153693307979E-2</v>
      </c>
      <c r="D223">
        <v>2.5163293560747479E-2</v>
      </c>
      <c r="E223">
        <v>47.927490611878987</v>
      </c>
      <c r="F223">
        <v>-1.7735418923799151E-2</v>
      </c>
      <c r="G223">
        <v>0.4</v>
      </c>
      <c r="H223">
        <v>-0.12572445069082511</v>
      </c>
      <c r="I223">
        <v>0.64639994141826529</v>
      </c>
      <c r="J223">
        <v>-3.2594560348564561E-2</v>
      </c>
      <c r="K223">
        <v>1.9716502960477559E-2</v>
      </c>
      <c r="L223">
        <v>0</v>
      </c>
      <c r="M223">
        <v>97271073.598200008</v>
      </c>
      <c r="N223">
        <v>0</v>
      </c>
      <c r="O223" t="b">
        <v>1</v>
      </c>
    </row>
    <row r="224" spans="1:15" x14ac:dyDescent="0.3">
      <c r="A224" s="1" t="s">
        <v>328</v>
      </c>
      <c r="B224">
        <v>1.6960307288832459</v>
      </c>
      <c r="C224">
        <v>2.073473382614004E-2</v>
      </c>
      <c r="D224">
        <v>2.7448573657095739E-2</v>
      </c>
      <c r="E224">
        <v>53.230557374402338</v>
      </c>
      <c r="F224">
        <v>-7.5071012299900994E-3</v>
      </c>
      <c r="G224">
        <v>0.4</v>
      </c>
      <c r="H224">
        <v>-8.562222143113371E-2</v>
      </c>
      <c r="I224">
        <v>0.5545823232150392</v>
      </c>
      <c r="J224">
        <v>-1.691032599550979E-2</v>
      </c>
      <c r="K224">
        <v>2.2069113736779888E-2</v>
      </c>
      <c r="L224">
        <v>0</v>
      </c>
      <c r="M224">
        <v>66364149.778599992</v>
      </c>
      <c r="N224">
        <v>0</v>
      </c>
      <c r="O224" t="b">
        <v>0</v>
      </c>
    </row>
    <row r="225" spans="1:15" x14ac:dyDescent="0.3">
      <c r="A225" s="1" t="s">
        <v>329</v>
      </c>
      <c r="B225">
        <v>0.73165429118029179</v>
      </c>
      <c r="C225">
        <v>3.4907170380739108E-2</v>
      </c>
      <c r="D225">
        <v>2.099236641221363E-2</v>
      </c>
      <c r="E225">
        <v>43.922166345926243</v>
      </c>
      <c r="F225">
        <v>-8.5146641438031967E-3</v>
      </c>
      <c r="G225">
        <v>0.2</v>
      </c>
      <c r="H225">
        <v>-0.16282194806146691</v>
      </c>
      <c r="I225">
        <v>1.6099918262697659</v>
      </c>
      <c r="J225">
        <v>-6.0089686098654727E-2</v>
      </c>
      <c r="K225">
        <v>-1.5500234852043099E-2</v>
      </c>
      <c r="L225">
        <v>0</v>
      </c>
      <c r="M225">
        <v>64838481.282300003</v>
      </c>
      <c r="N225">
        <v>0</v>
      </c>
      <c r="O225" t="b">
        <v>0</v>
      </c>
    </row>
    <row r="226" spans="1:15" x14ac:dyDescent="0.3">
      <c r="A226" s="1" t="s">
        <v>330</v>
      </c>
      <c r="B226">
        <v>2.6251523507021011</v>
      </c>
      <c r="C226">
        <v>2.3630861019912689E-2</v>
      </c>
      <c r="D226">
        <v>2.3854532361148539E-2</v>
      </c>
      <c r="E226">
        <v>74.490422289152889</v>
      </c>
      <c r="F226">
        <v>9.4590600059119234E-2</v>
      </c>
      <c r="G226">
        <v>1</v>
      </c>
      <c r="H226">
        <v>0.1045930059360807</v>
      </c>
      <c r="I226">
        <v>1.059474896687113</v>
      </c>
      <c r="J226">
        <v>0</v>
      </c>
      <c r="K226">
        <v>1.516951475829287E-2</v>
      </c>
      <c r="L226">
        <v>0</v>
      </c>
      <c r="M226">
        <v>1132240807.3994</v>
      </c>
      <c r="N226">
        <v>0</v>
      </c>
      <c r="O226" t="b">
        <v>1</v>
      </c>
    </row>
    <row r="227" spans="1:15" x14ac:dyDescent="0.3">
      <c r="A227" s="1" t="s">
        <v>331</v>
      </c>
      <c r="B227">
        <v>18.072730980531119</v>
      </c>
      <c r="C227">
        <v>3.0300496236953842E-2</v>
      </c>
      <c r="D227">
        <v>3.1435996311509763E-2</v>
      </c>
      <c r="E227">
        <v>53.664378070208549</v>
      </c>
      <c r="F227">
        <v>7.7722395877333206E-3</v>
      </c>
      <c r="G227">
        <v>0.4</v>
      </c>
      <c r="H227">
        <v>0.11728526691984011</v>
      </c>
      <c r="I227">
        <v>0.48752950501501707</v>
      </c>
      <c r="J227">
        <v>-3.4823696943217297E-2</v>
      </c>
      <c r="K227">
        <v>1.2322001391741111E-2</v>
      </c>
      <c r="L227">
        <v>0</v>
      </c>
      <c r="M227">
        <v>133129807.5</v>
      </c>
      <c r="N227">
        <v>0</v>
      </c>
      <c r="O227" t="b">
        <v>1</v>
      </c>
    </row>
    <row r="228" spans="1:15" x14ac:dyDescent="0.3">
      <c r="A228" s="1" t="s">
        <v>332</v>
      </c>
      <c r="B228">
        <v>0.67175305701467525</v>
      </c>
      <c r="C228">
        <v>2.380414801611181E-2</v>
      </c>
      <c r="D228">
        <v>2.6931254429482569E-2</v>
      </c>
      <c r="E228">
        <v>65.25590669673204</v>
      </c>
      <c r="F228">
        <v>3.6737692872887528E-2</v>
      </c>
      <c r="G228">
        <v>1</v>
      </c>
      <c r="H228">
        <v>1.793417996488016E-2</v>
      </c>
      <c r="I228">
        <v>1.006682640072464</v>
      </c>
      <c r="J228">
        <v>0</v>
      </c>
      <c r="K228">
        <v>1.3649425287356239E-2</v>
      </c>
      <c r="L228">
        <v>0</v>
      </c>
      <c r="M228">
        <v>12791282.5</v>
      </c>
      <c r="N228">
        <v>0</v>
      </c>
      <c r="O228" t="b">
        <v>0</v>
      </c>
    </row>
    <row r="229" spans="1:15" x14ac:dyDescent="0.3">
      <c r="A229" s="1" t="s">
        <v>333</v>
      </c>
      <c r="B229">
        <v>0.36762675049827959</v>
      </c>
      <c r="C229">
        <v>2.1495372077829079E-2</v>
      </c>
      <c r="D229">
        <v>2.178616116847722E-2</v>
      </c>
      <c r="E229">
        <v>50.443126967238499</v>
      </c>
      <c r="F229">
        <v>2.70906524937693E-2</v>
      </c>
      <c r="G229">
        <v>0.8</v>
      </c>
      <c r="H229">
        <v>-0.1154383895508046</v>
      </c>
      <c r="I229">
        <v>-9.891466900471757E-2</v>
      </c>
      <c r="J229">
        <v>-2.2965391954114959E-2</v>
      </c>
      <c r="K229">
        <v>1.8691032116649131E-2</v>
      </c>
      <c r="L229">
        <v>0</v>
      </c>
      <c r="M229">
        <v>164692131.4851</v>
      </c>
      <c r="N229">
        <v>0</v>
      </c>
      <c r="O229" t="b">
        <v>1</v>
      </c>
    </row>
    <row r="230" spans="1:15" x14ac:dyDescent="0.3">
      <c r="A230" s="1" t="s">
        <v>334</v>
      </c>
      <c r="B230">
        <v>4.0345807364538917</v>
      </c>
      <c r="C230">
        <v>2.0405836303675921E-2</v>
      </c>
      <c r="D230">
        <v>1.210821527739145E-2</v>
      </c>
      <c r="E230">
        <v>50.410907886876608</v>
      </c>
      <c r="F230">
        <v>-3.514559411279583E-2</v>
      </c>
      <c r="G230">
        <v>0.4</v>
      </c>
      <c r="H230">
        <v>0.14374594349795211</v>
      </c>
      <c r="I230">
        <v>-0.44087908828449701</v>
      </c>
      <c r="J230">
        <v>-7.2617601395878917E-2</v>
      </c>
      <c r="K230">
        <v>1.0581849849120579E-3</v>
      </c>
      <c r="L230">
        <v>0</v>
      </c>
      <c r="M230">
        <v>309539849.98650002</v>
      </c>
      <c r="N230">
        <v>0</v>
      </c>
      <c r="O230" t="b">
        <v>1</v>
      </c>
    </row>
    <row r="231" spans="1:15" x14ac:dyDescent="0.3">
      <c r="A231" s="1" t="s">
        <v>335</v>
      </c>
      <c r="B231">
        <v>1.7231319623579859</v>
      </c>
      <c r="C231">
        <v>6.3584205253062201E-2</v>
      </c>
      <c r="D231">
        <v>6.0258302583025787E-2</v>
      </c>
      <c r="E231">
        <v>50.682802135566988</v>
      </c>
      <c r="F231">
        <v>9.2741935483870996E-2</v>
      </c>
      <c r="G231">
        <v>0.4</v>
      </c>
      <c r="H231">
        <v>-0.1106439261749422</v>
      </c>
      <c r="I231">
        <v>0.70634478138638246</v>
      </c>
      <c r="J231">
        <v>-6.098406098406095E-2</v>
      </c>
      <c r="K231">
        <v>-1.8416206261508969E-3</v>
      </c>
      <c r="O231" t="b">
        <v>0</v>
      </c>
    </row>
    <row r="232" spans="1:15" x14ac:dyDescent="0.3">
      <c r="A232" s="1" t="s">
        <v>336</v>
      </c>
      <c r="B232">
        <v>1.507998546141313</v>
      </c>
      <c r="C232">
        <v>2.8360817389284809E-2</v>
      </c>
      <c r="D232">
        <v>3.2398691790212562E-2</v>
      </c>
      <c r="E232">
        <v>43.89041823135593</v>
      </c>
      <c r="F232">
        <v>-6.8550287202790106E-2</v>
      </c>
      <c r="G232">
        <v>0.2</v>
      </c>
      <c r="H232">
        <v>-0.19904675385065071</v>
      </c>
      <c r="I232">
        <v>1.1019602749908031</v>
      </c>
      <c r="J232">
        <v>-6.2665376269023243E-2</v>
      </c>
      <c r="K232">
        <v>1.0597879283768871E-2</v>
      </c>
      <c r="L232">
        <v>0</v>
      </c>
      <c r="M232">
        <v>335601433.65420002</v>
      </c>
      <c r="N232">
        <v>0</v>
      </c>
      <c r="O232" t="b">
        <v>1</v>
      </c>
    </row>
    <row r="233" spans="1:15" x14ac:dyDescent="0.3">
      <c r="A233" s="1" t="s">
        <v>337</v>
      </c>
      <c r="B233">
        <v>1.616388356033579</v>
      </c>
      <c r="C233">
        <v>3.7171170657320431E-2</v>
      </c>
      <c r="D233">
        <v>7.7957916522938958E-2</v>
      </c>
      <c r="E233">
        <v>57.626751475780203</v>
      </c>
      <c r="F233">
        <v>0.16488079292794011</v>
      </c>
      <c r="G233">
        <v>0.8</v>
      </c>
      <c r="H233">
        <v>-4.4604124573961151E-2</v>
      </c>
      <c r="I233">
        <v>0.41353408046301882</v>
      </c>
      <c r="J233">
        <v>-5.9580449826989623E-2</v>
      </c>
      <c r="K233">
        <v>-5.9580449826989623E-2</v>
      </c>
      <c r="L233">
        <v>0</v>
      </c>
      <c r="M233">
        <v>171060307</v>
      </c>
      <c r="N233">
        <v>0</v>
      </c>
      <c r="O233" t="b">
        <v>1</v>
      </c>
    </row>
    <row r="234" spans="1:15" x14ac:dyDescent="0.3">
      <c r="A234" s="1" t="s">
        <v>338</v>
      </c>
      <c r="B234">
        <v>14.34219451705918</v>
      </c>
      <c r="C234">
        <v>2.689934828211708E-2</v>
      </c>
      <c r="D234">
        <v>7.4177576053115188E-2</v>
      </c>
      <c r="E234">
        <v>40.529126501628042</v>
      </c>
      <c r="F234">
        <v>1.2017876591430281E-3</v>
      </c>
      <c r="G234">
        <v>0.4</v>
      </c>
      <c r="H234">
        <v>-7.4825472588901432E-2</v>
      </c>
      <c r="I234">
        <v>-1.6289806817329101E-2</v>
      </c>
      <c r="J234">
        <v>-6.6528940088938726E-2</v>
      </c>
      <c r="K234">
        <v>-5.3369789077480363E-2</v>
      </c>
      <c r="L234">
        <v>0</v>
      </c>
      <c r="M234">
        <v>142071529.31349999</v>
      </c>
      <c r="N234">
        <v>0</v>
      </c>
      <c r="O234" t="b">
        <v>1</v>
      </c>
    </row>
    <row r="235" spans="1:15" x14ac:dyDescent="0.3">
      <c r="A235" s="1" t="s">
        <v>339</v>
      </c>
      <c r="B235">
        <v>15.932073252311961</v>
      </c>
      <c r="C235">
        <v>2.5951636959430729E-2</v>
      </c>
      <c r="D235">
        <v>3.7164814615727987E-2</v>
      </c>
      <c r="E235">
        <v>70.76468870120425</v>
      </c>
      <c r="F235">
        <v>7.7955530739205248E-2</v>
      </c>
      <c r="G235">
        <v>0.6</v>
      </c>
      <c r="H235">
        <v>0.25695058648555952</v>
      </c>
      <c r="I235">
        <v>1.1790915869746621</v>
      </c>
      <c r="J235">
        <v>0</v>
      </c>
      <c r="K235">
        <v>3.5315267305594089E-2</v>
      </c>
      <c r="L235">
        <v>0</v>
      </c>
      <c r="M235">
        <v>1025767254.1785001</v>
      </c>
      <c r="N235">
        <v>0</v>
      </c>
      <c r="O235" t="b">
        <v>1</v>
      </c>
    </row>
    <row r="236" spans="1:15" x14ac:dyDescent="0.3">
      <c r="A236" s="1" t="s">
        <v>340</v>
      </c>
      <c r="B236">
        <v>4.6688612117057362</v>
      </c>
      <c r="C236">
        <v>1.5744456773810402E-2</v>
      </c>
      <c r="D236">
        <v>2.9372091454778371E-2</v>
      </c>
      <c r="E236">
        <v>56.787994217490898</v>
      </c>
      <c r="F236">
        <v>2.8759757155247149E-2</v>
      </c>
      <c r="G236">
        <v>0.6</v>
      </c>
      <c r="H236">
        <v>1.9286838420558251E-3</v>
      </c>
      <c r="I236">
        <v>-0.1683040244814436</v>
      </c>
      <c r="J236">
        <v>-1.5536816944425991E-2</v>
      </c>
      <c r="K236">
        <v>-1.5536816944425991E-2</v>
      </c>
      <c r="L236">
        <v>0</v>
      </c>
      <c r="M236">
        <v>449419269.38999999</v>
      </c>
      <c r="N236">
        <v>0</v>
      </c>
      <c r="O236" t="b">
        <v>1</v>
      </c>
    </row>
    <row r="237" spans="1:15" x14ac:dyDescent="0.3">
      <c r="A237" s="1" t="s">
        <v>341</v>
      </c>
      <c r="B237">
        <v>4.6729395686141562</v>
      </c>
      <c r="C237">
        <v>1.8808597280764731E-2</v>
      </c>
      <c r="D237">
        <v>2.449214520601983E-2</v>
      </c>
      <c r="E237">
        <v>42.625427368206758</v>
      </c>
      <c r="F237">
        <v>-3.8897184547895258E-2</v>
      </c>
      <c r="G237">
        <v>0.4</v>
      </c>
      <c r="H237">
        <v>7.9253369566128894E-3</v>
      </c>
      <c r="I237">
        <v>-0.23075919416535429</v>
      </c>
      <c r="J237">
        <v>-4.5304856726753003E-2</v>
      </c>
      <c r="K237">
        <v>-1.5649948295740401E-2</v>
      </c>
      <c r="L237">
        <v>0</v>
      </c>
      <c r="M237">
        <v>174004538.7455</v>
      </c>
      <c r="N237">
        <v>0</v>
      </c>
      <c r="O237" t="b">
        <v>1</v>
      </c>
    </row>
    <row r="238" spans="1:15" x14ac:dyDescent="0.3">
      <c r="A238" s="1" t="s">
        <v>342</v>
      </c>
      <c r="B238">
        <v>3.4757179633183082</v>
      </c>
      <c r="C238">
        <v>2.2187794212054308E-2</v>
      </c>
      <c r="D238">
        <v>1.519310564953716E-2</v>
      </c>
      <c r="E238">
        <v>48.906112645557947</v>
      </c>
      <c r="F238">
        <v>3.1746031746031633E-2</v>
      </c>
      <c r="G238">
        <v>0.4</v>
      </c>
      <c r="H238">
        <v>-0.1143980152822288</v>
      </c>
      <c r="I238">
        <v>0.57681176225806852</v>
      </c>
      <c r="J238">
        <v>-3.4693122997288661E-2</v>
      </c>
      <c r="K238">
        <v>4.0379438533522114E-3</v>
      </c>
      <c r="L238">
        <v>0</v>
      </c>
      <c r="M238">
        <v>220776728.5</v>
      </c>
      <c r="N238">
        <v>0</v>
      </c>
      <c r="O238" t="b">
        <v>1</v>
      </c>
    </row>
    <row r="239" spans="1:15" x14ac:dyDescent="0.3">
      <c r="A239" s="1" t="s">
        <v>343</v>
      </c>
      <c r="B239">
        <v>1.051290223949878</v>
      </c>
      <c r="C239">
        <v>1.982246209505514E-2</v>
      </c>
      <c r="D239">
        <v>3.000642967985474E-2</v>
      </c>
      <c r="E239">
        <v>60.968051366935143</v>
      </c>
      <c r="F239">
        <v>4.0687338359320258E-2</v>
      </c>
      <c r="G239">
        <v>0.4</v>
      </c>
      <c r="H239">
        <v>-0.1012270944398532</v>
      </c>
      <c r="I239">
        <v>0.58534637008821644</v>
      </c>
      <c r="J239">
        <v>0</v>
      </c>
      <c r="K239">
        <v>2.3807961082583651E-2</v>
      </c>
      <c r="L239">
        <v>0</v>
      </c>
      <c r="M239">
        <v>41195431.5396</v>
      </c>
      <c r="N239">
        <v>0</v>
      </c>
      <c r="O239" t="b">
        <v>0</v>
      </c>
    </row>
    <row r="240" spans="1:15" x14ac:dyDescent="0.3">
      <c r="A240" s="1" t="s">
        <v>344</v>
      </c>
      <c r="B240">
        <v>1.534029211345876</v>
      </c>
      <c r="C240">
        <v>1.7044769014954182E-2</v>
      </c>
      <c r="D240">
        <v>1.1666666666666631E-2</v>
      </c>
      <c r="E240">
        <v>48.845065207374049</v>
      </c>
      <c r="F240">
        <v>1.9348475166487411E-3</v>
      </c>
      <c r="G240">
        <v>0.4</v>
      </c>
      <c r="H240">
        <v>-3.2820641016538407E-2</v>
      </c>
      <c r="I240">
        <v>-7.3521189668149523E-2</v>
      </c>
      <c r="J240">
        <v>-2.6500811249324019E-2</v>
      </c>
      <c r="K240">
        <v>5.558643690939391E-4</v>
      </c>
      <c r="L240">
        <v>0</v>
      </c>
      <c r="M240">
        <v>149201887.78755</v>
      </c>
      <c r="N240">
        <v>0</v>
      </c>
      <c r="O240" t="b">
        <v>1</v>
      </c>
    </row>
    <row r="241" spans="1:15" x14ac:dyDescent="0.3">
      <c r="A241" s="1" t="s">
        <v>345</v>
      </c>
      <c r="B241">
        <v>2.0372997157262689</v>
      </c>
      <c r="C241">
        <v>2.2742618842298279E-2</v>
      </c>
      <c r="D241">
        <v>2.2505963896240981E-2</v>
      </c>
      <c r="E241">
        <v>49.307515745132967</v>
      </c>
      <c r="F241">
        <v>-1.2958808596160391E-2</v>
      </c>
      <c r="G241">
        <v>0.8</v>
      </c>
      <c r="H241">
        <v>-9.9887399220733197E-2</v>
      </c>
      <c r="I241">
        <v>0.30701800664087781</v>
      </c>
      <c r="J241">
        <v>-3.8098848047005918E-2</v>
      </c>
      <c r="K241">
        <v>4.8773976144724776E-3</v>
      </c>
      <c r="L241">
        <v>0</v>
      </c>
      <c r="M241">
        <v>280448483.27034998</v>
      </c>
      <c r="N241">
        <v>0</v>
      </c>
      <c r="O241" t="b">
        <v>1</v>
      </c>
    </row>
    <row r="242" spans="1:15" x14ac:dyDescent="0.3">
      <c r="A242" s="1" t="s">
        <v>346</v>
      </c>
      <c r="B242">
        <v>4.2048347289252979</v>
      </c>
      <c r="C242">
        <v>4.4846786784612819E-2</v>
      </c>
      <c r="D242">
        <v>5.1514505119453907E-2</v>
      </c>
      <c r="E242">
        <v>57.624978760349798</v>
      </c>
      <c r="F242">
        <v>-3.156599887940148E-3</v>
      </c>
      <c r="G242">
        <v>0.6</v>
      </c>
      <c r="H242">
        <v>6.4494081322874666E-2</v>
      </c>
      <c r="I242">
        <v>1.8804947717100959</v>
      </c>
      <c r="J242">
        <v>-3.5072802635773841E-3</v>
      </c>
      <c r="K242">
        <v>4.2844901456726703E-3</v>
      </c>
      <c r="L242">
        <v>0</v>
      </c>
      <c r="M242">
        <v>271125573.11475003</v>
      </c>
      <c r="N242">
        <v>0</v>
      </c>
      <c r="O242" t="b">
        <v>1</v>
      </c>
    </row>
    <row r="243" spans="1:15" x14ac:dyDescent="0.3">
      <c r="A243" s="1" t="s">
        <v>347</v>
      </c>
      <c r="B243">
        <v>2.1550204875136272</v>
      </c>
      <c r="C243">
        <v>2.267487886693631E-2</v>
      </c>
      <c r="D243">
        <v>2.0412457912457889E-2</v>
      </c>
      <c r="E243">
        <v>44.394332556040112</v>
      </c>
      <c r="F243">
        <v>-4.1452344931921292E-2</v>
      </c>
      <c r="G243">
        <v>0.2</v>
      </c>
      <c r="H243">
        <v>-6.4352366053042606E-2</v>
      </c>
      <c r="I243">
        <v>0.10246776685601371</v>
      </c>
      <c r="J243">
        <v>-5.8730315935426318E-2</v>
      </c>
      <c r="K243">
        <v>8.9171974522292974E-3</v>
      </c>
      <c r="L243">
        <v>0</v>
      </c>
      <c r="M243">
        <v>113047950.38034999</v>
      </c>
      <c r="N243">
        <v>0</v>
      </c>
      <c r="O243" t="b">
        <v>1</v>
      </c>
    </row>
    <row r="244" spans="1:15" x14ac:dyDescent="0.3">
      <c r="A244" s="1" t="s">
        <v>348</v>
      </c>
      <c r="B244">
        <v>0.89721619200671243</v>
      </c>
      <c r="C244">
        <v>3.4298435038159283E-2</v>
      </c>
      <c r="D244">
        <v>3.995550305629772E-2</v>
      </c>
      <c r="E244">
        <v>49.138430018466067</v>
      </c>
      <c r="F244">
        <v>-2.2685242263592701E-2</v>
      </c>
      <c r="G244">
        <v>0.6</v>
      </c>
      <c r="H244">
        <v>-0.16715624386556421</v>
      </c>
      <c r="I244">
        <v>1.0155574120826449</v>
      </c>
      <c r="J244">
        <v>-3.1331002917956541E-2</v>
      </c>
      <c r="K244">
        <v>3.0185959689043251E-2</v>
      </c>
      <c r="L244">
        <v>0</v>
      </c>
      <c r="M244">
        <v>496724545.95209998</v>
      </c>
      <c r="N244">
        <v>0</v>
      </c>
      <c r="O244" t="b">
        <v>1</v>
      </c>
    </row>
    <row r="245" spans="1:15" x14ac:dyDescent="0.3">
      <c r="A245" s="1" t="s">
        <v>349</v>
      </c>
      <c r="B245">
        <v>0.95751586408699552</v>
      </c>
      <c r="C245">
        <v>5.9957161182654692E-2</v>
      </c>
      <c r="D245">
        <v>5.1972448340638702E-2</v>
      </c>
      <c r="E245">
        <v>49.94594043599529</v>
      </c>
      <c r="F245">
        <v>7.3974445191661076E-2</v>
      </c>
      <c r="G245">
        <v>0.2</v>
      </c>
      <c r="H245">
        <v>2.143928147324433E-2</v>
      </c>
      <c r="I245">
        <v>2.2561375074082841</v>
      </c>
      <c r="J245">
        <v>-7.5275043427909583E-2</v>
      </c>
      <c r="K245">
        <v>-6.2227753578095726E-3</v>
      </c>
      <c r="L245">
        <v>0</v>
      </c>
      <c r="M245">
        <v>125049716</v>
      </c>
      <c r="N245">
        <v>0</v>
      </c>
      <c r="O245" t="b">
        <v>1</v>
      </c>
    </row>
    <row r="246" spans="1:15" x14ac:dyDescent="0.3">
      <c r="A246" s="1" t="s">
        <v>350</v>
      </c>
      <c r="B246">
        <v>8.2412753558483836</v>
      </c>
      <c r="C246">
        <v>2.4378143985826141E-2</v>
      </c>
      <c r="D246">
        <v>2.3871502100218871E-2</v>
      </c>
      <c r="E246">
        <v>62.750960498351802</v>
      </c>
      <c r="F246">
        <v>2.7725421049431539E-2</v>
      </c>
      <c r="G246">
        <v>0.6</v>
      </c>
      <c r="H246">
        <v>-8.6347985401613508E-2</v>
      </c>
      <c r="I246">
        <v>1.4362205606674141</v>
      </c>
      <c r="J246">
        <v>0</v>
      </c>
      <c r="K246">
        <v>8.923508520607637E-3</v>
      </c>
      <c r="L246">
        <v>0</v>
      </c>
      <c r="M246">
        <v>513627377.5</v>
      </c>
      <c r="N246">
        <v>0</v>
      </c>
      <c r="O246" t="b">
        <v>1</v>
      </c>
    </row>
    <row r="247" spans="1:15" x14ac:dyDescent="0.3">
      <c r="A247" s="1" t="s">
        <v>351</v>
      </c>
      <c r="B247">
        <v>0.58426925361512405</v>
      </c>
      <c r="C247">
        <v>2.025505635573966E-2</v>
      </c>
      <c r="D247">
        <v>2.983470615969153E-2</v>
      </c>
      <c r="E247">
        <v>46.252243264251668</v>
      </c>
      <c r="F247">
        <v>8.9966559863441375E-3</v>
      </c>
      <c r="G247">
        <v>0.4</v>
      </c>
      <c r="H247">
        <v>-0.12318017295036621</v>
      </c>
      <c r="I247">
        <v>0.39024763216644992</v>
      </c>
      <c r="J247">
        <v>-5.1091000601999448E-2</v>
      </c>
      <c r="K247">
        <v>8.298320062080089E-3</v>
      </c>
      <c r="L247">
        <v>0</v>
      </c>
      <c r="M247">
        <v>24039853.026299998</v>
      </c>
      <c r="N247">
        <v>0</v>
      </c>
      <c r="O247" t="b">
        <v>0</v>
      </c>
    </row>
    <row r="248" spans="1:15" x14ac:dyDescent="0.3">
      <c r="A248" s="1" t="s">
        <v>352</v>
      </c>
      <c r="B248">
        <v>3.961509480297662</v>
      </c>
      <c r="C248">
        <v>2.6625015829783528E-2</v>
      </c>
      <c r="D248">
        <v>3.1695891497355383E-2</v>
      </c>
      <c r="E248">
        <v>58.125791802714012</v>
      </c>
      <c r="F248">
        <v>4.8119866439369392E-2</v>
      </c>
      <c r="G248">
        <v>0.8</v>
      </c>
      <c r="H248">
        <v>-0.1203692309902296</v>
      </c>
      <c r="I248">
        <v>1.4367231590561029</v>
      </c>
      <c r="J248">
        <v>0</v>
      </c>
      <c r="K248">
        <v>1.637384556533128E-2</v>
      </c>
      <c r="L248">
        <v>0</v>
      </c>
      <c r="M248">
        <v>199063414.13699999</v>
      </c>
      <c r="N248">
        <v>0</v>
      </c>
      <c r="O248" t="b">
        <v>1</v>
      </c>
    </row>
    <row r="249" spans="1:15" x14ac:dyDescent="0.3">
      <c r="A249" s="1" t="s">
        <v>353</v>
      </c>
      <c r="B249">
        <v>0.84037664535737566</v>
      </c>
      <c r="C249">
        <v>1.9648740831362539E-2</v>
      </c>
      <c r="D249">
        <v>1.987374327799846E-2</v>
      </c>
      <c r="E249">
        <v>70.552472599166947</v>
      </c>
      <c r="F249">
        <v>0.1000514403292181</v>
      </c>
      <c r="G249">
        <v>0.6</v>
      </c>
      <c r="H249">
        <v>0.16784101229941331</v>
      </c>
      <c r="I249">
        <v>0.45590882019816259</v>
      </c>
      <c r="J249">
        <v>0</v>
      </c>
      <c r="K249">
        <v>5.6430754761345181E-3</v>
      </c>
      <c r="L249">
        <v>0</v>
      </c>
      <c r="M249">
        <v>18841175</v>
      </c>
      <c r="N249">
        <v>0</v>
      </c>
      <c r="O249" t="b">
        <v>0</v>
      </c>
    </row>
    <row r="250" spans="1:15" x14ac:dyDescent="0.3">
      <c r="A250" s="1" t="s">
        <v>354</v>
      </c>
      <c r="B250">
        <v>15.070348043680109</v>
      </c>
      <c r="C250">
        <v>4.1678576389175749E-2</v>
      </c>
      <c r="D250">
        <v>4.728072237509854E-2</v>
      </c>
      <c r="E250">
        <v>52.22663020653939</v>
      </c>
      <c r="F250">
        <v>4.3079264736107792E-3</v>
      </c>
      <c r="G250">
        <v>0.6</v>
      </c>
      <c r="H250">
        <v>6.7517500785145415E-2</v>
      </c>
      <c r="I250">
        <v>1.9528211071198049</v>
      </c>
      <c r="J250">
        <v>-1.7771040972273219E-2</v>
      </c>
      <c r="K250">
        <v>8.1300586334476233E-3</v>
      </c>
      <c r="L250">
        <v>0</v>
      </c>
      <c r="M250">
        <v>828330362.51349998</v>
      </c>
      <c r="N250">
        <v>0</v>
      </c>
      <c r="O250" t="b">
        <v>1</v>
      </c>
    </row>
    <row r="251" spans="1:15" x14ac:dyDescent="0.3">
      <c r="A251" s="1" t="s">
        <v>355</v>
      </c>
      <c r="B251">
        <v>2.3195774058226788</v>
      </c>
      <c r="C251">
        <v>5.2384313591298082E-2</v>
      </c>
      <c r="D251">
        <v>3.3649503161698333E-2</v>
      </c>
      <c r="E251">
        <v>47.434071306242053</v>
      </c>
      <c r="F251">
        <v>-6.2836624775584049E-3</v>
      </c>
      <c r="G251">
        <v>0.6</v>
      </c>
      <c r="H251">
        <v>-9.7601012895547665E-2</v>
      </c>
      <c r="I251">
        <v>2.0093829104831729</v>
      </c>
      <c r="J251">
        <v>-1.402805611222435E-2</v>
      </c>
      <c r="K251">
        <v>2.476278639203899E-2</v>
      </c>
      <c r="L251">
        <v>0</v>
      </c>
      <c r="M251">
        <v>252832438.5</v>
      </c>
      <c r="N251">
        <v>0</v>
      </c>
      <c r="O251" t="b">
        <v>1</v>
      </c>
    </row>
    <row r="252" spans="1:15" x14ac:dyDescent="0.3">
      <c r="A252" s="1" t="s">
        <v>356</v>
      </c>
      <c r="B252">
        <v>1.913549277115201</v>
      </c>
      <c r="C252">
        <v>2.5282737588394159E-2</v>
      </c>
      <c r="D252">
        <v>1.7217186798086839E-2</v>
      </c>
      <c r="E252">
        <v>34.646580062765963</v>
      </c>
      <c r="F252">
        <v>-7.6114421872673033E-2</v>
      </c>
      <c r="G252">
        <v>0.2</v>
      </c>
      <c r="H252">
        <v>-0.13751254895853449</v>
      </c>
      <c r="I252">
        <v>0.5504713825576476</v>
      </c>
      <c r="J252">
        <v>-0.10524374500522519</v>
      </c>
      <c r="K252">
        <v>-7.952268041372057E-3</v>
      </c>
      <c r="L252">
        <v>0</v>
      </c>
      <c r="M252">
        <v>197165783.82190001</v>
      </c>
      <c r="N252">
        <v>0</v>
      </c>
      <c r="O252" t="b">
        <v>1</v>
      </c>
    </row>
    <row r="253" spans="1:15" x14ac:dyDescent="0.3">
      <c r="A253" s="1" t="s">
        <v>357</v>
      </c>
      <c r="B253">
        <v>1.3010234599483359</v>
      </c>
      <c r="C253">
        <v>2.2254934313177151E-2</v>
      </c>
      <c r="D253">
        <v>4.8238111529250782E-2</v>
      </c>
      <c r="E253">
        <v>76.500213488669431</v>
      </c>
      <c r="F253">
        <v>0.1167144221585483</v>
      </c>
      <c r="G253">
        <v>0.8</v>
      </c>
      <c r="H253">
        <v>9.4697741571231286E-2</v>
      </c>
      <c r="I253">
        <v>1.228328899730537</v>
      </c>
      <c r="J253">
        <v>0</v>
      </c>
      <c r="K253">
        <v>4.504826599928502E-2</v>
      </c>
      <c r="L253">
        <v>0</v>
      </c>
      <c r="M253">
        <v>193480442.39359999</v>
      </c>
      <c r="N253">
        <v>0</v>
      </c>
      <c r="O253" t="b">
        <v>1</v>
      </c>
    </row>
    <row r="254" spans="1:15" x14ac:dyDescent="0.3">
      <c r="A254" s="1" t="s">
        <v>358</v>
      </c>
      <c r="B254">
        <v>1.2115218009967581</v>
      </c>
      <c r="C254">
        <v>4.0384060033225269E-2</v>
      </c>
      <c r="D254">
        <v>5.3333333333333384E-3</v>
      </c>
      <c r="E254">
        <v>78.854180176921304</v>
      </c>
      <c r="F254">
        <v>0.27496812579685498</v>
      </c>
      <c r="G254">
        <v>0.6</v>
      </c>
      <c r="H254">
        <v>0.15834185206663229</v>
      </c>
      <c r="I254">
        <v>1.3999529415453109</v>
      </c>
      <c r="J254">
        <v>0</v>
      </c>
      <c r="K254">
        <v>3.3444816053511679E-3</v>
      </c>
      <c r="L254">
        <v>0</v>
      </c>
      <c r="M254">
        <v>126202207</v>
      </c>
      <c r="N254">
        <v>0</v>
      </c>
      <c r="O254" t="b">
        <v>1</v>
      </c>
    </row>
    <row r="255" spans="1:15" x14ac:dyDescent="0.3">
      <c r="A255" s="1" t="s">
        <v>359</v>
      </c>
      <c r="B255">
        <v>2.6651396508006271</v>
      </c>
      <c r="C255">
        <v>2.0652312711554051E-2</v>
      </c>
      <c r="D255">
        <v>3.4165581799020447E-2</v>
      </c>
      <c r="E255">
        <v>65.359337868171366</v>
      </c>
      <c r="F255">
        <v>5.4081207576760049E-2</v>
      </c>
      <c r="G255">
        <v>0.6</v>
      </c>
      <c r="H255">
        <v>-2.118708788422739E-2</v>
      </c>
      <c r="I255">
        <v>0.71762837382573319</v>
      </c>
      <c r="J255">
        <v>0</v>
      </c>
      <c r="K255">
        <v>2.6136878682580411E-2</v>
      </c>
      <c r="L255">
        <v>0</v>
      </c>
      <c r="M255">
        <v>50340750.001500003</v>
      </c>
      <c r="N255">
        <v>0</v>
      </c>
      <c r="O255" t="b">
        <v>0</v>
      </c>
    </row>
    <row r="256" spans="1:15" x14ac:dyDescent="0.3">
      <c r="A256" s="1" t="s">
        <v>360</v>
      </c>
      <c r="B256">
        <v>1.901555205468572</v>
      </c>
      <c r="C256">
        <v>3.2041788853329388E-2</v>
      </c>
      <c r="D256">
        <v>5.6419882688163073E-2</v>
      </c>
      <c r="E256">
        <v>67.939696335070551</v>
      </c>
      <c r="F256">
        <v>0.13771579199616579</v>
      </c>
      <c r="G256">
        <v>0.8</v>
      </c>
      <c r="H256">
        <v>-0.12308251006551051</v>
      </c>
      <c r="I256">
        <v>1.4246777622895821</v>
      </c>
      <c r="J256">
        <v>0</v>
      </c>
      <c r="K256">
        <v>3.626013846812004E-2</v>
      </c>
      <c r="L256">
        <v>0</v>
      </c>
      <c r="M256">
        <v>129858869.60394999</v>
      </c>
      <c r="N256">
        <v>0</v>
      </c>
      <c r="O256" t="b">
        <v>1</v>
      </c>
    </row>
    <row r="257" spans="1:15" x14ac:dyDescent="0.3">
      <c r="A257" s="1" t="s">
        <v>361</v>
      </c>
      <c r="B257">
        <v>0.27723559072341508</v>
      </c>
      <c r="C257">
        <v>7.8433453492956912E-3</v>
      </c>
      <c r="D257">
        <v>1.2510397039602101E-2</v>
      </c>
      <c r="E257">
        <v>64.90552522291604</v>
      </c>
      <c r="F257">
        <v>2.1247457470414451E-2</v>
      </c>
      <c r="G257">
        <v>0.6</v>
      </c>
      <c r="H257">
        <v>-0.1040280506799227</v>
      </c>
      <c r="I257">
        <v>0.62362296939985318</v>
      </c>
      <c r="J257">
        <v>0</v>
      </c>
      <c r="K257">
        <v>9.0782960209658814E-3</v>
      </c>
      <c r="L257">
        <v>0</v>
      </c>
      <c r="M257">
        <v>21613963.7245</v>
      </c>
      <c r="N257">
        <v>0</v>
      </c>
      <c r="O257" t="b">
        <v>0</v>
      </c>
    </row>
    <row r="258" spans="1:15" x14ac:dyDescent="0.3">
      <c r="A258" s="1" t="s">
        <v>362</v>
      </c>
      <c r="B258">
        <v>6.1687523283517162E-2</v>
      </c>
      <c r="C258">
        <v>2.7418748653683682E-3</v>
      </c>
      <c r="D258">
        <v>4.1380904334994079E-3</v>
      </c>
      <c r="E258">
        <v>53.473199702827067</v>
      </c>
      <c r="F258">
        <v>3.7744772170593688E-3</v>
      </c>
      <c r="G258">
        <v>0.2</v>
      </c>
      <c r="H258">
        <v>-9.7173764049116942E-2</v>
      </c>
      <c r="I258">
        <v>4.0667182553766307E-2</v>
      </c>
      <c r="J258">
        <v>-3.688844014596016E-3</v>
      </c>
      <c r="K258">
        <v>3.5371782862749779E-3</v>
      </c>
      <c r="L258">
        <v>0</v>
      </c>
      <c r="M258">
        <v>25057049.912999999</v>
      </c>
      <c r="N258">
        <v>0</v>
      </c>
      <c r="O258" t="b">
        <v>0</v>
      </c>
    </row>
    <row r="259" spans="1:15" x14ac:dyDescent="0.3">
      <c r="A259" s="1" t="s">
        <v>363</v>
      </c>
      <c r="B259">
        <v>0.44346455767952092</v>
      </c>
      <c r="C259">
        <v>1.0173795569044431E-2</v>
      </c>
      <c r="D259">
        <v>1.445780921289583E-2</v>
      </c>
      <c r="E259">
        <v>60.413972652445949</v>
      </c>
      <c r="F259">
        <v>1.2955655637511221E-2</v>
      </c>
      <c r="G259">
        <v>0.4</v>
      </c>
      <c r="H259">
        <v>-3.606981943784654E-2</v>
      </c>
      <c r="I259">
        <v>0.85932719166977733</v>
      </c>
      <c r="J259">
        <v>-1.3700293479529391E-3</v>
      </c>
      <c r="K259">
        <v>1.038457704869389E-2</v>
      </c>
      <c r="L259">
        <v>0</v>
      </c>
      <c r="M259">
        <v>127258195.73684999</v>
      </c>
      <c r="N259">
        <v>0</v>
      </c>
      <c r="O259" t="b">
        <v>1</v>
      </c>
    </row>
    <row r="260" spans="1:15" x14ac:dyDescent="0.3">
      <c r="A260" s="1" t="s">
        <v>364</v>
      </c>
      <c r="B260">
        <v>0.41082956518129782</v>
      </c>
      <c r="C260">
        <v>1.186175653335078E-2</v>
      </c>
      <c r="D260">
        <v>1.470197604721263E-2</v>
      </c>
      <c r="E260">
        <v>60.751043429532139</v>
      </c>
      <c r="F260">
        <v>8.6376105911201151E-3</v>
      </c>
      <c r="G260">
        <v>0.8</v>
      </c>
      <c r="H260">
        <v>-2.5411223542717978E-2</v>
      </c>
      <c r="I260">
        <v>1.0490487938958011</v>
      </c>
      <c r="J260">
        <v>0</v>
      </c>
      <c r="K260">
        <v>6.3194962998260884E-3</v>
      </c>
      <c r="L260">
        <v>0</v>
      </c>
      <c r="M260">
        <v>26776732.378800001</v>
      </c>
      <c r="N260">
        <v>0</v>
      </c>
      <c r="O260" t="b">
        <v>0</v>
      </c>
    </row>
    <row r="261" spans="1:15" x14ac:dyDescent="0.3">
      <c r="A261" s="1" t="s">
        <v>365</v>
      </c>
      <c r="B261">
        <v>0.65724644878823846</v>
      </c>
      <c r="C261">
        <v>1.4713901746833071E-2</v>
      </c>
      <c r="D261">
        <v>1.4426305844847749E-2</v>
      </c>
      <c r="E261">
        <v>58.91691330531367</v>
      </c>
      <c r="F261">
        <v>7.8883002247351897E-3</v>
      </c>
      <c r="G261">
        <v>0.8</v>
      </c>
      <c r="H261">
        <v>-9.2230145928744858E-2</v>
      </c>
      <c r="I261">
        <v>1.3273740439863539</v>
      </c>
      <c r="J261">
        <v>0</v>
      </c>
      <c r="K261">
        <v>5.6215062574995764E-3</v>
      </c>
      <c r="L261">
        <v>0</v>
      </c>
      <c r="M261">
        <v>106855403.81455</v>
      </c>
      <c r="N261">
        <v>0</v>
      </c>
      <c r="O261" t="b">
        <v>1</v>
      </c>
    </row>
    <row r="262" spans="1:15" x14ac:dyDescent="0.3">
      <c r="A262" s="1" t="s">
        <v>366</v>
      </c>
      <c r="B262">
        <v>5.0308403245674267E-2</v>
      </c>
      <c r="C262">
        <v>1.8487512263174941E-3</v>
      </c>
      <c r="D262">
        <v>1.462584659030344E-3</v>
      </c>
      <c r="E262">
        <v>57.598643057631818</v>
      </c>
      <c r="F262">
        <v>1.7891656082611449E-3</v>
      </c>
      <c r="G262">
        <v>0.6</v>
      </c>
      <c r="H262">
        <v>-7.5507944219339221E-2</v>
      </c>
      <c r="I262">
        <v>1.65833706143261E-2</v>
      </c>
      <c r="J262">
        <v>-1.126903255171952E-3</v>
      </c>
      <c r="K262">
        <v>1.464726946191597E-3</v>
      </c>
      <c r="L262">
        <v>0</v>
      </c>
      <c r="M262">
        <v>17023901.578200001</v>
      </c>
      <c r="N262">
        <v>0</v>
      </c>
      <c r="O262" t="b">
        <v>0</v>
      </c>
    </row>
    <row r="263" spans="1:15" x14ac:dyDescent="0.3">
      <c r="A263" s="1" t="s">
        <v>367</v>
      </c>
      <c r="B263">
        <v>0.43793630843119569</v>
      </c>
      <c r="C263">
        <v>1.0857584020448841E-2</v>
      </c>
      <c r="D263">
        <v>1.236407451666806E-2</v>
      </c>
      <c r="E263">
        <v>58.198142757328007</v>
      </c>
      <c r="F263">
        <v>1.733524070652193E-3</v>
      </c>
      <c r="G263">
        <v>0.4</v>
      </c>
      <c r="H263">
        <v>-0.2169166125405963</v>
      </c>
      <c r="I263">
        <v>0.9665508596427177</v>
      </c>
      <c r="J263">
        <v>0</v>
      </c>
      <c r="K263">
        <v>7.9744099161573878E-3</v>
      </c>
      <c r="L263">
        <v>0</v>
      </c>
      <c r="M263">
        <v>36467603.172799997</v>
      </c>
      <c r="N263">
        <v>0</v>
      </c>
      <c r="O263" t="b">
        <v>0</v>
      </c>
    </row>
    <row r="264" spans="1:15" x14ac:dyDescent="0.3">
      <c r="A264" s="1" t="s">
        <v>368</v>
      </c>
      <c r="B264">
        <v>0.3380697510572519</v>
      </c>
      <c r="C264">
        <v>1.1646292766569359E-2</v>
      </c>
      <c r="D264">
        <v>1.353860569586024E-2</v>
      </c>
      <c r="E264">
        <v>55.868177670681291</v>
      </c>
      <c r="F264">
        <v>-6.2341236965169911E-3</v>
      </c>
      <c r="G264">
        <v>0.6</v>
      </c>
      <c r="H264">
        <v>-1.7559300007614489E-2</v>
      </c>
      <c r="I264">
        <v>1.1426245776805231</v>
      </c>
      <c r="J264">
        <v>-1.5602851310015599E-2</v>
      </c>
      <c r="K264">
        <v>8.6626266557325859E-3</v>
      </c>
      <c r="L264">
        <v>0</v>
      </c>
      <c r="M264">
        <v>15678558.957699999</v>
      </c>
      <c r="N264">
        <v>0</v>
      </c>
      <c r="O264" t="b">
        <v>0</v>
      </c>
    </row>
    <row r="265" spans="1:15" x14ac:dyDescent="0.3">
      <c r="A265" s="1" t="s">
        <v>369</v>
      </c>
      <c r="B265">
        <v>1.71651846337657</v>
      </c>
      <c r="C265">
        <v>2.0667648324771411E-2</v>
      </c>
      <c r="D265">
        <v>2.9047576619379751E-2</v>
      </c>
      <c r="E265">
        <v>46.005880975999943</v>
      </c>
      <c r="F265">
        <v>-1.2283808420634481E-2</v>
      </c>
      <c r="G265">
        <v>0.8</v>
      </c>
      <c r="H265">
        <v>-0.1462732466257449</v>
      </c>
      <c r="I265">
        <v>-0.1553500871028467</v>
      </c>
      <c r="J265">
        <v>-2.2332979402146621E-2</v>
      </c>
      <c r="K265">
        <v>8.229388592482012E-3</v>
      </c>
      <c r="L265">
        <v>0</v>
      </c>
      <c r="M265">
        <v>188012736.1582</v>
      </c>
      <c r="N265">
        <v>0</v>
      </c>
      <c r="O265" t="b">
        <v>1</v>
      </c>
    </row>
    <row r="266" spans="1:15" x14ac:dyDescent="0.3">
      <c r="A266" s="1" t="s">
        <v>370</v>
      </c>
      <c r="B266">
        <v>2.7091032247959879</v>
      </c>
      <c r="C266">
        <v>2.352264673783093E-2</v>
      </c>
      <c r="D266">
        <v>2.7437700790136289E-2</v>
      </c>
      <c r="E266">
        <v>79.484627488223353</v>
      </c>
      <c r="F266">
        <v>0.1576759231151201</v>
      </c>
      <c r="G266">
        <v>0.8</v>
      </c>
      <c r="H266">
        <v>9.5703897134703161E-2</v>
      </c>
      <c r="I266">
        <v>0.34895845267566827</v>
      </c>
      <c r="J266">
        <v>0</v>
      </c>
      <c r="K266">
        <v>1.026315789473675E-2</v>
      </c>
      <c r="L266">
        <v>0</v>
      </c>
      <c r="M266">
        <v>63944696.693000004</v>
      </c>
      <c r="N266">
        <v>0</v>
      </c>
      <c r="O266" t="b">
        <v>0</v>
      </c>
    </row>
    <row r="267" spans="1:15" x14ac:dyDescent="0.3">
      <c r="A267" s="1" t="s">
        <v>371</v>
      </c>
      <c r="B267">
        <v>5.6133283151113096</v>
      </c>
      <c r="C267">
        <v>2.8421915519550939E-2</v>
      </c>
      <c r="D267">
        <v>2.1215189873417709E-2</v>
      </c>
      <c r="E267">
        <v>57.295610584192119</v>
      </c>
      <c r="F267">
        <v>-2.2809361238929401E-2</v>
      </c>
      <c r="G267">
        <v>0.6</v>
      </c>
      <c r="H267">
        <v>-3.7985331363404311E-2</v>
      </c>
      <c r="I267">
        <v>0.49708988870999538</v>
      </c>
      <c r="J267">
        <v>-3.3710064093155127E-2</v>
      </c>
      <c r="K267">
        <v>1.704516195478667E-2</v>
      </c>
      <c r="L267">
        <v>0</v>
      </c>
      <c r="M267">
        <v>157486393.5</v>
      </c>
      <c r="N267">
        <v>0</v>
      </c>
      <c r="O267" t="b">
        <v>1</v>
      </c>
    </row>
    <row r="268" spans="1:15" x14ac:dyDescent="0.3">
      <c r="A268" s="1" t="s">
        <v>372</v>
      </c>
      <c r="B268">
        <v>3.8830241840291122</v>
      </c>
      <c r="C268">
        <v>2.4607250849360659E-2</v>
      </c>
      <c r="D268">
        <v>4.8377693282636337E-2</v>
      </c>
      <c r="E268">
        <v>62.388221202688072</v>
      </c>
      <c r="F268">
        <v>4.7808764940239223E-2</v>
      </c>
      <c r="G268">
        <v>0.2</v>
      </c>
      <c r="H268">
        <v>9.1564684692237899E-2</v>
      </c>
      <c r="I268">
        <v>0.19749505419699989</v>
      </c>
      <c r="J268">
        <v>-8.4015659463229087E-3</v>
      </c>
      <c r="K268">
        <v>3.8157894736842168E-2</v>
      </c>
      <c r="L268">
        <v>0</v>
      </c>
      <c r="M268">
        <v>134869737.8459</v>
      </c>
      <c r="N268">
        <v>0</v>
      </c>
      <c r="O268" t="b">
        <v>1</v>
      </c>
    </row>
    <row r="269" spans="1:15" x14ac:dyDescent="0.3">
      <c r="A269" s="1" t="s">
        <v>373</v>
      </c>
      <c r="B269">
        <v>0.50328773229082746</v>
      </c>
      <c r="C269">
        <v>1.2139115588297821E-2</v>
      </c>
      <c r="D269">
        <v>6.2711046792089994E-3</v>
      </c>
      <c r="E269">
        <v>42.007024468167387</v>
      </c>
      <c r="F269">
        <v>-2.4240997881854631E-2</v>
      </c>
      <c r="G269">
        <v>0.4</v>
      </c>
      <c r="H269">
        <v>-0.2238324798398735</v>
      </c>
      <c r="I269">
        <v>0.1522961192720822</v>
      </c>
      <c r="J269">
        <v>-3.0175438596491189E-2</v>
      </c>
      <c r="K269">
        <v>1.44927536231898E-3</v>
      </c>
      <c r="L269">
        <v>0</v>
      </c>
      <c r="M269">
        <v>4860635.7928499999</v>
      </c>
      <c r="N269">
        <v>0</v>
      </c>
      <c r="O269" t="b">
        <v>0</v>
      </c>
    </row>
    <row r="270" spans="1:15" x14ac:dyDescent="0.3">
      <c r="A270" s="1" t="s">
        <v>374</v>
      </c>
      <c r="B270">
        <v>6.7766674663401369</v>
      </c>
      <c r="C270">
        <v>3.17720824527176E-2</v>
      </c>
      <c r="D270">
        <v>5.4339162642411759E-2</v>
      </c>
      <c r="E270">
        <v>52.956067016375229</v>
      </c>
      <c r="F270">
        <v>1.3494891898313099E-2</v>
      </c>
      <c r="G270">
        <v>0.8</v>
      </c>
      <c r="H270">
        <v>-0.19611034826908821</v>
      </c>
      <c r="I270">
        <v>0.67056594059092089</v>
      </c>
      <c r="J270">
        <v>0</v>
      </c>
      <c r="K270">
        <v>3.9779651928045563E-2</v>
      </c>
      <c r="L270">
        <v>0</v>
      </c>
      <c r="M270">
        <v>449179642</v>
      </c>
      <c r="N270">
        <v>0</v>
      </c>
      <c r="O270" t="b">
        <v>1</v>
      </c>
    </row>
    <row r="271" spans="1:15" x14ac:dyDescent="0.3">
      <c r="A271" s="1" t="s">
        <v>375</v>
      </c>
      <c r="B271">
        <v>1.3333503563534399</v>
      </c>
      <c r="C271">
        <v>3.7697211092831223E-2</v>
      </c>
      <c r="D271">
        <v>8.2838563754594488E-2</v>
      </c>
      <c r="E271">
        <v>56.700061749515491</v>
      </c>
      <c r="F271">
        <v>4.6140195208518087E-2</v>
      </c>
      <c r="G271">
        <v>0.8</v>
      </c>
      <c r="H271">
        <v>-3.5651157071046873E-2</v>
      </c>
      <c r="I271">
        <v>-0.21045970313686449</v>
      </c>
      <c r="J271">
        <v>0</v>
      </c>
      <c r="K271">
        <v>1.5212399540757589E-2</v>
      </c>
      <c r="L271">
        <v>0</v>
      </c>
      <c r="M271">
        <v>211233288.5</v>
      </c>
      <c r="N271">
        <v>0</v>
      </c>
      <c r="O271" t="b">
        <v>1</v>
      </c>
    </row>
    <row r="272" spans="1:15" x14ac:dyDescent="0.3">
      <c r="A272" s="1" t="s">
        <v>376</v>
      </c>
      <c r="B272">
        <v>1.282632397784254</v>
      </c>
      <c r="C272">
        <v>4.8401222557896369E-2</v>
      </c>
      <c r="D272">
        <v>9.8867924528301926E-2</v>
      </c>
      <c r="E272">
        <v>77.415225346062769</v>
      </c>
      <c r="F272">
        <v>0.24647224835371581</v>
      </c>
      <c r="G272">
        <v>0.8</v>
      </c>
      <c r="H272">
        <v>4.389088343522568E-2</v>
      </c>
      <c r="I272">
        <v>2.7723246392084162</v>
      </c>
      <c r="J272">
        <v>0</v>
      </c>
      <c r="K272">
        <v>9.0983944009880746E-2</v>
      </c>
      <c r="L272">
        <v>0</v>
      </c>
      <c r="M272">
        <v>67331228</v>
      </c>
      <c r="N272">
        <v>0</v>
      </c>
      <c r="O272" t="b">
        <v>0</v>
      </c>
    </row>
    <row r="273" spans="1:15" x14ac:dyDescent="0.3">
      <c r="A273" s="1" t="s">
        <v>377</v>
      </c>
      <c r="B273">
        <v>6.9234715962948563</v>
      </c>
      <c r="C273">
        <v>2.651035796422458E-2</v>
      </c>
      <c r="D273">
        <v>1.104299646578148E-2</v>
      </c>
      <c r="E273">
        <v>40.146856707453949</v>
      </c>
      <c r="F273">
        <v>2.2913231313966161E-2</v>
      </c>
      <c r="G273">
        <v>0</v>
      </c>
      <c r="H273">
        <v>-9.4369260848446185E-2</v>
      </c>
      <c r="I273">
        <v>0.64835364490131242</v>
      </c>
      <c r="J273">
        <v>-5.1286149688134608E-2</v>
      </c>
      <c r="K273">
        <v>-4.2101878892031319E-4</v>
      </c>
      <c r="L273">
        <v>0</v>
      </c>
      <c r="M273">
        <v>492032493.69500011</v>
      </c>
      <c r="N273">
        <v>0</v>
      </c>
      <c r="O273" t="b">
        <v>1</v>
      </c>
    </row>
    <row r="274" spans="1:15" x14ac:dyDescent="0.3">
      <c r="A274" s="1" t="s">
        <v>378</v>
      </c>
      <c r="B274">
        <v>1.6918533737269279</v>
      </c>
      <c r="C274">
        <v>2.627509510369511E-2</v>
      </c>
      <c r="D274">
        <v>2.05000776518094E-2</v>
      </c>
      <c r="E274">
        <v>63.573191511068728</v>
      </c>
      <c r="F274">
        <v>1.2899166273399491E-2</v>
      </c>
      <c r="G274">
        <v>0.6</v>
      </c>
      <c r="H274">
        <v>0.16841863494010309</v>
      </c>
      <c r="I274">
        <v>0.63849229508463601</v>
      </c>
      <c r="J274">
        <v>-1.552795031056764E-4</v>
      </c>
      <c r="K274">
        <v>1.2580594433087009E-2</v>
      </c>
      <c r="L274">
        <v>0</v>
      </c>
      <c r="M274">
        <v>14638583.0824</v>
      </c>
      <c r="N274">
        <v>0</v>
      </c>
      <c r="O274" t="b">
        <v>0</v>
      </c>
    </row>
    <row r="275" spans="1:15" x14ac:dyDescent="0.3">
      <c r="A275" s="1" t="s">
        <v>379</v>
      </c>
      <c r="B275">
        <v>1.2147382775125111</v>
      </c>
      <c r="C275">
        <v>1.600633377975166E-2</v>
      </c>
      <c r="D275">
        <v>1.7988934143792899E-2</v>
      </c>
      <c r="E275">
        <v>58.812183872673408</v>
      </c>
      <c r="F275">
        <v>-8.2096935021622741E-3</v>
      </c>
      <c r="G275">
        <v>1</v>
      </c>
      <c r="H275">
        <v>-8.0799952452992194E-2</v>
      </c>
      <c r="I275">
        <v>1.1971499293255501</v>
      </c>
      <c r="J275">
        <v>-9.8879306970737213E-3</v>
      </c>
      <c r="K275">
        <v>6.0822750996587516E-3</v>
      </c>
      <c r="L275">
        <v>0</v>
      </c>
      <c r="M275">
        <v>56410665.882599987</v>
      </c>
      <c r="N275">
        <v>0</v>
      </c>
      <c r="O275" t="b">
        <v>0</v>
      </c>
    </row>
    <row r="276" spans="1:15" x14ac:dyDescent="0.3">
      <c r="A276" s="1" t="s">
        <v>380</v>
      </c>
      <c r="B276">
        <v>10.37197186488268</v>
      </c>
      <c r="C276">
        <v>4.6752183298997871E-2</v>
      </c>
      <c r="D276">
        <v>5.3594771241830132E-2</v>
      </c>
      <c r="E276">
        <v>69.182173460178632</v>
      </c>
      <c r="F276">
        <v>6.2805403851681429E-2</v>
      </c>
      <c r="G276">
        <v>1</v>
      </c>
      <c r="H276">
        <v>0.3113810624145828</v>
      </c>
      <c r="I276">
        <v>2.5958882348565511</v>
      </c>
      <c r="J276">
        <v>0</v>
      </c>
      <c r="K276">
        <v>3.4989503149055252E-2</v>
      </c>
      <c r="L276">
        <v>0</v>
      </c>
      <c r="M276">
        <v>201503417.5</v>
      </c>
      <c r="N276">
        <v>0</v>
      </c>
      <c r="O276" t="b">
        <v>1</v>
      </c>
    </row>
    <row r="277" spans="1:15" x14ac:dyDescent="0.3">
      <c r="A277" s="1" t="s">
        <v>381</v>
      </c>
      <c r="B277">
        <v>1.9956926796722101</v>
      </c>
      <c r="C277">
        <v>0.1079920281207906</v>
      </c>
      <c r="D277">
        <v>7.4675324675324617E-2</v>
      </c>
      <c r="E277">
        <v>51.297523199467847</v>
      </c>
      <c r="F277">
        <v>-5.9541984732824349E-2</v>
      </c>
      <c r="G277">
        <v>0.6</v>
      </c>
      <c r="H277">
        <v>0.1571365136868686</v>
      </c>
      <c r="I277">
        <v>4.7523418624738278</v>
      </c>
      <c r="J277">
        <v>-9.1891891891891953E-2</v>
      </c>
      <c r="K277">
        <v>-5.5214723926380271E-2</v>
      </c>
      <c r="L277">
        <v>0</v>
      </c>
      <c r="M277">
        <v>97986147.5</v>
      </c>
      <c r="N277">
        <v>0</v>
      </c>
      <c r="O277" t="b">
        <v>1</v>
      </c>
    </row>
    <row r="278" spans="1:15" x14ac:dyDescent="0.3">
      <c r="A278" s="1" t="s">
        <v>382</v>
      </c>
      <c r="B278">
        <v>3.4717048875539822</v>
      </c>
      <c r="C278">
        <v>2.4039780407533719E-2</v>
      </c>
      <c r="D278">
        <v>2.4623480940345419E-2</v>
      </c>
      <c r="E278">
        <v>46.787443726907959</v>
      </c>
      <c r="F278">
        <v>-4.4235898318321087E-2</v>
      </c>
      <c r="G278">
        <v>0.6</v>
      </c>
      <c r="H278">
        <v>-0.24794106809764699</v>
      </c>
      <c r="I278">
        <v>1.1035258058823849</v>
      </c>
      <c r="J278">
        <v>-4.8762333847106487E-2</v>
      </c>
      <c r="K278">
        <v>2.4808577977419422E-2</v>
      </c>
      <c r="L278">
        <v>0</v>
      </c>
      <c r="M278">
        <v>16149828.2345</v>
      </c>
      <c r="N278">
        <v>0</v>
      </c>
      <c r="O278" t="b">
        <v>0</v>
      </c>
    </row>
    <row r="279" spans="1:15" x14ac:dyDescent="0.3">
      <c r="A279" s="1" t="s">
        <v>383</v>
      </c>
      <c r="B279">
        <v>2.6332998106751329</v>
      </c>
      <c r="C279">
        <v>1.6277645423091059E-2</v>
      </c>
      <c r="D279">
        <v>1.709792673730013E-2</v>
      </c>
      <c r="E279">
        <v>49.829737700068087</v>
      </c>
      <c r="F279">
        <v>-2.2720270637629492E-2</v>
      </c>
      <c r="G279">
        <v>0.6</v>
      </c>
      <c r="H279">
        <v>-3.105080690666845E-3</v>
      </c>
      <c r="I279">
        <v>0.25761657625515422</v>
      </c>
      <c r="J279">
        <v>-3.4784372688002718E-2</v>
      </c>
      <c r="K279">
        <v>6.9965764083410598E-3</v>
      </c>
      <c r="L279">
        <v>0</v>
      </c>
      <c r="M279">
        <v>81688218.143999994</v>
      </c>
      <c r="N279">
        <v>0</v>
      </c>
      <c r="O279" t="b">
        <v>0</v>
      </c>
    </row>
    <row r="280" spans="1:15" x14ac:dyDescent="0.3">
      <c r="A280" s="1" t="s">
        <v>384</v>
      </c>
      <c r="B280">
        <v>1.463368697435427</v>
      </c>
      <c r="C280">
        <v>1.8934288790120778E-2</v>
      </c>
      <c r="D280">
        <v>1.9418606306130268E-2</v>
      </c>
      <c r="E280">
        <v>47.100365908466692</v>
      </c>
      <c r="F280">
        <v>-9.0483175283746498E-3</v>
      </c>
      <c r="G280">
        <v>0.6</v>
      </c>
      <c r="H280">
        <v>-0.11291539926708111</v>
      </c>
      <c r="I280">
        <v>-0.43694706436405573</v>
      </c>
      <c r="J280">
        <v>-3.9169590265224929E-2</v>
      </c>
      <c r="K280">
        <v>1.0131810250746611E-2</v>
      </c>
      <c r="L280">
        <v>0</v>
      </c>
      <c r="M280">
        <v>450036056.72474998</v>
      </c>
      <c r="N280">
        <v>0</v>
      </c>
      <c r="O280" t="b">
        <v>1</v>
      </c>
    </row>
    <row r="281" spans="1:15" x14ac:dyDescent="0.3">
      <c r="A281" s="1" t="s">
        <v>385</v>
      </c>
      <c r="B281">
        <v>0.61055020391854486</v>
      </c>
      <c r="C281">
        <v>4.8074819206184637E-2</v>
      </c>
      <c r="D281">
        <v>3.7007874015747941E-2</v>
      </c>
      <c r="E281">
        <v>56.224417802806151</v>
      </c>
      <c r="F281">
        <v>0.23062015503875971</v>
      </c>
      <c r="G281">
        <v>0.6</v>
      </c>
      <c r="H281">
        <v>3.526340208769381E-2</v>
      </c>
      <c r="I281">
        <v>3.3656793388375248</v>
      </c>
      <c r="J281">
        <v>-2.6073619631901801E-2</v>
      </c>
      <c r="K281">
        <v>2.5020177562550261E-2</v>
      </c>
      <c r="L281">
        <v>0</v>
      </c>
      <c r="M281">
        <v>208736872.5</v>
      </c>
      <c r="N281">
        <v>0</v>
      </c>
      <c r="O281" t="b">
        <v>1</v>
      </c>
    </row>
    <row r="282" spans="1:15" x14ac:dyDescent="0.3">
      <c r="A282" s="1" t="s">
        <v>386</v>
      </c>
      <c r="B282">
        <v>5.9496226031358743</v>
      </c>
      <c r="C282">
        <v>2.4915710888797162E-2</v>
      </c>
      <c r="D282">
        <v>2.1608945098203429E-2</v>
      </c>
      <c r="E282">
        <v>64.921125534037955</v>
      </c>
      <c r="F282">
        <v>0.15346343348468741</v>
      </c>
      <c r="G282">
        <v>0.6</v>
      </c>
      <c r="H282">
        <v>-2.4993852166277999E-2</v>
      </c>
      <c r="I282">
        <v>0.53369075861038429</v>
      </c>
      <c r="J282">
        <v>-3.1726153203924801E-3</v>
      </c>
      <c r="K282">
        <v>6.4910432033720156E-3</v>
      </c>
      <c r="L282">
        <v>0</v>
      </c>
      <c r="M282">
        <v>85774050</v>
      </c>
      <c r="N282">
        <v>0</v>
      </c>
      <c r="O282" t="b">
        <v>0</v>
      </c>
    </row>
    <row r="283" spans="1:15" x14ac:dyDescent="0.3">
      <c r="A283" s="1" t="s">
        <v>387</v>
      </c>
      <c r="B283">
        <v>22.04506830793488</v>
      </c>
      <c r="C283">
        <v>6.3227982297753921E-2</v>
      </c>
      <c r="D283">
        <v>5.6186542763723903E-2</v>
      </c>
      <c r="E283">
        <v>59.865905822418213</v>
      </c>
      <c r="F283">
        <v>1.1752415774353601E-2</v>
      </c>
      <c r="G283">
        <v>1</v>
      </c>
      <c r="H283">
        <v>0.13767878200059111</v>
      </c>
      <c r="I283">
        <v>3.6275458062566308</v>
      </c>
      <c r="J283">
        <v>0</v>
      </c>
      <c r="K283">
        <v>1.9384264538198529E-2</v>
      </c>
      <c r="L283">
        <v>0</v>
      </c>
      <c r="M283">
        <v>524120906.5</v>
      </c>
      <c r="N283">
        <v>0</v>
      </c>
      <c r="O283" t="b">
        <v>1</v>
      </c>
    </row>
    <row r="284" spans="1:15" x14ac:dyDescent="0.3">
      <c r="A284" s="1" t="s">
        <v>388</v>
      </c>
      <c r="B284">
        <v>2.3903121152967648</v>
      </c>
      <c r="C284">
        <v>2.3573795233554889E-2</v>
      </c>
      <c r="D284">
        <v>1.7071510991449539E-2</v>
      </c>
      <c r="E284">
        <v>39.272970486092809</v>
      </c>
      <c r="F284">
        <v>-2.0725688844248299E-2</v>
      </c>
      <c r="G284">
        <v>0.4</v>
      </c>
      <c r="H284">
        <v>-0.21633353272786729</v>
      </c>
      <c r="I284">
        <v>1.781593894606711E-2</v>
      </c>
      <c r="J284">
        <v>-5.0216377226999342E-2</v>
      </c>
      <c r="K284">
        <v>1.0846484363317369E-2</v>
      </c>
      <c r="L284">
        <v>0</v>
      </c>
      <c r="M284">
        <v>204761629.62149999</v>
      </c>
      <c r="N284">
        <v>0</v>
      </c>
      <c r="O284" t="b">
        <v>1</v>
      </c>
    </row>
    <row r="285" spans="1:15" x14ac:dyDescent="0.3">
      <c r="A285" s="1" t="s">
        <v>389</v>
      </c>
      <c r="B285">
        <v>1.4050421173138401</v>
      </c>
      <c r="C285">
        <v>1.5310473110099599E-2</v>
      </c>
      <c r="D285">
        <v>1.9069412662090009E-2</v>
      </c>
      <c r="E285">
        <v>72.038975520886368</v>
      </c>
      <c r="F285">
        <v>7.0953436807095427E-2</v>
      </c>
      <c r="G285">
        <v>0.8</v>
      </c>
      <c r="H285">
        <v>0.14738992914118909</v>
      </c>
      <c r="I285">
        <v>0.50674219578096491</v>
      </c>
      <c r="J285">
        <v>0</v>
      </c>
      <c r="K285">
        <v>1.4145209415405089E-2</v>
      </c>
      <c r="L285">
        <v>0</v>
      </c>
      <c r="M285">
        <v>64787244.5</v>
      </c>
      <c r="N285">
        <v>0</v>
      </c>
      <c r="O285" t="b">
        <v>0</v>
      </c>
    </row>
    <row r="286" spans="1:15" x14ac:dyDescent="0.3">
      <c r="A286" s="1" t="s">
        <v>390</v>
      </c>
      <c r="B286">
        <v>1.9655796136070509</v>
      </c>
      <c r="C286">
        <v>2.8320514051002971E-2</v>
      </c>
      <c r="D286">
        <v>5.2466111853935037E-2</v>
      </c>
      <c r="E286">
        <v>73.307775630410418</v>
      </c>
      <c r="F286">
        <v>0.16474067013267721</v>
      </c>
      <c r="G286">
        <v>0.4</v>
      </c>
      <c r="H286">
        <v>0.1027951990871231</v>
      </c>
      <c r="I286">
        <v>1.602937141576974</v>
      </c>
      <c r="J286">
        <v>0</v>
      </c>
      <c r="K286">
        <v>5.1224728427149202E-2</v>
      </c>
      <c r="L286">
        <v>0</v>
      </c>
      <c r="M286">
        <v>51916281.165650003</v>
      </c>
      <c r="N286">
        <v>0</v>
      </c>
      <c r="O286" t="b">
        <v>0</v>
      </c>
    </row>
    <row r="287" spans="1:15" x14ac:dyDescent="0.3">
      <c r="A287" s="1" t="s">
        <v>391</v>
      </c>
      <c r="B287">
        <v>0.62893859151422704</v>
      </c>
      <c r="C287">
        <v>2.4617244380897151E-2</v>
      </c>
      <c r="D287">
        <v>3.3719915299017147E-2</v>
      </c>
      <c r="E287">
        <v>51.360507405037701</v>
      </c>
      <c r="F287">
        <v>1.6964872126579818E-2</v>
      </c>
      <c r="G287">
        <v>0.6</v>
      </c>
      <c r="H287">
        <v>-0.23109685149324399</v>
      </c>
      <c r="I287">
        <v>0.43636027152376422</v>
      </c>
      <c r="J287">
        <v>-1.3940617293003889E-2</v>
      </c>
      <c r="K287">
        <v>2.948796989148517E-2</v>
      </c>
      <c r="L287">
        <v>0</v>
      </c>
      <c r="M287">
        <v>775701117.33279991</v>
      </c>
      <c r="N287">
        <v>0</v>
      </c>
      <c r="O287" t="b">
        <v>1</v>
      </c>
    </row>
    <row r="288" spans="1:15" x14ac:dyDescent="0.3">
      <c r="A288" s="1" t="s">
        <v>392</v>
      </c>
      <c r="B288">
        <v>5.1427472918853052</v>
      </c>
      <c r="C288">
        <v>1.939868767402457E-2</v>
      </c>
      <c r="D288">
        <v>2.271527075757801E-2</v>
      </c>
      <c r="E288">
        <v>37.648114545516769</v>
      </c>
      <c r="F288">
        <v>-3.949160893887127E-2</v>
      </c>
      <c r="G288">
        <v>0</v>
      </c>
      <c r="H288">
        <v>-3.5794267272041679E-2</v>
      </c>
      <c r="I288">
        <v>-0.19859408618726199</v>
      </c>
      <c r="J288">
        <v>-6.5639406200217132E-2</v>
      </c>
      <c r="K288">
        <v>-1.402856292770005E-2</v>
      </c>
      <c r="L288">
        <v>0</v>
      </c>
      <c r="M288">
        <v>511677897.2385</v>
      </c>
      <c r="N288">
        <v>0</v>
      </c>
      <c r="O288" t="b">
        <v>1</v>
      </c>
    </row>
    <row r="289" spans="1:15" x14ac:dyDescent="0.3">
      <c r="A289" s="1" t="s">
        <v>393</v>
      </c>
      <c r="B289">
        <v>1.015265615252043</v>
      </c>
      <c r="C289">
        <v>2.9913541993283541E-2</v>
      </c>
      <c r="D289">
        <v>1.7972893341190319E-2</v>
      </c>
      <c r="E289">
        <v>50.765775442266872</v>
      </c>
      <c r="F289">
        <v>0.113517060367454</v>
      </c>
      <c r="G289">
        <v>0.6</v>
      </c>
      <c r="H289">
        <v>-8.7354201124511421E-2</v>
      </c>
      <c r="I289">
        <v>1.430203196290035</v>
      </c>
      <c r="J289">
        <v>-1.680185399768264E-2</v>
      </c>
      <c r="K289">
        <v>6.2259116513490032E-3</v>
      </c>
      <c r="L289">
        <v>0</v>
      </c>
      <c r="M289">
        <v>645138700.5</v>
      </c>
      <c r="N289">
        <v>0</v>
      </c>
      <c r="O289" t="b">
        <v>1</v>
      </c>
    </row>
    <row r="290" spans="1:15" x14ac:dyDescent="0.3">
      <c r="A290" s="1" t="s">
        <v>394</v>
      </c>
      <c r="B290">
        <v>12.68501435117</v>
      </c>
      <c r="C290">
        <v>2.426486132828207E-2</v>
      </c>
      <c r="D290">
        <v>5.1894416888400817E-2</v>
      </c>
      <c r="E290">
        <v>72.420616352982208</v>
      </c>
      <c r="F290">
        <v>8.7655677198413828E-2</v>
      </c>
      <c r="G290">
        <v>0.4</v>
      </c>
      <c r="H290">
        <v>0.19283319297224369</v>
      </c>
      <c r="I290">
        <v>0.98669458785472774</v>
      </c>
      <c r="J290">
        <v>0</v>
      </c>
      <c r="K290">
        <v>4.8725736432864597E-2</v>
      </c>
      <c r="L290">
        <v>0</v>
      </c>
      <c r="M290">
        <v>300192311.94700003</v>
      </c>
      <c r="N290">
        <v>0</v>
      </c>
      <c r="O290" t="b">
        <v>1</v>
      </c>
    </row>
    <row r="291" spans="1:15" x14ac:dyDescent="0.3">
      <c r="A291" s="1" t="s">
        <v>395</v>
      </c>
      <c r="B291">
        <v>1.0776223392014961</v>
      </c>
      <c r="C291">
        <v>1.5507588706310209E-2</v>
      </c>
      <c r="D291">
        <v>9.7121888041445982E-3</v>
      </c>
      <c r="E291">
        <v>32.014831670395409</v>
      </c>
      <c r="F291">
        <v>-5.468515125173623E-2</v>
      </c>
      <c r="G291">
        <v>0</v>
      </c>
      <c r="H291">
        <v>-7.8177364166858498E-2</v>
      </c>
      <c r="I291">
        <v>-1.5842905245577191E-2</v>
      </c>
      <c r="J291">
        <v>-7.1978119570457744E-2</v>
      </c>
      <c r="K291">
        <v>-5.9636459348075821E-3</v>
      </c>
      <c r="L291">
        <v>0</v>
      </c>
      <c r="M291">
        <v>155620072.30485001</v>
      </c>
      <c r="N291">
        <v>0</v>
      </c>
      <c r="O291" t="b">
        <v>1</v>
      </c>
    </row>
    <row r="292" spans="1:15" x14ac:dyDescent="0.3">
      <c r="A292" s="1" t="s">
        <v>396</v>
      </c>
      <c r="B292">
        <v>0.67827584099593186</v>
      </c>
      <c r="C292">
        <v>1.58282618161012E-2</v>
      </c>
      <c r="D292">
        <v>1.3084509080047159E-2</v>
      </c>
      <c r="E292">
        <v>45.962070522654358</v>
      </c>
      <c r="F292">
        <v>4.4630090619712792E-3</v>
      </c>
      <c r="G292">
        <v>0.4</v>
      </c>
      <c r="H292">
        <v>-0.1151995929770359</v>
      </c>
      <c r="I292">
        <v>-8.7343611672598548E-2</v>
      </c>
      <c r="J292">
        <v>-3.9207728992015863E-2</v>
      </c>
      <c r="K292">
        <v>9.4033401644171288E-3</v>
      </c>
      <c r="L292">
        <v>0</v>
      </c>
      <c r="M292">
        <v>16819488.173</v>
      </c>
      <c r="N292">
        <v>0</v>
      </c>
      <c r="O292" t="b">
        <v>0</v>
      </c>
    </row>
    <row r="293" spans="1:15" x14ac:dyDescent="0.3">
      <c r="A293" s="1" t="s">
        <v>397</v>
      </c>
      <c r="B293">
        <v>1.3645456132502409</v>
      </c>
      <c r="C293">
        <v>3.5286930779680391E-2</v>
      </c>
      <c r="D293">
        <v>4.1375743470390518E-2</v>
      </c>
      <c r="E293">
        <v>56.642784635287249</v>
      </c>
      <c r="F293">
        <v>0.129051094890511</v>
      </c>
      <c r="G293">
        <v>0.6</v>
      </c>
      <c r="H293">
        <v>5.4460835829488019E-2</v>
      </c>
      <c r="I293">
        <v>0.51571746126125095</v>
      </c>
      <c r="J293">
        <v>-2.4962178517397789E-2</v>
      </c>
      <c r="K293">
        <v>1.5493697478991649E-2</v>
      </c>
      <c r="L293">
        <v>0</v>
      </c>
      <c r="M293">
        <v>311703501</v>
      </c>
      <c r="N293">
        <v>0</v>
      </c>
      <c r="O293" t="b">
        <v>1</v>
      </c>
    </row>
    <row r="294" spans="1:15" x14ac:dyDescent="0.3">
      <c r="A294" s="1" t="s">
        <v>398</v>
      </c>
      <c r="B294">
        <v>0.31479637025994173</v>
      </c>
      <c r="C294">
        <v>3.2056656849281231E-2</v>
      </c>
      <c r="D294">
        <v>5.2953156822810543E-2</v>
      </c>
      <c r="E294">
        <v>51.816170792774209</v>
      </c>
      <c r="F294">
        <v>1.973001038421596E-2</v>
      </c>
      <c r="G294">
        <v>0.4</v>
      </c>
      <c r="H294">
        <v>-0.15017181656423839</v>
      </c>
      <c r="I294">
        <v>0.94338983813319555</v>
      </c>
      <c r="J294">
        <v>-4.9370764762826647E-2</v>
      </c>
      <c r="K294">
        <v>4.9145299145299193E-2</v>
      </c>
      <c r="L294">
        <v>0</v>
      </c>
      <c r="M294">
        <v>164095244.09445</v>
      </c>
      <c r="N294">
        <v>0</v>
      </c>
      <c r="O294" t="b">
        <v>1</v>
      </c>
    </row>
    <row r="295" spans="1:15" x14ac:dyDescent="0.3">
      <c r="A295" s="1" t="s">
        <v>399</v>
      </c>
      <c r="B295">
        <v>1.7883830825746789</v>
      </c>
      <c r="C295">
        <v>1.8193113759661029E-2</v>
      </c>
      <c r="D295">
        <v>1.7802644964394709E-2</v>
      </c>
      <c r="E295">
        <v>59.952788180861731</v>
      </c>
      <c r="F295">
        <v>4.010157655274571E-2</v>
      </c>
      <c r="G295">
        <v>0.4</v>
      </c>
      <c r="H295">
        <v>8.031896114461004E-4</v>
      </c>
      <c r="I295">
        <v>0.49189603348259109</v>
      </c>
      <c r="J295">
        <v>-3.345837980330502E-3</v>
      </c>
      <c r="K295">
        <v>6.038276532596587E-3</v>
      </c>
      <c r="L295">
        <v>0</v>
      </c>
      <c r="M295">
        <v>134081286.56625</v>
      </c>
      <c r="N295">
        <v>0</v>
      </c>
      <c r="O295" t="b">
        <v>1</v>
      </c>
    </row>
    <row r="296" spans="1:15" x14ac:dyDescent="0.3">
      <c r="A296" s="1" t="s">
        <v>400</v>
      </c>
      <c r="B296">
        <v>1.7816654807050041</v>
      </c>
      <c r="C296">
        <v>3.2276548563496453E-2</v>
      </c>
      <c r="D296">
        <v>6.9384057971014462E-2</v>
      </c>
      <c r="E296">
        <v>72.0137165116369</v>
      </c>
      <c r="F296">
        <v>8.5332284703106609E-2</v>
      </c>
      <c r="G296">
        <v>0.8</v>
      </c>
      <c r="H296">
        <v>6.1426139215098749E-2</v>
      </c>
      <c r="I296">
        <v>1.154901344804709</v>
      </c>
      <c r="J296">
        <v>0</v>
      </c>
      <c r="K296">
        <v>7.0597362296353827E-2</v>
      </c>
      <c r="L296">
        <v>0</v>
      </c>
      <c r="M296">
        <v>101184148</v>
      </c>
      <c r="N296">
        <v>0</v>
      </c>
      <c r="O296" t="b">
        <v>1</v>
      </c>
    </row>
    <row r="297" spans="1:15" x14ac:dyDescent="0.3">
      <c r="A297" s="1" t="s">
        <v>401</v>
      </c>
      <c r="B297">
        <v>0.58532875850762078</v>
      </c>
      <c r="C297">
        <v>1.5703237570762259E-2</v>
      </c>
      <c r="D297">
        <v>1.9208894039877269E-2</v>
      </c>
      <c r="E297">
        <v>31.269965082423401</v>
      </c>
      <c r="F297">
        <v>-4.5357455679798431E-2</v>
      </c>
      <c r="G297">
        <v>0.2</v>
      </c>
      <c r="H297">
        <v>-8.095903651927297E-2</v>
      </c>
      <c r="I297">
        <v>2.1393041756626209E-4</v>
      </c>
      <c r="J297">
        <v>-6.2531595268695006E-2</v>
      </c>
      <c r="K297">
        <v>-1.1863135207929591E-2</v>
      </c>
      <c r="L297">
        <v>0</v>
      </c>
      <c r="M297">
        <v>172809434.97154999</v>
      </c>
      <c r="N297">
        <v>0</v>
      </c>
      <c r="O297" t="b">
        <v>1</v>
      </c>
    </row>
    <row r="298" spans="1:15" x14ac:dyDescent="0.3">
      <c r="A298" s="1" t="s">
        <v>402</v>
      </c>
      <c r="B298">
        <v>0.7918838118031174</v>
      </c>
      <c r="C298">
        <v>2.3484098807921631E-2</v>
      </c>
      <c r="D298">
        <v>2.4911032028469851E-2</v>
      </c>
      <c r="E298">
        <v>54.903728270177048</v>
      </c>
      <c r="F298">
        <v>5.4079399812441357E-2</v>
      </c>
      <c r="G298">
        <v>0.4</v>
      </c>
      <c r="H298">
        <v>3.7507366949837528E-2</v>
      </c>
      <c r="I298">
        <v>0.48369868873667282</v>
      </c>
      <c r="J298">
        <v>-2.7120600115406731E-2</v>
      </c>
      <c r="K298">
        <v>-2.9647198339755038E-4</v>
      </c>
      <c r="L298">
        <v>0</v>
      </c>
      <c r="M298">
        <v>175933572.5</v>
      </c>
      <c r="N298">
        <v>0</v>
      </c>
      <c r="O298" t="b">
        <v>1</v>
      </c>
    </row>
    <row r="299" spans="1:15" x14ac:dyDescent="0.3">
      <c r="A299" s="1" t="s">
        <v>403</v>
      </c>
      <c r="B299">
        <v>5.7447340940254286</v>
      </c>
      <c r="C299">
        <v>2.42543258464093E-2</v>
      </c>
      <c r="D299">
        <v>3.9239362645342737E-2</v>
      </c>
      <c r="E299">
        <v>74.105576115544537</v>
      </c>
      <c r="F299">
        <v>8.306811530582392E-2</v>
      </c>
      <c r="G299">
        <v>0.8</v>
      </c>
      <c r="H299">
        <v>2.3609226197332401E-2</v>
      </c>
      <c r="I299">
        <v>1.2577352572897871</v>
      </c>
      <c r="J299">
        <v>0</v>
      </c>
      <c r="K299">
        <v>3.011351280824592E-2</v>
      </c>
      <c r="L299">
        <v>0</v>
      </c>
      <c r="M299">
        <v>713674848.46950006</v>
      </c>
      <c r="N299">
        <v>0</v>
      </c>
      <c r="O299" t="b">
        <v>1</v>
      </c>
    </row>
    <row r="300" spans="1:15" x14ac:dyDescent="0.3">
      <c r="A300" s="1" t="s">
        <v>404</v>
      </c>
      <c r="B300">
        <v>11.36829695157317</v>
      </c>
      <c r="C300">
        <v>5.7575573317666121E-2</v>
      </c>
      <c r="D300">
        <v>4.4315016459863257E-2</v>
      </c>
      <c r="E300">
        <v>78.303559686230869</v>
      </c>
      <c r="F300">
        <v>0.184321017274472</v>
      </c>
      <c r="G300">
        <v>1</v>
      </c>
      <c r="H300">
        <v>0.25706576872074871</v>
      </c>
      <c r="I300">
        <v>2.9343684027774808</v>
      </c>
      <c r="J300">
        <v>0</v>
      </c>
      <c r="K300">
        <v>2.449021947802632E-2</v>
      </c>
      <c r="L300">
        <v>0</v>
      </c>
      <c r="M300">
        <v>309670708</v>
      </c>
      <c r="N300">
        <v>0</v>
      </c>
      <c r="O300" t="b">
        <v>1</v>
      </c>
    </row>
    <row r="301" spans="1:15" x14ac:dyDescent="0.3">
      <c r="A301" s="1" t="s">
        <v>405</v>
      </c>
      <c r="B301">
        <v>15.70538790283975</v>
      </c>
      <c r="C301">
        <v>5.7091816870259757E-2</v>
      </c>
      <c r="D301">
        <v>3.1553309825875203E-2</v>
      </c>
      <c r="E301">
        <v>46.61478406647548</v>
      </c>
      <c r="F301">
        <v>-0.1347466423426541</v>
      </c>
      <c r="G301">
        <v>0.4</v>
      </c>
      <c r="H301">
        <v>-7.3175361783561974E-2</v>
      </c>
      <c r="I301">
        <v>3.5808132716562842</v>
      </c>
      <c r="J301">
        <v>-9.5128449722048702E-2</v>
      </c>
      <c r="K301">
        <v>-8.1843092010385199E-3</v>
      </c>
      <c r="L301">
        <v>0</v>
      </c>
      <c r="M301">
        <v>2603841487</v>
      </c>
      <c r="N301">
        <v>0</v>
      </c>
      <c r="O301" t="b">
        <v>1</v>
      </c>
    </row>
    <row r="302" spans="1:15" x14ac:dyDescent="0.3">
      <c r="A302" s="1" t="s">
        <v>406</v>
      </c>
      <c r="B302">
        <v>3.933323985264281</v>
      </c>
      <c r="C302">
        <v>2.4270938271026481E-2</v>
      </c>
      <c r="D302">
        <v>3.8066383230798563E-2</v>
      </c>
      <c r="E302">
        <v>64.266548283569932</v>
      </c>
      <c r="F302">
        <v>0.1158244799878818</v>
      </c>
      <c r="G302">
        <v>0.4</v>
      </c>
      <c r="H302">
        <v>0.1871400541569781</v>
      </c>
      <c r="I302">
        <v>-0.18891718226274001</v>
      </c>
      <c r="J302">
        <v>-3.4213349225268308E-2</v>
      </c>
      <c r="K302">
        <v>-5.5167589194762279E-3</v>
      </c>
      <c r="L302">
        <v>0</v>
      </c>
      <c r="M302">
        <v>58907452.123000003</v>
      </c>
      <c r="N302">
        <v>0</v>
      </c>
      <c r="O302" t="b">
        <v>0</v>
      </c>
    </row>
    <row r="303" spans="1:15" x14ac:dyDescent="0.3">
      <c r="A303" s="1" t="s">
        <v>407</v>
      </c>
      <c r="B303">
        <v>0.72916136107355622</v>
      </c>
      <c r="C303">
        <v>2.5416414919987598E-2</v>
      </c>
      <c r="D303">
        <v>4.6833934036516318E-2</v>
      </c>
      <c r="E303">
        <v>67.946219620660798</v>
      </c>
      <c r="F303">
        <v>8.5349152183288757E-2</v>
      </c>
      <c r="G303">
        <v>0.6</v>
      </c>
      <c r="H303">
        <v>6.4523163294736993E-2</v>
      </c>
      <c r="I303">
        <v>1.353732792189196</v>
      </c>
      <c r="J303">
        <v>0</v>
      </c>
      <c r="K303">
        <v>3.161520924579464E-2</v>
      </c>
      <c r="L303">
        <v>0</v>
      </c>
      <c r="M303">
        <v>53967391.2412</v>
      </c>
      <c r="N303">
        <v>0</v>
      </c>
      <c r="O303" t="b">
        <v>0</v>
      </c>
    </row>
    <row r="304" spans="1:15" x14ac:dyDescent="0.3">
      <c r="A304" s="1" t="s">
        <v>408</v>
      </c>
      <c r="B304">
        <v>2.7059157690893789</v>
      </c>
      <c r="C304">
        <v>3.3513943139576161E-2</v>
      </c>
      <c r="D304">
        <v>3.6413178102551368E-2</v>
      </c>
      <c r="E304">
        <v>65.504767046963991</v>
      </c>
      <c r="F304">
        <v>0.14168552036199089</v>
      </c>
      <c r="G304">
        <v>0.8</v>
      </c>
      <c r="H304">
        <v>0.1061444031314096</v>
      </c>
      <c r="I304">
        <v>0.80825435465171236</v>
      </c>
      <c r="J304">
        <v>-8.1081081081082473E-3</v>
      </c>
      <c r="K304">
        <v>2.8404024964972411E-2</v>
      </c>
      <c r="L304">
        <v>0</v>
      </c>
      <c r="M304">
        <v>161903867</v>
      </c>
      <c r="N304">
        <v>0</v>
      </c>
      <c r="O304" t="b">
        <v>1</v>
      </c>
    </row>
    <row r="305" spans="1:15" x14ac:dyDescent="0.3">
      <c r="A305" s="1" t="s">
        <v>409</v>
      </c>
      <c r="B305">
        <v>2.246410863173435</v>
      </c>
      <c r="C305">
        <v>2.338732321567305E-2</v>
      </c>
      <c r="D305">
        <v>4.1116056323364757E-2</v>
      </c>
      <c r="E305">
        <v>69.899160200604328</v>
      </c>
      <c r="F305">
        <v>0.1073125687369012</v>
      </c>
      <c r="G305">
        <v>0.8</v>
      </c>
      <c r="H305">
        <v>-3.5512692193459599E-3</v>
      </c>
      <c r="I305">
        <v>0.59724230001805512</v>
      </c>
      <c r="J305">
        <v>0</v>
      </c>
      <c r="K305">
        <v>3.6070047514521253E-2</v>
      </c>
      <c r="L305">
        <v>0</v>
      </c>
      <c r="M305">
        <v>638444915.00520003</v>
      </c>
      <c r="N305">
        <v>0</v>
      </c>
      <c r="O305" t="b">
        <v>1</v>
      </c>
    </row>
    <row r="306" spans="1:15" x14ac:dyDescent="0.3">
      <c r="A306" s="1" t="s">
        <v>410</v>
      </c>
      <c r="B306">
        <v>1.807910140844615</v>
      </c>
      <c r="C306">
        <v>2.702746145771092E-2</v>
      </c>
      <c r="D306">
        <v>2.62932864515125E-2</v>
      </c>
      <c r="E306">
        <v>67.179072917674929</v>
      </c>
      <c r="F306">
        <v>9.4835459446719339E-2</v>
      </c>
      <c r="G306">
        <v>0.4</v>
      </c>
      <c r="H306">
        <v>0.19375295704212489</v>
      </c>
      <c r="I306">
        <v>1.9587881485247389</v>
      </c>
      <c r="J306">
        <v>0</v>
      </c>
      <c r="K306">
        <v>2.3318998949015679E-2</v>
      </c>
      <c r="L306">
        <v>0</v>
      </c>
      <c r="M306">
        <v>58111598.757100001</v>
      </c>
      <c r="N306">
        <v>0</v>
      </c>
      <c r="O306" t="b">
        <v>0</v>
      </c>
    </row>
    <row r="307" spans="1:15" x14ac:dyDescent="0.3">
      <c r="A307" s="1" t="s">
        <v>411</v>
      </c>
      <c r="B307">
        <v>7.2041743998006798</v>
      </c>
      <c r="C307">
        <v>2.1175793631545051E-2</v>
      </c>
      <c r="D307">
        <v>1.24982363730424E-2</v>
      </c>
      <c r="E307">
        <v>42.653888664740087</v>
      </c>
      <c r="F307">
        <v>-6.3894185659372105E-2</v>
      </c>
      <c r="G307">
        <v>0.6</v>
      </c>
      <c r="H307">
        <v>7.1419416612906989E-2</v>
      </c>
      <c r="I307">
        <v>-0.12790631571675909</v>
      </c>
      <c r="J307">
        <v>-9.0620405763010892E-2</v>
      </c>
      <c r="K307">
        <v>1.037675891112344E-2</v>
      </c>
      <c r="L307">
        <v>0</v>
      </c>
      <c r="M307">
        <v>384015853.0205</v>
      </c>
      <c r="N307">
        <v>0</v>
      </c>
      <c r="O307" t="b">
        <v>1</v>
      </c>
    </row>
    <row r="308" spans="1:15" x14ac:dyDescent="0.3">
      <c r="A308" s="1" t="s">
        <v>412</v>
      </c>
      <c r="B308">
        <v>3.2365031357003362</v>
      </c>
      <c r="C308">
        <v>3.7938144832966071E-2</v>
      </c>
      <c r="D308">
        <v>3.833079357636849E-2</v>
      </c>
      <c r="E308">
        <v>64.425782190515747</v>
      </c>
      <c r="F308">
        <v>0.1300834547622203</v>
      </c>
      <c r="G308">
        <v>0.8</v>
      </c>
      <c r="H308">
        <v>6.4237236224103031E-2</v>
      </c>
      <c r="I308">
        <v>2.0081609113897718</v>
      </c>
      <c r="J308">
        <v>-9.2904424573220235E-3</v>
      </c>
      <c r="K308">
        <v>2.5977149729404569E-2</v>
      </c>
      <c r="L308">
        <v>0</v>
      </c>
      <c r="M308">
        <v>60532825.5</v>
      </c>
      <c r="N308">
        <v>0</v>
      </c>
      <c r="O308" t="b">
        <v>0</v>
      </c>
    </row>
    <row r="309" spans="1:15" x14ac:dyDescent="0.3">
      <c r="A309" s="1" t="s">
        <v>413</v>
      </c>
      <c r="B309">
        <v>15.2605662279238</v>
      </c>
      <c r="C309">
        <v>1.74524150317629E-2</v>
      </c>
      <c r="D309">
        <v>2.1145686805960601E-2</v>
      </c>
      <c r="E309">
        <v>34.514399124683152</v>
      </c>
      <c r="F309">
        <v>-4.4945170169076842E-2</v>
      </c>
      <c r="G309">
        <v>0.2</v>
      </c>
      <c r="H309">
        <v>-0.16564767969473529</v>
      </c>
      <c r="I309">
        <v>-1.270903684913382E-2</v>
      </c>
      <c r="J309">
        <v>-5.4773641198599073E-2</v>
      </c>
      <c r="K309">
        <v>-1.5791724821034751E-2</v>
      </c>
      <c r="L309">
        <v>0</v>
      </c>
      <c r="M309">
        <v>2035702498.632</v>
      </c>
      <c r="N309">
        <v>0</v>
      </c>
      <c r="O309" t="b">
        <v>1</v>
      </c>
    </row>
    <row r="310" spans="1:15" x14ac:dyDescent="0.3">
      <c r="A310" s="1" t="s">
        <v>414</v>
      </c>
      <c r="B310">
        <v>0.66761950151573868</v>
      </c>
      <c r="C310">
        <v>1.1056030403456129E-2</v>
      </c>
      <c r="D310">
        <v>1.6881647956201191E-2</v>
      </c>
      <c r="E310">
        <v>69.778575388681418</v>
      </c>
      <c r="F310">
        <v>5.1917261274318623E-2</v>
      </c>
      <c r="G310">
        <v>0.6</v>
      </c>
      <c r="H310">
        <v>2.164285110427314E-2</v>
      </c>
      <c r="I310">
        <v>0.70996506324906405</v>
      </c>
      <c r="J310">
        <v>0</v>
      </c>
      <c r="K310">
        <v>1.4255144751782019E-2</v>
      </c>
      <c r="L310">
        <v>0</v>
      </c>
      <c r="M310">
        <v>121272446.2142</v>
      </c>
      <c r="N310">
        <v>0</v>
      </c>
      <c r="O310" t="b">
        <v>1</v>
      </c>
    </row>
    <row r="311" spans="1:15" x14ac:dyDescent="0.3">
      <c r="A311" s="1" t="s">
        <v>415</v>
      </c>
      <c r="B311">
        <v>1.462566400111587</v>
      </c>
      <c r="C311">
        <v>1.9526921229794211E-2</v>
      </c>
      <c r="D311">
        <v>2.81708945260347E-2</v>
      </c>
      <c r="E311">
        <v>61.772908616852327</v>
      </c>
      <c r="F311">
        <v>5.4929577464788881E-2</v>
      </c>
      <c r="G311">
        <v>0.6</v>
      </c>
      <c r="H311">
        <v>-7.3027093807675983E-2</v>
      </c>
      <c r="I311">
        <v>0.59074330057422175</v>
      </c>
      <c r="J311">
        <v>0</v>
      </c>
      <c r="K311">
        <v>2.490421455938718E-2</v>
      </c>
      <c r="L311">
        <v>0</v>
      </c>
      <c r="M311">
        <v>210745875.5</v>
      </c>
      <c r="N311">
        <v>0</v>
      </c>
      <c r="O311" t="b">
        <v>1</v>
      </c>
    </row>
    <row r="312" spans="1:15" x14ac:dyDescent="0.3">
      <c r="A312" s="1" t="s">
        <v>416</v>
      </c>
      <c r="B312">
        <v>8.3236709109035001</v>
      </c>
      <c r="C312">
        <v>2.671525150336522E-2</v>
      </c>
      <c r="D312">
        <v>4.4035048303752052E-2</v>
      </c>
      <c r="E312">
        <v>65.054567141090132</v>
      </c>
      <c r="F312">
        <v>0.10847445567098329</v>
      </c>
      <c r="G312">
        <v>0.4</v>
      </c>
      <c r="H312">
        <v>-3.4151662008163462E-2</v>
      </c>
      <c r="I312">
        <v>0.91927550106919753</v>
      </c>
      <c r="J312">
        <v>0</v>
      </c>
      <c r="K312">
        <v>3.7598241641135122E-2</v>
      </c>
      <c r="L312">
        <v>0</v>
      </c>
      <c r="M312">
        <v>148848950.5</v>
      </c>
      <c r="N312">
        <v>0</v>
      </c>
      <c r="O312" t="b">
        <v>1</v>
      </c>
    </row>
    <row r="313" spans="1:15" x14ac:dyDescent="0.3">
      <c r="A313" s="1" t="s">
        <v>417</v>
      </c>
      <c r="B313">
        <v>0.81181558977232016</v>
      </c>
      <c r="C313">
        <v>2.9242497335241979E-2</v>
      </c>
      <c r="D313">
        <v>2.590277902851074E-2</v>
      </c>
      <c r="E313">
        <v>32.419645292736931</v>
      </c>
      <c r="F313">
        <v>-8.028517570043292E-2</v>
      </c>
      <c r="G313">
        <v>0.4</v>
      </c>
      <c r="H313">
        <v>-0.1672248541826547</v>
      </c>
      <c r="I313">
        <v>-0.31561348889816188</v>
      </c>
      <c r="J313">
        <v>-0.1099173447729707</v>
      </c>
      <c r="K313">
        <v>-1.0186400068455949E-2</v>
      </c>
      <c r="L313">
        <v>0</v>
      </c>
      <c r="M313">
        <v>144551724.34369999</v>
      </c>
      <c r="N313">
        <v>0</v>
      </c>
      <c r="O313" t="b">
        <v>1</v>
      </c>
    </row>
    <row r="314" spans="1:15" x14ac:dyDescent="0.3">
      <c r="A314" s="1" t="s">
        <v>418</v>
      </c>
      <c r="B314">
        <v>0.81364394783563132</v>
      </c>
      <c r="C314">
        <v>3.122194734595669E-2</v>
      </c>
      <c r="D314">
        <v>4.4896392939370623E-2</v>
      </c>
      <c r="E314">
        <v>31.09880863277029</v>
      </c>
      <c r="F314">
        <v>-9.8893499308437161E-2</v>
      </c>
      <c r="G314">
        <v>0.6</v>
      </c>
      <c r="H314">
        <v>-0.27426777745961872</v>
      </c>
      <c r="I314">
        <v>1.0061588832877599</v>
      </c>
      <c r="J314">
        <v>-9.6080471730835892E-2</v>
      </c>
      <c r="K314">
        <v>-3.2305978462681018E-2</v>
      </c>
      <c r="L314">
        <v>0</v>
      </c>
      <c r="M314">
        <v>209942312</v>
      </c>
      <c r="N314">
        <v>0</v>
      </c>
      <c r="O314" t="b">
        <v>1</v>
      </c>
    </row>
    <row r="315" spans="1:15" x14ac:dyDescent="0.3">
      <c r="A315" s="1" t="s">
        <v>419</v>
      </c>
      <c r="B315">
        <v>0.8184520240371862</v>
      </c>
      <c r="C315">
        <v>2.0884205767726111E-2</v>
      </c>
      <c r="D315">
        <v>2.3730543505996422E-2</v>
      </c>
      <c r="E315">
        <v>38.185186487279111</v>
      </c>
      <c r="F315">
        <v>-5.3610239072687693E-2</v>
      </c>
      <c r="G315">
        <v>0.4</v>
      </c>
      <c r="H315">
        <v>-0.27904888982710518</v>
      </c>
      <c r="I315">
        <v>0.16964970848089281</v>
      </c>
      <c r="J315">
        <v>-5.838539163863532E-2</v>
      </c>
      <c r="K315">
        <v>1.951092611862637E-2</v>
      </c>
      <c r="L315">
        <v>0</v>
      </c>
      <c r="M315">
        <v>273858398</v>
      </c>
      <c r="N315">
        <v>0</v>
      </c>
      <c r="O315" t="b">
        <v>1</v>
      </c>
    </row>
    <row r="316" spans="1:15" x14ac:dyDescent="0.3">
      <c r="A316" s="1" t="s">
        <v>420</v>
      </c>
      <c r="B316">
        <v>1.701269322706525</v>
      </c>
      <c r="C316">
        <v>1.666228536582201E-2</v>
      </c>
      <c r="D316">
        <v>2.016591089390123E-2</v>
      </c>
      <c r="E316">
        <v>47.495207378090242</v>
      </c>
      <c r="F316">
        <v>7.1315841388834844E-3</v>
      </c>
      <c r="G316">
        <v>0.2</v>
      </c>
      <c r="H316">
        <v>-0.13294947382310321</v>
      </c>
      <c r="I316">
        <v>0.1345982291685579</v>
      </c>
      <c r="J316">
        <v>-3.0185883492748089E-2</v>
      </c>
      <c r="K316">
        <v>1.416410898219045E-2</v>
      </c>
      <c r="L316">
        <v>0</v>
      </c>
      <c r="M316">
        <v>97875345.400000006</v>
      </c>
      <c r="N316">
        <v>0</v>
      </c>
      <c r="O316" t="b">
        <v>1</v>
      </c>
    </row>
    <row r="317" spans="1:15" x14ac:dyDescent="0.3">
      <c r="A317" s="1" t="s">
        <v>421</v>
      </c>
      <c r="B317">
        <v>1.294127721890711</v>
      </c>
      <c r="C317">
        <v>2.4602440265898969E-2</v>
      </c>
      <c r="D317">
        <v>2.5856627935271981E-2</v>
      </c>
      <c r="E317">
        <v>49.298272869216198</v>
      </c>
      <c r="F317">
        <v>3.2900614812444003E-2</v>
      </c>
      <c r="G317">
        <v>0.2</v>
      </c>
      <c r="H317">
        <v>-2.1490716035667271E-2</v>
      </c>
      <c r="I317">
        <v>0.14681869621966701</v>
      </c>
      <c r="J317">
        <v>-4.4404760390873932E-2</v>
      </c>
      <c r="K317">
        <v>-2.091383559298066E-2</v>
      </c>
      <c r="L317">
        <v>0</v>
      </c>
      <c r="M317">
        <v>7334247.9990999997</v>
      </c>
      <c r="N317">
        <v>0</v>
      </c>
      <c r="O317" t="b">
        <v>0</v>
      </c>
    </row>
    <row r="318" spans="1:15" x14ac:dyDescent="0.3">
      <c r="A318" s="1" t="s">
        <v>422</v>
      </c>
      <c r="B318">
        <v>4.5056698568848184</v>
      </c>
      <c r="C318">
        <v>2.3707563492543191E-2</v>
      </c>
      <c r="D318">
        <v>3.0796834550544109E-2</v>
      </c>
      <c r="E318">
        <v>60.266104361015877</v>
      </c>
      <c r="F318">
        <v>1.4174083031672779E-3</v>
      </c>
      <c r="G318">
        <v>0.4</v>
      </c>
      <c r="H318">
        <v>-2.930929953759941E-2</v>
      </c>
      <c r="I318">
        <v>1.128581053512431</v>
      </c>
      <c r="J318">
        <v>-2.3569430081732401E-3</v>
      </c>
      <c r="K318">
        <v>2.2785736580955399E-2</v>
      </c>
      <c r="L318">
        <v>0</v>
      </c>
      <c r="M318">
        <v>46566838.395999998</v>
      </c>
      <c r="N318">
        <v>0</v>
      </c>
      <c r="O318" t="b">
        <v>0</v>
      </c>
    </row>
    <row r="319" spans="1:15" x14ac:dyDescent="0.3">
      <c r="A319" s="1" t="s">
        <v>423</v>
      </c>
      <c r="B319">
        <v>0.85775198449801304</v>
      </c>
      <c r="C319">
        <v>2.7611257077768861E-2</v>
      </c>
      <c r="D319">
        <v>2.795723846220706E-2</v>
      </c>
      <c r="E319">
        <v>59.583384852024309</v>
      </c>
      <c r="F319">
        <v>3.7796611868149421E-2</v>
      </c>
      <c r="G319">
        <v>0.8</v>
      </c>
      <c r="H319">
        <v>-9.5883039990166716E-2</v>
      </c>
      <c r="I319">
        <v>1.101123138790526</v>
      </c>
      <c r="J319">
        <v>0</v>
      </c>
      <c r="K319">
        <v>1.9875311475086921E-2</v>
      </c>
      <c r="L319">
        <v>0</v>
      </c>
      <c r="M319">
        <v>93531378.352950007</v>
      </c>
      <c r="N319">
        <v>0</v>
      </c>
      <c r="O319" t="b">
        <v>1</v>
      </c>
    </row>
    <row r="320" spans="1:15" x14ac:dyDescent="0.3">
      <c r="A320" s="1" t="s">
        <v>424</v>
      </c>
      <c r="B320">
        <v>6.7370396450220991</v>
      </c>
      <c r="C320">
        <v>7.6202235550527075E-2</v>
      </c>
      <c r="D320">
        <v>5.0899219545300307E-2</v>
      </c>
      <c r="E320">
        <v>48.23721527675395</v>
      </c>
      <c r="F320">
        <v>-0.15072046109510079</v>
      </c>
      <c r="G320">
        <v>0.4</v>
      </c>
      <c r="H320">
        <v>-0.114027482061789</v>
      </c>
      <c r="I320">
        <v>3.7576247440699042</v>
      </c>
      <c r="J320">
        <v>-0.10061037639877921</v>
      </c>
      <c r="K320">
        <v>-5.2880288028802616E-3</v>
      </c>
      <c r="L320">
        <v>0</v>
      </c>
      <c r="M320">
        <v>1554732259</v>
      </c>
      <c r="N320">
        <v>0</v>
      </c>
      <c r="O320" t="b">
        <v>1</v>
      </c>
    </row>
    <row r="321" spans="1:15" x14ac:dyDescent="0.3">
      <c r="A321" s="1" t="s">
        <v>425</v>
      </c>
      <c r="B321">
        <v>14.93622227441571</v>
      </c>
      <c r="C321">
        <v>9.454502009378217E-2</v>
      </c>
      <c r="D321">
        <v>9.3619445499430257E-2</v>
      </c>
      <c r="E321">
        <v>47.205202473194348</v>
      </c>
      <c r="F321">
        <v>-7.1579689703808236E-2</v>
      </c>
      <c r="G321">
        <v>0.2</v>
      </c>
      <c r="H321">
        <v>1.20014900347755E-2</v>
      </c>
      <c r="I321">
        <v>4.2633182303277097</v>
      </c>
      <c r="J321">
        <v>-0.16496643585813209</v>
      </c>
      <c r="K321">
        <v>-7.2288449116213571E-2</v>
      </c>
      <c r="L321">
        <v>0</v>
      </c>
      <c r="M321">
        <v>422667673.5</v>
      </c>
      <c r="N321">
        <v>0</v>
      </c>
      <c r="O321" t="b">
        <v>1</v>
      </c>
    </row>
    <row r="322" spans="1:15" x14ac:dyDescent="0.3">
      <c r="A322" s="1" t="s">
        <v>426</v>
      </c>
      <c r="B322">
        <v>3.067308124213477</v>
      </c>
      <c r="C322">
        <v>2.459730173946862E-2</v>
      </c>
      <c r="D322">
        <v>2.557317102509208E-2</v>
      </c>
      <c r="E322">
        <v>64.543558060163889</v>
      </c>
      <c r="F322">
        <v>9.7913365029054455E-2</v>
      </c>
      <c r="G322">
        <v>0.4</v>
      </c>
      <c r="H322">
        <v>5.3580010406156987E-2</v>
      </c>
      <c r="I322">
        <v>0.97977661184222875</v>
      </c>
      <c r="J322">
        <v>-1.1062999619337771E-2</v>
      </c>
      <c r="K322">
        <v>1.1723567209709801E-2</v>
      </c>
      <c r="L322">
        <v>0</v>
      </c>
      <c r="M322">
        <v>408761856.35250002</v>
      </c>
      <c r="N322">
        <v>0</v>
      </c>
      <c r="O322" t="b">
        <v>1</v>
      </c>
    </row>
    <row r="323" spans="1:15" x14ac:dyDescent="0.3">
      <c r="A323" s="1" t="s">
        <v>427</v>
      </c>
      <c r="B323">
        <v>1.3438120930480071</v>
      </c>
      <c r="C323">
        <v>5.8148511166075598E-2</v>
      </c>
      <c r="D323">
        <v>6.3176114236261238E-2</v>
      </c>
      <c r="E323">
        <v>45.096509806847678</v>
      </c>
      <c r="F323">
        <v>-2.2005924672027111E-2</v>
      </c>
      <c r="G323">
        <v>0.4</v>
      </c>
      <c r="H323">
        <v>0.15977154887953579</v>
      </c>
      <c r="I323">
        <v>1.26307863616736</v>
      </c>
      <c r="J323">
        <v>-0.15564486664230909</v>
      </c>
      <c r="K323">
        <v>-5.8272208638956768E-2</v>
      </c>
      <c r="L323">
        <v>0</v>
      </c>
      <c r="M323">
        <v>47056204</v>
      </c>
      <c r="N323">
        <v>0</v>
      </c>
      <c r="O323" t="b">
        <v>0</v>
      </c>
    </row>
    <row r="324" spans="1:15" x14ac:dyDescent="0.3">
      <c r="A324" s="1" t="s">
        <v>428</v>
      </c>
      <c r="B324">
        <v>6.5258972893222742</v>
      </c>
      <c r="C324">
        <v>3.3491902947509748E-2</v>
      </c>
      <c r="D324">
        <v>4.6548627149089007E-2</v>
      </c>
      <c r="E324">
        <v>70.486915503147074</v>
      </c>
      <c r="F324">
        <v>0.15316328342309291</v>
      </c>
      <c r="G324">
        <v>0.6</v>
      </c>
      <c r="H324">
        <v>0.11051207414119101</v>
      </c>
      <c r="I324">
        <v>1.2270321580346271</v>
      </c>
      <c r="J324">
        <v>0</v>
      </c>
      <c r="K324">
        <v>4.7636969729555327E-2</v>
      </c>
      <c r="L324">
        <v>0</v>
      </c>
      <c r="M324">
        <v>148572843</v>
      </c>
      <c r="N324">
        <v>0</v>
      </c>
      <c r="O324" t="b">
        <v>1</v>
      </c>
    </row>
    <row r="325" spans="1:15" x14ac:dyDescent="0.3">
      <c r="A325" s="1" t="s">
        <v>429</v>
      </c>
      <c r="B325">
        <v>7.3046891740159721</v>
      </c>
      <c r="C325">
        <v>2.769298404700983E-2</v>
      </c>
      <c r="D325">
        <v>2.5662119845018649E-2</v>
      </c>
      <c r="E325">
        <v>67.980628934890717</v>
      </c>
      <c r="F325">
        <v>9.3046577158959032E-2</v>
      </c>
      <c r="G325">
        <v>0.8</v>
      </c>
      <c r="H325">
        <v>2.97505953567514E-2</v>
      </c>
      <c r="I325">
        <v>0.98840142568172529</v>
      </c>
      <c r="J325">
        <v>0</v>
      </c>
      <c r="K325">
        <v>1.2183469621909641E-2</v>
      </c>
      <c r="L325">
        <v>0</v>
      </c>
      <c r="M325">
        <v>1914869434.737</v>
      </c>
      <c r="N325">
        <v>0</v>
      </c>
      <c r="O325" t="b">
        <v>1</v>
      </c>
    </row>
    <row r="326" spans="1:15" x14ac:dyDescent="0.3">
      <c r="A326" s="1" t="s">
        <v>430</v>
      </c>
      <c r="B326">
        <v>12.44161958189841</v>
      </c>
      <c r="C326">
        <v>4.0869243925099497E-2</v>
      </c>
      <c r="D326">
        <v>2.9774164408310631E-2</v>
      </c>
      <c r="E326">
        <v>47.183281253126019</v>
      </c>
      <c r="F326">
        <v>-6.9554559847424424E-2</v>
      </c>
      <c r="G326">
        <v>0.6</v>
      </c>
      <c r="H326">
        <v>9.8586022346217939E-2</v>
      </c>
      <c r="I326">
        <v>1.7502890801700151</v>
      </c>
      <c r="J326">
        <v>-8.2943978021382092E-2</v>
      </c>
      <c r="K326">
        <v>1.370925849461235E-2</v>
      </c>
      <c r="L326">
        <v>0</v>
      </c>
      <c r="M326">
        <v>183672379.148</v>
      </c>
      <c r="N326">
        <v>0</v>
      </c>
      <c r="O326" t="b">
        <v>1</v>
      </c>
    </row>
    <row r="327" spans="1:15" x14ac:dyDescent="0.3">
      <c r="A327" s="1" t="s">
        <v>431</v>
      </c>
      <c r="B327">
        <v>18.610356778745331</v>
      </c>
      <c r="C327">
        <v>3.5820835313441372E-2</v>
      </c>
      <c r="D327">
        <v>3.2855987989375203E-2</v>
      </c>
      <c r="E327">
        <v>51.566019038032081</v>
      </c>
      <c r="F327">
        <v>-6.8139831040482157E-2</v>
      </c>
      <c r="G327">
        <v>0.6</v>
      </c>
      <c r="H327">
        <v>0.1081572138346041</v>
      </c>
      <c r="I327">
        <v>1.8605115747515379</v>
      </c>
      <c r="J327">
        <v>-6.6800783144432718E-2</v>
      </c>
      <c r="K327">
        <v>3.011699293408832E-3</v>
      </c>
      <c r="L327">
        <v>0</v>
      </c>
      <c r="M327">
        <v>1279327509.5</v>
      </c>
      <c r="N327">
        <v>0</v>
      </c>
      <c r="O327" t="b">
        <v>1</v>
      </c>
    </row>
    <row r="328" spans="1:15" x14ac:dyDescent="0.3">
      <c r="A328" s="1" t="s">
        <v>432</v>
      </c>
      <c r="B328">
        <v>7.4647839631989479</v>
      </c>
      <c r="C328">
        <v>8.4673139328481722E-2</v>
      </c>
      <c r="D328">
        <v>6.0231397459165177E-2</v>
      </c>
      <c r="E328">
        <v>48.405272162156614</v>
      </c>
      <c r="F328">
        <v>-0.16523056528737809</v>
      </c>
      <c r="G328">
        <v>0.6</v>
      </c>
      <c r="H328">
        <v>-7.6284717075710079E-2</v>
      </c>
      <c r="I328">
        <v>2.5131584478373128</v>
      </c>
      <c r="J328">
        <v>-2.7575557026251921E-2</v>
      </c>
      <c r="K328">
        <v>-2.7575557026251921E-2</v>
      </c>
      <c r="L328">
        <v>0</v>
      </c>
      <c r="M328">
        <v>2507617040</v>
      </c>
      <c r="N328">
        <v>0</v>
      </c>
      <c r="O328" t="b">
        <v>1</v>
      </c>
    </row>
    <row r="329" spans="1:15" x14ac:dyDescent="0.3">
      <c r="A329" s="1" t="s">
        <v>433</v>
      </c>
      <c r="B329">
        <v>1.589924829121556</v>
      </c>
      <c r="C329">
        <v>1.9918154177830619E-2</v>
      </c>
      <c r="D329">
        <v>2.5170721685130369E-2</v>
      </c>
      <c r="E329">
        <v>71.03640659197589</v>
      </c>
      <c r="F329">
        <v>0.1131922857545293</v>
      </c>
      <c r="G329">
        <v>1</v>
      </c>
      <c r="H329">
        <v>0.15610937585726611</v>
      </c>
      <c r="I329">
        <v>0.52742462837564552</v>
      </c>
      <c r="J329">
        <v>0</v>
      </c>
      <c r="K329">
        <v>9.307495056064985E-3</v>
      </c>
      <c r="L329">
        <v>0</v>
      </c>
      <c r="M329">
        <v>1150617811.7214</v>
      </c>
      <c r="N329">
        <v>0</v>
      </c>
      <c r="O329" t="b">
        <v>1</v>
      </c>
    </row>
    <row r="330" spans="1:15" x14ac:dyDescent="0.3">
      <c r="A330" s="1" t="s">
        <v>434</v>
      </c>
      <c r="B330">
        <v>1.7112188000239501</v>
      </c>
      <c r="C330">
        <v>2.5213184028642251E-2</v>
      </c>
      <c r="D330">
        <v>1.9006925003683391E-2</v>
      </c>
      <c r="E330">
        <v>44.346274477638147</v>
      </c>
      <c r="F330">
        <v>9.5195597203630022E-3</v>
      </c>
      <c r="G330">
        <v>0.2</v>
      </c>
      <c r="H330">
        <v>-0.24531119555819969</v>
      </c>
      <c r="I330">
        <v>0.70291662214561268</v>
      </c>
      <c r="J330">
        <v>-1.9219653179190721E-2</v>
      </c>
      <c r="K330">
        <v>-8.8326218165757364E-4</v>
      </c>
      <c r="L330">
        <v>0</v>
      </c>
      <c r="M330">
        <v>225113595</v>
      </c>
      <c r="N330">
        <v>0</v>
      </c>
      <c r="O330" t="b">
        <v>1</v>
      </c>
    </row>
    <row r="331" spans="1:15" x14ac:dyDescent="0.3">
      <c r="A331" s="1" t="s">
        <v>435</v>
      </c>
      <c r="B331">
        <v>8.9851679144310648</v>
      </c>
      <c r="C331">
        <v>2.706579686552019E-2</v>
      </c>
      <c r="D331">
        <v>4.6145041042247197E-2</v>
      </c>
      <c r="E331">
        <v>62.11429779150648</v>
      </c>
      <c r="F331">
        <v>5.0483986823660398E-2</v>
      </c>
      <c r="G331">
        <v>0.6</v>
      </c>
      <c r="H331">
        <v>-0.1745783367514365</v>
      </c>
      <c r="I331">
        <v>0.97691532849602292</v>
      </c>
      <c r="J331">
        <v>0</v>
      </c>
      <c r="K331">
        <v>4.2402604946761402E-2</v>
      </c>
      <c r="L331">
        <v>0</v>
      </c>
      <c r="M331">
        <v>149980091.80199999</v>
      </c>
      <c r="N331">
        <v>0</v>
      </c>
      <c r="O331" t="b">
        <v>1</v>
      </c>
    </row>
    <row r="332" spans="1:15" x14ac:dyDescent="0.3">
      <c r="A332" s="1" t="s">
        <v>436</v>
      </c>
      <c r="B332">
        <v>0.62846619162167838</v>
      </c>
      <c r="C332">
        <v>1.7000137729397301E-2</v>
      </c>
      <c r="D332">
        <v>2.4534533640984402E-2</v>
      </c>
      <c r="E332">
        <v>69.97287721142132</v>
      </c>
      <c r="F332">
        <v>5.9998623687485431E-2</v>
      </c>
      <c r="G332">
        <v>1</v>
      </c>
      <c r="H332">
        <v>9.7214358472840962E-2</v>
      </c>
      <c r="I332">
        <v>0.49532168610247662</v>
      </c>
      <c r="J332">
        <v>0</v>
      </c>
      <c r="K332">
        <v>1.9798292993771231E-2</v>
      </c>
      <c r="L332">
        <v>0</v>
      </c>
      <c r="M332">
        <v>446082726.23075002</v>
      </c>
      <c r="N332">
        <v>0</v>
      </c>
      <c r="O332" t="b">
        <v>1</v>
      </c>
    </row>
    <row r="333" spans="1:15" x14ac:dyDescent="0.3">
      <c r="A333" s="1" t="s">
        <v>437</v>
      </c>
      <c r="B333">
        <v>3.014766095802242</v>
      </c>
      <c r="C333">
        <v>1.6285997254676811E-2</v>
      </c>
      <c r="D333">
        <v>1.8377864451095079E-2</v>
      </c>
      <c r="E333">
        <v>49.868418959812487</v>
      </c>
      <c r="F333">
        <v>3.9700187653892724E-3</v>
      </c>
      <c r="G333">
        <v>0.6</v>
      </c>
      <c r="H333">
        <v>-0.17579782415895051</v>
      </c>
      <c r="I333">
        <v>0.28471324813576682</v>
      </c>
      <c r="J333">
        <v>-1.024434582687272E-2</v>
      </c>
      <c r="K333">
        <v>1.30465714442074E-2</v>
      </c>
      <c r="L333">
        <v>0</v>
      </c>
      <c r="M333">
        <v>336961345.07849997</v>
      </c>
      <c r="N333">
        <v>0</v>
      </c>
      <c r="O333" t="b">
        <v>1</v>
      </c>
    </row>
    <row r="334" spans="1:15" x14ac:dyDescent="0.3">
      <c r="A334" s="1" t="s">
        <v>438</v>
      </c>
      <c r="B334">
        <v>0.64007254028875282</v>
      </c>
      <c r="C334">
        <v>2.368884308988722E-2</v>
      </c>
      <c r="D334">
        <v>1.8134715025906679E-2</v>
      </c>
      <c r="E334">
        <v>59.676933686050717</v>
      </c>
      <c r="F334">
        <v>3.2566742332179148E-2</v>
      </c>
      <c r="G334">
        <v>0.8</v>
      </c>
      <c r="H334">
        <v>6.2139854236597333E-2</v>
      </c>
      <c r="I334">
        <v>0.35609777990166602</v>
      </c>
      <c r="J334">
        <v>-1.350857977364006E-2</v>
      </c>
      <c r="K334">
        <v>5.9568131049887452E-3</v>
      </c>
      <c r="L334">
        <v>0</v>
      </c>
      <c r="M334">
        <v>168044492.32800001</v>
      </c>
      <c r="N334">
        <v>0</v>
      </c>
      <c r="O334" t="b">
        <v>1</v>
      </c>
    </row>
    <row r="335" spans="1:15" x14ac:dyDescent="0.3">
      <c r="A335" s="1" t="s">
        <v>439</v>
      </c>
      <c r="B335">
        <v>0.74026807256535487</v>
      </c>
      <c r="C335">
        <v>2.029460585329448E-2</v>
      </c>
      <c r="D335">
        <v>3.1108040607411489E-2</v>
      </c>
      <c r="E335">
        <v>51.620125906417023</v>
      </c>
      <c r="F335">
        <v>4.3670406828664188E-3</v>
      </c>
      <c r="G335">
        <v>0.4</v>
      </c>
      <c r="H335">
        <v>4.5388855996612423E-2</v>
      </c>
      <c r="I335">
        <v>0.32460536959971958</v>
      </c>
      <c r="J335">
        <v>-2.5159350571256619E-2</v>
      </c>
      <c r="K335">
        <v>-1.8137330113943809E-2</v>
      </c>
      <c r="L335">
        <v>0</v>
      </c>
      <c r="M335">
        <v>51333568.542549998</v>
      </c>
      <c r="N335">
        <v>0</v>
      </c>
      <c r="O335" t="b">
        <v>0</v>
      </c>
    </row>
    <row r="336" spans="1:15" x14ac:dyDescent="0.3">
      <c r="A336" s="1" t="s">
        <v>440</v>
      </c>
      <c r="B336">
        <v>1.773652582524277</v>
      </c>
      <c r="C336">
        <v>2.1421261233863301E-2</v>
      </c>
      <c r="D336">
        <v>4.9626383022921793E-2</v>
      </c>
      <c r="E336">
        <v>80.459533577122514</v>
      </c>
      <c r="F336">
        <v>0.14687264527281599</v>
      </c>
      <c r="G336">
        <v>0.8</v>
      </c>
      <c r="H336">
        <v>0.12763382866355871</v>
      </c>
      <c r="I336">
        <v>0.74285849207094379</v>
      </c>
      <c r="J336">
        <v>0</v>
      </c>
      <c r="K336">
        <v>2.8041897089900351E-2</v>
      </c>
      <c r="L336">
        <v>0</v>
      </c>
      <c r="M336">
        <v>266286411.61469999</v>
      </c>
      <c r="N336">
        <v>0</v>
      </c>
      <c r="O336" t="b">
        <v>1</v>
      </c>
    </row>
    <row r="337" spans="1:15" x14ac:dyDescent="0.3">
      <c r="A337" s="1" t="s">
        <v>441</v>
      </c>
      <c r="B337">
        <v>1.318292540004218</v>
      </c>
      <c r="C337">
        <v>2.0295880604249139E-2</v>
      </c>
      <c r="D337">
        <v>2.67282695212127E-2</v>
      </c>
      <c r="E337">
        <v>49.247174742296522</v>
      </c>
      <c r="F337">
        <v>-4.3609419021372053E-3</v>
      </c>
      <c r="G337">
        <v>0.4</v>
      </c>
      <c r="H337">
        <v>-0.1216959684796093</v>
      </c>
      <c r="I337">
        <v>0.4568803004782907</v>
      </c>
      <c r="J337">
        <v>-3.2546009163106897E-2</v>
      </c>
      <c r="K337">
        <v>-1.1240316567745601E-2</v>
      </c>
      <c r="L337">
        <v>0</v>
      </c>
      <c r="M337">
        <v>234359906.435</v>
      </c>
      <c r="N337">
        <v>0</v>
      </c>
      <c r="O337" t="b">
        <v>1</v>
      </c>
    </row>
    <row r="338" spans="1:15" x14ac:dyDescent="0.3">
      <c r="A338" s="1" t="s">
        <v>442</v>
      </c>
      <c r="B338">
        <v>0.73587170684296777</v>
      </c>
      <c r="C338">
        <v>2.072860530313737E-2</v>
      </c>
      <c r="D338">
        <v>1.6374509511187199E-2</v>
      </c>
      <c r="E338">
        <v>38.9951261640702</v>
      </c>
      <c r="F338">
        <v>-1.638058822714494E-2</v>
      </c>
      <c r="G338">
        <v>0.2</v>
      </c>
      <c r="H338">
        <v>-0.20455908141964449</v>
      </c>
      <c r="I338">
        <v>0.31251816124808818</v>
      </c>
      <c r="J338">
        <v>-3.5341526973524988E-2</v>
      </c>
      <c r="K338">
        <v>1.3217380384277441E-2</v>
      </c>
      <c r="L338">
        <v>0</v>
      </c>
      <c r="M338">
        <v>66925546.400799997</v>
      </c>
      <c r="N338">
        <v>0</v>
      </c>
      <c r="O338" t="b">
        <v>0</v>
      </c>
    </row>
    <row r="339" spans="1:15" x14ac:dyDescent="0.3">
      <c r="A339" s="1" t="s">
        <v>443</v>
      </c>
      <c r="B339">
        <v>0.49170320812304857</v>
      </c>
      <c r="C339">
        <v>2.7530974698938889E-2</v>
      </c>
      <c r="D339">
        <v>2.1836506159014588E-2</v>
      </c>
      <c r="E339">
        <v>51.496248891372041</v>
      </c>
      <c r="F339">
        <v>0</v>
      </c>
      <c r="G339">
        <v>0.4</v>
      </c>
      <c r="H339">
        <v>1.4701333044558951E-2</v>
      </c>
      <c r="I339">
        <v>0.66666138317703616</v>
      </c>
      <c r="J339">
        <v>-3.5637149028077797E-2</v>
      </c>
      <c r="K339">
        <v>6.1971830985914078E-3</v>
      </c>
      <c r="L339">
        <v>0</v>
      </c>
      <c r="M339">
        <v>167984006.85640001</v>
      </c>
      <c r="N339">
        <v>0</v>
      </c>
      <c r="O339" t="b">
        <v>1</v>
      </c>
    </row>
    <row r="340" spans="1:15" x14ac:dyDescent="0.3">
      <c r="A340" s="1" t="s">
        <v>444</v>
      </c>
      <c r="B340">
        <v>21.58465929217537</v>
      </c>
      <c r="C340">
        <v>4.6153611076561192E-2</v>
      </c>
      <c r="D340">
        <v>4.319284965894752E-2</v>
      </c>
      <c r="E340">
        <v>79.978978467494827</v>
      </c>
      <c r="F340">
        <v>0.45112945264986992</v>
      </c>
      <c r="G340">
        <v>1</v>
      </c>
      <c r="H340">
        <v>0.11701921831571339</v>
      </c>
      <c r="I340">
        <v>3.1959375362750331</v>
      </c>
      <c r="J340">
        <v>0</v>
      </c>
      <c r="K340">
        <v>2.4850437183617121E-2</v>
      </c>
      <c r="L340">
        <v>0</v>
      </c>
      <c r="M340">
        <v>941664225</v>
      </c>
      <c r="N340">
        <v>0</v>
      </c>
      <c r="O340" t="b">
        <v>1</v>
      </c>
    </row>
    <row r="341" spans="1:15" x14ac:dyDescent="0.3">
      <c r="A341" s="1" t="s">
        <v>445</v>
      </c>
      <c r="B341">
        <v>2.0480513185597422</v>
      </c>
      <c r="C341">
        <v>2.614791739303296E-2</v>
      </c>
      <c r="D341">
        <v>1.9500648574667798E-2</v>
      </c>
      <c r="E341">
        <v>53.509302194235417</v>
      </c>
      <c r="F341">
        <v>1.8443006636569729E-2</v>
      </c>
      <c r="G341">
        <v>0.8</v>
      </c>
      <c r="H341">
        <v>2.2271496894814839E-2</v>
      </c>
      <c r="I341">
        <v>0.27733163310719522</v>
      </c>
      <c r="J341">
        <v>-1.7296453637324131E-2</v>
      </c>
      <c r="K341">
        <v>9.3310051996415844E-3</v>
      </c>
      <c r="L341">
        <v>0</v>
      </c>
      <c r="M341">
        <v>539181954.96239996</v>
      </c>
      <c r="N341">
        <v>0</v>
      </c>
      <c r="O341" t="b">
        <v>1</v>
      </c>
    </row>
    <row r="342" spans="1:15" x14ac:dyDescent="0.3">
      <c r="A342" s="1" t="s">
        <v>446</v>
      </c>
      <c r="B342">
        <v>2.5850265059177899</v>
      </c>
      <c r="C342">
        <v>1.7240061262731771E-2</v>
      </c>
      <c r="D342">
        <v>2.1861640756821059E-2</v>
      </c>
      <c r="E342">
        <v>50.306456476504557</v>
      </c>
      <c r="F342">
        <v>-1.6380215166622799E-2</v>
      </c>
      <c r="G342">
        <v>0.4</v>
      </c>
      <c r="H342">
        <v>-0.1000629475118499</v>
      </c>
      <c r="I342">
        <v>0.2079780851125366</v>
      </c>
      <c r="J342">
        <v>-2.8671559704344651E-2</v>
      </c>
      <c r="K342">
        <v>1.9666646265581459E-2</v>
      </c>
      <c r="L342">
        <v>0</v>
      </c>
      <c r="M342">
        <v>1194762501.0225</v>
      </c>
      <c r="N342">
        <v>0</v>
      </c>
      <c r="O342" t="b">
        <v>1</v>
      </c>
    </row>
    <row r="343" spans="1:15" x14ac:dyDescent="0.3">
      <c r="A343" s="1" t="s">
        <v>447</v>
      </c>
      <c r="B343">
        <v>18.72527622474205</v>
      </c>
      <c r="C343">
        <v>3.3738628537759767E-2</v>
      </c>
      <c r="D343">
        <v>4.7692834363344858E-2</v>
      </c>
      <c r="E343">
        <v>51.175413549702327</v>
      </c>
      <c r="F343">
        <v>-5.6376653648866237E-2</v>
      </c>
      <c r="G343">
        <v>0.6</v>
      </c>
      <c r="H343">
        <v>4.7238108986555567E-2</v>
      </c>
      <c r="I343">
        <v>1.7006371057411029</v>
      </c>
      <c r="J343">
        <v>-3.8783936377302597E-2</v>
      </c>
      <c r="K343">
        <v>2.9626743840902359E-2</v>
      </c>
      <c r="L343">
        <v>0</v>
      </c>
      <c r="M343">
        <v>114255020.389</v>
      </c>
      <c r="N343">
        <v>0</v>
      </c>
      <c r="O343" t="b">
        <v>1</v>
      </c>
    </row>
    <row r="344" spans="1:15" x14ac:dyDescent="0.3">
      <c r="A344" s="1" t="s">
        <v>448</v>
      </c>
      <c r="B344">
        <v>1.2158399502785719</v>
      </c>
      <c r="C344">
        <v>1.340359332244043E-2</v>
      </c>
      <c r="D344">
        <v>1.131628265902325E-2</v>
      </c>
      <c r="E344">
        <v>55.949877173725213</v>
      </c>
      <c r="F344">
        <v>-1.558396457795241E-2</v>
      </c>
      <c r="G344">
        <v>0.8</v>
      </c>
      <c r="H344">
        <v>-4.1282402907792851E-2</v>
      </c>
      <c r="I344">
        <v>1.0043355713168389</v>
      </c>
      <c r="J344">
        <v>-8.3022300353997602E-3</v>
      </c>
      <c r="K344">
        <v>2.423453459858171E-3</v>
      </c>
      <c r="L344">
        <v>0</v>
      </c>
      <c r="M344">
        <v>42065030.035499997</v>
      </c>
      <c r="N344">
        <v>0</v>
      </c>
      <c r="O344" t="b">
        <v>0</v>
      </c>
    </row>
    <row r="345" spans="1:15" x14ac:dyDescent="0.3">
      <c r="A345" s="1" t="s">
        <v>449</v>
      </c>
      <c r="B345">
        <v>0.78583650910639313</v>
      </c>
      <c r="C345">
        <v>2.427181780323362E-2</v>
      </c>
      <c r="D345">
        <v>1.3123716275693821E-2</v>
      </c>
      <c r="E345">
        <v>36.772860119084321</v>
      </c>
      <c r="F345">
        <v>-5.9243826891449691E-2</v>
      </c>
      <c r="G345">
        <v>0</v>
      </c>
      <c r="H345">
        <v>9.3982879322903848E-2</v>
      </c>
      <c r="I345">
        <v>0.71740536752262218</v>
      </c>
      <c r="J345">
        <v>-9.3925172181223426E-2</v>
      </c>
      <c r="K345">
        <v>-6.0661691343736326E-3</v>
      </c>
      <c r="L345">
        <v>0</v>
      </c>
      <c r="M345">
        <v>26408586.772349998</v>
      </c>
      <c r="N345">
        <v>0</v>
      </c>
      <c r="O345" t="b">
        <v>0</v>
      </c>
    </row>
    <row r="346" spans="1:15" x14ac:dyDescent="0.3">
      <c r="A346" s="1" t="s">
        <v>450</v>
      </c>
      <c r="B346">
        <v>0.68626364897576475</v>
      </c>
      <c r="C346">
        <v>2.2657938753822129E-2</v>
      </c>
      <c r="D346">
        <v>1.2549524564183789E-2</v>
      </c>
      <c r="E346">
        <v>36.358224232456372</v>
      </c>
      <c r="F346">
        <v>-6.5756112005626255E-2</v>
      </c>
      <c r="G346">
        <v>0.2</v>
      </c>
      <c r="H346">
        <v>8.4124404437996708E-2</v>
      </c>
      <c r="I346">
        <v>0.73885558139373886</v>
      </c>
      <c r="J346">
        <v>-9.0887261375915518E-2</v>
      </c>
      <c r="K346">
        <v>-6.1557442675451712E-3</v>
      </c>
      <c r="L346">
        <v>0</v>
      </c>
      <c r="M346">
        <v>5502833.6577000003</v>
      </c>
      <c r="N346">
        <v>0</v>
      </c>
      <c r="O346" t="b">
        <v>0</v>
      </c>
    </row>
    <row r="347" spans="1:15" x14ac:dyDescent="0.3">
      <c r="A347" s="1" t="s">
        <v>451</v>
      </c>
      <c r="B347">
        <v>0.25570186859831928</v>
      </c>
      <c r="C347">
        <v>2.352363096580674E-2</v>
      </c>
      <c r="D347">
        <v>1.6559337626495078E-2</v>
      </c>
      <c r="E347">
        <v>61.935730434618783</v>
      </c>
      <c r="F347">
        <v>5.0241545893719763E-2</v>
      </c>
      <c r="G347">
        <v>0.4</v>
      </c>
      <c r="H347">
        <v>8.2375845333316794E-2</v>
      </c>
      <c r="I347">
        <v>0.65173403374712657</v>
      </c>
      <c r="J347">
        <v>-1.0018214936247881E-2</v>
      </c>
      <c r="K347">
        <v>-8.2116788321169309E-3</v>
      </c>
      <c r="L347">
        <v>0</v>
      </c>
      <c r="M347">
        <v>75952913.362720013</v>
      </c>
      <c r="N347">
        <v>0</v>
      </c>
      <c r="O347" t="b">
        <v>0</v>
      </c>
    </row>
    <row r="348" spans="1:15" x14ac:dyDescent="0.3">
      <c r="A348" s="1" t="s">
        <v>452</v>
      </c>
      <c r="B348">
        <v>2.6331301399078009</v>
      </c>
      <c r="C348">
        <v>4.3652687995818978E-2</v>
      </c>
      <c r="D348">
        <v>4.2440318302387307E-2</v>
      </c>
      <c r="E348">
        <v>40.827893455089018</v>
      </c>
      <c r="F348">
        <v>-3.022508038585214E-2</v>
      </c>
      <c r="G348">
        <v>0.2</v>
      </c>
      <c r="H348">
        <v>5.7692779615024732E-2</v>
      </c>
      <c r="I348">
        <v>1.207639823566391</v>
      </c>
      <c r="J348">
        <v>-0.11489361702127671</v>
      </c>
      <c r="K348">
        <v>-2.077922077922079E-2</v>
      </c>
      <c r="L348">
        <v>0</v>
      </c>
      <c r="M348">
        <v>69811446.5</v>
      </c>
      <c r="N348">
        <v>0</v>
      </c>
      <c r="O348" t="b">
        <v>0</v>
      </c>
    </row>
    <row r="349" spans="1:15" x14ac:dyDescent="0.3">
      <c r="A349" s="1" t="s">
        <v>453</v>
      </c>
      <c r="B349">
        <v>1.0111567324816231</v>
      </c>
      <c r="C349">
        <v>1.7601313409419041E-2</v>
      </c>
      <c r="D349">
        <v>1.464111767552464E-2</v>
      </c>
      <c r="E349">
        <v>37.053572256175627</v>
      </c>
      <c r="F349">
        <v>-3.5395377108526693E-2</v>
      </c>
      <c r="G349">
        <v>0.2</v>
      </c>
      <c r="H349">
        <v>-7.9241306371628351E-2</v>
      </c>
      <c r="I349">
        <v>-9.8707705937372367E-2</v>
      </c>
      <c r="J349">
        <v>-6.4593550740212446E-2</v>
      </c>
      <c r="K349">
        <v>-6.8425893270820382E-3</v>
      </c>
      <c r="L349">
        <v>0</v>
      </c>
      <c r="M349">
        <v>268103895.1239</v>
      </c>
      <c r="N349">
        <v>0</v>
      </c>
      <c r="O349" t="b">
        <v>1</v>
      </c>
    </row>
    <row r="350" spans="1:15" x14ac:dyDescent="0.3">
      <c r="A350" s="1" t="s">
        <v>454</v>
      </c>
      <c r="B350">
        <v>2.1420621160402482</v>
      </c>
      <c r="C350">
        <v>3.0714751343053862E-2</v>
      </c>
      <c r="D350">
        <v>3.8468321850287861E-2</v>
      </c>
      <c r="E350">
        <v>73.38551703424821</v>
      </c>
      <c r="F350">
        <v>0.19416006150548021</v>
      </c>
      <c r="G350">
        <v>0.6</v>
      </c>
      <c r="H350">
        <v>8.5537297217415528E-2</v>
      </c>
      <c r="I350">
        <v>1.4988317476360651</v>
      </c>
      <c r="J350">
        <v>0</v>
      </c>
      <c r="K350">
        <v>3.7383622427198393E-2</v>
      </c>
      <c r="L350">
        <v>0</v>
      </c>
      <c r="M350">
        <v>463521611.4684</v>
      </c>
      <c r="N350">
        <v>0</v>
      </c>
      <c r="O350" t="b">
        <v>1</v>
      </c>
    </row>
    <row r="351" spans="1:15" x14ac:dyDescent="0.3">
      <c r="A351" s="1" t="s">
        <v>455</v>
      </c>
      <c r="B351">
        <v>9.6298001787879119</v>
      </c>
      <c r="C351">
        <v>4.3712211433444899E-2</v>
      </c>
      <c r="D351">
        <v>6.0236041761234732E-2</v>
      </c>
      <c r="E351">
        <v>51.082061117512538</v>
      </c>
      <c r="F351">
        <v>7.9478635829086652E-2</v>
      </c>
      <c r="G351">
        <v>0.6</v>
      </c>
      <c r="H351">
        <v>-8.97487863324678E-2</v>
      </c>
      <c r="I351">
        <v>1.662526419717528</v>
      </c>
      <c r="J351">
        <v>-4.2132266620287788E-2</v>
      </c>
      <c r="K351">
        <v>-4.2132266620287788E-2</v>
      </c>
      <c r="L351">
        <v>0</v>
      </c>
      <c r="M351">
        <v>774417322</v>
      </c>
      <c r="N351">
        <v>0</v>
      </c>
      <c r="O351" t="b">
        <v>1</v>
      </c>
    </row>
    <row r="352" spans="1:15" x14ac:dyDescent="0.3">
      <c r="A352" s="1" t="s">
        <v>456</v>
      </c>
      <c r="B352">
        <v>0.73155153729606048</v>
      </c>
      <c r="C352">
        <v>1.942000364470561E-2</v>
      </c>
      <c r="D352">
        <v>1.698964693389967E-2</v>
      </c>
      <c r="E352">
        <v>63.556790326454809</v>
      </c>
      <c r="F352">
        <v>-4.2294475284164754E-3</v>
      </c>
      <c r="G352">
        <v>1</v>
      </c>
      <c r="H352">
        <v>-2.4489924988542008E-2</v>
      </c>
      <c r="I352">
        <v>1.1437619138554891</v>
      </c>
      <c r="J352">
        <v>-2.5103519668737029E-2</v>
      </c>
      <c r="K352">
        <v>1.399730820995981E-2</v>
      </c>
      <c r="L352">
        <v>0</v>
      </c>
      <c r="M352">
        <v>73513983.663800001</v>
      </c>
      <c r="N352">
        <v>0</v>
      </c>
      <c r="O352" t="b">
        <v>0</v>
      </c>
    </row>
    <row r="353" spans="1:15" x14ac:dyDescent="0.3">
      <c r="A353" s="1" t="s">
        <v>457</v>
      </c>
      <c r="B353">
        <v>0.37345624970745839</v>
      </c>
      <c r="C353">
        <v>7.8608797998547288E-3</v>
      </c>
      <c r="D353">
        <v>7.3839884483099666E-3</v>
      </c>
      <c r="E353">
        <v>61.473549396502229</v>
      </c>
      <c r="F353">
        <v>7.4367809998410186E-3</v>
      </c>
      <c r="G353">
        <v>0.4</v>
      </c>
      <c r="H353">
        <v>2.3370768228142939E-2</v>
      </c>
      <c r="I353">
        <v>0.70308078932728035</v>
      </c>
      <c r="J353">
        <v>-5.1013783773595778E-3</v>
      </c>
      <c r="K353">
        <v>5.7753295198093024E-3</v>
      </c>
      <c r="L353">
        <v>0</v>
      </c>
      <c r="M353">
        <v>26954469.567850001</v>
      </c>
      <c r="N353">
        <v>0</v>
      </c>
      <c r="O353" t="b">
        <v>0</v>
      </c>
    </row>
    <row r="354" spans="1:15" x14ac:dyDescent="0.3">
      <c r="A354" s="1" t="s">
        <v>458</v>
      </c>
      <c r="B354">
        <v>0.8587457543956416</v>
      </c>
      <c r="C354">
        <v>3.1571535088075059E-2</v>
      </c>
      <c r="D354">
        <v>9.5220588235294251E-2</v>
      </c>
      <c r="E354">
        <v>33.560491170207612</v>
      </c>
      <c r="F354">
        <v>-0.1096563011456629</v>
      </c>
      <c r="G354">
        <v>0.2</v>
      </c>
      <c r="H354">
        <v>-0.13102462427902101</v>
      </c>
      <c r="I354">
        <v>0.7838787117992303</v>
      </c>
      <c r="J354">
        <v>-0.12554251728018009</v>
      </c>
      <c r="K354">
        <v>-7.5458871515975634E-2</v>
      </c>
      <c r="L354">
        <v>0</v>
      </c>
      <c r="M354">
        <v>93026965</v>
      </c>
      <c r="N354">
        <v>0</v>
      </c>
      <c r="O354" t="b">
        <v>0</v>
      </c>
    </row>
    <row r="355" spans="1:15" x14ac:dyDescent="0.3">
      <c r="A355" s="1" t="s">
        <v>459</v>
      </c>
      <c r="B355">
        <v>2.0221156051665852</v>
      </c>
      <c r="C355">
        <v>2.200343422379309E-2</v>
      </c>
      <c r="D355">
        <v>2.5936887921653828E-2</v>
      </c>
      <c r="E355">
        <v>62.54548888798319</v>
      </c>
      <c r="F355">
        <v>5.2539954141784813E-2</v>
      </c>
      <c r="G355">
        <v>0.4</v>
      </c>
      <c r="H355">
        <v>0.1000803149195596</v>
      </c>
      <c r="I355">
        <v>0.79838238882094692</v>
      </c>
      <c r="J355">
        <v>-1.8217985520050609E-2</v>
      </c>
      <c r="K355">
        <v>2.2071858658249791E-2</v>
      </c>
      <c r="L355">
        <v>0</v>
      </c>
      <c r="M355">
        <v>39039112.595400013</v>
      </c>
      <c r="N355">
        <v>0</v>
      </c>
      <c r="O355" t="b">
        <v>0</v>
      </c>
    </row>
    <row r="356" spans="1:15" x14ac:dyDescent="0.3">
      <c r="A356" s="1" t="s">
        <v>460</v>
      </c>
      <c r="B356">
        <v>0.95535788192082316</v>
      </c>
      <c r="C356">
        <v>2.3417758030037601E-2</v>
      </c>
      <c r="D356">
        <v>1.7089785103060869E-2</v>
      </c>
      <c r="E356">
        <v>69.799095771630022</v>
      </c>
      <c r="F356">
        <v>2.308161069718806E-2</v>
      </c>
      <c r="G356">
        <v>1</v>
      </c>
      <c r="H356">
        <v>0.16865991773176289</v>
      </c>
      <c r="I356">
        <v>1.046435874497927</v>
      </c>
      <c r="J356">
        <v>0</v>
      </c>
      <c r="K356">
        <v>8.6185370243549997E-3</v>
      </c>
      <c r="L356">
        <v>0</v>
      </c>
      <c r="M356">
        <v>196399163.71215001</v>
      </c>
      <c r="N356">
        <v>0</v>
      </c>
      <c r="O356" t="b">
        <v>1</v>
      </c>
    </row>
    <row r="357" spans="1:15" x14ac:dyDescent="0.3">
      <c r="A357" s="1" t="s">
        <v>461</v>
      </c>
      <c r="B357">
        <v>5.6668735631986493</v>
      </c>
      <c r="C357">
        <v>3.7479322507927577E-2</v>
      </c>
      <c r="D357">
        <v>1.7096560846560901E-2</v>
      </c>
      <c r="E357">
        <v>37.4366291799778</v>
      </c>
      <c r="F357">
        <v>-0.24294011616262781</v>
      </c>
      <c r="G357">
        <v>0.2</v>
      </c>
      <c r="H357">
        <v>3.2492882746077652E-2</v>
      </c>
      <c r="I357">
        <v>1.157898088580843</v>
      </c>
      <c r="J357">
        <v>-0.23582330941069449</v>
      </c>
      <c r="K357">
        <v>-8.9794848266370186E-3</v>
      </c>
      <c r="L357">
        <v>0</v>
      </c>
      <c r="M357">
        <v>573350238.5</v>
      </c>
      <c r="N357">
        <v>0</v>
      </c>
      <c r="O357" t="b">
        <v>1</v>
      </c>
    </row>
    <row r="358" spans="1:15" x14ac:dyDescent="0.3">
      <c r="A358" s="1" t="s">
        <v>462</v>
      </c>
      <c r="B358">
        <v>26.599916872966158</v>
      </c>
      <c r="C358">
        <v>3.7984470404815993E-2</v>
      </c>
      <c r="D358">
        <v>4.119185930279716E-2</v>
      </c>
      <c r="E358">
        <v>72.422523680544302</v>
      </c>
      <c r="F358">
        <v>0.19750677599459629</v>
      </c>
      <c r="G358">
        <v>0.6</v>
      </c>
      <c r="H358">
        <v>0.11896759489053001</v>
      </c>
      <c r="I358">
        <v>0.70574171939011687</v>
      </c>
      <c r="J358">
        <v>0</v>
      </c>
      <c r="K358">
        <v>2.6118785157789759E-2</v>
      </c>
      <c r="L358">
        <v>0</v>
      </c>
      <c r="M358">
        <v>59128601.466000013</v>
      </c>
      <c r="N358">
        <v>0</v>
      </c>
      <c r="O358" t="b">
        <v>0</v>
      </c>
    </row>
    <row r="359" spans="1:15" x14ac:dyDescent="0.3">
      <c r="A359" s="1" t="s">
        <v>463</v>
      </c>
      <c r="B359">
        <v>12.07186658567071</v>
      </c>
      <c r="C359">
        <v>2.583411070285032E-2</v>
      </c>
      <c r="D359">
        <v>2.9986047029215639E-2</v>
      </c>
      <c r="E359">
        <v>47.487970650939289</v>
      </c>
      <c r="F359">
        <v>-1.157259045382919E-2</v>
      </c>
      <c r="G359">
        <v>0.4</v>
      </c>
      <c r="H359">
        <v>-5.9259110069615289E-2</v>
      </c>
      <c r="I359">
        <v>0.27222696343048219</v>
      </c>
      <c r="J359">
        <v>-5.8678962879698982E-2</v>
      </c>
      <c r="K359">
        <v>1.3051094384127101E-2</v>
      </c>
      <c r="L359">
        <v>0</v>
      </c>
      <c r="M359">
        <v>583991501.30999994</v>
      </c>
      <c r="N359">
        <v>0</v>
      </c>
      <c r="O359" t="b">
        <v>1</v>
      </c>
    </row>
    <row r="360" spans="1:15" x14ac:dyDescent="0.3">
      <c r="A360" s="1" t="s">
        <v>464</v>
      </c>
      <c r="B360">
        <v>3.0394964787909449</v>
      </c>
      <c r="C360">
        <v>3.0180681946092199E-2</v>
      </c>
      <c r="D360">
        <v>2.5121636381690009E-2</v>
      </c>
      <c r="E360">
        <v>68.35795544527096</v>
      </c>
      <c r="F360">
        <v>0.26139779559118209</v>
      </c>
      <c r="G360">
        <v>0.6</v>
      </c>
      <c r="H360">
        <v>-9.118619034137751E-2</v>
      </c>
      <c r="I360">
        <v>0.76905058296698248</v>
      </c>
      <c r="J360">
        <v>-4.9402232980930716E-3</v>
      </c>
      <c r="K360">
        <v>-9.9196508282917151E-4</v>
      </c>
      <c r="L360">
        <v>0</v>
      </c>
      <c r="M360">
        <v>327471027</v>
      </c>
      <c r="N360">
        <v>0</v>
      </c>
      <c r="O360" t="b">
        <v>1</v>
      </c>
    </row>
    <row r="361" spans="1:15" x14ac:dyDescent="0.3">
      <c r="A361" s="1" t="s">
        <v>465</v>
      </c>
      <c r="B361">
        <v>5.7005995528028652</v>
      </c>
      <c r="C361">
        <v>4.0713624437053113E-2</v>
      </c>
      <c r="D361">
        <v>3.4631509031046163E-2</v>
      </c>
      <c r="E361">
        <v>54.479777488556081</v>
      </c>
      <c r="F361">
        <v>-1.443674859926247E-2</v>
      </c>
      <c r="G361">
        <v>0.6</v>
      </c>
      <c r="H361">
        <v>5.6644609648758608E-2</v>
      </c>
      <c r="I361">
        <v>1.893917178646948</v>
      </c>
      <c r="J361">
        <v>-5.7103292718629906E-4</v>
      </c>
      <c r="K361">
        <v>1.7432312633521851E-2</v>
      </c>
      <c r="L361">
        <v>0</v>
      </c>
      <c r="M361">
        <v>727713235.29750001</v>
      </c>
      <c r="N361">
        <v>0</v>
      </c>
      <c r="O361" t="b">
        <v>1</v>
      </c>
    </row>
    <row r="362" spans="1:15" x14ac:dyDescent="0.3">
      <c r="A362" s="1" t="s">
        <v>466</v>
      </c>
      <c r="B362">
        <v>2.056694436725794</v>
      </c>
      <c r="C362">
        <v>2.3895601681489419E-2</v>
      </c>
      <c r="D362">
        <v>1.2199372603694801E-2</v>
      </c>
      <c r="E362">
        <v>35.5625437609839</v>
      </c>
      <c r="F362">
        <v>-9.4476591267753873E-2</v>
      </c>
      <c r="G362">
        <v>0.2</v>
      </c>
      <c r="H362">
        <v>-0.17713266782278739</v>
      </c>
      <c r="I362">
        <v>0.54918563140770182</v>
      </c>
      <c r="J362">
        <v>-0.11568889345525531</v>
      </c>
      <c r="K362">
        <v>7.8454332552690964E-3</v>
      </c>
      <c r="L362">
        <v>0</v>
      </c>
      <c r="M362">
        <v>115799570.586</v>
      </c>
      <c r="N362">
        <v>0</v>
      </c>
      <c r="O362" t="b">
        <v>1</v>
      </c>
    </row>
    <row r="363" spans="1:15" x14ac:dyDescent="0.3">
      <c r="A363" s="1" t="s">
        <v>467</v>
      </c>
      <c r="B363">
        <v>0.42985242372604421</v>
      </c>
      <c r="C363">
        <v>1.078719405863332E-2</v>
      </c>
      <c r="D363">
        <v>1.4522540428222911E-2</v>
      </c>
      <c r="E363">
        <v>64.299110352628247</v>
      </c>
      <c r="F363">
        <v>2.0437743115929941E-2</v>
      </c>
      <c r="G363">
        <v>0.6</v>
      </c>
      <c r="H363">
        <v>-4.1788690949894833E-2</v>
      </c>
      <c r="I363">
        <v>0.97880172789145736</v>
      </c>
      <c r="J363">
        <v>0</v>
      </c>
      <c r="K363">
        <v>1.0370340319578951E-2</v>
      </c>
      <c r="L363">
        <v>0</v>
      </c>
      <c r="M363">
        <v>73217615.267049998</v>
      </c>
      <c r="N363">
        <v>0</v>
      </c>
      <c r="O363" t="b">
        <v>0</v>
      </c>
    </row>
    <row r="364" spans="1:15" x14ac:dyDescent="0.3">
      <c r="A364" s="1" t="s">
        <v>468</v>
      </c>
      <c r="B364">
        <v>0.32197330733724161</v>
      </c>
      <c r="C364">
        <v>9.9706833685507743E-3</v>
      </c>
      <c r="D364">
        <v>1.067756719930631E-2</v>
      </c>
      <c r="E364">
        <v>58.722914915928293</v>
      </c>
      <c r="F364">
        <v>-7.6335877862594437E-3</v>
      </c>
      <c r="G364">
        <v>0.4</v>
      </c>
      <c r="H364">
        <v>-4.0196750802868556E-3</v>
      </c>
      <c r="I364">
        <v>0.95785260000521055</v>
      </c>
      <c r="J364">
        <v>-9.7485732860267404E-3</v>
      </c>
      <c r="K364">
        <v>7.4406851045907274E-3</v>
      </c>
      <c r="L364">
        <v>0</v>
      </c>
      <c r="M364">
        <v>18071617.807050001</v>
      </c>
      <c r="N364">
        <v>0</v>
      </c>
      <c r="O364" t="b">
        <v>0</v>
      </c>
    </row>
    <row r="365" spans="1:15" x14ac:dyDescent="0.3">
      <c r="A365" s="1" t="s">
        <v>469</v>
      </c>
      <c r="B365">
        <v>0.31995732139928379</v>
      </c>
      <c r="C365">
        <v>8.5165928392327596E-3</v>
      </c>
      <c r="D365">
        <v>1.2214955534793589E-2</v>
      </c>
      <c r="E365">
        <v>64.228307301698607</v>
      </c>
      <c r="F365">
        <v>2.21607326509623E-2</v>
      </c>
      <c r="G365">
        <v>0.4</v>
      </c>
      <c r="H365">
        <v>-2.3520086310203012E-2</v>
      </c>
      <c r="I365">
        <v>0.69530817541790668</v>
      </c>
      <c r="J365">
        <v>0</v>
      </c>
      <c r="K365">
        <v>1.068832489494609E-2</v>
      </c>
      <c r="L365">
        <v>0</v>
      </c>
      <c r="M365">
        <v>36118644.641999997</v>
      </c>
      <c r="N365">
        <v>0</v>
      </c>
      <c r="O365" t="b">
        <v>0</v>
      </c>
    </row>
    <row r="366" spans="1:15" x14ac:dyDescent="0.3">
      <c r="A366" s="1" t="s">
        <v>470</v>
      </c>
      <c r="B366">
        <v>1.01331987689423</v>
      </c>
      <c r="C366">
        <v>1.420644116764801E-2</v>
      </c>
      <c r="D366">
        <v>2.4185385303428349E-2</v>
      </c>
      <c r="E366">
        <v>67.176747734053123</v>
      </c>
      <c r="F366">
        <v>4.8211910797604451E-2</v>
      </c>
      <c r="G366">
        <v>0.6</v>
      </c>
      <c r="H366">
        <v>-2.69902784598702E-2</v>
      </c>
      <c r="I366">
        <v>1.1316506262077399</v>
      </c>
      <c r="J366">
        <v>0</v>
      </c>
      <c r="K366">
        <v>1.9526286375051379E-2</v>
      </c>
      <c r="L366">
        <v>0</v>
      </c>
      <c r="M366">
        <v>33999497.023399986</v>
      </c>
      <c r="N366">
        <v>0</v>
      </c>
      <c r="O366" t="b">
        <v>0</v>
      </c>
    </row>
    <row r="367" spans="1:15" x14ac:dyDescent="0.3">
      <c r="A367" s="1" t="s">
        <v>471</v>
      </c>
      <c r="B367">
        <v>0.89856616828750768</v>
      </c>
      <c r="C367">
        <v>1.480168956277707E-2</v>
      </c>
      <c r="D367">
        <v>2.903948473816861E-2</v>
      </c>
      <c r="E367">
        <v>69.867839012139783</v>
      </c>
      <c r="F367">
        <v>6.2773431276949232E-2</v>
      </c>
      <c r="G367">
        <v>0.6</v>
      </c>
      <c r="H367">
        <v>-3.7376042161375141E-2</v>
      </c>
      <c r="I367">
        <v>0.98802566368893419</v>
      </c>
      <c r="J367">
        <v>0</v>
      </c>
      <c r="K367">
        <v>2.4713509973347089E-2</v>
      </c>
      <c r="L367">
        <v>0</v>
      </c>
      <c r="M367">
        <v>18160204.771200001</v>
      </c>
      <c r="N367">
        <v>0</v>
      </c>
      <c r="O367" t="b">
        <v>0</v>
      </c>
    </row>
    <row r="368" spans="1:15" x14ac:dyDescent="0.3">
      <c r="A368" s="1" t="s">
        <v>472</v>
      </c>
      <c r="B368">
        <v>0.49700397093771198</v>
      </c>
      <c r="C368">
        <v>1.0541157289729181E-2</v>
      </c>
      <c r="D368">
        <v>1.258778041481347E-2</v>
      </c>
      <c r="E368">
        <v>62.341410919582472</v>
      </c>
      <c r="F368">
        <v>1.372593285387169E-2</v>
      </c>
      <c r="G368">
        <v>0.6</v>
      </c>
      <c r="H368">
        <v>-3.8947754667783531E-2</v>
      </c>
      <c r="I368">
        <v>1.008112098615781</v>
      </c>
      <c r="J368">
        <v>0</v>
      </c>
      <c r="K368">
        <v>8.1056579245581961E-3</v>
      </c>
      <c r="L368">
        <v>0</v>
      </c>
      <c r="M368">
        <v>26616132.05415</v>
      </c>
      <c r="N368">
        <v>0</v>
      </c>
      <c r="O368" t="b">
        <v>0</v>
      </c>
    </row>
    <row r="369" spans="1:15" x14ac:dyDescent="0.3">
      <c r="A369" s="1" t="s">
        <v>473</v>
      </c>
      <c r="B369">
        <v>0.27266645310744708</v>
      </c>
      <c r="C369">
        <v>8.4521267171350084E-3</v>
      </c>
      <c r="D369">
        <v>1.154057178992003E-2</v>
      </c>
      <c r="E369">
        <v>63.67026859703185</v>
      </c>
      <c r="F369">
        <v>1.5311453533751299E-2</v>
      </c>
      <c r="G369">
        <v>0.6</v>
      </c>
      <c r="H369">
        <v>-3.2295876955339538E-2</v>
      </c>
      <c r="I369">
        <v>0.76948915188338352</v>
      </c>
      <c r="J369">
        <v>0</v>
      </c>
      <c r="K369">
        <v>9.0046978312408044E-3</v>
      </c>
      <c r="L369">
        <v>0</v>
      </c>
      <c r="M369">
        <v>16669908.898800001</v>
      </c>
      <c r="N369">
        <v>0</v>
      </c>
      <c r="O369" t="b">
        <v>0</v>
      </c>
    </row>
    <row r="370" spans="1:15" x14ac:dyDescent="0.3">
      <c r="A370" s="1" t="s">
        <v>474</v>
      </c>
      <c r="B370">
        <v>0.12586768391927569</v>
      </c>
      <c r="C370">
        <v>2.967849487844388E-3</v>
      </c>
      <c r="D370">
        <v>4.6710240884310604E-3</v>
      </c>
      <c r="E370">
        <v>53.211060939276813</v>
      </c>
      <c r="F370">
        <v>4.4430970944608914E-3</v>
      </c>
      <c r="G370">
        <v>0.2</v>
      </c>
      <c r="H370">
        <v>-9.2575322392175016E-2</v>
      </c>
      <c r="I370">
        <v>3.1197650546921921E-2</v>
      </c>
      <c r="J370">
        <v>-4.6493070631445921E-3</v>
      </c>
      <c r="K370">
        <v>3.7489349616586232E-3</v>
      </c>
      <c r="L370">
        <v>0</v>
      </c>
      <c r="M370">
        <v>26304937.635499999</v>
      </c>
      <c r="N370">
        <v>0</v>
      </c>
      <c r="O370" t="b">
        <v>0</v>
      </c>
    </row>
    <row r="371" spans="1:15" x14ac:dyDescent="0.3">
      <c r="A371" s="1" t="s">
        <v>475</v>
      </c>
      <c r="B371">
        <v>0.31415871430749398</v>
      </c>
      <c r="C371">
        <v>9.585227726595761E-3</v>
      </c>
      <c r="D371">
        <v>1.0855735874271241E-2</v>
      </c>
      <c r="E371">
        <v>57.665265715224074</v>
      </c>
      <c r="F371">
        <v>-9.0132856011174711E-3</v>
      </c>
      <c r="G371">
        <v>0.4</v>
      </c>
      <c r="H371">
        <v>-3.03020173201504E-2</v>
      </c>
      <c r="I371">
        <v>0.93918340515213417</v>
      </c>
      <c r="J371">
        <v>-1.079588325838288E-2</v>
      </c>
      <c r="K371">
        <v>7.9466369795400116E-3</v>
      </c>
      <c r="L371">
        <v>0</v>
      </c>
      <c r="M371">
        <v>17967597.053199999</v>
      </c>
      <c r="N371">
        <v>0</v>
      </c>
      <c r="O371" t="b">
        <v>0</v>
      </c>
    </row>
    <row r="372" spans="1:15" x14ac:dyDescent="0.3">
      <c r="A372" s="1" t="s">
        <v>476</v>
      </c>
      <c r="B372">
        <v>0.29005503724000298</v>
      </c>
      <c r="C372">
        <v>8.5529915707095866E-3</v>
      </c>
      <c r="D372">
        <v>1.25911531668077E-2</v>
      </c>
      <c r="E372">
        <v>65.687229829671395</v>
      </c>
      <c r="F372">
        <v>2.614323710161082E-2</v>
      </c>
      <c r="G372">
        <v>0.6</v>
      </c>
      <c r="H372">
        <v>-2.392139098464547E-2</v>
      </c>
      <c r="I372">
        <v>0.67451354141053221</v>
      </c>
      <c r="J372">
        <v>0</v>
      </c>
      <c r="K372">
        <v>1.0952353981034779E-2</v>
      </c>
      <c r="L372">
        <v>0</v>
      </c>
      <c r="M372">
        <v>26928229.5306</v>
      </c>
      <c r="N372">
        <v>0</v>
      </c>
      <c r="O372" t="b">
        <v>0</v>
      </c>
    </row>
    <row r="373" spans="1:15" x14ac:dyDescent="0.3">
      <c r="A373" s="1" t="s">
        <v>477</v>
      </c>
      <c r="B373">
        <v>0.30478623663660459</v>
      </c>
      <c r="C373">
        <v>9.4706169738211568E-3</v>
      </c>
      <c r="D373">
        <v>1.2155750210519491E-2</v>
      </c>
      <c r="E373">
        <v>62.2842996238466</v>
      </c>
      <c r="F373">
        <v>2.7423675027854699E-2</v>
      </c>
      <c r="G373">
        <v>0.6</v>
      </c>
      <c r="H373">
        <v>-6.6432656153859515E-2</v>
      </c>
      <c r="I373">
        <v>0.71163299641139521</v>
      </c>
      <c r="J373">
        <v>0</v>
      </c>
      <c r="K373">
        <v>7.573480607631744E-3</v>
      </c>
      <c r="L373">
        <v>0</v>
      </c>
      <c r="M373">
        <v>10075942.825200001</v>
      </c>
      <c r="N373">
        <v>0</v>
      </c>
      <c r="O373" t="b">
        <v>0</v>
      </c>
    </row>
    <row r="374" spans="1:15" x14ac:dyDescent="0.3">
      <c r="A374" s="1" t="s">
        <v>478</v>
      </c>
      <c r="B374">
        <v>0.42410910006465979</v>
      </c>
      <c r="C374">
        <v>8.6834824924327744E-3</v>
      </c>
      <c r="D374">
        <v>1.452880679921954E-2</v>
      </c>
      <c r="E374">
        <v>70.472864162080725</v>
      </c>
      <c r="F374">
        <v>3.7966693869223578E-2</v>
      </c>
      <c r="G374">
        <v>0.6</v>
      </c>
      <c r="H374">
        <v>3.8693397833413343E-2</v>
      </c>
      <c r="I374">
        <v>0.64637016639429035</v>
      </c>
      <c r="J374">
        <v>0</v>
      </c>
      <c r="K374">
        <v>1.317686497654846E-2</v>
      </c>
      <c r="L374">
        <v>0</v>
      </c>
      <c r="M374">
        <v>39627504.461499996</v>
      </c>
      <c r="N374">
        <v>0</v>
      </c>
      <c r="O374" t="b">
        <v>0</v>
      </c>
    </row>
    <row r="375" spans="1:15" x14ac:dyDescent="0.3">
      <c r="A375" s="1" t="s">
        <v>479</v>
      </c>
      <c r="B375">
        <v>0.366170055198138</v>
      </c>
      <c r="C375">
        <v>1.071437093125323E-2</v>
      </c>
      <c r="D375">
        <v>1.9671929680824912E-2</v>
      </c>
      <c r="E375">
        <v>67.128090368223837</v>
      </c>
      <c r="F375">
        <v>3.5931882801559338E-2</v>
      </c>
      <c r="G375">
        <v>0.6</v>
      </c>
      <c r="H375">
        <v>-4.1556652757242423E-3</v>
      </c>
      <c r="I375">
        <v>0.7160791389401906</v>
      </c>
      <c r="J375">
        <v>0</v>
      </c>
      <c r="K375">
        <v>1.8403957327612019E-2</v>
      </c>
      <c r="L375">
        <v>0</v>
      </c>
      <c r="M375">
        <v>21354036.524549998</v>
      </c>
      <c r="N375">
        <v>0</v>
      </c>
      <c r="O375" t="b">
        <v>0</v>
      </c>
    </row>
    <row r="376" spans="1:15" x14ac:dyDescent="0.3">
      <c r="A376" s="1" t="s">
        <v>480</v>
      </c>
      <c r="B376">
        <v>7.4284270370622879E-2</v>
      </c>
      <c r="C376">
        <v>1.5538399346249781E-3</v>
      </c>
      <c r="D376">
        <v>2.4891804321133509E-3</v>
      </c>
      <c r="E376">
        <v>57.795286050035713</v>
      </c>
      <c r="F376">
        <v>3.562342035216215E-3</v>
      </c>
      <c r="G376">
        <v>0.2</v>
      </c>
      <c r="H376">
        <v>-8.6832762298870214E-2</v>
      </c>
      <c r="I376">
        <v>9.210007544322529E-3</v>
      </c>
      <c r="J376">
        <v>-1.0364318326663291E-3</v>
      </c>
      <c r="K376">
        <v>2.4953919128332109E-3</v>
      </c>
      <c r="L376">
        <v>0</v>
      </c>
      <c r="M376">
        <v>20645079.846799999</v>
      </c>
      <c r="N376">
        <v>0</v>
      </c>
      <c r="O376" t="b">
        <v>0</v>
      </c>
    </row>
    <row r="377" spans="1:15" x14ac:dyDescent="0.3">
      <c r="A377" s="1" t="s">
        <v>481</v>
      </c>
      <c r="B377">
        <v>0.52122295978839406</v>
      </c>
      <c r="C377">
        <v>1.5477257563490309E-2</v>
      </c>
      <c r="D377">
        <v>3.0751231563662568E-2</v>
      </c>
      <c r="E377">
        <v>71.09276422367823</v>
      </c>
      <c r="F377">
        <v>7.0930668888450565E-2</v>
      </c>
      <c r="G377">
        <v>0.6</v>
      </c>
      <c r="H377">
        <v>-1.321337204263953E-2</v>
      </c>
      <c r="I377">
        <v>1.081785866527293</v>
      </c>
      <c r="J377">
        <v>0</v>
      </c>
      <c r="K377">
        <v>2.6403213615195039E-2</v>
      </c>
      <c r="L377">
        <v>0</v>
      </c>
      <c r="M377">
        <v>34591413.813000001</v>
      </c>
      <c r="N377">
        <v>0</v>
      </c>
      <c r="O377" t="b">
        <v>0</v>
      </c>
    </row>
    <row r="378" spans="1:15" x14ac:dyDescent="0.3">
      <c r="A378" s="1" t="s">
        <v>482</v>
      </c>
      <c r="B378">
        <v>0.79746093349031466</v>
      </c>
      <c r="C378">
        <v>1.067532872239592E-2</v>
      </c>
      <c r="D378">
        <v>1.1756154176700969E-2</v>
      </c>
      <c r="E378">
        <v>61.710100536316723</v>
      </c>
      <c r="F378">
        <v>1.12111174432914E-2</v>
      </c>
      <c r="G378">
        <v>0.6</v>
      </c>
      <c r="H378">
        <v>-1.73289920247033E-2</v>
      </c>
      <c r="I378">
        <v>1.031366115745215</v>
      </c>
      <c r="J378">
        <v>0</v>
      </c>
      <c r="K378">
        <v>7.8086950656008902E-3</v>
      </c>
      <c r="L378">
        <v>0</v>
      </c>
      <c r="M378">
        <v>27302751.09615</v>
      </c>
      <c r="N378">
        <v>0</v>
      </c>
      <c r="O378" t="b">
        <v>0</v>
      </c>
    </row>
    <row r="379" spans="1:15" x14ac:dyDescent="0.3">
      <c r="A379" s="1" t="s">
        <v>483</v>
      </c>
      <c r="B379">
        <v>0.51856056507128723</v>
      </c>
      <c r="C379">
        <v>1.113825861951743E-2</v>
      </c>
      <c r="D379">
        <v>2.022694907499897E-2</v>
      </c>
      <c r="E379">
        <v>66.191810724644213</v>
      </c>
      <c r="F379">
        <v>3.5230575265218889E-2</v>
      </c>
      <c r="G379">
        <v>0.6</v>
      </c>
      <c r="H379">
        <v>-4.1494323274453588E-3</v>
      </c>
      <c r="I379">
        <v>0.80166583579615003</v>
      </c>
      <c r="J379">
        <v>0</v>
      </c>
      <c r="K379">
        <v>1.8086753437598361E-2</v>
      </c>
      <c r="L379">
        <v>0</v>
      </c>
      <c r="M379">
        <v>13583460.336100001</v>
      </c>
      <c r="N379">
        <v>0</v>
      </c>
      <c r="O379" t="b">
        <v>0</v>
      </c>
    </row>
    <row r="380" spans="1:15" x14ac:dyDescent="0.3">
      <c r="A380" s="1" t="s">
        <v>484</v>
      </c>
      <c r="B380">
        <v>4.4850131751714093</v>
      </c>
      <c r="C380">
        <v>3.577849447705643E-2</v>
      </c>
      <c r="D380">
        <v>2.200151569542496E-2</v>
      </c>
      <c r="E380">
        <v>70.68142123217811</v>
      </c>
      <c r="F380">
        <v>0.25388102459049189</v>
      </c>
      <c r="G380">
        <v>0.8</v>
      </c>
      <c r="H380">
        <v>9.2890008082608944E-2</v>
      </c>
      <c r="I380">
        <v>0.55745888732884119</v>
      </c>
      <c r="J380">
        <v>-4.8957574654042157E-2</v>
      </c>
      <c r="K380">
        <v>2.7838441047300928E-3</v>
      </c>
      <c r="L380">
        <v>0</v>
      </c>
      <c r="M380">
        <v>299532435.4605</v>
      </c>
      <c r="N380">
        <v>0</v>
      </c>
      <c r="O380" t="b">
        <v>1</v>
      </c>
    </row>
    <row r="381" spans="1:15" x14ac:dyDescent="0.3">
      <c r="A381" s="1" t="s">
        <v>485</v>
      </c>
      <c r="B381">
        <v>0.65622994046420535</v>
      </c>
      <c r="C381">
        <v>9.4251785339820246E-3</v>
      </c>
      <c r="D381">
        <v>1.4756151508361921E-2</v>
      </c>
      <c r="E381">
        <v>61.993364461520947</v>
      </c>
      <c r="F381">
        <v>2.923081016677553E-2</v>
      </c>
      <c r="G381">
        <v>0.2</v>
      </c>
      <c r="H381">
        <v>-3.945448090445948E-2</v>
      </c>
      <c r="I381">
        <v>0.57369997929115868</v>
      </c>
      <c r="J381">
        <v>0</v>
      </c>
      <c r="K381">
        <v>1.257258870255828E-2</v>
      </c>
      <c r="L381">
        <v>0</v>
      </c>
      <c r="M381">
        <v>99891756.502000004</v>
      </c>
      <c r="N381">
        <v>0</v>
      </c>
      <c r="O381" t="b">
        <v>1</v>
      </c>
    </row>
    <row r="382" spans="1:15" x14ac:dyDescent="0.3">
      <c r="A382" s="1" t="s">
        <v>486</v>
      </c>
      <c r="B382">
        <v>0.7848853854332648</v>
      </c>
      <c r="C382">
        <v>8.7403425760633861E-3</v>
      </c>
      <c r="D382">
        <v>1.0432036418586629E-2</v>
      </c>
      <c r="E382">
        <v>59.307673620091208</v>
      </c>
      <c r="F382">
        <v>1.3624055092202211E-2</v>
      </c>
      <c r="G382">
        <v>0.2</v>
      </c>
      <c r="H382">
        <v>-0.1345697710459843</v>
      </c>
      <c r="I382">
        <v>0.66695434879530746</v>
      </c>
      <c r="J382">
        <v>0</v>
      </c>
      <c r="K382">
        <v>7.2662011721487119E-3</v>
      </c>
      <c r="L382">
        <v>0</v>
      </c>
      <c r="M382">
        <v>52891690.917799987</v>
      </c>
      <c r="N382">
        <v>0</v>
      </c>
      <c r="O382" t="b">
        <v>0</v>
      </c>
    </row>
    <row r="383" spans="1:15" x14ac:dyDescent="0.3">
      <c r="A383" s="1" t="s">
        <v>487</v>
      </c>
      <c r="B383">
        <v>3.3685376108313778</v>
      </c>
      <c r="C383">
        <v>1.8850871382538738E-2</v>
      </c>
      <c r="D383">
        <v>1.1365798515898719E-2</v>
      </c>
      <c r="E383">
        <v>39.607182196359027</v>
      </c>
      <c r="F383">
        <v>-2.6042120868579492E-2</v>
      </c>
      <c r="G383">
        <v>0.2</v>
      </c>
      <c r="H383">
        <v>-6.5166060494610267E-2</v>
      </c>
      <c r="I383">
        <v>5.9193663828063361E-2</v>
      </c>
      <c r="J383">
        <v>-6.6750228489358965E-2</v>
      </c>
      <c r="K383">
        <v>-6.09609458454341E-4</v>
      </c>
      <c r="L383">
        <v>0</v>
      </c>
      <c r="M383">
        <v>175695475.60600001</v>
      </c>
      <c r="N383">
        <v>0</v>
      </c>
      <c r="O383" t="b">
        <v>1</v>
      </c>
    </row>
    <row r="384" spans="1:15" x14ac:dyDescent="0.3">
      <c r="A384" s="1" t="s">
        <v>488</v>
      </c>
      <c r="B384">
        <v>4.7720810528802664</v>
      </c>
      <c r="C384">
        <v>3.073408290642278E-2</v>
      </c>
      <c r="D384">
        <v>3.9930443743157192E-2</v>
      </c>
      <c r="E384">
        <v>53.33886344331524</v>
      </c>
      <c r="F384">
        <v>7.7328707718993916E-2</v>
      </c>
      <c r="G384">
        <v>0.2</v>
      </c>
      <c r="H384">
        <v>-0.1320328252810728</v>
      </c>
      <c r="I384">
        <v>0.67850736366428976</v>
      </c>
      <c r="J384">
        <v>-5.8969696969696887E-2</v>
      </c>
      <c r="K384">
        <v>3.9638433210579249E-2</v>
      </c>
      <c r="L384">
        <v>0</v>
      </c>
      <c r="M384">
        <v>467107881.17400002</v>
      </c>
      <c r="N384">
        <v>0</v>
      </c>
      <c r="O384" t="b">
        <v>1</v>
      </c>
    </row>
    <row r="385" spans="1:15" x14ac:dyDescent="0.3">
      <c r="A385" s="1" t="s">
        <v>489</v>
      </c>
      <c r="B385">
        <v>4.89834232352211</v>
      </c>
      <c r="C385">
        <v>2.1287792419511911E-2</v>
      </c>
      <c r="D385">
        <v>3.1464443874646392E-2</v>
      </c>
      <c r="E385">
        <v>62.288879249220479</v>
      </c>
      <c r="F385">
        <v>9.1156972277810056E-2</v>
      </c>
      <c r="G385">
        <v>0.2</v>
      </c>
      <c r="H385">
        <v>0.1032998690818366</v>
      </c>
      <c r="I385">
        <v>0.30517202145806832</v>
      </c>
      <c r="J385">
        <v>-1.518761038138194E-3</v>
      </c>
      <c r="K385">
        <v>3.2208719680963283E-2</v>
      </c>
      <c r="L385">
        <v>0</v>
      </c>
      <c r="M385">
        <v>766430200.48800004</v>
      </c>
      <c r="N385">
        <v>0</v>
      </c>
      <c r="O385" t="b">
        <v>1</v>
      </c>
    </row>
    <row r="386" spans="1:15" x14ac:dyDescent="0.3">
      <c r="A386" s="1" t="s">
        <v>490</v>
      </c>
      <c r="B386">
        <v>5.1974298491989037</v>
      </c>
      <c r="C386">
        <v>1.083847862866924E-2</v>
      </c>
      <c r="D386">
        <v>1.5352372610966921E-2</v>
      </c>
      <c r="E386">
        <v>60.877913045597253</v>
      </c>
      <c r="F386">
        <v>1.717079585949444E-2</v>
      </c>
      <c r="G386">
        <v>0.4</v>
      </c>
      <c r="H386">
        <v>-7.469312296269329E-3</v>
      </c>
      <c r="I386">
        <v>0.75743534390457901</v>
      </c>
      <c r="J386">
        <v>-1.6655042834687881E-3</v>
      </c>
      <c r="K386">
        <v>1.0347137944983761E-2</v>
      </c>
      <c r="L386">
        <v>0</v>
      </c>
      <c r="M386">
        <v>1593355026.013</v>
      </c>
      <c r="N386">
        <v>0</v>
      </c>
      <c r="O386" t="b">
        <v>1</v>
      </c>
    </row>
    <row r="387" spans="1:15" x14ac:dyDescent="0.3">
      <c r="A387" s="1" t="s">
        <v>491</v>
      </c>
      <c r="B387">
        <v>0.26652830117886711</v>
      </c>
      <c r="C387">
        <v>8.4826244387857328E-3</v>
      </c>
      <c r="D387">
        <v>1.163571553603541E-2</v>
      </c>
      <c r="E387">
        <v>61.2397705567721</v>
      </c>
      <c r="F387">
        <v>1.6762397864250381E-2</v>
      </c>
      <c r="G387">
        <v>0.4</v>
      </c>
      <c r="H387">
        <v>-3.5481684453819183E-2</v>
      </c>
      <c r="I387">
        <v>0.66516894731219955</v>
      </c>
      <c r="J387">
        <v>0</v>
      </c>
      <c r="K387">
        <v>9.6010179392513884E-3</v>
      </c>
      <c r="L387">
        <v>0</v>
      </c>
      <c r="M387">
        <v>12984228.158</v>
      </c>
      <c r="N387">
        <v>0</v>
      </c>
      <c r="O387" t="b">
        <v>0</v>
      </c>
    </row>
    <row r="388" spans="1:15" x14ac:dyDescent="0.3">
      <c r="A388" s="1" t="s">
        <v>492</v>
      </c>
      <c r="B388">
        <v>1.6283184768720951</v>
      </c>
      <c r="C388">
        <v>3.2725086205538767E-2</v>
      </c>
      <c r="D388">
        <v>3.3028186705521767E-2</v>
      </c>
      <c r="E388">
        <v>40.781214982560577</v>
      </c>
      <c r="F388">
        <v>-8.3637053420971719E-2</v>
      </c>
      <c r="G388">
        <v>0.4</v>
      </c>
      <c r="H388">
        <v>-5.3250646495142197E-2</v>
      </c>
      <c r="I388">
        <v>0.71516622444610767</v>
      </c>
      <c r="J388">
        <v>-9.7015792128979372E-2</v>
      </c>
      <c r="K388">
        <v>5.6022295741942063E-3</v>
      </c>
      <c r="L388">
        <v>0</v>
      </c>
      <c r="M388">
        <v>98425058.088200003</v>
      </c>
      <c r="N388">
        <v>0</v>
      </c>
      <c r="O388" t="b">
        <v>1</v>
      </c>
    </row>
    <row r="389" spans="1:15" x14ac:dyDescent="0.3">
      <c r="A389" s="1" t="s">
        <v>493</v>
      </c>
      <c r="B389">
        <v>2.324425612477492</v>
      </c>
      <c r="C389">
        <v>2.1502748521979781E-2</v>
      </c>
      <c r="D389">
        <v>2.8390641911581069E-2</v>
      </c>
      <c r="E389">
        <v>54.154726829450318</v>
      </c>
      <c r="F389">
        <v>-3.0380496205801629E-2</v>
      </c>
      <c r="G389">
        <v>0.4</v>
      </c>
      <c r="H389">
        <v>-0.1284103750321737</v>
      </c>
      <c r="I389">
        <v>0.68404832926810422</v>
      </c>
      <c r="J389">
        <v>-6.7034332763709736E-2</v>
      </c>
      <c r="K389">
        <v>1.6914234108804219E-2</v>
      </c>
      <c r="L389">
        <v>0</v>
      </c>
      <c r="M389">
        <v>897986194.8670001</v>
      </c>
      <c r="N389">
        <v>0</v>
      </c>
      <c r="O389" t="b">
        <v>1</v>
      </c>
    </row>
    <row r="390" spans="1:15" x14ac:dyDescent="0.3">
      <c r="A390" s="1" t="s">
        <v>494</v>
      </c>
      <c r="B390">
        <v>0.38582678391237568</v>
      </c>
      <c r="C390">
        <v>8.7542068307200887E-3</v>
      </c>
      <c r="D390">
        <v>1.058010178498086E-2</v>
      </c>
      <c r="E390">
        <v>57.755697257968833</v>
      </c>
      <c r="F390">
        <v>9.4270264327773745E-3</v>
      </c>
      <c r="G390">
        <v>0.6</v>
      </c>
      <c r="H390">
        <v>-3.9700053843289814E-3</v>
      </c>
      <c r="I390">
        <v>0.50535379811658354</v>
      </c>
      <c r="J390">
        <v>-5.6986998571939562E-3</v>
      </c>
      <c r="K390">
        <v>6.6557184589979279E-3</v>
      </c>
      <c r="L390">
        <v>0</v>
      </c>
      <c r="M390">
        <v>21667306.453450002</v>
      </c>
      <c r="N390">
        <v>0</v>
      </c>
      <c r="O390" t="b">
        <v>0</v>
      </c>
    </row>
    <row r="391" spans="1:15" x14ac:dyDescent="0.3">
      <c r="A391" s="1" t="s">
        <v>495</v>
      </c>
      <c r="B391">
        <v>1.4491266222642429</v>
      </c>
      <c r="C391">
        <v>4.1845989669773119E-2</v>
      </c>
      <c r="D391">
        <v>3.1764366156511743E-2</v>
      </c>
      <c r="E391">
        <v>58.539212043961648</v>
      </c>
      <c r="F391">
        <v>0.1339227242960053</v>
      </c>
      <c r="G391">
        <v>0.4</v>
      </c>
      <c r="H391">
        <v>-0.1403321756221047</v>
      </c>
      <c r="I391">
        <v>1.1489480882215379</v>
      </c>
      <c r="J391">
        <v>-2.615298087739026E-2</v>
      </c>
      <c r="K391">
        <v>-8.8723526044646173E-3</v>
      </c>
      <c r="L391">
        <v>0</v>
      </c>
      <c r="M391">
        <v>364487944</v>
      </c>
      <c r="N391">
        <v>0</v>
      </c>
      <c r="O391" t="b">
        <v>1</v>
      </c>
    </row>
    <row r="392" spans="1:15" x14ac:dyDescent="0.3">
      <c r="A392" s="1" t="s">
        <v>496</v>
      </c>
      <c r="B392">
        <v>8.7423928670321747</v>
      </c>
      <c r="C392">
        <v>4.0052929005833002E-2</v>
      </c>
      <c r="D392">
        <v>3.9226466181948062E-2</v>
      </c>
      <c r="E392">
        <v>52.036990140352081</v>
      </c>
      <c r="F392">
        <v>-5.4947319257658833E-4</v>
      </c>
      <c r="G392">
        <v>0.4</v>
      </c>
      <c r="H392">
        <v>-5.2347829388015708E-2</v>
      </c>
      <c r="I392">
        <v>1.4053050857799201</v>
      </c>
      <c r="J392">
        <v>-5.4776545989953178E-2</v>
      </c>
      <c r="K392">
        <v>6.9243899063522463E-3</v>
      </c>
      <c r="L392">
        <v>0</v>
      </c>
      <c r="M392">
        <v>259038441.83649999</v>
      </c>
      <c r="N392">
        <v>0</v>
      </c>
      <c r="O392" t="b">
        <v>1</v>
      </c>
    </row>
    <row r="393" spans="1:15" x14ac:dyDescent="0.3">
      <c r="A393" s="1" t="s">
        <v>497</v>
      </c>
      <c r="B393">
        <v>0.72577747130912174</v>
      </c>
      <c r="C393">
        <v>8.2531171472885051E-3</v>
      </c>
      <c r="D393">
        <v>1.1315695509882821E-2</v>
      </c>
      <c r="E393">
        <v>59.56701746133237</v>
      </c>
      <c r="F393">
        <v>1.6280870439495661E-2</v>
      </c>
      <c r="G393">
        <v>0.2</v>
      </c>
      <c r="H393">
        <v>-6.8150284221984853E-2</v>
      </c>
      <c r="I393">
        <v>0.53724507116124209</v>
      </c>
      <c r="J393">
        <v>-6.7841294552806186E-4</v>
      </c>
      <c r="K393">
        <v>9.0208551339245879E-3</v>
      </c>
      <c r="L393">
        <v>0</v>
      </c>
      <c r="M393">
        <v>13734900.524700001</v>
      </c>
      <c r="N393">
        <v>1</v>
      </c>
      <c r="O393" t="b">
        <v>0</v>
      </c>
    </row>
    <row r="394" spans="1:15" x14ac:dyDescent="0.3">
      <c r="A394" s="1" t="s">
        <v>498</v>
      </c>
      <c r="B394">
        <v>3.7270606515485611</v>
      </c>
      <c r="C394">
        <v>2.355276790473235E-2</v>
      </c>
      <c r="D394">
        <v>2.7647352489525601E-2</v>
      </c>
      <c r="E394">
        <v>44.079790217314986</v>
      </c>
      <c r="F394">
        <v>-5.732548580415342E-2</v>
      </c>
      <c r="G394">
        <v>0.4</v>
      </c>
      <c r="H394">
        <v>-0.14633085016269509</v>
      </c>
      <c r="I394">
        <v>0.73035496032695146</v>
      </c>
      <c r="J394">
        <v>-5.3746015989858287E-2</v>
      </c>
      <c r="K394">
        <v>-1.996692822682045E-2</v>
      </c>
      <c r="L394">
        <v>0</v>
      </c>
      <c r="M394">
        <v>293466429.12849998</v>
      </c>
      <c r="N394">
        <v>0</v>
      </c>
      <c r="O394" t="b">
        <v>1</v>
      </c>
    </row>
    <row r="395" spans="1:15" x14ac:dyDescent="0.3">
      <c r="A395" s="1" t="s">
        <v>499</v>
      </c>
      <c r="B395">
        <v>4.4836387273271008</v>
      </c>
      <c r="C395">
        <v>3.6088528069278022E-2</v>
      </c>
      <c r="D395">
        <v>4.000321957501609E-2</v>
      </c>
      <c r="E395">
        <v>73.327365172133497</v>
      </c>
      <c r="F395">
        <v>0.16887759902154481</v>
      </c>
      <c r="G395">
        <v>0.6</v>
      </c>
      <c r="H395">
        <v>0.14302088986033279</v>
      </c>
      <c r="I395">
        <v>1.3519618198637631</v>
      </c>
      <c r="J395">
        <v>0</v>
      </c>
      <c r="K395">
        <v>3.8101604278074852E-2</v>
      </c>
      <c r="L395">
        <v>0</v>
      </c>
      <c r="M395">
        <v>319402172</v>
      </c>
      <c r="N395">
        <v>0</v>
      </c>
      <c r="O395" t="b">
        <v>1</v>
      </c>
    </row>
    <row r="396" spans="1:15" x14ac:dyDescent="0.3">
      <c r="A396" s="1" t="s">
        <v>500</v>
      </c>
      <c r="B396">
        <v>0.3696449146391978</v>
      </c>
      <c r="C396">
        <v>2.2639268149587069E-2</v>
      </c>
      <c r="D396">
        <v>2.0443910923834491E-2</v>
      </c>
      <c r="E396">
        <v>33.917386673788187</v>
      </c>
      <c r="F396">
        <v>-5.4946199839091547E-2</v>
      </c>
      <c r="G396">
        <v>0.2</v>
      </c>
      <c r="H396">
        <v>-0.1206543360854815</v>
      </c>
      <c r="I396">
        <v>0.55543239287241386</v>
      </c>
      <c r="J396">
        <v>-8.9268183846497151E-2</v>
      </c>
      <c r="K396">
        <v>8.4866153599090222E-3</v>
      </c>
      <c r="L396">
        <v>0</v>
      </c>
      <c r="M396">
        <v>107274763.42575</v>
      </c>
      <c r="N396">
        <v>0</v>
      </c>
      <c r="O396" t="b">
        <v>1</v>
      </c>
    </row>
    <row r="397" spans="1:15" x14ac:dyDescent="0.3">
      <c r="A397" s="1" t="s">
        <v>501</v>
      </c>
      <c r="B397">
        <v>2.1045532902594628</v>
      </c>
      <c r="C397">
        <v>4.6726316391195892E-2</v>
      </c>
      <c r="D397">
        <v>2.6420959147424459E-2</v>
      </c>
      <c r="E397">
        <v>26.684612197269502</v>
      </c>
      <c r="F397">
        <v>-0.14274838218500191</v>
      </c>
      <c r="G397">
        <v>0</v>
      </c>
      <c r="H397">
        <v>-0.25073209411310671</v>
      </c>
      <c r="I397">
        <v>1.7017343892994301</v>
      </c>
      <c r="J397">
        <v>-0.14567526555386939</v>
      </c>
      <c r="K397">
        <v>-1.994238865499764E-3</v>
      </c>
      <c r="L397">
        <v>0</v>
      </c>
      <c r="M397">
        <v>104194569</v>
      </c>
      <c r="N397">
        <v>0</v>
      </c>
      <c r="O397" t="b">
        <v>1</v>
      </c>
    </row>
    <row r="398" spans="1:15" x14ac:dyDescent="0.3">
      <c r="A398" s="1" t="s">
        <v>502</v>
      </c>
      <c r="B398">
        <v>2.6549305424295722</v>
      </c>
      <c r="C398">
        <v>3.8583498654695132E-2</v>
      </c>
      <c r="D398">
        <v>3.3250980962069417E-2</v>
      </c>
      <c r="E398">
        <v>50.482786219394427</v>
      </c>
      <c r="F398">
        <v>-1.206030150753779E-2</v>
      </c>
      <c r="G398">
        <v>0.6</v>
      </c>
      <c r="H398">
        <v>-0.10776413777046</v>
      </c>
      <c r="I398">
        <v>1.1429762257846641</v>
      </c>
      <c r="J398">
        <v>-3.2208157524613153E-2</v>
      </c>
      <c r="K398">
        <v>-8.358553105634825E-3</v>
      </c>
      <c r="L398">
        <v>0</v>
      </c>
      <c r="M398">
        <v>176145854</v>
      </c>
      <c r="N398">
        <v>0</v>
      </c>
      <c r="O398" t="b">
        <v>1</v>
      </c>
    </row>
    <row r="399" spans="1:15" x14ac:dyDescent="0.3">
      <c r="A399" s="1" t="s">
        <v>503</v>
      </c>
      <c r="B399">
        <v>0.5947459673799973</v>
      </c>
      <c r="C399">
        <v>1.1388234038747971E-2</v>
      </c>
      <c r="D399">
        <v>1.9984834733056862E-2</v>
      </c>
      <c r="E399">
        <v>63.011939800914362</v>
      </c>
      <c r="F399">
        <v>3.2025136352857642E-2</v>
      </c>
      <c r="G399">
        <v>0.4</v>
      </c>
      <c r="H399">
        <v>-0.12582738837473359</v>
      </c>
      <c r="I399">
        <v>0.6724869205363937</v>
      </c>
      <c r="J399">
        <v>0</v>
      </c>
      <c r="K399">
        <v>1.8611128448383418E-2</v>
      </c>
      <c r="L399">
        <v>0</v>
      </c>
      <c r="M399">
        <v>6861607.5411</v>
      </c>
      <c r="N399">
        <v>0</v>
      </c>
      <c r="O399" t="b">
        <v>0</v>
      </c>
    </row>
    <row r="400" spans="1:15" x14ac:dyDescent="0.3">
      <c r="A400" s="1" t="s">
        <v>504</v>
      </c>
      <c r="B400">
        <v>3.4578618295113919</v>
      </c>
      <c r="C400">
        <v>1.7709738335645171E-2</v>
      </c>
      <c r="D400">
        <v>3.3264704074734211E-2</v>
      </c>
      <c r="E400">
        <v>74.762037986325879</v>
      </c>
      <c r="F400">
        <v>7.7751896051135416E-2</v>
      </c>
      <c r="G400">
        <v>0.8</v>
      </c>
      <c r="H400">
        <v>5.7833851467605668E-2</v>
      </c>
      <c r="I400">
        <v>0.62164582945953217</v>
      </c>
      <c r="J400">
        <v>0</v>
      </c>
      <c r="K400">
        <v>2.956576761844509E-2</v>
      </c>
      <c r="L400">
        <v>0</v>
      </c>
      <c r="M400">
        <v>172454107.34599999</v>
      </c>
      <c r="N400">
        <v>0</v>
      </c>
      <c r="O400" t="b">
        <v>1</v>
      </c>
    </row>
    <row r="401" spans="1:15" x14ac:dyDescent="0.3">
      <c r="A401" s="1" t="s">
        <v>505</v>
      </c>
      <c r="B401">
        <v>0.86813787680147736</v>
      </c>
      <c r="C401">
        <v>3.5722604406246243E-2</v>
      </c>
      <c r="D401">
        <v>6.4660812601328305E-2</v>
      </c>
      <c r="E401">
        <v>63.591408354110257</v>
      </c>
      <c r="F401">
        <v>0.12920043119470681</v>
      </c>
      <c r="G401">
        <v>0.6</v>
      </c>
      <c r="H401">
        <v>-1.414545140144831E-2</v>
      </c>
      <c r="I401">
        <v>1.751290030956054</v>
      </c>
      <c r="J401">
        <v>0</v>
      </c>
      <c r="K401">
        <v>6.4042557849339765E-2</v>
      </c>
      <c r="L401">
        <v>0</v>
      </c>
      <c r="M401">
        <v>277840795.27679998</v>
      </c>
      <c r="N401">
        <v>0</v>
      </c>
      <c r="O401" t="b">
        <v>1</v>
      </c>
    </row>
    <row r="402" spans="1:15" x14ac:dyDescent="0.3">
      <c r="A402" s="1" t="s">
        <v>506</v>
      </c>
      <c r="B402">
        <v>1.493731404770835</v>
      </c>
      <c r="C402">
        <v>1.9189297855921231E-2</v>
      </c>
      <c r="D402">
        <v>2.0166517004338289E-2</v>
      </c>
      <c r="E402">
        <v>51.169605843803097</v>
      </c>
      <c r="F402">
        <v>-8.3518571717866252E-2</v>
      </c>
      <c r="G402">
        <v>0.8</v>
      </c>
      <c r="H402">
        <v>-0.13330837863630321</v>
      </c>
      <c r="I402">
        <v>0.4849752293230955</v>
      </c>
      <c r="J402">
        <v>-6.6818436839152451E-2</v>
      </c>
      <c r="K402">
        <v>1.555387692319732E-2</v>
      </c>
      <c r="L402">
        <v>0</v>
      </c>
      <c r="M402">
        <v>61239544.142449997</v>
      </c>
      <c r="N402">
        <v>0</v>
      </c>
      <c r="O402" t="b">
        <v>0</v>
      </c>
    </row>
    <row r="403" spans="1:15" x14ac:dyDescent="0.3">
      <c r="A403" s="1" t="s">
        <v>507</v>
      </c>
      <c r="B403">
        <v>8.906300743172368</v>
      </c>
      <c r="C403">
        <v>2.134820596553234E-2</v>
      </c>
      <c r="D403">
        <v>1.179313122015766E-2</v>
      </c>
      <c r="E403">
        <v>52.89729077232338</v>
      </c>
      <c r="F403">
        <v>2.7700660431041468E-2</v>
      </c>
      <c r="G403">
        <v>0.4</v>
      </c>
      <c r="H403">
        <v>-0.13003395878279569</v>
      </c>
      <c r="I403">
        <v>5.7815748101122472E-2</v>
      </c>
      <c r="J403">
        <v>-2.9673217816025051E-2</v>
      </c>
      <c r="K403">
        <v>4.050453780784613E-3</v>
      </c>
      <c r="L403">
        <v>0</v>
      </c>
      <c r="M403">
        <v>253297908.63600001</v>
      </c>
      <c r="N403">
        <v>0</v>
      </c>
      <c r="O403" t="b">
        <v>1</v>
      </c>
    </row>
    <row r="404" spans="1:15" x14ac:dyDescent="0.3">
      <c r="A404" s="1" t="s">
        <v>508</v>
      </c>
      <c r="B404">
        <v>3.643914673660698</v>
      </c>
      <c r="C404">
        <v>2.0495265132264479E-2</v>
      </c>
      <c r="D404">
        <v>1.646858987699177E-2</v>
      </c>
      <c r="E404">
        <v>52.403161929389228</v>
      </c>
      <c r="F404">
        <v>3.1856486210418922E-2</v>
      </c>
      <c r="G404">
        <v>0.6</v>
      </c>
      <c r="H404">
        <v>-0.18889442768530459</v>
      </c>
      <c r="I404">
        <v>0.33179611035545969</v>
      </c>
      <c r="J404">
        <v>-4.891781918317295E-3</v>
      </c>
      <c r="K404">
        <v>1.111818833244249E-2</v>
      </c>
      <c r="L404">
        <v>0</v>
      </c>
      <c r="M404">
        <v>228130490.92050001</v>
      </c>
      <c r="N404">
        <v>0</v>
      </c>
      <c r="O404" t="b">
        <v>1</v>
      </c>
    </row>
    <row r="405" spans="1:15" x14ac:dyDescent="0.3">
      <c r="A405" s="1" t="s">
        <v>509</v>
      </c>
      <c r="B405">
        <v>0.9519955154605001</v>
      </c>
      <c r="C405">
        <v>2.7983407273971191E-2</v>
      </c>
      <c r="D405">
        <v>2.792475014697245E-2</v>
      </c>
      <c r="E405">
        <v>40.625437357458971</v>
      </c>
      <c r="F405">
        <v>-4.2135345543620528E-2</v>
      </c>
      <c r="G405">
        <v>0.8</v>
      </c>
      <c r="H405">
        <v>-0.1975472934396737</v>
      </c>
      <c r="I405">
        <v>1.134787030810354</v>
      </c>
      <c r="J405">
        <v>-4.1598350264532291E-2</v>
      </c>
      <c r="K405">
        <v>1.7667844522968319E-3</v>
      </c>
      <c r="L405">
        <v>0</v>
      </c>
      <c r="M405">
        <v>34528559.866700001</v>
      </c>
      <c r="N405">
        <v>0</v>
      </c>
      <c r="O405" t="b">
        <v>0</v>
      </c>
    </row>
    <row r="406" spans="1:15" x14ac:dyDescent="0.3">
      <c r="A406" s="1" t="s">
        <v>510</v>
      </c>
      <c r="B406">
        <v>2.5098387976695569</v>
      </c>
      <c r="C406">
        <v>2.6851811251412831E-2</v>
      </c>
      <c r="D406">
        <v>2.000641917192672E-2</v>
      </c>
      <c r="E406">
        <v>64.633085362429597</v>
      </c>
      <c r="F406">
        <v>0.12831965234186371</v>
      </c>
      <c r="G406">
        <v>0.4</v>
      </c>
      <c r="H406">
        <v>-0.1063784545514572</v>
      </c>
      <c r="I406">
        <v>0.82442301130462803</v>
      </c>
      <c r="J406">
        <v>-1.4757035943923301E-2</v>
      </c>
      <c r="K406">
        <v>1.830264734720544E-2</v>
      </c>
      <c r="L406">
        <v>0</v>
      </c>
      <c r="M406">
        <v>33429246</v>
      </c>
      <c r="N406">
        <v>0</v>
      </c>
      <c r="O406" t="b">
        <v>0</v>
      </c>
    </row>
    <row r="407" spans="1:15" x14ac:dyDescent="0.3">
      <c r="A407" s="1" t="s">
        <v>511</v>
      </c>
      <c r="B407">
        <v>1.444943734092683</v>
      </c>
      <c r="C407">
        <v>1.1182217137648651E-2</v>
      </c>
      <c r="D407">
        <v>1.103561423331127E-2</v>
      </c>
      <c r="E407">
        <v>60.124586992487039</v>
      </c>
      <c r="F407">
        <v>4.415079673532718E-3</v>
      </c>
      <c r="G407">
        <v>0.8</v>
      </c>
      <c r="H407">
        <v>5.3743658399363313E-3</v>
      </c>
      <c r="I407">
        <v>1.0405300248776881</v>
      </c>
      <c r="J407">
        <v>0</v>
      </c>
      <c r="K407">
        <v>5.040056000622295E-3</v>
      </c>
      <c r="L407">
        <v>0</v>
      </c>
      <c r="M407">
        <v>12814188.625499999</v>
      </c>
      <c r="N407">
        <v>0</v>
      </c>
      <c r="O407" t="b">
        <v>0</v>
      </c>
    </row>
    <row r="408" spans="1:15" x14ac:dyDescent="0.3">
      <c r="A408" s="1" t="s">
        <v>512</v>
      </c>
      <c r="B408">
        <v>1.1962810500238319</v>
      </c>
      <c r="C408">
        <v>2.628033941177136E-2</v>
      </c>
      <c r="D408">
        <v>1.8233743409490299E-2</v>
      </c>
      <c r="E408">
        <v>48.729771848200009</v>
      </c>
      <c r="F408">
        <v>-2.5684931506849251E-2</v>
      </c>
      <c r="G408">
        <v>0.8</v>
      </c>
      <c r="H408">
        <v>-0.11366563841330179</v>
      </c>
      <c r="I408">
        <v>0.79120058315160835</v>
      </c>
      <c r="J408">
        <v>-2.8181041844577259E-2</v>
      </c>
      <c r="K408">
        <v>7.5254537405933242E-3</v>
      </c>
      <c r="L408">
        <v>0</v>
      </c>
      <c r="M408">
        <v>143606414</v>
      </c>
      <c r="N408">
        <v>0</v>
      </c>
      <c r="O408" t="b">
        <v>1</v>
      </c>
    </row>
    <row r="409" spans="1:15" x14ac:dyDescent="0.3">
      <c r="A409" s="1" t="s">
        <v>513</v>
      </c>
      <c r="B409">
        <v>1.9940375802032679</v>
      </c>
      <c r="C409">
        <v>1.547889414315198E-2</v>
      </c>
      <c r="D409">
        <v>7.6927256778681896E-3</v>
      </c>
      <c r="E409">
        <v>32.056500254143288</v>
      </c>
      <c r="F409">
        <v>-6.5694330618431773E-2</v>
      </c>
      <c r="G409">
        <v>0.2</v>
      </c>
      <c r="H409">
        <v>-0.13035123249051331</v>
      </c>
      <c r="I409">
        <v>0.23064380196538101</v>
      </c>
      <c r="J409">
        <v>-7.335582394026785E-2</v>
      </c>
      <c r="K409">
        <v>-1.9987449740859202E-3</v>
      </c>
      <c r="L409">
        <v>0</v>
      </c>
      <c r="M409">
        <v>162006384.20100001</v>
      </c>
      <c r="N409">
        <v>0</v>
      </c>
      <c r="O409" t="b">
        <v>1</v>
      </c>
    </row>
    <row r="410" spans="1:15" x14ac:dyDescent="0.3">
      <c r="A410" s="1" t="s">
        <v>514</v>
      </c>
      <c r="B410">
        <v>2.6006863872445232</v>
      </c>
      <c r="C410">
        <v>2.2237211738529682E-2</v>
      </c>
      <c r="D410">
        <v>2.2120186059237889E-2</v>
      </c>
      <c r="E410">
        <v>53.081705833578013</v>
      </c>
      <c r="F410">
        <v>2.5516914820855389E-2</v>
      </c>
      <c r="G410">
        <v>0.4</v>
      </c>
      <c r="H410">
        <v>6.5643887057742975E-2</v>
      </c>
      <c r="I410">
        <v>0.3463855436761914</v>
      </c>
      <c r="J410">
        <v>-3.1341107871720182E-2</v>
      </c>
      <c r="K410">
        <v>-1.3154897013779251E-2</v>
      </c>
      <c r="L410">
        <v>0</v>
      </c>
      <c r="M410">
        <v>85385778.926999986</v>
      </c>
      <c r="N410">
        <v>0</v>
      </c>
      <c r="O410" t="b">
        <v>0</v>
      </c>
    </row>
    <row r="411" spans="1:15" x14ac:dyDescent="0.3">
      <c r="A411" s="1" t="s">
        <v>515</v>
      </c>
      <c r="B411">
        <v>0.35163319698049872</v>
      </c>
      <c r="C411">
        <v>9.2644518649799019E-3</v>
      </c>
      <c r="D411">
        <v>1.011985214108259E-2</v>
      </c>
      <c r="E411">
        <v>55.767081215325547</v>
      </c>
      <c r="F411">
        <v>3.694262126012315E-3</v>
      </c>
      <c r="G411">
        <v>0.6</v>
      </c>
      <c r="H411">
        <v>-0.1613178766910992</v>
      </c>
      <c r="I411">
        <v>0.78535098509310275</v>
      </c>
      <c r="J411">
        <v>-2.3603689324981358E-3</v>
      </c>
      <c r="K411">
        <v>6.0807354137895056E-3</v>
      </c>
      <c r="L411">
        <v>0</v>
      </c>
      <c r="M411">
        <v>36106073.648200013</v>
      </c>
      <c r="N411">
        <v>0</v>
      </c>
      <c r="O411" t="b">
        <v>0</v>
      </c>
    </row>
    <row r="412" spans="1:15" x14ac:dyDescent="0.3">
      <c r="A412" s="1" t="s">
        <v>516</v>
      </c>
      <c r="B412">
        <v>1.782245754511435</v>
      </c>
      <c r="C412">
        <v>1.5766923702074848E-2</v>
      </c>
      <c r="D412">
        <v>1.315498465104342E-2</v>
      </c>
      <c r="E412">
        <v>24.051083399720429</v>
      </c>
      <c r="F412">
        <v>-6.4580730050231239E-2</v>
      </c>
      <c r="G412">
        <v>0.2</v>
      </c>
      <c r="H412">
        <v>-0.13026483107648079</v>
      </c>
      <c r="I412">
        <v>-0.23704021257144289</v>
      </c>
      <c r="J412">
        <v>-8.93146314542832E-2</v>
      </c>
      <c r="K412">
        <v>-1.076426264800856E-2</v>
      </c>
      <c r="L412">
        <v>0</v>
      </c>
      <c r="M412">
        <v>367050560.19550002</v>
      </c>
      <c r="N412">
        <v>0</v>
      </c>
      <c r="O412" t="b">
        <v>1</v>
      </c>
    </row>
    <row r="413" spans="1:15" x14ac:dyDescent="0.3">
      <c r="A413" s="1" t="s">
        <v>517</v>
      </c>
      <c r="B413">
        <v>11.9442110942655</v>
      </c>
      <c r="C413">
        <v>6.0495396547130757E-2</v>
      </c>
      <c r="D413">
        <v>7.8960696920583481E-2</v>
      </c>
      <c r="E413">
        <v>44.037429219687702</v>
      </c>
      <c r="F413">
        <v>2.406639004149369E-2</v>
      </c>
      <c r="G413">
        <v>0.8</v>
      </c>
      <c r="H413">
        <v>-0.15008058154311629</v>
      </c>
      <c r="I413">
        <v>1.781799785049768</v>
      </c>
      <c r="J413">
        <v>-5.5672469867993242E-2</v>
      </c>
      <c r="K413">
        <v>-5.5672469867993242E-2</v>
      </c>
      <c r="L413">
        <v>0</v>
      </c>
      <c r="M413">
        <v>343804234.5</v>
      </c>
      <c r="N413">
        <v>0</v>
      </c>
      <c r="O413" t="b">
        <v>1</v>
      </c>
    </row>
    <row r="414" spans="1:15" x14ac:dyDescent="0.3">
      <c r="A414" s="1" t="s">
        <v>518</v>
      </c>
      <c r="B414">
        <v>2.6560798362616258</v>
      </c>
      <c r="C414">
        <v>2.23801806223595E-2</v>
      </c>
      <c r="D414">
        <v>2.5615099427030719E-2</v>
      </c>
      <c r="E414">
        <v>45.781006150140797</v>
      </c>
      <c r="F414">
        <v>-1.239910127319621E-2</v>
      </c>
      <c r="G414">
        <v>0.4</v>
      </c>
      <c r="H414">
        <v>-0.15733186860812581</v>
      </c>
      <c r="I414">
        <v>0.4956793333049011</v>
      </c>
      <c r="J414">
        <v>-3.9805825242718362E-2</v>
      </c>
      <c r="K414">
        <v>1.7228079197737282E-2</v>
      </c>
      <c r="L414">
        <v>0</v>
      </c>
      <c r="M414">
        <v>100627948</v>
      </c>
      <c r="N414">
        <v>0</v>
      </c>
      <c r="O414" t="b">
        <v>1</v>
      </c>
    </row>
    <row r="415" spans="1:15" x14ac:dyDescent="0.3">
      <c r="A415" s="1" t="s">
        <v>519</v>
      </c>
      <c r="B415">
        <v>0.99236915836922568</v>
      </c>
      <c r="C415">
        <v>2.6002551032489149E-2</v>
      </c>
      <c r="D415">
        <v>3.6709699902788627E-2</v>
      </c>
      <c r="E415">
        <v>70.013122628940835</v>
      </c>
      <c r="F415">
        <v>0.13237100554846731</v>
      </c>
      <c r="G415">
        <v>0.6</v>
      </c>
      <c r="H415">
        <v>4.5672568994128297E-2</v>
      </c>
      <c r="I415">
        <v>0.59379788417703017</v>
      </c>
      <c r="J415">
        <v>0</v>
      </c>
      <c r="K415">
        <v>2.700426255624189E-2</v>
      </c>
      <c r="L415">
        <v>0</v>
      </c>
      <c r="M415">
        <v>275741483.91210002</v>
      </c>
      <c r="N415">
        <v>0</v>
      </c>
      <c r="O415" t="b">
        <v>1</v>
      </c>
    </row>
    <row r="416" spans="1:15" x14ac:dyDescent="0.3">
      <c r="A416" s="1" t="s">
        <v>520</v>
      </c>
      <c r="B416">
        <v>1.473750171101111</v>
      </c>
      <c r="C416">
        <v>1.0403652280516391E-2</v>
      </c>
      <c r="D416">
        <v>1.5636361069343581E-2</v>
      </c>
      <c r="E416">
        <v>59.277023173908511</v>
      </c>
      <c r="F416">
        <v>1.942313504800031E-2</v>
      </c>
      <c r="G416">
        <v>0.6</v>
      </c>
      <c r="H416">
        <v>-7.9293343211389866E-2</v>
      </c>
      <c r="I416">
        <v>0.55329751802372829</v>
      </c>
      <c r="J416">
        <v>-2.092227059469987E-3</v>
      </c>
      <c r="K416">
        <v>1.4161040671826219E-2</v>
      </c>
      <c r="L416">
        <v>0</v>
      </c>
      <c r="M416">
        <v>50432650.497500002</v>
      </c>
      <c r="N416">
        <v>0</v>
      </c>
      <c r="O416" t="b">
        <v>0</v>
      </c>
    </row>
    <row r="417" spans="1:15" x14ac:dyDescent="0.3">
      <c r="A417" s="1" t="s">
        <v>521</v>
      </c>
      <c r="B417">
        <v>2.2149296852139022</v>
      </c>
      <c r="C417">
        <v>3.2784631219862373E-2</v>
      </c>
      <c r="D417">
        <v>3.8632326820603899E-2</v>
      </c>
      <c r="E417">
        <v>65.169355010655011</v>
      </c>
      <c r="F417">
        <v>0.23194748358862149</v>
      </c>
      <c r="G417">
        <v>1</v>
      </c>
      <c r="H417">
        <v>-7.1034417264017574E-2</v>
      </c>
      <c r="I417">
        <v>0.40828207605398509</v>
      </c>
      <c r="J417">
        <v>0</v>
      </c>
      <c r="K417">
        <v>1.8543645409317081E-2</v>
      </c>
      <c r="L417">
        <v>0</v>
      </c>
      <c r="M417">
        <v>293805144</v>
      </c>
      <c r="N417">
        <v>0</v>
      </c>
      <c r="O417" t="b">
        <v>1</v>
      </c>
    </row>
    <row r="418" spans="1:15" x14ac:dyDescent="0.3">
      <c r="A418" s="1" t="s">
        <v>522</v>
      </c>
      <c r="B418">
        <v>1.509821796923152</v>
      </c>
      <c r="C418">
        <v>1.06132646102374E-2</v>
      </c>
      <c r="D418">
        <v>8.0628154479890045E-3</v>
      </c>
      <c r="E418">
        <v>68.82132481677148</v>
      </c>
      <c r="F418">
        <v>4.147357478055258E-2</v>
      </c>
      <c r="G418">
        <v>1</v>
      </c>
      <c r="H418">
        <v>0.1052399785948995</v>
      </c>
      <c r="I418">
        <v>0.83376548175263954</v>
      </c>
      <c r="J418">
        <v>0</v>
      </c>
      <c r="K418">
        <v>3.937896965420018E-3</v>
      </c>
      <c r="L418">
        <v>0</v>
      </c>
      <c r="M418">
        <v>43628351.215999998</v>
      </c>
      <c r="N418">
        <v>0</v>
      </c>
      <c r="O418" t="b">
        <v>0</v>
      </c>
    </row>
    <row r="419" spans="1:15" x14ac:dyDescent="0.3">
      <c r="A419" s="1" t="s">
        <v>523</v>
      </c>
      <c r="B419">
        <v>12.557205073298441</v>
      </c>
      <c r="C419">
        <v>3.5289899877184172E-2</v>
      </c>
      <c r="D419">
        <v>4.1620998791557777E-2</v>
      </c>
      <c r="E419">
        <v>68.446316182874341</v>
      </c>
      <c r="F419">
        <v>0.21187248825011909</v>
      </c>
      <c r="G419">
        <v>0.4</v>
      </c>
      <c r="H419">
        <v>0.22235800790597621</v>
      </c>
      <c r="I419">
        <v>1.5186143297654</v>
      </c>
      <c r="J419">
        <v>-1.576632644593812E-2</v>
      </c>
      <c r="K419">
        <v>2.4826473891881081E-2</v>
      </c>
      <c r="L419">
        <v>0</v>
      </c>
      <c r="M419">
        <v>80408450</v>
      </c>
      <c r="N419">
        <v>0</v>
      </c>
      <c r="O419" t="b">
        <v>0</v>
      </c>
    </row>
    <row r="420" spans="1:15" x14ac:dyDescent="0.3">
      <c r="A420" s="1" t="s">
        <v>524</v>
      </c>
      <c r="B420">
        <v>0.66734652549216822</v>
      </c>
      <c r="C420">
        <v>1.0912824912998951E-2</v>
      </c>
      <c r="D420">
        <v>1.1257103143779919E-2</v>
      </c>
      <c r="E420">
        <v>61.359247059223442</v>
      </c>
      <c r="F420">
        <v>7.2306818088234692E-3</v>
      </c>
      <c r="G420">
        <v>0.6</v>
      </c>
      <c r="H420">
        <v>6.5630240997355163E-2</v>
      </c>
      <c r="I420">
        <v>0.99067480497610549</v>
      </c>
      <c r="J420">
        <v>0</v>
      </c>
      <c r="K420">
        <v>6.4035258066534873E-3</v>
      </c>
      <c r="L420">
        <v>0</v>
      </c>
      <c r="M420">
        <v>97451657.422899991</v>
      </c>
      <c r="N420">
        <v>0</v>
      </c>
      <c r="O420" t="b">
        <v>1</v>
      </c>
    </row>
    <row r="421" spans="1:15" x14ac:dyDescent="0.3">
      <c r="A421" s="1" t="s">
        <v>525</v>
      </c>
      <c r="B421">
        <v>0.50716446629470169</v>
      </c>
      <c r="C421">
        <v>1.3484830265745861E-2</v>
      </c>
      <c r="D421">
        <v>1.036958255783019E-2</v>
      </c>
      <c r="E421">
        <v>54.666468222002109</v>
      </c>
      <c r="F421">
        <v>-5.3149083178327672E-4</v>
      </c>
      <c r="G421">
        <v>0.6</v>
      </c>
      <c r="H421">
        <v>3.6810951178499217E-2</v>
      </c>
      <c r="I421">
        <v>0.42797152566752422</v>
      </c>
      <c r="J421">
        <v>-1.7245884504834219E-2</v>
      </c>
      <c r="K421">
        <v>4.0042712226373567E-3</v>
      </c>
      <c r="L421">
        <v>0</v>
      </c>
      <c r="M421">
        <v>8147961</v>
      </c>
      <c r="N421">
        <v>0</v>
      </c>
      <c r="O421" t="b">
        <v>0</v>
      </c>
    </row>
    <row r="422" spans="1:15" x14ac:dyDescent="0.3">
      <c r="A422" s="1" t="s">
        <v>526</v>
      </c>
      <c r="B422">
        <v>0.87550967789192624</v>
      </c>
      <c r="C422">
        <v>4.3061100241588357E-3</v>
      </c>
      <c r="D422">
        <v>1.5197867380162969E-3</v>
      </c>
      <c r="E422">
        <v>68.171873720776375</v>
      </c>
      <c r="F422">
        <v>1.1421635442886879E-2</v>
      </c>
      <c r="G422">
        <v>0.6</v>
      </c>
      <c r="H422">
        <v>0.1096277824034526</v>
      </c>
      <c r="I422">
        <v>0.28773840771845549</v>
      </c>
      <c r="J422">
        <v>-2.0075885866870369E-3</v>
      </c>
      <c r="K422">
        <v>-1.517480491290413E-3</v>
      </c>
      <c r="L422">
        <v>0</v>
      </c>
      <c r="M422">
        <v>443328172.64700007</v>
      </c>
      <c r="N422">
        <v>0</v>
      </c>
      <c r="O422" t="b">
        <v>1</v>
      </c>
    </row>
    <row r="423" spans="1:15" x14ac:dyDescent="0.3">
      <c r="A423" s="1" t="s">
        <v>527</v>
      </c>
      <c r="B423">
        <v>0.12736165128594809</v>
      </c>
      <c r="C423">
        <v>2.6734857151302729E-3</v>
      </c>
      <c r="D423">
        <v>3.5454293559031859E-3</v>
      </c>
      <c r="E423">
        <v>50.868862040668439</v>
      </c>
      <c r="F423">
        <v>2.0065876651649268E-3</v>
      </c>
      <c r="G423">
        <v>0.2</v>
      </c>
      <c r="H423">
        <v>-8.9808751323717614E-2</v>
      </c>
      <c r="I423">
        <v>-9.9457352488433095E-3</v>
      </c>
      <c r="J423">
        <v>-5.2453539361034807E-3</v>
      </c>
      <c r="K423">
        <v>2.7194503847645102E-3</v>
      </c>
      <c r="L423">
        <v>0</v>
      </c>
      <c r="M423">
        <v>12716935.61145</v>
      </c>
      <c r="N423">
        <v>0</v>
      </c>
      <c r="O423" t="b">
        <v>0</v>
      </c>
    </row>
    <row r="424" spans="1:15" x14ac:dyDescent="0.3">
      <c r="A424" s="1" t="s">
        <v>528</v>
      </c>
      <c r="B424">
        <v>2.1325488847637701</v>
      </c>
      <c r="C424">
        <v>2.5894683421392711E-2</v>
      </c>
      <c r="D424">
        <v>2.4688329870669119E-2</v>
      </c>
      <c r="E424">
        <v>45.122175730019897</v>
      </c>
      <c r="F424">
        <v>-2.6513723186327831E-2</v>
      </c>
      <c r="G424">
        <v>0.8</v>
      </c>
      <c r="H424">
        <v>-8.8643000897397864E-2</v>
      </c>
      <c r="I424">
        <v>1.21491011742368</v>
      </c>
      <c r="J424">
        <v>-5.5455964509650728E-2</v>
      </c>
      <c r="K424">
        <v>-1.501964466185479E-2</v>
      </c>
      <c r="L424">
        <v>0</v>
      </c>
      <c r="M424">
        <v>372107409.62870002</v>
      </c>
      <c r="N424">
        <v>0</v>
      </c>
      <c r="O424" t="b">
        <v>1</v>
      </c>
    </row>
    <row r="425" spans="1:15" x14ac:dyDescent="0.3">
      <c r="A425" s="1" t="s">
        <v>529</v>
      </c>
      <c r="B425">
        <v>0.2445595070913221</v>
      </c>
      <c r="C425">
        <v>2.492961336302978E-2</v>
      </c>
      <c r="D425">
        <v>2.54841997961264E-2</v>
      </c>
      <c r="E425">
        <v>49.101342919815323</v>
      </c>
      <c r="F425">
        <v>-7.0850202429150189E-3</v>
      </c>
      <c r="G425">
        <v>0.4</v>
      </c>
      <c r="H425">
        <v>1.6686777384949489E-2</v>
      </c>
      <c r="I425">
        <v>0.2157779295005044</v>
      </c>
      <c r="J425">
        <v>-7.5400565504241235E-2</v>
      </c>
      <c r="K425">
        <v>-1.8999999999999909E-2</v>
      </c>
      <c r="L425">
        <v>0</v>
      </c>
      <c r="M425">
        <v>19366696</v>
      </c>
      <c r="N425">
        <v>0</v>
      </c>
      <c r="O425" t="b">
        <v>0</v>
      </c>
    </row>
    <row r="426" spans="1:15" x14ac:dyDescent="0.3">
      <c r="A426" s="1" t="s">
        <v>530</v>
      </c>
      <c r="B426">
        <v>5.0229353106292978</v>
      </c>
      <c r="C426">
        <v>1.9565050093987062E-2</v>
      </c>
      <c r="D426">
        <v>2.52483153507576E-2</v>
      </c>
      <c r="E426">
        <v>41.508876236160127</v>
      </c>
      <c r="F426">
        <v>-4.2934101777478686E-3</v>
      </c>
      <c r="G426">
        <v>0.4</v>
      </c>
      <c r="H426">
        <v>-0.12372448795788719</v>
      </c>
      <c r="I426">
        <v>0.48572904540552631</v>
      </c>
      <c r="J426">
        <v>-6.4364355973774656E-2</v>
      </c>
      <c r="K426">
        <v>1.6422389560618141E-2</v>
      </c>
      <c r="L426">
        <v>0</v>
      </c>
      <c r="M426">
        <v>313790161.648</v>
      </c>
      <c r="N426">
        <v>0</v>
      </c>
      <c r="O426" t="b">
        <v>1</v>
      </c>
    </row>
    <row r="427" spans="1:15" x14ac:dyDescent="0.3">
      <c r="A427" s="1" t="s">
        <v>531</v>
      </c>
      <c r="B427">
        <v>1.625814662997394</v>
      </c>
      <c r="C427">
        <v>1.7174165072442821E-2</v>
      </c>
      <c r="D427">
        <v>1.016623655936698E-2</v>
      </c>
      <c r="E427">
        <v>38.118270579635812</v>
      </c>
      <c r="F427">
        <v>-2.0718099165089932E-2</v>
      </c>
      <c r="G427">
        <v>0.4</v>
      </c>
      <c r="H427">
        <v>-6.4366631783292161E-2</v>
      </c>
      <c r="I427">
        <v>-0.46741908112169228</v>
      </c>
      <c r="J427">
        <v>-7.3615555490316842E-2</v>
      </c>
      <c r="K427">
        <v>-4.2788128292859939E-3</v>
      </c>
      <c r="L427">
        <v>0</v>
      </c>
      <c r="M427">
        <v>234823988.15549999</v>
      </c>
      <c r="N427">
        <v>0</v>
      </c>
      <c r="O427" t="b">
        <v>1</v>
      </c>
    </row>
    <row r="428" spans="1:15" x14ac:dyDescent="0.3">
      <c r="A428" s="1" t="s">
        <v>532</v>
      </c>
      <c r="B428">
        <v>1.486972146372413</v>
      </c>
      <c r="C428">
        <v>2.7705834663171471E-2</v>
      </c>
      <c r="D428">
        <v>1.8632383081796159E-2</v>
      </c>
      <c r="E428">
        <v>51.65435687011437</v>
      </c>
      <c r="F428">
        <v>-2.7188689505165842E-2</v>
      </c>
      <c r="G428">
        <v>0.8</v>
      </c>
      <c r="H428">
        <v>-3.1214579184282588E-2</v>
      </c>
      <c r="I428">
        <v>0.95499028734868729</v>
      </c>
      <c r="J428">
        <v>-3.3495407887628281E-2</v>
      </c>
      <c r="K428">
        <v>6.5641410352588192E-3</v>
      </c>
      <c r="L428">
        <v>0</v>
      </c>
      <c r="M428">
        <v>58565652</v>
      </c>
      <c r="N428">
        <v>0</v>
      </c>
      <c r="O428" t="b">
        <v>0</v>
      </c>
    </row>
    <row r="429" spans="1:15" x14ac:dyDescent="0.3">
      <c r="A429" s="1" t="s">
        <v>533</v>
      </c>
      <c r="B429">
        <v>0.69953104563625024</v>
      </c>
      <c r="C429">
        <v>1.056857857999432E-2</v>
      </c>
      <c r="D429">
        <v>1.163927317996599E-2</v>
      </c>
      <c r="E429">
        <v>40.799019382487238</v>
      </c>
      <c r="F429">
        <v>-2.1609245014160838E-2</v>
      </c>
      <c r="G429">
        <v>0.4</v>
      </c>
      <c r="H429">
        <v>-9.632695401679188E-2</v>
      </c>
      <c r="I429">
        <v>-0.16731976974067941</v>
      </c>
      <c r="J429">
        <v>-3.4716246999425333E-2</v>
      </c>
      <c r="K429">
        <v>4.1964343961975459E-3</v>
      </c>
      <c r="L429">
        <v>0</v>
      </c>
      <c r="M429">
        <v>63683701.960600004</v>
      </c>
      <c r="N429">
        <v>0</v>
      </c>
      <c r="O429" t="b">
        <v>0</v>
      </c>
    </row>
    <row r="430" spans="1:15" x14ac:dyDescent="0.3">
      <c r="A430" s="1" t="s">
        <v>534</v>
      </c>
      <c r="B430">
        <v>0.5642494969661187</v>
      </c>
      <c r="C430">
        <v>1.037948377480811E-2</v>
      </c>
      <c r="D430">
        <v>1.2874802251572779E-2</v>
      </c>
      <c r="E430">
        <v>59.759200083747103</v>
      </c>
      <c r="F430">
        <v>-6.6658383095666851E-3</v>
      </c>
      <c r="G430">
        <v>0.4</v>
      </c>
      <c r="H430">
        <v>1.9583927080898181E-2</v>
      </c>
      <c r="I430">
        <v>1.0156247989471601</v>
      </c>
      <c r="J430">
        <v>-7.9166651458688619E-3</v>
      </c>
      <c r="K430">
        <v>1.118475019856513E-2</v>
      </c>
      <c r="L430">
        <v>0</v>
      </c>
      <c r="M430">
        <v>1170593551.2249</v>
      </c>
      <c r="N430">
        <v>0</v>
      </c>
      <c r="O430" t="b">
        <v>1</v>
      </c>
    </row>
    <row r="431" spans="1:15" x14ac:dyDescent="0.3">
      <c r="A431" s="1" t="s">
        <v>535</v>
      </c>
      <c r="B431">
        <v>0.81393121748881614</v>
      </c>
      <c r="C431">
        <v>8.5926972527312732E-3</v>
      </c>
      <c r="D431">
        <v>1.2650490479669299E-2</v>
      </c>
      <c r="E431">
        <v>61.660290288100242</v>
      </c>
      <c r="F431">
        <v>1.2069149731820611E-2</v>
      </c>
      <c r="G431">
        <v>0.4</v>
      </c>
      <c r="H431">
        <v>-4.9564244204965281E-2</v>
      </c>
      <c r="I431">
        <v>0.72164832495608078</v>
      </c>
      <c r="J431">
        <v>-1.242073609204253E-3</v>
      </c>
      <c r="K431">
        <v>1.111414737453353E-2</v>
      </c>
      <c r="L431">
        <v>0</v>
      </c>
      <c r="M431">
        <v>1174441237.8032999</v>
      </c>
      <c r="N431">
        <v>0</v>
      </c>
      <c r="O431" t="b">
        <v>1</v>
      </c>
    </row>
    <row r="432" spans="1:15" x14ac:dyDescent="0.3">
      <c r="A432" s="1" t="s">
        <v>536</v>
      </c>
      <c r="B432">
        <v>0.55598686543054832</v>
      </c>
      <c r="C432">
        <v>6.5426614602311908E-3</v>
      </c>
      <c r="D432">
        <v>9.4035328852994423E-3</v>
      </c>
      <c r="E432">
        <v>55.630398668457389</v>
      </c>
      <c r="F432">
        <v>4.899224732866303E-3</v>
      </c>
      <c r="G432">
        <v>0.2</v>
      </c>
      <c r="H432">
        <v>-0.11123848261950479</v>
      </c>
      <c r="I432">
        <v>0.29226292807945647</v>
      </c>
      <c r="J432">
        <v>-5.3117958622304062E-3</v>
      </c>
      <c r="K432">
        <v>8.0749246719968859E-3</v>
      </c>
      <c r="L432">
        <v>0</v>
      </c>
      <c r="M432">
        <v>28167789.600099999</v>
      </c>
      <c r="N432">
        <v>0</v>
      </c>
      <c r="O432" t="b">
        <v>0</v>
      </c>
    </row>
    <row r="433" spans="1:15" x14ac:dyDescent="0.3">
      <c r="A433" s="1" t="s">
        <v>537</v>
      </c>
      <c r="B433">
        <v>1.0845578163488789</v>
      </c>
      <c r="C433">
        <v>9.556164841434088E-3</v>
      </c>
      <c r="D433">
        <v>1.2573462680517679E-2</v>
      </c>
      <c r="E433">
        <v>56.480705728818442</v>
      </c>
      <c r="F433">
        <v>-7.835748622140315E-4</v>
      </c>
      <c r="G433">
        <v>0.6</v>
      </c>
      <c r="H433">
        <v>-0.1090704720021544</v>
      </c>
      <c r="I433">
        <v>0.85268734281215319</v>
      </c>
      <c r="J433">
        <v>-1.148834616590599E-2</v>
      </c>
      <c r="K433">
        <v>9.6343741659994375E-3</v>
      </c>
      <c r="L433">
        <v>0</v>
      </c>
      <c r="M433">
        <v>73093414.534000009</v>
      </c>
      <c r="N433">
        <v>0</v>
      </c>
      <c r="O433" t="b">
        <v>0</v>
      </c>
    </row>
    <row r="434" spans="1:15" x14ac:dyDescent="0.3">
      <c r="A434" s="1" t="s">
        <v>538</v>
      </c>
      <c r="B434">
        <v>0.59835951494384421</v>
      </c>
      <c r="C434">
        <v>8.5647555207168918E-3</v>
      </c>
      <c r="D434">
        <v>1.4695904842334359E-2</v>
      </c>
      <c r="E434">
        <v>66.398350172004712</v>
      </c>
      <c r="F434">
        <v>2.276004526536313E-2</v>
      </c>
      <c r="G434">
        <v>0.6</v>
      </c>
      <c r="H434">
        <v>-2.3764532643235151E-3</v>
      </c>
      <c r="I434">
        <v>0.59248823039770859</v>
      </c>
      <c r="J434">
        <v>0</v>
      </c>
      <c r="K434">
        <v>1.3475188622176891E-2</v>
      </c>
      <c r="L434">
        <v>0</v>
      </c>
      <c r="M434">
        <v>131494458.31455</v>
      </c>
      <c r="N434">
        <v>0</v>
      </c>
      <c r="O434" t="b">
        <v>1</v>
      </c>
    </row>
    <row r="435" spans="1:15" x14ac:dyDescent="0.3">
      <c r="A435" s="1" t="s">
        <v>539</v>
      </c>
      <c r="B435">
        <v>5.0378268571146094</v>
      </c>
      <c r="C435">
        <v>2.3475428038744681E-2</v>
      </c>
      <c r="D435">
        <v>3.2856477166822072E-2</v>
      </c>
      <c r="E435">
        <v>53.88424006337867</v>
      </c>
      <c r="F435">
        <v>3.2872888289935842E-2</v>
      </c>
      <c r="G435">
        <v>0.6</v>
      </c>
      <c r="H435">
        <v>-0.20475456178094789</v>
      </c>
      <c r="I435">
        <v>0.42554020496516842</v>
      </c>
      <c r="J435">
        <v>0</v>
      </c>
      <c r="K435">
        <v>2.9468907256652521E-2</v>
      </c>
      <c r="L435">
        <v>0</v>
      </c>
      <c r="M435">
        <v>241826825.49000001</v>
      </c>
      <c r="N435">
        <v>0</v>
      </c>
      <c r="O435" t="b">
        <v>1</v>
      </c>
    </row>
    <row r="436" spans="1:15" x14ac:dyDescent="0.3">
      <c r="A436" s="1" t="s">
        <v>540</v>
      </c>
      <c r="B436">
        <v>6.4965106463641034</v>
      </c>
      <c r="C436">
        <v>2.059311708360257E-2</v>
      </c>
      <c r="D436">
        <v>2.5010302088946609E-2</v>
      </c>
      <c r="E436">
        <v>47.489503648812459</v>
      </c>
      <c r="F436">
        <v>-3.9986610267490293E-2</v>
      </c>
      <c r="G436">
        <v>0.4</v>
      </c>
      <c r="H436">
        <v>-0.1078854282685066</v>
      </c>
      <c r="I436">
        <v>0.33293140451211339</v>
      </c>
      <c r="J436">
        <v>-3.6703410791169122E-2</v>
      </c>
      <c r="K436">
        <v>1.5810149407522012E-2</v>
      </c>
      <c r="L436">
        <v>0</v>
      </c>
      <c r="M436">
        <v>122572278.69599999</v>
      </c>
      <c r="N436">
        <v>0</v>
      </c>
      <c r="O436" t="b">
        <v>1</v>
      </c>
    </row>
    <row r="437" spans="1:15" x14ac:dyDescent="0.3">
      <c r="A437" s="1" t="s">
        <v>541</v>
      </c>
      <c r="B437">
        <v>1.2082824986148071</v>
      </c>
      <c r="C437">
        <v>3.6052314316249508E-2</v>
      </c>
      <c r="D437">
        <v>4.8256436727764238E-2</v>
      </c>
      <c r="E437">
        <v>72.747834591405265</v>
      </c>
      <c r="F437">
        <v>0.1946623796504561</v>
      </c>
      <c r="G437">
        <v>0.6</v>
      </c>
      <c r="H437">
        <v>9.2933146254257901E-2</v>
      </c>
      <c r="I437">
        <v>1.20628159177512</v>
      </c>
      <c r="J437">
        <v>0</v>
      </c>
      <c r="K437">
        <v>3.7391624647519002E-2</v>
      </c>
      <c r="L437">
        <v>0</v>
      </c>
      <c r="M437">
        <v>34933887.378899999</v>
      </c>
      <c r="N437">
        <v>0</v>
      </c>
      <c r="O437" t="b">
        <v>0</v>
      </c>
    </row>
    <row r="438" spans="1:15" x14ac:dyDescent="0.3">
      <c r="A438" s="1" t="s">
        <v>542</v>
      </c>
      <c r="B438">
        <v>3.1947229077282322</v>
      </c>
      <c r="C438">
        <v>1.7643579321412889E-2</v>
      </c>
      <c r="D438">
        <v>2.4857789805047801E-2</v>
      </c>
      <c r="E438">
        <v>61.594181926492332</v>
      </c>
      <c r="F438">
        <v>3.2915002852253128E-2</v>
      </c>
      <c r="G438">
        <v>0.6</v>
      </c>
      <c r="H438">
        <v>7.0654723715013509E-2</v>
      </c>
      <c r="I438">
        <v>0.51543328300237901</v>
      </c>
      <c r="J438">
        <v>0</v>
      </c>
      <c r="K438">
        <v>1.9704794138682539E-2</v>
      </c>
      <c r="L438">
        <v>0</v>
      </c>
      <c r="M438">
        <v>62398475.632499993</v>
      </c>
      <c r="N438">
        <v>0</v>
      </c>
      <c r="O438" t="b">
        <v>0</v>
      </c>
    </row>
    <row r="439" spans="1:15" x14ac:dyDescent="0.3">
      <c r="A439" s="1" t="s">
        <v>543</v>
      </c>
      <c r="B439">
        <v>2.6179489827194549</v>
      </c>
      <c r="C439">
        <v>2.464879938536348E-2</v>
      </c>
      <c r="D439">
        <v>3.1767253554279222E-2</v>
      </c>
      <c r="E439">
        <v>24.51236762665506</v>
      </c>
      <c r="F439">
        <v>-7.6466905498939308E-2</v>
      </c>
      <c r="G439">
        <v>0</v>
      </c>
      <c r="H439">
        <v>-0.2393056624789533</v>
      </c>
      <c r="I439">
        <v>0.32233951055152488</v>
      </c>
      <c r="J439">
        <v>-8.4727943330862976E-2</v>
      </c>
      <c r="K439">
        <v>-1.517891086446543E-2</v>
      </c>
      <c r="L439">
        <v>0</v>
      </c>
      <c r="M439">
        <v>76346778.238000005</v>
      </c>
      <c r="N439">
        <v>0</v>
      </c>
      <c r="O439" t="b">
        <v>0</v>
      </c>
    </row>
    <row r="440" spans="1:15" x14ac:dyDescent="0.3">
      <c r="A440" s="1" t="s">
        <v>544</v>
      </c>
      <c r="B440">
        <v>1.314050259732231</v>
      </c>
      <c r="C440">
        <v>2.3193569938686431E-2</v>
      </c>
      <c r="D440">
        <v>2.0698675157706691E-2</v>
      </c>
      <c r="E440">
        <v>50.413568082537992</v>
      </c>
      <c r="F440">
        <v>2.6155588589225069E-3</v>
      </c>
      <c r="G440">
        <v>0.8</v>
      </c>
      <c r="H440">
        <v>-4.8226886992183251E-3</v>
      </c>
      <c r="I440">
        <v>0.24341338983850139</v>
      </c>
      <c r="J440">
        <v>-2.8557319538487721E-2</v>
      </c>
      <c r="K440">
        <v>1.518591320645846E-2</v>
      </c>
      <c r="L440">
        <v>0</v>
      </c>
      <c r="M440">
        <v>183042000.8105</v>
      </c>
      <c r="N440">
        <v>0</v>
      </c>
      <c r="O440" t="b">
        <v>1</v>
      </c>
    </row>
    <row r="441" spans="1:15" x14ac:dyDescent="0.3">
      <c r="A441" s="1" t="s">
        <v>545</v>
      </c>
      <c r="B441">
        <v>3.1499510070521128</v>
      </c>
      <c r="C441">
        <v>2.9454209745774541E-2</v>
      </c>
      <c r="D441">
        <v>4.6790843806104043E-2</v>
      </c>
      <c r="E441">
        <v>70.595915248660205</v>
      </c>
      <c r="F441">
        <v>0.2014033447957051</v>
      </c>
      <c r="G441">
        <v>0.6</v>
      </c>
      <c r="H441">
        <v>0.12877048371561789</v>
      </c>
      <c r="I441">
        <v>1.5962000697613421</v>
      </c>
      <c r="J441">
        <v>0</v>
      </c>
      <c r="K441">
        <v>4.5201770932084877E-2</v>
      </c>
      <c r="L441">
        <v>0</v>
      </c>
      <c r="M441">
        <v>269905732.84154999</v>
      </c>
      <c r="N441">
        <v>0</v>
      </c>
      <c r="O441" t="b">
        <v>1</v>
      </c>
    </row>
    <row r="442" spans="1:15" x14ac:dyDescent="0.3">
      <c r="A442" s="1" t="s">
        <v>546</v>
      </c>
      <c r="B442">
        <v>0.75403750988633056</v>
      </c>
      <c r="C442">
        <v>3.5400822060391107E-2</v>
      </c>
      <c r="D442">
        <v>4.0845070422535247E-2</v>
      </c>
      <c r="E442">
        <v>44.920441832037007</v>
      </c>
      <c r="F442">
        <v>-4.355635383924561E-2</v>
      </c>
      <c r="G442">
        <v>0.2</v>
      </c>
      <c r="H442">
        <v>7.4070116219003446E-2</v>
      </c>
      <c r="I442">
        <v>1.1757853984383091</v>
      </c>
      <c r="J442">
        <v>-9.0909090909090828E-2</v>
      </c>
      <c r="K442">
        <v>4.2584434654919352E-2</v>
      </c>
      <c r="L442">
        <v>0</v>
      </c>
      <c r="M442">
        <v>75005927.5</v>
      </c>
      <c r="N442">
        <v>0</v>
      </c>
      <c r="O442" t="b">
        <v>0</v>
      </c>
    </row>
    <row r="443" spans="1:15" x14ac:dyDescent="0.3">
      <c r="A443" s="1" t="s">
        <v>547</v>
      </c>
      <c r="B443">
        <v>1.02185307838266</v>
      </c>
      <c r="C443">
        <v>1.711127913283678E-2</v>
      </c>
      <c r="D443">
        <v>1.428210207625491E-2</v>
      </c>
      <c r="E443">
        <v>36.021191733966617</v>
      </c>
      <c r="F443">
        <v>-2.745428221985902E-2</v>
      </c>
      <c r="G443">
        <v>0.2</v>
      </c>
      <c r="H443">
        <v>-7.2317179335045015E-2</v>
      </c>
      <c r="I443">
        <v>-8.5270889298223698E-2</v>
      </c>
      <c r="J443">
        <v>-4.7000397361773187E-2</v>
      </c>
      <c r="K443">
        <v>-3.6388693310553939E-3</v>
      </c>
      <c r="L443">
        <v>0</v>
      </c>
      <c r="M443">
        <v>89566004.593799993</v>
      </c>
      <c r="N443">
        <v>0</v>
      </c>
      <c r="O443" t="b">
        <v>0</v>
      </c>
    </row>
    <row r="444" spans="1:15" x14ac:dyDescent="0.3">
      <c r="A444" s="1" t="s">
        <v>548</v>
      </c>
      <c r="B444">
        <v>9.381292371236734</v>
      </c>
      <c r="C444">
        <v>2.7507894590771562E-2</v>
      </c>
      <c r="D444">
        <v>4.6328876378137332E-2</v>
      </c>
      <c r="E444">
        <v>60.983101436824683</v>
      </c>
      <c r="F444">
        <v>0.12844200620735771</v>
      </c>
      <c r="G444">
        <v>0.4</v>
      </c>
      <c r="H444">
        <v>4.0797309640081499E-2</v>
      </c>
      <c r="I444">
        <v>0.47083082707648299</v>
      </c>
      <c r="J444">
        <v>0</v>
      </c>
      <c r="K444">
        <v>3.4049907522512912E-2</v>
      </c>
      <c r="L444">
        <v>0</v>
      </c>
      <c r="M444">
        <v>615277821.89600003</v>
      </c>
      <c r="N444">
        <v>1</v>
      </c>
      <c r="O444" t="b">
        <v>1</v>
      </c>
    </row>
    <row r="445" spans="1:15" x14ac:dyDescent="0.3">
      <c r="A445" s="1" t="s">
        <v>549</v>
      </c>
      <c r="B445">
        <v>0.64948699960281064</v>
      </c>
      <c r="C445">
        <v>1.3777831981391819E-2</v>
      </c>
      <c r="D445">
        <v>8.9096308867204436E-3</v>
      </c>
      <c r="E445">
        <v>40.447455692941261</v>
      </c>
      <c r="F445">
        <v>-1.48380355276907E-2</v>
      </c>
      <c r="G445">
        <v>0.4</v>
      </c>
      <c r="H445">
        <v>-4.3805211666252779E-2</v>
      </c>
      <c r="I445">
        <v>-0.26390222677258002</v>
      </c>
      <c r="J445">
        <v>-3.6976506639428093E-2</v>
      </c>
      <c r="K445">
        <v>1.699957501062332E-3</v>
      </c>
      <c r="L445">
        <v>9.9206349206349201E-2</v>
      </c>
      <c r="M445">
        <v>3631806.5814</v>
      </c>
      <c r="N445">
        <v>1</v>
      </c>
      <c r="O445" t="b">
        <v>0</v>
      </c>
    </row>
    <row r="446" spans="1:15" x14ac:dyDescent="0.3">
      <c r="A446" s="1" t="s">
        <v>550</v>
      </c>
      <c r="B446">
        <v>0.3541277349652775</v>
      </c>
      <c r="C446">
        <v>3.7095616121897638E-3</v>
      </c>
      <c r="D446">
        <v>5.9226824912138858E-3</v>
      </c>
      <c r="E446">
        <v>56.326122407039897</v>
      </c>
      <c r="F446">
        <v>3.8602933444378258E-3</v>
      </c>
      <c r="G446">
        <v>0.2</v>
      </c>
      <c r="H446">
        <v>-7.0588060805377412E-2</v>
      </c>
      <c r="I446">
        <v>0.19208625901515861</v>
      </c>
      <c r="J446">
        <v>-3.1077337248632819E-3</v>
      </c>
      <c r="K446">
        <v>4.068294334994782E-3</v>
      </c>
      <c r="L446">
        <v>0</v>
      </c>
      <c r="M446">
        <v>568243087.33109999</v>
      </c>
      <c r="N446">
        <v>0</v>
      </c>
      <c r="O446" t="b">
        <v>1</v>
      </c>
    </row>
    <row r="447" spans="1:15" x14ac:dyDescent="0.3">
      <c r="A447" s="1" t="s">
        <v>551</v>
      </c>
      <c r="B447">
        <v>2.059405445850198</v>
      </c>
      <c r="C447">
        <v>3.1581129364364337E-2</v>
      </c>
      <c r="D447">
        <v>1.794203343045548E-2</v>
      </c>
      <c r="E447">
        <v>56.684693503051733</v>
      </c>
      <c r="F447">
        <v>-1.684017146356354E-3</v>
      </c>
      <c r="G447">
        <v>0.4</v>
      </c>
      <c r="H447">
        <v>5.3215644534864798E-2</v>
      </c>
      <c r="I447">
        <v>1.0634282481583921</v>
      </c>
      <c r="J447">
        <v>-7.1559074299636372E-3</v>
      </c>
      <c r="K447">
        <v>-7.1559074299636372E-3</v>
      </c>
      <c r="L447">
        <v>0</v>
      </c>
      <c r="M447">
        <v>62942599.5</v>
      </c>
      <c r="N447">
        <v>0</v>
      </c>
      <c r="O447" t="b">
        <v>0</v>
      </c>
    </row>
    <row r="448" spans="1:15" x14ac:dyDescent="0.3">
      <c r="A448" s="1" t="s">
        <v>552</v>
      </c>
      <c r="B448">
        <v>22.507676728013529</v>
      </c>
      <c r="C448">
        <v>3.5917689936604602E-2</v>
      </c>
      <c r="D448">
        <v>3.6076189746683272E-2</v>
      </c>
      <c r="E448">
        <v>49.26046272907287</v>
      </c>
      <c r="F448">
        <v>-4.4656659623318107E-2</v>
      </c>
      <c r="G448">
        <v>0.6</v>
      </c>
      <c r="H448">
        <v>-2.200602206627443E-2</v>
      </c>
      <c r="I448">
        <v>2.3303042273170642</v>
      </c>
      <c r="J448">
        <v>-2.5427840919694741E-2</v>
      </c>
      <c r="K448">
        <v>5.2585310763464399E-3</v>
      </c>
      <c r="L448">
        <v>0</v>
      </c>
      <c r="M448">
        <v>212046993.9975</v>
      </c>
      <c r="N448">
        <v>0</v>
      </c>
      <c r="O448" t="b">
        <v>1</v>
      </c>
    </row>
    <row r="449" spans="1:15" x14ac:dyDescent="0.3">
      <c r="A449" s="1" t="s">
        <v>553</v>
      </c>
      <c r="B449">
        <v>8.6471888681095843E-2</v>
      </c>
      <c r="C449">
        <v>3.4086994907401389E-3</v>
      </c>
      <c r="D449">
        <v>4.2928098391673943E-3</v>
      </c>
      <c r="E449">
        <v>60.318056038665937</v>
      </c>
      <c r="F449">
        <v>8.1548953216652453E-3</v>
      </c>
      <c r="G449">
        <v>0.2</v>
      </c>
      <c r="H449">
        <v>-6.9537922408261232E-2</v>
      </c>
      <c r="I449">
        <v>0.16138240599404069</v>
      </c>
      <c r="J449">
        <v>-3.11232669999062E-3</v>
      </c>
      <c r="K449">
        <v>2.739271187847558E-3</v>
      </c>
      <c r="L449">
        <v>0</v>
      </c>
      <c r="M449">
        <v>44011537.432149999</v>
      </c>
      <c r="N449">
        <v>0</v>
      </c>
      <c r="O449" t="b">
        <v>0</v>
      </c>
    </row>
    <row r="450" spans="1:15" x14ac:dyDescent="0.3">
      <c r="A450" s="1" t="s">
        <v>554</v>
      </c>
      <c r="B450">
        <v>2.0367494920163298</v>
      </c>
      <c r="C450">
        <v>3.1763611797123448E-2</v>
      </c>
      <c r="D450">
        <v>6.1421881067525823E-2</v>
      </c>
      <c r="E450">
        <v>62.368791054376757</v>
      </c>
      <c r="F450">
        <v>5.5745904837798843E-2</v>
      </c>
      <c r="G450">
        <v>0.6</v>
      </c>
      <c r="H450">
        <v>-4.8805328642916403E-2</v>
      </c>
      <c r="I450">
        <v>1.1187580536070409</v>
      </c>
      <c r="J450">
        <v>0</v>
      </c>
      <c r="K450">
        <v>6.1265731441698452E-2</v>
      </c>
      <c r="L450">
        <v>0</v>
      </c>
      <c r="M450">
        <v>102450827.82195</v>
      </c>
      <c r="N450">
        <v>0</v>
      </c>
      <c r="O450" t="b">
        <v>1</v>
      </c>
    </row>
    <row r="451" spans="1:15" x14ac:dyDescent="0.3">
      <c r="A451" s="1" t="s">
        <v>555</v>
      </c>
      <c r="B451">
        <v>3.0632910309709391</v>
      </c>
      <c r="C451">
        <v>2.2443994482737709E-2</v>
      </c>
      <c r="D451">
        <v>2.583415148806479E-2</v>
      </c>
      <c r="E451">
        <v>60.625347126353873</v>
      </c>
      <c r="F451">
        <v>5.8580813290623812E-2</v>
      </c>
      <c r="G451">
        <v>0.6</v>
      </c>
      <c r="H451">
        <v>-4.669026913350427E-2</v>
      </c>
      <c r="I451">
        <v>1.2977371599695551</v>
      </c>
      <c r="J451">
        <v>-2.7618657937807929E-3</v>
      </c>
      <c r="K451">
        <v>1.301843660006519E-2</v>
      </c>
      <c r="L451">
        <v>0</v>
      </c>
      <c r="M451">
        <v>338014847.49699998</v>
      </c>
      <c r="N451">
        <v>0</v>
      </c>
      <c r="O451" t="b">
        <v>1</v>
      </c>
    </row>
    <row r="452" spans="1:15" x14ac:dyDescent="0.3">
      <c r="A452" s="1" t="s">
        <v>556</v>
      </c>
      <c r="B452">
        <v>0.75901615409562817</v>
      </c>
      <c r="C452">
        <v>1.060269453708319E-2</v>
      </c>
      <c r="D452">
        <v>1.240586642006742E-2</v>
      </c>
      <c r="E452">
        <v>65.892614924191207</v>
      </c>
      <c r="F452">
        <v>9.9674664153521775E-3</v>
      </c>
      <c r="G452">
        <v>0.6</v>
      </c>
      <c r="H452">
        <v>0.1321419102441336</v>
      </c>
      <c r="I452">
        <v>0.96276660343565112</v>
      </c>
      <c r="J452">
        <v>0</v>
      </c>
      <c r="K452">
        <v>1.1368645312959339E-2</v>
      </c>
      <c r="L452">
        <v>0</v>
      </c>
      <c r="M452">
        <v>90204468.109399989</v>
      </c>
      <c r="N452">
        <v>0</v>
      </c>
      <c r="O452" t="b">
        <v>0</v>
      </c>
    </row>
    <row r="453" spans="1:15" x14ac:dyDescent="0.3">
      <c r="A453" s="1" t="s">
        <v>557</v>
      </c>
      <c r="B453">
        <v>0.76480084900195788</v>
      </c>
      <c r="C453">
        <v>1.642387749540351E-2</v>
      </c>
      <c r="D453">
        <v>1.5257782435403979E-2</v>
      </c>
      <c r="E453">
        <v>42.644148750469682</v>
      </c>
      <c r="F453">
        <v>-1.523469551756507E-2</v>
      </c>
      <c r="G453">
        <v>0.4</v>
      </c>
      <c r="H453">
        <v>-0.1172836214457898</v>
      </c>
      <c r="I453">
        <v>7.1375076383750805E-2</v>
      </c>
      <c r="J453">
        <v>-3.4771235327160421E-2</v>
      </c>
      <c r="K453">
        <v>-7.3627530813142883E-3</v>
      </c>
      <c r="L453">
        <v>0</v>
      </c>
      <c r="M453">
        <v>164641514.30585</v>
      </c>
      <c r="N453">
        <v>0</v>
      </c>
      <c r="O453" t="b">
        <v>1</v>
      </c>
    </row>
    <row r="454" spans="1:15" x14ac:dyDescent="0.3">
      <c r="A454" s="1" t="s">
        <v>558</v>
      </c>
      <c r="B454">
        <v>4.4552833367861568</v>
      </c>
      <c r="C454">
        <v>2.5676498632899308E-2</v>
      </c>
      <c r="D454">
        <v>1.290947232531876E-2</v>
      </c>
      <c r="E454">
        <v>35.218567586695123</v>
      </c>
      <c r="F454">
        <v>-4.3741354510534507E-2</v>
      </c>
      <c r="G454">
        <v>0.2</v>
      </c>
      <c r="H454">
        <v>-2.2710892758865911E-2</v>
      </c>
      <c r="I454">
        <v>0.50593971666478632</v>
      </c>
      <c r="J454">
        <v>-7.4388806205024083E-2</v>
      </c>
      <c r="K454">
        <v>-3.216985684413753E-3</v>
      </c>
      <c r="L454">
        <v>0</v>
      </c>
      <c r="M454">
        <v>54426845.935000002</v>
      </c>
      <c r="N454">
        <v>0</v>
      </c>
      <c r="O454" t="b">
        <v>0</v>
      </c>
    </row>
    <row r="455" spans="1:15" x14ac:dyDescent="0.3">
      <c r="A455" s="1" t="s">
        <v>559</v>
      </c>
      <c r="B455">
        <v>4.0656952452571318</v>
      </c>
      <c r="C455">
        <v>4.2954457522053381E-2</v>
      </c>
      <c r="D455">
        <v>4.6870988565397322E-2</v>
      </c>
      <c r="E455">
        <v>67.471388854576901</v>
      </c>
      <c r="F455">
        <v>0.10202401715710829</v>
      </c>
      <c r="G455">
        <v>0.8</v>
      </c>
      <c r="H455">
        <v>5.9347094819649469E-2</v>
      </c>
      <c r="I455">
        <v>3.5122864055317971</v>
      </c>
      <c r="J455">
        <v>0</v>
      </c>
      <c r="K455">
        <v>2.3112402459759981E-2</v>
      </c>
      <c r="L455">
        <v>0</v>
      </c>
      <c r="M455">
        <v>223987823.37639999</v>
      </c>
      <c r="N455">
        <v>0</v>
      </c>
      <c r="O455" t="b">
        <v>1</v>
      </c>
    </row>
    <row r="456" spans="1:15" x14ac:dyDescent="0.3">
      <c r="A456" s="1" t="s">
        <v>560</v>
      </c>
      <c r="B456">
        <v>2.3284091848107642</v>
      </c>
      <c r="C456">
        <v>2.1094866593078E-2</v>
      </c>
      <c r="D456">
        <v>3.57136385873996E-2</v>
      </c>
      <c r="E456">
        <v>58.329619441477149</v>
      </c>
      <c r="F456">
        <v>4.5602667576067679E-2</v>
      </c>
      <c r="G456">
        <v>0.6</v>
      </c>
      <c r="H456">
        <v>-0.13545075243995419</v>
      </c>
      <c r="I456">
        <v>0.39196760949286252</v>
      </c>
      <c r="J456">
        <v>-6.5970065970066827E-3</v>
      </c>
      <c r="K456">
        <v>1.8651310021503109E-2</v>
      </c>
      <c r="L456">
        <v>0</v>
      </c>
      <c r="M456">
        <v>386949948.85100001</v>
      </c>
      <c r="N456">
        <v>0</v>
      </c>
      <c r="O456" t="b">
        <v>1</v>
      </c>
    </row>
    <row r="457" spans="1:15" x14ac:dyDescent="0.3">
      <c r="A457" s="1" t="s">
        <v>561</v>
      </c>
      <c r="B457">
        <v>5.910759456460899</v>
      </c>
      <c r="C457">
        <v>2.7917813416119871E-2</v>
      </c>
      <c r="D457">
        <v>3.1692801813716268E-2</v>
      </c>
      <c r="E457">
        <v>85.641639575424463</v>
      </c>
      <c r="F457">
        <v>0.16074561403508761</v>
      </c>
      <c r="G457">
        <v>1</v>
      </c>
      <c r="H457">
        <v>0.2256847679845678</v>
      </c>
      <c r="I457">
        <v>1.1496788285789541</v>
      </c>
      <c r="J457">
        <v>0</v>
      </c>
      <c r="K457">
        <v>1.8031446843294718E-2</v>
      </c>
      <c r="L457">
        <v>0</v>
      </c>
      <c r="M457">
        <v>120447165</v>
      </c>
      <c r="N457">
        <v>0</v>
      </c>
      <c r="O457" t="b">
        <v>1</v>
      </c>
    </row>
    <row r="458" spans="1:15" x14ac:dyDescent="0.3">
      <c r="A458" s="1" t="s">
        <v>562</v>
      </c>
      <c r="B458">
        <v>0.46201692848652143</v>
      </c>
      <c r="C458">
        <v>1.434389718989511E-2</v>
      </c>
      <c r="D458">
        <v>9.3138776777399648E-3</v>
      </c>
      <c r="E458">
        <v>54.372202288718469</v>
      </c>
      <c r="F458">
        <v>2.9731457800511452E-2</v>
      </c>
      <c r="G458">
        <v>0.4</v>
      </c>
      <c r="H458">
        <v>-3.1920676352049329E-2</v>
      </c>
      <c r="I458">
        <v>0.17052988732825861</v>
      </c>
      <c r="J458">
        <v>-1.6188149053146032E-2</v>
      </c>
      <c r="K458">
        <v>-3.7117228580265671E-3</v>
      </c>
      <c r="L458">
        <v>0</v>
      </c>
      <c r="M458">
        <v>129890285.87175</v>
      </c>
      <c r="N458">
        <v>0</v>
      </c>
      <c r="O458" t="b">
        <v>1</v>
      </c>
    </row>
    <row r="459" spans="1:15" x14ac:dyDescent="0.3">
      <c r="A459" s="1" t="s">
        <v>563</v>
      </c>
      <c r="B459">
        <v>1.1856009275353421</v>
      </c>
      <c r="C459">
        <v>2.4902037099623658E-2</v>
      </c>
      <c r="D459">
        <v>3.4210869008162011E-2</v>
      </c>
      <c r="E459">
        <v>59.834986514667918</v>
      </c>
      <c r="F459">
        <v>8.1118026808482568E-2</v>
      </c>
      <c r="G459">
        <v>0.8</v>
      </c>
      <c r="H459">
        <v>-0.131226661018084</v>
      </c>
      <c r="I459">
        <v>0.71273573971373649</v>
      </c>
      <c r="J459">
        <v>0</v>
      </c>
      <c r="K459">
        <v>2.5674942049342061E-2</v>
      </c>
      <c r="L459">
        <v>0</v>
      </c>
      <c r="M459">
        <v>131262747.77779999</v>
      </c>
      <c r="N459">
        <v>0</v>
      </c>
      <c r="O459" t="b">
        <v>1</v>
      </c>
    </row>
    <row r="460" spans="1:15" x14ac:dyDescent="0.3">
      <c r="A460" s="1" t="s">
        <v>564</v>
      </c>
      <c r="B460">
        <v>16.912030990168891</v>
      </c>
      <c r="C460">
        <v>2.3153876049457761E-2</v>
      </c>
      <c r="D460">
        <v>2.0166507169172791E-2</v>
      </c>
      <c r="E460">
        <v>35.961946056198897</v>
      </c>
      <c r="F460">
        <v>-0.1078121812716277</v>
      </c>
      <c r="G460">
        <v>0.4</v>
      </c>
      <c r="H460">
        <v>-0.14336833547078351</v>
      </c>
      <c r="I460">
        <v>0.45193523936335722</v>
      </c>
      <c r="J460">
        <v>-0.1001079251029354</v>
      </c>
      <c r="K460">
        <v>-8.4652924367580873E-3</v>
      </c>
      <c r="L460">
        <v>0</v>
      </c>
      <c r="M460">
        <v>426560684.42549998</v>
      </c>
      <c r="N460">
        <v>0</v>
      </c>
      <c r="O460" t="b">
        <v>1</v>
      </c>
    </row>
    <row r="461" spans="1:15" x14ac:dyDescent="0.3">
      <c r="A461" s="1" t="s">
        <v>565</v>
      </c>
      <c r="B461">
        <v>0.43896211158326298</v>
      </c>
      <c r="C461">
        <v>1.9339923496434059E-2</v>
      </c>
      <c r="D461">
        <v>1.8693935815871671E-2</v>
      </c>
      <c r="E461">
        <v>45.144710360520158</v>
      </c>
      <c r="F461">
        <v>-3.534801881940941E-2</v>
      </c>
      <c r="G461">
        <v>0.4</v>
      </c>
      <c r="H461">
        <v>-7.023406763877027E-2</v>
      </c>
      <c r="I461">
        <v>0.18149175691330341</v>
      </c>
      <c r="J461">
        <v>-5.8918161388495149E-2</v>
      </c>
      <c r="K461">
        <v>8.7311596567518635E-4</v>
      </c>
      <c r="L461">
        <v>0</v>
      </c>
      <c r="M461">
        <v>83505964.835500002</v>
      </c>
      <c r="N461">
        <v>0</v>
      </c>
      <c r="O461" t="b">
        <v>0</v>
      </c>
    </row>
    <row r="462" spans="1:15" x14ac:dyDescent="0.3">
      <c r="A462" s="1" t="s">
        <v>566</v>
      </c>
      <c r="B462">
        <v>1.0349225254670611</v>
      </c>
      <c r="C462">
        <v>1.7247817620540611E-2</v>
      </c>
      <c r="D462">
        <v>1.7635755485966551E-2</v>
      </c>
      <c r="E462">
        <v>48.671125471763787</v>
      </c>
      <c r="F462">
        <v>1.9493405917513581E-2</v>
      </c>
      <c r="G462">
        <v>0.2</v>
      </c>
      <c r="H462">
        <v>-0.16222052781064369</v>
      </c>
      <c r="I462">
        <v>0.159726471943721</v>
      </c>
      <c r="J462">
        <v>-2.1924069368081441E-2</v>
      </c>
      <c r="K462">
        <v>1.0324987918821421E-2</v>
      </c>
      <c r="L462">
        <v>0</v>
      </c>
      <c r="M462">
        <v>117653040.15115</v>
      </c>
      <c r="N462">
        <v>0</v>
      </c>
      <c r="O462" t="b">
        <v>1</v>
      </c>
    </row>
    <row r="463" spans="1:15" x14ac:dyDescent="0.3">
      <c r="A463" s="1" t="s">
        <v>567</v>
      </c>
      <c r="B463">
        <v>2.053154387383096</v>
      </c>
      <c r="C463">
        <v>3.5964034945078771E-2</v>
      </c>
      <c r="D463">
        <v>3.1440327488084389E-2</v>
      </c>
      <c r="E463">
        <v>46.924911475028992</v>
      </c>
      <c r="F463">
        <v>-2.867239592815218E-2</v>
      </c>
      <c r="G463">
        <v>0.2</v>
      </c>
      <c r="H463">
        <v>6.6965265705099017E-2</v>
      </c>
      <c r="I463">
        <v>1.0751519689377611</v>
      </c>
      <c r="J463">
        <v>-6.4083963270987088E-2</v>
      </c>
      <c r="K463">
        <v>-2.1701467727977649E-2</v>
      </c>
      <c r="L463">
        <v>0</v>
      </c>
      <c r="M463">
        <v>405246853.45099998</v>
      </c>
      <c r="N463">
        <v>0</v>
      </c>
      <c r="O463" t="b">
        <v>1</v>
      </c>
    </row>
    <row r="464" spans="1:15" x14ac:dyDescent="0.3">
      <c r="A464" s="1" t="s">
        <v>568</v>
      </c>
      <c r="B464">
        <v>0.5922708307890967</v>
      </c>
      <c r="C464">
        <v>4.1187123142496292E-2</v>
      </c>
      <c r="D464">
        <v>5.7023643949930473E-2</v>
      </c>
      <c r="E464">
        <v>66.435356837722935</v>
      </c>
      <c r="F464">
        <v>0.17772317772317781</v>
      </c>
      <c r="G464">
        <v>0.6</v>
      </c>
      <c r="H464">
        <v>0.12565063339753041</v>
      </c>
      <c r="I464">
        <v>1.0673761037528211</v>
      </c>
      <c r="J464">
        <v>0</v>
      </c>
      <c r="K464">
        <v>2.6409707351891631E-2</v>
      </c>
      <c r="L464">
        <v>0</v>
      </c>
      <c r="M464">
        <v>82660605</v>
      </c>
      <c r="N464">
        <v>0</v>
      </c>
      <c r="O464" t="b">
        <v>0</v>
      </c>
    </row>
    <row r="465" spans="1:15" x14ac:dyDescent="0.3">
      <c r="A465" s="1" t="s">
        <v>569</v>
      </c>
      <c r="B465">
        <v>0.1700990048154894</v>
      </c>
      <c r="C465">
        <v>1.775563724587572E-2</v>
      </c>
      <c r="D465">
        <v>1.3569937369519921E-2</v>
      </c>
      <c r="E465">
        <v>51.992074672565977</v>
      </c>
      <c r="F465">
        <v>-1.6427104722792629E-2</v>
      </c>
      <c r="G465">
        <v>0.4</v>
      </c>
      <c r="H465">
        <v>8.9245040884591384E-2</v>
      </c>
      <c r="I465">
        <v>0.27285853122908099</v>
      </c>
      <c r="J465">
        <v>-4.1041041041040997E-2</v>
      </c>
      <c r="K465">
        <v>-7.2538860103626979E-3</v>
      </c>
      <c r="L465">
        <v>0</v>
      </c>
      <c r="M465">
        <v>134436219.53061</v>
      </c>
      <c r="N465">
        <v>0</v>
      </c>
      <c r="O465" t="b">
        <v>1</v>
      </c>
    </row>
    <row r="466" spans="1:15" x14ac:dyDescent="0.3">
      <c r="A466" s="1" t="s">
        <v>570</v>
      </c>
      <c r="B466">
        <v>7.4381786112813879</v>
      </c>
      <c r="C466">
        <v>2.7189008459465619E-2</v>
      </c>
      <c r="D466">
        <v>2.4947637376495451E-2</v>
      </c>
      <c r="E466">
        <v>33.773125606189637</v>
      </c>
      <c r="F466">
        <v>-9.4717747629342597E-3</v>
      </c>
      <c r="G466">
        <v>0.2</v>
      </c>
      <c r="H466">
        <v>-0.1741063566238511</v>
      </c>
      <c r="I466">
        <v>-0.41774457891952282</v>
      </c>
      <c r="J466">
        <v>-8.2659343312409539E-2</v>
      </c>
      <c r="K466">
        <v>-8.6533966756173752E-3</v>
      </c>
      <c r="L466">
        <v>0</v>
      </c>
      <c r="M466">
        <v>44237202.904500008</v>
      </c>
      <c r="N466">
        <v>0</v>
      </c>
      <c r="O466" t="b">
        <v>0</v>
      </c>
    </row>
    <row r="467" spans="1:15" x14ac:dyDescent="0.3">
      <c r="A467" s="1" t="s">
        <v>571</v>
      </c>
      <c r="B467">
        <v>1.4561311668287309</v>
      </c>
      <c r="C467">
        <v>2.2002519890068791E-2</v>
      </c>
      <c r="D467">
        <v>1.3307605598049031E-2</v>
      </c>
      <c r="E467">
        <v>45.472224187982242</v>
      </c>
      <c r="F467">
        <v>-6.7301241903387488E-2</v>
      </c>
      <c r="G467">
        <v>0.4</v>
      </c>
      <c r="H467">
        <v>1.1350500194615341E-2</v>
      </c>
      <c r="I467">
        <v>0.35605881230824349</v>
      </c>
      <c r="J467">
        <v>-9.2702294011277386E-2</v>
      </c>
      <c r="K467">
        <v>-2.9483592689515392E-3</v>
      </c>
      <c r="L467">
        <v>0</v>
      </c>
      <c r="M467">
        <v>151200579.78479999</v>
      </c>
      <c r="N467">
        <v>0</v>
      </c>
      <c r="O467" t="b">
        <v>1</v>
      </c>
    </row>
    <row r="468" spans="1:15" x14ac:dyDescent="0.3">
      <c r="A468" s="1" t="s">
        <v>572</v>
      </c>
      <c r="B468">
        <v>3.355052507217287</v>
      </c>
      <c r="C468">
        <v>2.9523517310958178E-2</v>
      </c>
      <c r="D468">
        <v>5.2226328757479658E-2</v>
      </c>
      <c r="E468">
        <v>54.335341553405833</v>
      </c>
      <c r="F468">
        <v>-1.1465056803354299E-2</v>
      </c>
      <c r="G468">
        <v>0.6</v>
      </c>
      <c r="H468">
        <v>-2.6446045354457982E-2</v>
      </c>
      <c r="I468">
        <v>0.80794142743226571</v>
      </c>
      <c r="J468">
        <v>-1.275324043506976E-2</v>
      </c>
      <c r="K468">
        <v>3.7685023695816833E-2</v>
      </c>
      <c r="L468">
        <v>0</v>
      </c>
      <c r="M468">
        <v>37737544.488000013</v>
      </c>
      <c r="N468">
        <v>0</v>
      </c>
      <c r="O468" t="b">
        <v>0</v>
      </c>
    </row>
    <row r="469" spans="1:15" x14ac:dyDescent="0.3">
      <c r="A469" s="1" t="s">
        <v>573</v>
      </c>
      <c r="B469">
        <v>0.8166651574549586</v>
      </c>
      <c r="C469">
        <v>8.6865687754676506E-3</v>
      </c>
      <c r="D469">
        <v>1.179496397903723E-2</v>
      </c>
      <c r="E469">
        <v>60.960265309866813</v>
      </c>
      <c r="F469">
        <v>1.0015856918171419E-2</v>
      </c>
      <c r="G469">
        <v>0.4</v>
      </c>
      <c r="H469">
        <v>-5.2918370006796042E-2</v>
      </c>
      <c r="I469">
        <v>0.73862405848883084</v>
      </c>
      <c r="J469">
        <v>-2.7060628112077771E-3</v>
      </c>
      <c r="K469">
        <v>1.086836143430547E-2</v>
      </c>
      <c r="L469">
        <v>0</v>
      </c>
      <c r="M469">
        <v>25218562.40625</v>
      </c>
      <c r="N469">
        <v>0</v>
      </c>
      <c r="O469" t="b">
        <v>0</v>
      </c>
    </row>
    <row r="470" spans="1:15" x14ac:dyDescent="0.3">
      <c r="A470" s="1" t="s">
        <v>574</v>
      </c>
      <c r="B470">
        <v>0.44427184767827987</v>
      </c>
      <c r="C470">
        <v>1.010786150870541E-2</v>
      </c>
      <c r="D470">
        <v>1.1521371643865829E-2</v>
      </c>
      <c r="E470">
        <v>59.584179998653099</v>
      </c>
      <c r="F470">
        <v>-7.5484223503750059E-3</v>
      </c>
      <c r="G470">
        <v>0.6</v>
      </c>
      <c r="H470">
        <v>1.681510650680082E-2</v>
      </c>
      <c r="I470">
        <v>1.0132750636017971</v>
      </c>
      <c r="J470">
        <v>-8.2090579440348144E-3</v>
      </c>
      <c r="K470">
        <v>9.256027554535029E-3</v>
      </c>
      <c r="L470">
        <v>0</v>
      </c>
      <c r="M470">
        <v>19156954.033149999</v>
      </c>
      <c r="N470">
        <v>0</v>
      </c>
      <c r="O470" t="b">
        <v>0</v>
      </c>
    </row>
    <row r="471" spans="1:15" x14ac:dyDescent="0.3">
      <c r="A471" s="1" t="s">
        <v>575</v>
      </c>
      <c r="B471">
        <v>1.5873079320186421</v>
      </c>
      <c r="C471">
        <v>1.0582052880124281E-2</v>
      </c>
      <c r="D471">
        <v>1.1033333333333339E-2</v>
      </c>
      <c r="E471">
        <v>60.637655166120403</v>
      </c>
      <c r="F471">
        <v>7.0966745667804254E-3</v>
      </c>
      <c r="G471">
        <v>0.6</v>
      </c>
      <c r="H471">
        <v>2.5100016031288221E-2</v>
      </c>
      <c r="I471">
        <v>1.0140839109780311</v>
      </c>
      <c r="J471">
        <v>0</v>
      </c>
      <c r="K471">
        <v>6.6911404468368296E-3</v>
      </c>
      <c r="L471">
        <v>0</v>
      </c>
      <c r="M471">
        <v>67912085.391000003</v>
      </c>
      <c r="N471">
        <v>0</v>
      </c>
      <c r="O471" t="b">
        <v>0</v>
      </c>
    </row>
    <row r="472" spans="1:15" x14ac:dyDescent="0.3">
      <c r="A472" s="1" t="s">
        <v>576</v>
      </c>
      <c r="B472">
        <v>1.3645945406934541</v>
      </c>
      <c r="C472">
        <v>1.12118522774912E-2</v>
      </c>
      <c r="D472">
        <v>1.1305562402432049E-2</v>
      </c>
      <c r="E472">
        <v>60.358935428205292</v>
      </c>
      <c r="F472">
        <v>8.7606607378183377E-3</v>
      </c>
      <c r="G472">
        <v>0.6</v>
      </c>
      <c r="H472">
        <v>-6.8862606143937702E-2</v>
      </c>
      <c r="I472">
        <v>1.099071750273781</v>
      </c>
      <c r="J472">
        <v>0</v>
      </c>
      <c r="K472">
        <v>6.3501513121992934E-3</v>
      </c>
      <c r="L472">
        <v>0</v>
      </c>
      <c r="M472">
        <v>20798661.532299999</v>
      </c>
      <c r="N472">
        <v>0</v>
      </c>
      <c r="O472" t="b">
        <v>0</v>
      </c>
    </row>
    <row r="473" spans="1:15" x14ac:dyDescent="0.3">
      <c r="A473" s="1" t="s">
        <v>577</v>
      </c>
      <c r="B473">
        <v>15.55700609791287</v>
      </c>
      <c r="C473">
        <v>3.1110776675051539E-2</v>
      </c>
      <c r="D473">
        <v>1.8532072664443001E-2</v>
      </c>
      <c r="E473">
        <v>60.208960720734339</v>
      </c>
      <c r="F473">
        <v>2.9778085306183089E-2</v>
      </c>
      <c r="G473">
        <v>0.6</v>
      </c>
      <c r="H473">
        <v>-3.499387719402576E-2</v>
      </c>
      <c r="I473">
        <v>0.73050072824126033</v>
      </c>
      <c r="J473">
        <v>-6.5876257529282611E-3</v>
      </c>
      <c r="K473">
        <v>-5.196757223492332E-4</v>
      </c>
      <c r="L473">
        <v>0</v>
      </c>
      <c r="M473">
        <v>39040057.263999999</v>
      </c>
      <c r="N473">
        <v>0</v>
      </c>
      <c r="O473" t="b">
        <v>0</v>
      </c>
    </row>
    <row r="474" spans="1:15" x14ac:dyDescent="0.3">
      <c r="A474" s="1" t="s">
        <v>578</v>
      </c>
      <c r="B474">
        <v>4.4456641319984271</v>
      </c>
      <c r="C474">
        <v>1.7592377374313139E-2</v>
      </c>
      <c r="D474">
        <v>1.9710807901734809E-2</v>
      </c>
      <c r="E474">
        <v>45.741856809023531</v>
      </c>
      <c r="F474">
        <v>-1.8987169782022199E-2</v>
      </c>
      <c r="G474">
        <v>0.2</v>
      </c>
      <c r="H474">
        <v>-0.1175071669070884</v>
      </c>
      <c r="I474">
        <v>0.23805951057791869</v>
      </c>
      <c r="J474">
        <v>-3.1900425619945549E-2</v>
      </c>
      <c r="K474">
        <v>1.193722644690309E-2</v>
      </c>
      <c r="L474">
        <v>0</v>
      </c>
      <c r="M474">
        <v>117142875.5715</v>
      </c>
      <c r="N474">
        <v>0</v>
      </c>
      <c r="O474" t="b">
        <v>1</v>
      </c>
    </row>
    <row r="475" spans="1:15" x14ac:dyDescent="0.3">
      <c r="A475" s="1" t="s">
        <v>579</v>
      </c>
      <c r="B475">
        <v>3.2601126928360609</v>
      </c>
      <c r="C475">
        <v>4.1335269339876517E-2</v>
      </c>
      <c r="D475">
        <v>6.7199188538100627E-2</v>
      </c>
      <c r="E475">
        <v>49.832484460726661</v>
      </c>
      <c r="F475">
        <v>-0.15257333190071981</v>
      </c>
      <c r="G475">
        <v>0.6</v>
      </c>
      <c r="H475">
        <v>-7.2565403923898888E-2</v>
      </c>
      <c r="I475">
        <v>0.17926880938404491</v>
      </c>
      <c r="J475">
        <v>-0.16513178786916469</v>
      </c>
      <c r="K475">
        <v>5.5964653902798263E-2</v>
      </c>
      <c r="L475">
        <v>0</v>
      </c>
      <c r="M475">
        <v>132197701</v>
      </c>
      <c r="N475">
        <v>0</v>
      </c>
      <c r="O475" t="b">
        <v>1</v>
      </c>
    </row>
    <row r="476" spans="1:15" x14ac:dyDescent="0.3">
      <c r="A476" s="1" t="s">
        <v>580</v>
      </c>
      <c r="B476">
        <v>0.26254790276923201</v>
      </c>
      <c r="C476">
        <v>1.596035883095635E-2</v>
      </c>
      <c r="D476">
        <v>1.945288753799394E-2</v>
      </c>
      <c r="E476">
        <v>44.286991821839557</v>
      </c>
      <c r="F476">
        <v>-1.437986818454173E-2</v>
      </c>
      <c r="G476">
        <v>0.2</v>
      </c>
      <c r="H476">
        <v>-0.13234230294006871</v>
      </c>
      <c r="I476">
        <v>0.42850316955251988</v>
      </c>
      <c r="J476">
        <v>-3.2921810699588661E-2</v>
      </c>
      <c r="K476">
        <v>-1.3197360527894549E-2</v>
      </c>
      <c r="L476">
        <v>0</v>
      </c>
      <c r="M476">
        <v>236543900.22319999</v>
      </c>
      <c r="N476">
        <v>0</v>
      </c>
      <c r="O476" t="b">
        <v>1</v>
      </c>
    </row>
    <row r="477" spans="1:15" x14ac:dyDescent="0.3">
      <c r="A477" s="1" t="s">
        <v>581</v>
      </c>
      <c r="B477">
        <v>1.558789190844408</v>
      </c>
      <c r="C477">
        <v>6.1393823979693132E-2</v>
      </c>
      <c r="D477">
        <v>4.4111855061047693E-2</v>
      </c>
      <c r="E477">
        <v>53.297233373926083</v>
      </c>
      <c r="F477">
        <v>-5.8932542624166029E-2</v>
      </c>
      <c r="G477">
        <v>0.8</v>
      </c>
      <c r="H477">
        <v>-9.5009309588793625E-2</v>
      </c>
      <c r="I477">
        <v>3.26580647781614</v>
      </c>
      <c r="J477">
        <v>-2.308580223162748E-2</v>
      </c>
      <c r="K477">
        <v>8.7405641636868481E-3</v>
      </c>
      <c r="L477">
        <v>0</v>
      </c>
      <c r="M477">
        <v>380573548</v>
      </c>
      <c r="N477">
        <v>0</v>
      </c>
      <c r="O477" t="b">
        <v>1</v>
      </c>
    </row>
    <row r="478" spans="1:15" x14ac:dyDescent="0.3">
      <c r="A478" s="1" t="s">
        <v>582</v>
      </c>
      <c r="B478">
        <v>10.862983646831159</v>
      </c>
      <c r="C478">
        <v>3.0734145273252689E-2</v>
      </c>
      <c r="D478">
        <v>3.5676899137077417E-2</v>
      </c>
      <c r="E478">
        <v>52.88887003789484</v>
      </c>
      <c r="F478">
        <v>-6.8814711383934468E-2</v>
      </c>
      <c r="G478">
        <v>0.6</v>
      </c>
      <c r="H478">
        <v>-6.0432899400704038E-2</v>
      </c>
      <c r="I478">
        <v>1.667999600735242</v>
      </c>
      <c r="J478">
        <v>-4.3178126691932883E-2</v>
      </c>
      <c r="K478">
        <v>3.4205290262172339E-2</v>
      </c>
      <c r="L478">
        <v>0</v>
      </c>
      <c r="M478">
        <v>838138703.57999992</v>
      </c>
      <c r="N478">
        <v>0</v>
      </c>
      <c r="O478" t="b">
        <v>1</v>
      </c>
    </row>
    <row r="479" spans="1:15" x14ac:dyDescent="0.3">
      <c r="A479" s="1" t="s">
        <v>583</v>
      </c>
      <c r="B479">
        <v>1.6999297453067721</v>
      </c>
      <c r="C479">
        <v>1.8333954326148341E-2</v>
      </c>
      <c r="D479">
        <v>1.435715803335403E-2</v>
      </c>
      <c r="E479">
        <v>44.653861933662633</v>
      </c>
      <c r="F479">
        <v>-3.251074752702543E-2</v>
      </c>
      <c r="G479">
        <v>0.6</v>
      </c>
      <c r="H479">
        <v>-9.213531416020829E-4</v>
      </c>
      <c r="I479">
        <v>0.53974164102593736</v>
      </c>
      <c r="J479">
        <v>-4.2965270445042503E-2</v>
      </c>
      <c r="K479">
        <v>1.0731919037709761E-3</v>
      </c>
      <c r="L479">
        <v>0</v>
      </c>
      <c r="M479">
        <v>245486993.71450001</v>
      </c>
      <c r="N479">
        <v>0</v>
      </c>
      <c r="O479" t="b">
        <v>1</v>
      </c>
    </row>
    <row r="480" spans="1:15" x14ac:dyDescent="0.3">
      <c r="A480" s="1" t="s">
        <v>584</v>
      </c>
      <c r="B480">
        <v>0.40550392681814013</v>
      </c>
      <c r="C480">
        <v>1.1460416776930731E-2</v>
      </c>
      <c r="D480">
        <v>1.8667156544103069E-2</v>
      </c>
      <c r="E480">
        <v>67.882870564318523</v>
      </c>
      <c r="F480">
        <v>3.4291243178144581E-2</v>
      </c>
      <c r="G480">
        <v>0.8</v>
      </c>
      <c r="H480">
        <v>9.523032787442454E-3</v>
      </c>
      <c r="I480">
        <v>0.69997501552641672</v>
      </c>
      <c r="J480">
        <v>0</v>
      </c>
      <c r="K480">
        <v>1.7577462196377569E-2</v>
      </c>
      <c r="L480">
        <v>0</v>
      </c>
      <c r="M480">
        <v>28026996.4098</v>
      </c>
      <c r="N480">
        <v>0</v>
      </c>
      <c r="O480" t="b">
        <v>0</v>
      </c>
    </row>
    <row r="481" spans="1:15" x14ac:dyDescent="0.3">
      <c r="A481" s="1" t="s">
        <v>585</v>
      </c>
      <c r="B481">
        <v>11.80826923613794</v>
      </c>
      <c r="C481">
        <v>3.4341937727975287E-2</v>
      </c>
      <c r="D481">
        <v>3.5652796035411292E-2</v>
      </c>
      <c r="E481">
        <v>69.080527192893982</v>
      </c>
      <c r="F481">
        <v>0.1181191467221645</v>
      </c>
      <c r="G481">
        <v>0.8</v>
      </c>
      <c r="H481">
        <v>-2.136968719534979E-2</v>
      </c>
      <c r="I481">
        <v>1.5894682875560799</v>
      </c>
      <c r="J481">
        <v>0</v>
      </c>
      <c r="K481">
        <v>1.394213189587057E-2</v>
      </c>
      <c r="L481">
        <v>0</v>
      </c>
      <c r="M481">
        <v>124094878.42399999</v>
      </c>
      <c r="N481">
        <v>0</v>
      </c>
      <c r="O481" t="b">
        <v>1</v>
      </c>
    </row>
    <row r="482" spans="1:15" x14ac:dyDescent="0.3">
      <c r="A482" s="1" t="s">
        <v>586</v>
      </c>
      <c r="B482">
        <v>1.1010576869020829</v>
      </c>
      <c r="C482">
        <v>1.497833882331768E-2</v>
      </c>
      <c r="D482">
        <v>8.5702625493129566E-3</v>
      </c>
      <c r="E482">
        <v>38.457650806264688</v>
      </c>
      <c r="F482">
        <v>-3.1070080350928841E-2</v>
      </c>
      <c r="G482">
        <v>0.6</v>
      </c>
      <c r="H482">
        <v>-3.0526824688596119E-2</v>
      </c>
      <c r="I482">
        <v>0.23239460656314259</v>
      </c>
      <c r="J482">
        <v>-5.3316162266580869E-2</v>
      </c>
      <c r="K482">
        <v>1.360544217687831E-4</v>
      </c>
      <c r="L482">
        <v>0</v>
      </c>
      <c r="M482">
        <v>139774793.35409999</v>
      </c>
      <c r="N482">
        <v>0</v>
      </c>
      <c r="O482" t="b">
        <v>1</v>
      </c>
    </row>
    <row r="483" spans="1:15" x14ac:dyDescent="0.3">
      <c r="A483" s="1" t="s">
        <v>587</v>
      </c>
      <c r="B483">
        <v>0.15218344870241651</v>
      </c>
      <c r="C483">
        <v>2.9750523662726192E-3</v>
      </c>
      <c r="D483">
        <v>3.9782457402469098E-3</v>
      </c>
      <c r="E483">
        <v>52.400903822917769</v>
      </c>
      <c r="F483">
        <v>4.4258734914919273E-3</v>
      </c>
      <c r="G483">
        <v>0.2</v>
      </c>
      <c r="H483">
        <v>-9.1224706593998825E-2</v>
      </c>
      <c r="I483">
        <v>9.8581905682230599E-3</v>
      </c>
      <c r="J483">
        <v>-5.0377147836505598E-3</v>
      </c>
      <c r="K483">
        <v>2.724731545334258E-3</v>
      </c>
      <c r="L483">
        <v>0</v>
      </c>
      <c r="M483">
        <v>14435057.35005</v>
      </c>
      <c r="N483">
        <v>0</v>
      </c>
      <c r="O483" t="b">
        <v>0</v>
      </c>
    </row>
    <row r="484" spans="1:15" x14ac:dyDescent="0.3">
      <c r="A484" s="1" t="s">
        <v>588</v>
      </c>
      <c r="B484">
        <v>1.84370050375565</v>
      </c>
      <c r="C484">
        <v>2.1969739081931009E-2</v>
      </c>
      <c r="D484">
        <v>1.3465204957101949E-2</v>
      </c>
      <c r="E484">
        <v>49.885950283345657</v>
      </c>
      <c r="F484">
        <v>-1.902949571836343E-3</v>
      </c>
      <c r="G484">
        <v>0.6</v>
      </c>
      <c r="H484">
        <v>3.3277799460614252E-2</v>
      </c>
      <c r="I484">
        <v>0.46864577719877221</v>
      </c>
      <c r="J484">
        <v>-3.3402441833678798E-2</v>
      </c>
      <c r="K484">
        <v>7.684918347742542E-3</v>
      </c>
      <c r="L484">
        <v>0</v>
      </c>
      <c r="M484">
        <v>301752213</v>
      </c>
      <c r="N484">
        <v>0</v>
      </c>
      <c r="O484" t="b">
        <v>1</v>
      </c>
    </row>
    <row r="485" spans="1:15" x14ac:dyDescent="0.3">
      <c r="A485" s="1" t="s">
        <v>589</v>
      </c>
      <c r="B485">
        <v>2.898939348127231</v>
      </c>
      <c r="C485">
        <v>2.5249885446626871E-2</v>
      </c>
      <c r="D485">
        <v>5.5657172720146329E-2</v>
      </c>
      <c r="E485">
        <v>73.121794967021131</v>
      </c>
      <c r="F485">
        <v>9.2076476743080171E-2</v>
      </c>
      <c r="G485">
        <v>0.6</v>
      </c>
      <c r="H485">
        <v>1.607158257188291E-2</v>
      </c>
      <c r="I485">
        <v>1.014855656060933</v>
      </c>
      <c r="J485">
        <v>0</v>
      </c>
      <c r="K485">
        <v>4.7440926922726057E-2</v>
      </c>
      <c r="L485">
        <v>0</v>
      </c>
      <c r="M485">
        <v>79864957.851300001</v>
      </c>
      <c r="N485">
        <v>0</v>
      </c>
      <c r="O485" t="b">
        <v>0</v>
      </c>
    </row>
    <row r="486" spans="1:15" x14ac:dyDescent="0.3">
      <c r="A486" s="1" t="s">
        <v>590</v>
      </c>
      <c r="B486">
        <v>0.90028017930088999</v>
      </c>
      <c r="C486">
        <v>1.1130565149188341E-2</v>
      </c>
      <c r="D486">
        <v>1.1321207265749811E-2</v>
      </c>
      <c r="E486">
        <v>58.161646288797158</v>
      </c>
      <c r="F486">
        <v>2.7485095193642279E-3</v>
      </c>
      <c r="G486">
        <v>0.8</v>
      </c>
      <c r="H486">
        <v>-3.059763063913646E-2</v>
      </c>
      <c r="I486">
        <v>0.94606202582980725</v>
      </c>
      <c r="J486">
        <v>-5.0985201376170242E-3</v>
      </c>
      <c r="K486">
        <v>7.2012681603830231E-3</v>
      </c>
      <c r="L486">
        <v>0</v>
      </c>
      <c r="M486">
        <v>349844568.70174998</v>
      </c>
      <c r="N486">
        <v>0</v>
      </c>
      <c r="O486" t="b">
        <v>1</v>
      </c>
    </row>
    <row r="487" spans="1:15" x14ac:dyDescent="0.3">
      <c r="A487" s="1" t="s">
        <v>591</v>
      </c>
      <c r="B487">
        <v>0.90316307486753422</v>
      </c>
      <c r="C487">
        <v>1.414157616232059E-2</v>
      </c>
      <c r="D487">
        <v>1.7514851454142919E-2</v>
      </c>
      <c r="E487">
        <v>63.881269429152049</v>
      </c>
      <c r="F487">
        <v>1.59683115395628E-2</v>
      </c>
      <c r="G487">
        <v>0.8</v>
      </c>
      <c r="H487">
        <v>3.5105530062742092E-2</v>
      </c>
      <c r="I487">
        <v>1.4357986026312419</v>
      </c>
      <c r="J487">
        <v>0</v>
      </c>
      <c r="K487">
        <v>1.6432369460142929E-2</v>
      </c>
      <c r="L487">
        <v>0</v>
      </c>
      <c r="M487">
        <v>170795160.20429999</v>
      </c>
      <c r="N487">
        <v>0</v>
      </c>
      <c r="O487" t="b">
        <v>1</v>
      </c>
    </row>
    <row r="488" spans="1:15" x14ac:dyDescent="0.3">
      <c r="A488" s="1" t="s">
        <v>592</v>
      </c>
      <c r="B488">
        <v>1.932417849605395</v>
      </c>
      <c r="C488">
        <v>2.042191784603169E-2</v>
      </c>
      <c r="D488">
        <v>1.8914723111407478E-2</v>
      </c>
      <c r="E488">
        <v>63.204421141638861</v>
      </c>
      <c r="F488">
        <v>1.128906767669435E-2</v>
      </c>
      <c r="G488">
        <v>0.8</v>
      </c>
      <c r="H488">
        <v>0.19176613221208899</v>
      </c>
      <c r="I488">
        <v>1.552709405061087</v>
      </c>
      <c r="J488">
        <v>0</v>
      </c>
      <c r="K488">
        <v>1.234719794245454E-2</v>
      </c>
      <c r="L488">
        <v>0</v>
      </c>
      <c r="M488">
        <v>246412308.89315</v>
      </c>
      <c r="N488">
        <v>0</v>
      </c>
      <c r="O488" t="b">
        <v>1</v>
      </c>
    </row>
    <row r="489" spans="1:15" x14ac:dyDescent="0.3">
      <c r="A489" s="1" t="s">
        <v>593</v>
      </c>
      <c r="B489">
        <v>0.62928470692958882</v>
      </c>
      <c r="C489">
        <v>1.987595645469728E-2</v>
      </c>
      <c r="D489">
        <v>1.8613039550734921E-2</v>
      </c>
      <c r="E489">
        <v>51.381223351885183</v>
      </c>
      <c r="F489">
        <v>1.5278862974221761E-3</v>
      </c>
      <c r="G489">
        <v>0.6</v>
      </c>
      <c r="H489">
        <v>5.5812213619756863E-2</v>
      </c>
      <c r="I489">
        <v>0.86403942622699148</v>
      </c>
      <c r="J489">
        <v>-5.6164032362884142E-2</v>
      </c>
      <c r="K489">
        <v>9.1680471427313392E-4</v>
      </c>
      <c r="L489">
        <v>0</v>
      </c>
      <c r="M489">
        <v>660345576.70799994</v>
      </c>
      <c r="N489">
        <v>0</v>
      </c>
      <c r="O489" t="b">
        <v>1</v>
      </c>
    </row>
    <row r="490" spans="1:15" x14ac:dyDescent="0.3">
      <c r="A490" s="1" t="s">
        <v>594</v>
      </c>
      <c r="B490">
        <v>1.925744385548642</v>
      </c>
      <c r="C490">
        <v>1.9019697635048322E-2</v>
      </c>
      <c r="D490">
        <v>7.8024691358025309E-3</v>
      </c>
      <c r="E490">
        <v>89.384530479756251</v>
      </c>
      <c r="F490">
        <v>0.52072694502853722</v>
      </c>
      <c r="G490">
        <v>0.2</v>
      </c>
      <c r="H490">
        <v>0.23359672694499259</v>
      </c>
      <c r="I490">
        <v>-0.2137069852814163</v>
      </c>
      <c r="J490">
        <v>-1.971414489896572E-3</v>
      </c>
      <c r="K490">
        <v>0</v>
      </c>
      <c r="L490">
        <v>0</v>
      </c>
      <c r="M490">
        <v>127779582.5</v>
      </c>
      <c r="N490">
        <v>0</v>
      </c>
      <c r="O490" t="b">
        <v>1</v>
      </c>
    </row>
    <row r="491" spans="1:15" x14ac:dyDescent="0.3">
      <c r="A491" s="1" t="s">
        <v>595</v>
      </c>
      <c r="B491">
        <v>0.83671077410414019</v>
      </c>
      <c r="C491">
        <v>1.9498020956645368E-2</v>
      </c>
      <c r="D491">
        <v>1.432446414339842E-2</v>
      </c>
      <c r="E491">
        <v>35.039324671489979</v>
      </c>
      <c r="F491">
        <v>-4.7952256289657047E-2</v>
      </c>
      <c r="G491">
        <v>0.2</v>
      </c>
      <c r="H491">
        <v>-5.1684903698642683E-2</v>
      </c>
      <c r="I491">
        <v>6.0111712028565689E-2</v>
      </c>
      <c r="J491">
        <v>-8.149400684931507E-2</v>
      </c>
      <c r="K491">
        <v>-1.096834414649051E-2</v>
      </c>
      <c r="L491">
        <v>0</v>
      </c>
      <c r="M491">
        <v>287098297.82450002</v>
      </c>
      <c r="N491">
        <v>0</v>
      </c>
      <c r="O491" t="b">
        <v>1</v>
      </c>
    </row>
    <row r="492" spans="1:15" x14ac:dyDescent="0.3">
      <c r="A492" s="1" t="s">
        <v>596</v>
      </c>
      <c r="B492">
        <v>3.6897473976260629</v>
      </c>
      <c r="C492">
        <v>3.1792818963483689E-2</v>
      </c>
      <c r="D492">
        <v>2.356620941614393E-2</v>
      </c>
      <c r="E492">
        <v>51.50473134709798</v>
      </c>
      <c r="F492">
        <v>2.1107366902170629E-2</v>
      </c>
      <c r="G492">
        <v>0.2</v>
      </c>
      <c r="H492">
        <v>0.13771067966745659</v>
      </c>
      <c r="I492">
        <v>1.0200573072251431</v>
      </c>
      <c r="J492">
        <v>-5.0456951637580461E-2</v>
      </c>
      <c r="K492">
        <v>-6.5569841297016263E-3</v>
      </c>
      <c r="L492">
        <v>0</v>
      </c>
      <c r="M492">
        <v>326247184.15920001</v>
      </c>
      <c r="N492">
        <v>0</v>
      </c>
      <c r="O492" t="b">
        <v>1</v>
      </c>
    </row>
    <row r="493" spans="1:15" x14ac:dyDescent="0.3">
      <c r="A493" s="1" t="s">
        <v>597</v>
      </c>
      <c r="B493">
        <v>1.2831640849194419</v>
      </c>
      <c r="C493">
        <v>3.1243342705610948E-2</v>
      </c>
      <c r="D493">
        <v>3.238373508643775E-2</v>
      </c>
      <c r="E493">
        <v>43.846015668937852</v>
      </c>
      <c r="F493">
        <v>-8.2105771552763995E-3</v>
      </c>
      <c r="G493">
        <v>0.2</v>
      </c>
      <c r="H493">
        <v>1.345046690682849E-2</v>
      </c>
      <c r="I493">
        <v>0.45842938993947507</v>
      </c>
      <c r="J493">
        <v>-7.4374577417173682E-2</v>
      </c>
      <c r="K493">
        <v>-1.9106759016001899E-2</v>
      </c>
      <c r="L493">
        <v>0</v>
      </c>
      <c r="M493">
        <v>96414226.5</v>
      </c>
      <c r="N493">
        <v>0</v>
      </c>
      <c r="O493" t="b">
        <v>1</v>
      </c>
    </row>
    <row r="494" spans="1:15" x14ac:dyDescent="0.3">
      <c r="A494" s="1" t="s">
        <v>598</v>
      </c>
      <c r="B494">
        <v>0.85671241971029211</v>
      </c>
      <c r="C494">
        <v>2.1013304383377292E-2</v>
      </c>
      <c r="D494">
        <v>1.9131714495952929E-2</v>
      </c>
      <c r="E494">
        <v>56.465898390072113</v>
      </c>
      <c r="F494">
        <v>2.8766086298258831E-2</v>
      </c>
      <c r="G494">
        <v>0.4</v>
      </c>
      <c r="H494">
        <v>-0.1155171054942481</v>
      </c>
      <c r="I494">
        <v>0.25353954733747341</v>
      </c>
      <c r="J494">
        <v>-3.665689149560114E-3</v>
      </c>
      <c r="K494">
        <v>1.7723414877683471E-2</v>
      </c>
      <c r="L494">
        <v>0</v>
      </c>
      <c r="M494">
        <v>53594577</v>
      </c>
      <c r="N494">
        <v>0</v>
      </c>
      <c r="O494" t="b">
        <v>0</v>
      </c>
    </row>
    <row r="495" spans="1:15" x14ac:dyDescent="0.3">
      <c r="A495" s="1" t="s">
        <v>599</v>
      </c>
      <c r="B495">
        <v>5.6865567953780802</v>
      </c>
      <c r="C495">
        <v>2.5348843657516901E-2</v>
      </c>
      <c r="D495">
        <v>4.016368596544416E-2</v>
      </c>
      <c r="E495">
        <v>58.4996402499225</v>
      </c>
      <c r="F495">
        <v>8.5712073254541998E-2</v>
      </c>
      <c r="G495">
        <v>0.4</v>
      </c>
      <c r="H495">
        <v>-8.6860764571220925E-2</v>
      </c>
      <c r="I495">
        <v>1.092847788897505</v>
      </c>
      <c r="J495">
        <v>0</v>
      </c>
      <c r="K495">
        <v>3.8901135542670939E-2</v>
      </c>
      <c r="L495">
        <v>0</v>
      </c>
      <c r="M495">
        <v>80698878.102499992</v>
      </c>
      <c r="N495">
        <v>0</v>
      </c>
      <c r="O495" t="b">
        <v>0</v>
      </c>
    </row>
    <row r="496" spans="1:15" x14ac:dyDescent="0.3">
      <c r="A496" s="1" t="s">
        <v>600</v>
      </c>
      <c r="B496">
        <v>3.1313413658495959</v>
      </c>
      <c r="C496">
        <v>2.0689404465474698E-2</v>
      </c>
      <c r="D496">
        <v>2.6494879418566181E-2</v>
      </c>
      <c r="E496">
        <v>70.769400992666931</v>
      </c>
      <c r="F496">
        <v>8.3361965298058616E-2</v>
      </c>
      <c r="G496">
        <v>0.6</v>
      </c>
      <c r="H496">
        <v>0.13408117097926231</v>
      </c>
      <c r="I496">
        <v>0.30337617419483071</v>
      </c>
      <c r="J496">
        <v>-7.9223608635381471E-4</v>
      </c>
      <c r="K496">
        <v>2.464288132150827E-2</v>
      </c>
      <c r="L496">
        <v>0</v>
      </c>
      <c r="M496">
        <v>138223733.081</v>
      </c>
      <c r="N496">
        <v>0</v>
      </c>
      <c r="O496" t="b">
        <v>1</v>
      </c>
    </row>
    <row r="497" spans="1:15" x14ac:dyDescent="0.3">
      <c r="A497" s="1" t="s">
        <v>601</v>
      </c>
      <c r="B497">
        <v>8.514066785690062</v>
      </c>
      <c r="C497">
        <v>3.113266119523786E-2</v>
      </c>
      <c r="D497">
        <v>5.1558266325870072E-2</v>
      </c>
      <c r="E497">
        <v>66.14654467943781</v>
      </c>
      <c r="F497">
        <v>2.42047233478393E-2</v>
      </c>
      <c r="G497">
        <v>0.6</v>
      </c>
      <c r="H497">
        <v>0.1023325661806794</v>
      </c>
      <c r="I497">
        <v>1.420322101347995</v>
      </c>
      <c r="J497">
        <v>0</v>
      </c>
      <c r="K497">
        <v>4.8994261691420071E-2</v>
      </c>
      <c r="L497">
        <v>0</v>
      </c>
      <c r="M497">
        <v>321681913.99400002</v>
      </c>
      <c r="N497">
        <v>0</v>
      </c>
      <c r="O497" t="b">
        <v>1</v>
      </c>
    </row>
    <row r="498" spans="1:15" x14ac:dyDescent="0.3">
      <c r="A498" s="1" t="s">
        <v>602</v>
      </c>
      <c r="B498">
        <v>2.6005428238138522</v>
      </c>
      <c r="C498">
        <v>2.0283937880254989E-2</v>
      </c>
      <c r="D498">
        <v>2.6972006208709449E-2</v>
      </c>
      <c r="E498">
        <v>42.461418400026723</v>
      </c>
      <c r="F498">
        <v>-5.5922685529908867E-3</v>
      </c>
      <c r="G498">
        <v>0.2</v>
      </c>
      <c r="H498">
        <v>-0.1845142097486594</v>
      </c>
      <c r="I498">
        <v>0.34892633914704069</v>
      </c>
      <c r="J498">
        <v>-3.1061768329088579E-2</v>
      </c>
      <c r="K498">
        <v>2.431210252149163E-2</v>
      </c>
      <c r="L498">
        <v>0</v>
      </c>
      <c r="M498">
        <v>151572975.2525</v>
      </c>
      <c r="N498">
        <v>1</v>
      </c>
      <c r="O498" t="b">
        <v>1</v>
      </c>
    </row>
    <row r="499" spans="1:15" x14ac:dyDescent="0.3">
      <c r="A499" s="1" t="s">
        <v>603</v>
      </c>
      <c r="B499">
        <v>0.60666151706888671</v>
      </c>
      <c r="C499">
        <v>9.5953245656980064E-3</v>
      </c>
      <c r="D499">
        <v>1.237649209881579E-2</v>
      </c>
      <c r="E499">
        <v>63.101588483052751</v>
      </c>
      <c r="F499">
        <v>2.0625696159620292E-2</v>
      </c>
      <c r="G499">
        <v>0.4</v>
      </c>
      <c r="H499">
        <v>1.0981011015409501E-2</v>
      </c>
      <c r="I499">
        <v>0.6939224151782265</v>
      </c>
      <c r="J499">
        <v>0</v>
      </c>
      <c r="K499">
        <v>9.8082433325985541E-3</v>
      </c>
      <c r="L499">
        <v>0</v>
      </c>
      <c r="M499">
        <v>94736446.030299991</v>
      </c>
      <c r="N499">
        <v>0</v>
      </c>
      <c r="O499" t="b">
        <v>1</v>
      </c>
    </row>
    <row r="500" spans="1:15" x14ac:dyDescent="0.3">
      <c r="A500" s="1" t="s">
        <v>604</v>
      </c>
      <c r="B500">
        <v>0.27891403797989028</v>
      </c>
      <c r="C500">
        <v>2.1024252276813461E-2</v>
      </c>
      <c r="D500">
        <v>2.609619863865581E-2</v>
      </c>
      <c r="E500">
        <v>59.573499136242972</v>
      </c>
      <c r="F500">
        <v>1.8995314540287241E-2</v>
      </c>
      <c r="G500">
        <v>0.6</v>
      </c>
      <c r="H500">
        <v>7.8554205695653009E-2</v>
      </c>
      <c r="I500">
        <v>0.98533964271327756</v>
      </c>
      <c r="J500">
        <v>-2.976123373841677E-3</v>
      </c>
      <c r="K500">
        <v>2.5224306215658521E-2</v>
      </c>
      <c r="L500">
        <v>0</v>
      </c>
      <c r="M500">
        <v>849804290.03789997</v>
      </c>
      <c r="N500">
        <v>0</v>
      </c>
      <c r="O500" t="b">
        <v>1</v>
      </c>
    </row>
    <row r="501" spans="1:15" x14ac:dyDescent="0.3">
      <c r="A501" s="1" t="s">
        <v>605</v>
      </c>
      <c r="B501">
        <v>1.3552714048010339</v>
      </c>
      <c r="C501">
        <v>2.153148615033806E-2</v>
      </c>
      <c r="D501">
        <v>2.7734308596412339E-2</v>
      </c>
      <c r="E501">
        <v>51.079188199273311</v>
      </c>
      <c r="F501">
        <v>1.515219936713974E-2</v>
      </c>
      <c r="G501">
        <v>0.6</v>
      </c>
      <c r="H501">
        <v>-0.1031512882306183</v>
      </c>
      <c r="I501">
        <v>0.44341226248819199</v>
      </c>
      <c r="J501">
        <v>-3.0810828289298379E-2</v>
      </c>
      <c r="K501">
        <v>1.8783423325434701E-2</v>
      </c>
      <c r="L501">
        <v>0</v>
      </c>
      <c r="M501">
        <v>41107006.209150001</v>
      </c>
      <c r="N501">
        <v>1</v>
      </c>
      <c r="O501" t="b">
        <v>0</v>
      </c>
    </row>
    <row r="502" spans="1:15" x14ac:dyDescent="0.3">
      <c r="A502" s="1" t="s">
        <v>606</v>
      </c>
      <c r="B502">
        <v>4.3346946280735823</v>
      </c>
      <c r="C502">
        <v>2.720610707517563E-2</v>
      </c>
      <c r="D502">
        <v>2.9756226149829191E-2</v>
      </c>
      <c r="E502">
        <v>69.678350695107738</v>
      </c>
      <c r="F502">
        <v>0.11507075570734709</v>
      </c>
      <c r="G502">
        <v>0.6</v>
      </c>
      <c r="H502">
        <v>0.1095561980453221</v>
      </c>
      <c r="I502">
        <v>0.46104882286147553</v>
      </c>
      <c r="J502">
        <v>0</v>
      </c>
      <c r="K502">
        <v>1.3343509508363599E-2</v>
      </c>
      <c r="L502">
        <v>0</v>
      </c>
      <c r="M502">
        <v>293000968.1455</v>
      </c>
      <c r="N502">
        <v>0</v>
      </c>
      <c r="O502" t="b">
        <v>1</v>
      </c>
    </row>
    <row r="503" spans="1:15" x14ac:dyDescent="0.3">
      <c r="A503" s="1" t="s">
        <v>607</v>
      </c>
      <c r="B503">
        <v>0.77395043265926544</v>
      </c>
      <c r="C503">
        <v>1.901373873988486E-2</v>
      </c>
      <c r="D503">
        <v>2.4675222578172701E-2</v>
      </c>
      <c r="E503">
        <v>49.020437903564662</v>
      </c>
      <c r="F503">
        <v>-1.015745638032717E-2</v>
      </c>
      <c r="G503">
        <v>0.4</v>
      </c>
      <c r="H503">
        <v>-0.1838041601165496</v>
      </c>
      <c r="I503">
        <v>0.21100567140685239</v>
      </c>
      <c r="J503">
        <v>-1.9640994886838459E-2</v>
      </c>
      <c r="K503">
        <v>1.462685079016901E-2</v>
      </c>
      <c r="L503">
        <v>0</v>
      </c>
      <c r="M503">
        <v>248120867.14155</v>
      </c>
      <c r="N503">
        <v>0</v>
      </c>
      <c r="O503" t="b">
        <v>1</v>
      </c>
    </row>
    <row r="504" spans="1:15" x14ac:dyDescent="0.3">
      <c r="A504" s="1" t="s">
        <v>608</v>
      </c>
      <c r="B504">
        <v>0.89985706889539074</v>
      </c>
      <c r="C504">
        <v>1.6205056580755248E-2</v>
      </c>
      <c r="D504">
        <v>1.278061711453749E-2</v>
      </c>
      <c r="E504">
        <v>61.10847777205047</v>
      </c>
      <c r="F504">
        <v>2.7085883920736631E-3</v>
      </c>
      <c r="G504">
        <v>0.8</v>
      </c>
      <c r="H504">
        <v>2.6850783620895852E-2</v>
      </c>
      <c r="I504">
        <v>1.465374476045981</v>
      </c>
      <c r="J504">
        <v>0</v>
      </c>
      <c r="K504">
        <v>2.8896827489552912E-3</v>
      </c>
      <c r="L504">
        <v>0</v>
      </c>
      <c r="M504">
        <v>20752469.070900001</v>
      </c>
      <c r="N504">
        <v>0</v>
      </c>
      <c r="O504" t="b">
        <v>0</v>
      </c>
    </row>
    <row r="505" spans="1:15" x14ac:dyDescent="0.3">
      <c r="A505" s="1" t="s">
        <v>609</v>
      </c>
      <c r="B505">
        <v>0.14050909174498141</v>
      </c>
      <c r="C505">
        <v>3.074597193544451E-3</v>
      </c>
      <c r="D505">
        <v>3.6739606126913768E-3</v>
      </c>
      <c r="E505">
        <v>50.838465208645623</v>
      </c>
      <c r="F505">
        <v>2.142435798194509E-3</v>
      </c>
      <c r="G505">
        <v>0.2</v>
      </c>
      <c r="H505">
        <v>-9.1101780638830218E-2</v>
      </c>
      <c r="I505">
        <v>-2.3571047589293721E-3</v>
      </c>
      <c r="J505">
        <v>-5.587856421682913E-3</v>
      </c>
      <c r="K505">
        <v>3.0332427603827479E-3</v>
      </c>
      <c r="L505">
        <v>0</v>
      </c>
      <c r="M505">
        <v>89362780.862599999</v>
      </c>
      <c r="N505">
        <v>0</v>
      </c>
      <c r="O505" t="b">
        <v>0</v>
      </c>
    </row>
    <row r="506" spans="1:15" x14ac:dyDescent="0.3">
      <c r="A506" s="1" t="s">
        <v>610</v>
      </c>
      <c r="B506">
        <v>3.504224579097114</v>
      </c>
      <c r="C506">
        <v>4.3444391012857853E-2</v>
      </c>
      <c r="D506">
        <v>3.1812546491445597E-2</v>
      </c>
      <c r="E506">
        <v>46.204421624917288</v>
      </c>
      <c r="F506">
        <v>-0.12733960835226671</v>
      </c>
      <c r="G506">
        <v>0.4</v>
      </c>
      <c r="H506">
        <v>-0.14776202872932381</v>
      </c>
      <c r="I506">
        <v>1.842049520150761</v>
      </c>
      <c r="J506">
        <v>-9.96763031588348E-2</v>
      </c>
      <c r="K506">
        <v>-6.4055186006406473E-3</v>
      </c>
      <c r="L506">
        <v>0</v>
      </c>
      <c r="M506">
        <v>330208447</v>
      </c>
      <c r="N506">
        <v>0</v>
      </c>
      <c r="O506" t="b">
        <v>1</v>
      </c>
    </row>
    <row r="507" spans="1:15" x14ac:dyDescent="0.3">
      <c r="A507" s="1" t="s">
        <v>611</v>
      </c>
      <c r="B507">
        <v>4.4530286731798174</v>
      </c>
      <c r="C507">
        <v>2.8120188391923422E-2</v>
      </c>
      <c r="D507">
        <v>1.978441117222484E-2</v>
      </c>
      <c r="E507">
        <v>52.877153625979247</v>
      </c>
      <c r="F507">
        <v>-1.3861990372579959E-2</v>
      </c>
      <c r="G507">
        <v>0.4</v>
      </c>
      <c r="H507">
        <v>2.8393175418172389E-2</v>
      </c>
      <c r="I507">
        <v>0.55120924710480379</v>
      </c>
      <c r="J507">
        <v>-2.1938249263475099E-2</v>
      </c>
      <c r="K507">
        <v>1.6131619642845822E-2</v>
      </c>
      <c r="L507">
        <v>0</v>
      </c>
      <c r="M507">
        <v>33533048.153499998</v>
      </c>
      <c r="N507">
        <v>0</v>
      </c>
      <c r="O507" t="b">
        <v>0</v>
      </c>
    </row>
    <row r="508" spans="1:15" x14ac:dyDescent="0.3">
      <c r="A508" s="1" t="s">
        <v>612</v>
      </c>
      <c r="B508">
        <v>43.922314506278063</v>
      </c>
      <c r="C508">
        <v>2.1379839419327511E-2</v>
      </c>
      <c r="D508">
        <v>4.5916529561230227E-2</v>
      </c>
      <c r="E508">
        <v>79.22739921910599</v>
      </c>
      <c r="F508">
        <v>0.13470938806621419</v>
      </c>
      <c r="G508">
        <v>0.8</v>
      </c>
      <c r="H508">
        <v>7.5232198508947239E-3</v>
      </c>
      <c r="I508">
        <v>0.84150848809784584</v>
      </c>
      <c r="J508">
        <v>0</v>
      </c>
      <c r="K508">
        <v>4.3303827617553248E-2</v>
      </c>
      <c r="L508">
        <v>0</v>
      </c>
      <c r="M508">
        <v>170131380.16</v>
      </c>
      <c r="N508">
        <v>0</v>
      </c>
      <c r="O508" t="b">
        <v>1</v>
      </c>
    </row>
    <row r="509" spans="1:15" x14ac:dyDescent="0.3">
      <c r="A509" s="1" t="s">
        <v>613</v>
      </c>
      <c r="B509">
        <v>1.470520143218941</v>
      </c>
      <c r="C509">
        <v>3.1737045683431157E-2</v>
      </c>
      <c r="D509">
        <v>3.7889693424985729E-2</v>
      </c>
      <c r="E509">
        <v>69.831561405184601</v>
      </c>
      <c r="F509">
        <v>0.13430946773664451</v>
      </c>
      <c r="G509">
        <v>0.6</v>
      </c>
      <c r="H509">
        <v>3.870667252605654E-4</v>
      </c>
      <c r="I509">
        <v>2.2434930623498852</v>
      </c>
      <c r="J509">
        <v>0</v>
      </c>
      <c r="K509">
        <v>3.6830422076323588E-2</v>
      </c>
      <c r="L509">
        <v>0</v>
      </c>
      <c r="M509">
        <v>556903580.44904995</v>
      </c>
      <c r="N509">
        <v>0</v>
      </c>
      <c r="O509" t="b">
        <v>1</v>
      </c>
    </row>
    <row r="510" spans="1:15" x14ac:dyDescent="0.3">
      <c r="A510" s="1" t="s">
        <v>614</v>
      </c>
      <c r="B510">
        <v>0.46527937478132081</v>
      </c>
      <c r="C510">
        <v>1.054746740253578E-2</v>
      </c>
      <c r="D510">
        <v>1.589784394134134E-2</v>
      </c>
      <c r="E510">
        <v>63.248722609511113</v>
      </c>
      <c r="F510">
        <v>3.9087472175439057E-2</v>
      </c>
      <c r="G510">
        <v>0.4</v>
      </c>
      <c r="H510">
        <v>-4.929685201772839E-2</v>
      </c>
      <c r="I510">
        <v>0.36742305875736592</v>
      </c>
      <c r="J510">
        <v>0</v>
      </c>
      <c r="K510">
        <v>1.453745101286086E-2</v>
      </c>
      <c r="L510">
        <v>0</v>
      </c>
      <c r="M510">
        <v>29047810.881349999</v>
      </c>
      <c r="N510">
        <v>0</v>
      </c>
      <c r="O510" t="b">
        <v>0</v>
      </c>
    </row>
    <row r="511" spans="1:15" x14ac:dyDescent="0.3">
      <c r="A511" s="1" t="s">
        <v>615</v>
      </c>
      <c r="B511">
        <v>4.2393954836555414</v>
      </c>
      <c r="C511">
        <v>1.550506723595765E-2</v>
      </c>
      <c r="D511">
        <v>1.13378684807255E-2</v>
      </c>
      <c r="E511">
        <v>53.39653643291485</v>
      </c>
      <c r="F511">
        <v>-1.345841602020548E-2</v>
      </c>
      <c r="G511">
        <v>0.6</v>
      </c>
      <c r="H511">
        <v>-0.18936662147594499</v>
      </c>
      <c r="I511">
        <v>1.2914796540196329</v>
      </c>
      <c r="J511">
        <v>-1.434751261715916E-2</v>
      </c>
      <c r="K511">
        <v>1.4631648255192251E-4</v>
      </c>
      <c r="L511">
        <v>0</v>
      </c>
      <c r="M511">
        <v>86492842.5</v>
      </c>
      <c r="N511">
        <v>0</v>
      </c>
      <c r="O511" t="b">
        <v>0</v>
      </c>
    </row>
    <row r="512" spans="1:15" x14ac:dyDescent="0.3">
      <c r="A512" s="1" t="s">
        <v>616</v>
      </c>
      <c r="B512">
        <v>7.3858825903844476</v>
      </c>
      <c r="C512">
        <v>2.575991416847254E-2</v>
      </c>
      <c r="D512">
        <v>2.067871093749991E-2</v>
      </c>
      <c r="E512">
        <v>60.129737888750199</v>
      </c>
      <c r="F512">
        <v>9.1505731242600641E-2</v>
      </c>
      <c r="G512">
        <v>0.6</v>
      </c>
      <c r="H512">
        <v>-0.1792472084949211</v>
      </c>
      <c r="I512">
        <v>5.090259051619124E-2</v>
      </c>
      <c r="J512">
        <v>-8.3627887029721348E-3</v>
      </c>
      <c r="K512">
        <v>2.223123278477734E-3</v>
      </c>
      <c r="L512">
        <v>0</v>
      </c>
      <c r="M512">
        <v>147467965.75650001</v>
      </c>
      <c r="N512">
        <v>0</v>
      </c>
      <c r="O512" t="b">
        <v>1</v>
      </c>
    </row>
    <row r="513" spans="1:15" x14ac:dyDescent="0.3">
      <c r="A513" s="1" t="s">
        <v>617</v>
      </c>
      <c r="B513">
        <v>0.48799847102454769</v>
      </c>
      <c r="C513">
        <v>8.5807058536167026E-3</v>
      </c>
      <c r="D513">
        <v>1.047623066697608E-2</v>
      </c>
      <c r="E513">
        <v>64.351774423443956</v>
      </c>
      <c r="F513">
        <v>2.0674951004673311E-2</v>
      </c>
      <c r="G513">
        <v>0.4</v>
      </c>
      <c r="H513">
        <v>-4.7546014755910089E-2</v>
      </c>
      <c r="I513">
        <v>0.6334591711854638</v>
      </c>
      <c r="J513">
        <v>0</v>
      </c>
      <c r="K513">
        <v>6.8567725899055798E-3</v>
      </c>
      <c r="L513">
        <v>0</v>
      </c>
      <c r="M513">
        <v>39737722.270300001</v>
      </c>
      <c r="N513">
        <v>0</v>
      </c>
      <c r="O513" t="b">
        <v>0</v>
      </c>
    </row>
    <row r="514" spans="1:15" x14ac:dyDescent="0.3">
      <c r="A514" s="1" t="s">
        <v>618</v>
      </c>
      <c r="B514">
        <v>5.9840708537159912</v>
      </c>
      <c r="C514">
        <v>2.124135076110149E-2</v>
      </c>
      <c r="D514">
        <v>3.6437146366224332E-2</v>
      </c>
      <c r="E514">
        <v>72.325295131137793</v>
      </c>
      <c r="F514">
        <v>0.1198171519427607</v>
      </c>
      <c r="G514">
        <v>0.8</v>
      </c>
      <c r="H514">
        <v>0.1908188800933755</v>
      </c>
      <c r="I514">
        <v>0.74576348905121537</v>
      </c>
      <c r="J514">
        <v>0</v>
      </c>
      <c r="K514">
        <v>3.336487884323347E-2</v>
      </c>
      <c r="L514">
        <v>0</v>
      </c>
      <c r="M514">
        <v>406899554.41750002</v>
      </c>
      <c r="N514">
        <v>0</v>
      </c>
      <c r="O514" t="b">
        <v>1</v>
      </c>
    </row>
    <row r="515" spans="1:15" x14ac:dyDescent="0.3">
      <c r="A515" s="1" t="s">
        <v>619</v>
      </c>
      <c r="B515">
        <v>0.70286022789830649</v>
      </c>
      <c r="C515">
        <v>1.5830185313024919E-2</v>
      </c>
      <c r="D515">
        <v>1.2837837837837851E-2</v>
      </c>
      <c r="E515">
        <v>34.933010091069349</v>
      </c>
      <c r="F515">
        <v>-3.7502709733362338E-2</v>
      </c>
      <c r="G515">
        <v>0.2</v>
      </c>
      <c r="H515">
        <v>-2.4712004573137689E-2</v>
      </c>
      <c r="I515">
        <v>2.0034652535488241E-2</v>
      </c>
      <c r="J515">
        <v>-6.957250628667222E-2</v>
      </c>
      <c r="K515">
        <v>-8.2644628099174389E-3</v>
      </c>
      <c r="L515">
        <v>0</v>
      </c>
      <c r="M515">
        <v>178937608.08335</v>
      </c>
      <c r="N515">
        <v>0</v>
      </c>
      <c r="O515" t="b">
        <v>1</v>
      </c>
    </row>
    <row r="516" spans="1:15" x14ac:dyDescent="0.3">
      <c r="A516" s="1" t="s">
        <v>620</v>
      </c>
      <c r="B516">
        <v>0.40577979142379</v>
      </c>
      <c r="C516">
        <v>1.059402578470421E-2</v>
      </c>
      <c r="D516">
        <v>1.1072326493954621E-2</v>
      </c>
      <c r="E516">
        <v>61.214034964177131</v>
      </c>
      <c r="F516">
        <v>1.1327121458954309E-2</v>
      </c>
      <c r="G516">
        <v>0.6</v>
      </c>
      <c r="H516">
        <v>-3.8183567481701271E-2</v>
      </c>
      <c r="I516">
        <v>1.0144004981513319</v>
      </c>
      <c r="J516">
        <v>0</v>
      </c>
      <c r="K516">
        <v>6.0278621182354719E-3</v>
      </c>
      <c r="L516">
        <v>0</v>
      </c>
      <c r="M516">
        <v>29699481.797200002</v>
      </c>
      <c r="N516">
        <v>0</v>
      </c>
      <c r="O516" t="b">
        <v>0</v>
      </c>
    </row>
    <row r="517" spans="1:15" x14ac:dyDescent="0.3">
      <c r="A517" s="1" t="s">
        <v>621</v>
      </c>
      <c r="B517">
        <v>0.56585510585238596</v>
      </c>
      <c r="C517">
        <v>1.3443900248571179E-2</v>
      </c>
      <c r="D517">
        <v>1.044426123957887E-2</v>
      </c>
      <c r="E517">
        <v>57.157628590781648</v>
      </c>
      <c r="F517">
        <v>-2.8405591092158788E-3</v>
      </c>
      <c r="G517">
        <v>0.8</v>
      </c>
      <c r="H517">
        <v>1.580599607141344E-2</v>
      </c>
      <c r="I517">
        <v>1.264019375948042</v>
      </c>
      <c r="J517">
        <v>-3.5464099110082969E-3</v>
      </c>
      <c r="K517">
        <v>1.1893406533285409E-3</v>
      </c>
      <c r="L517">
        <v>0</v>
      </c>
      <c r="M517">
        <v>13153296.2568</v>
      </c>
      <c r="N517">
        <v>0</v>
      </c>
      <c r="O517" t="b">
        <v>0</v>
      </c>
    </row>
    <row r="518" spans="1:15" x14ac:dyDescent="0.3">
      <c r="A518" s="1" t="s">
        <v>622</v>
      </c>
      <c r="B518">
        <v>0.31641993312109828</v>
      </c>
      <c r="C518">
        <v>8.7726527041606019E-3</v>
      </c>
      <c r="D518">
        <v>1.2570386122116341E-2</v>
      </c>
      <c r="E518">
        <v>64.49270534132971</v>
      </c>
      <c r="F518">
        <v>1.8167806624079349E-2</v>
      </c>
      <c r="G518">
        <v>0.4</v>
      </c>
      <c r="H518">
        <v>-4.7408524196455769E-2</v>
      </c>
      <c r="I518">
        <v>0.72427794938060031</v>
      </c>
      <c r="J518">
        <v>0</v>
      </c>
      <c r="K518">
        <v>1.1100863680833409E-2</v>
      </c>
      <c r="L518">
        <v>0</v>
      </c>
      <c r="M518">
        <v>18593109.988049999</v>
      </c>
      <c r="N518">
        <v>0</v>
      </c>
      <c r="O518" t="b">
        <v>0</v>
      </c>
    </row>
    <row r="519" spans="1:15" x14ac:dyDescent="0.3">
      <c r="A519" s="1" t="s">
        <v>623</v>
      </c>
      <c r="B519">
        <v>1.098454186394388</v>
      </c>
      <c r="C519">
        <v>1.6562940084354459E-2</v>
      </c>
      <c r="D519">
        <v>2.2391435464414949E-2</v>
      </c>
      <c r="E519">
        <v>62.729374365787457</v>
      </c>
      <c r="F519">
        <v>4.0090208065090227E-2</v>
      </c>
      <c r="G519">
        <v>0.2</v>
      </c>
      <c r="H519">
        <v>0.14109991725983281</v>
      </c>
      <c r="I519">
        <v>0.49707555942529408</v>
      </c>
      <c r="J519">
        <v>-5.3989202159570038E-3</v>
      </c>
      <c r="K519">
        <v>-1.9563581640332779E-3</v>
      </c>
      <c r="L519">
        <v>0</v>
      </c>
      <c r="M519">
        <v>8501235.5421500001</v>
      </c>
      <c r="N519">
        <v>0</v>
      </c>
      <c r="O519" t="b">
        <v>0</v>
      </c>
    </row>
    <row r="520" spans="1:15" x14ac:dyDescent="0.3">
      <c r="A520" s="1" t="s">
        <v>624</v>
      </c>
      <c r="B520">
        <v>6.3844072000766277</v>
      </c>
      <c r="C520">
        <v>2.7813920014274761E-2</v>
      </c>
      <c r="D520">
        <v>3.3375446545264448E-2</v>
      </c>
      <c r="E520">
        <v>38.76122843490527</v>
      </c>
      <c r="F520">
        <v>-8.0567505427511676E-2</v>
      </c>
      <c r="G520">
        <v>0.2</v>
      </c>
      <c r="H520">
        <v>-4.0365132913654294E-3</v>
      </c>
      <c r="I520">
        <v>1.3621641072539079</v>
      </c>
      <c r="J520">
        <v>-8.9759095865966199E-2</v>
      </c>
      <c r="K520">
        <v>2.344826356222773E-2</v>
      </c>
      <c r="L520">
        <v>0</v>
      </c>
      <c r="M520">
        <v>307768186.625</v>
      </c>
      <c r="N520">
        <v>0</v>
      </c>
      <c r="O520" t="b">
        <v>1</v>
      </c>
    </row>
    <row r="521" spans="1:15" x14ac:dyDescent="0.3">
      <c r="A521" s="1" t="s">
        <v>625</v>
      </c>
      <c r="B521">
        <v>0.6327959178814182</v>
      </c>
      <c r="C521">
        <v>9.9232996420096087E-3</v>
      </c>
      <c r="D521">
        <v>1.275704224799949E-2</v>
      </c>
      <c r="E521">
        <v>62.888167411549603</v>
      </c>
      <c r="F521">
        <v>2.047880426955162E-2</v>
      </c>
      <c r="G521">
        <v>0.4</v>
      </c>
      <c r="H521">
        <v>4.1221030575553798E-2</v>
      </c>
      <c r="I521">
        <v>0.77020839286593623</v>
      </c>
      <c r="J521">
        <v>0</v>
      </c>
      <c r="K521">
        <v>1.037329277180987E-2</v>
      </c>
      <c r="L521">
        <v>0</v>
      </c>
      <c r="M521">
        <v>84022735.872099996</v>
      </c>
      <c r="N521">
        <v>0</v>
      </c>
      <c r="O521" t="b">
        <v>0</v>
      </c>
    </row>
    <row r="522" spans="1:15" x14ac:dyDescent="0.3">
      <c r="A522" s="1" t="s">
        <v>626</v>
      </c>
      <c r="B522">
        <v>6.9662063712332483</v>
      </c>
      <c r="C522">
        <v>2.6992430142720271E-2</v>
      </c>
      <c r="D522">
        <v>1.921884686918799E-2</v>
      </c>
      <c r="E522">
        <v>58.866610185474499</v>
      </c>
      <c r="F522">
        <v>7.189433899572184E-2</v>
      </c>
      <c r="G522">
        <v>1</v>
      </c>
      <c r="H522">
        <v>-0.2011588736647171</v>
      </c>
      <c r="I522">
        <v>0.78524577643125548</v>
      </c>
      <c r="J522">
        <v>0</v>
      </c>
      <c r="K522">
        <v>3.8762694782534801E-4</v>
      </c>
      <c r="L522">
        <v>0</v>
      </c>
      <c r="M522">
        <v>138925529</v>
      </c>
      <c r="N522">
        <v>0</v>
      </c>
      <c r="O522" t="b">
        <v>1</v>
      </c>
    </row>
    <row r="523" spans="1:15" x14ac:dyDescent="0.3">
      <c r="A523" s="1" t="s">
        <v>627</v>
      </c>
      <c r="B523">
        <v>0.52130448377781136</v>
      </c>
      <c r="C523">
        <v>2.1976867523494821E-2</v>
      </c>
      <c r="D523">
        <v>4.5247590701752889E-2</v>
      </c>
      <c r="E523">
        <v>72.598855871536841</v>
      </c>
      <c r="F523">
        <v>9.3952055489452846E-2</v>
      </c>
      <c r="G523">
        <v>0.8</v>
      </c>
      <c r="H523">
        <v>1.612017212925497E-2</v>
      </c>
      <c r="I523">
        <v>0.9896806164920452</v>
      </c>
      <c r="J523">
        <v>0</v>
      </c>
      <c r="K523">
        <v>4.601558400324568E-2</v>
      </c>
      <c r="L523">
        <v>0</v>
      </c>
      <c r="M523">
        <v>138548048.05540001</v>
      </c>
      <c r="N523">
        <v>0</v>
      </c>
      <c r="O523" t="b">
        <v>1</v>
      </c>
    </row>
    <row r="524" spans="1:15" x14ac:dyDescent="0.3">
      <c r="A524" s="1" t="s">
        <v>628</v>
      </c>
      <c r="B524">
        <v>55.275834475252537</v>
      </c>
      <c r="C524">
        <v>3.154581248873016E-2</v>
      </c>
      <c r="D524">
        <v>3.1713692188284667E-2</v>
      </c>
      <c r="E524">
        <v>51.613690163174489</v>
      </c>
      <c r="F524">
        <v>-2.3343999453407931E-3</v>
      </c>
      <c r="G524">
        <v>0.6</v>
      </c>
      <c r="H524">
        <v>3.6751613947585887E-2</v>
      </c>
      <c r="I524">
        <v>0.50632634145686617</v>
      </c>
      <c r="J524">
        <v>-3.1911602209944712E-2</v>
      </c>
      <c r="K524">
        <v>3.1398249690295371E-4</v>
      </c>
      <c r="L524">
        <v>0</v>
      </c>
      <c r="M524">
        <v>389770782</v>
      </c>
      <c r="N524">
        <v>0</v>
      </c>
      <c r="O524" t="b">
        <v>1</v>
      </c>
    </row>
    <row r="525" spans="1:15" x14ac:dyDescent="0.3">
      <c r="A525" s="1" t="s">
        <v>629</v>
      </c>
      <c r="B525">
        <v>2.3346944167449659</v>
      </c>
      <c r="C525">
        <v>5.9467509341440808E-2</v>
      </c>
      <c r="D525">
        <v>5.4839531329597527E-2</v>
      </c>
      <c r="E525">
        <v>45.6610416594798</v>
      </c>
      <c r="F525">
        <v>-0.1161638901395768</v>
      </c>
      <c r="G525">
        <v>0.6</v>
      </c>
      <c r="H525">
        <v>-0.13541390058092301</v>
      </c>
      <c r="I525">
        <v>2.8408233235936411</v>
      </c>
      <c r="J525">
        <v>-0.1173561151079137</v>
      </c>
      <c r="K525">
        <v>2.0535482193917209E-2</v>
      </c>
      <c r="O525" t="b">
        <v>0</v>
      </c>
    </row>
    <row r="526" spans="1:15" x14ac:dyDescent="0.3">
      <c r="A526" s="1" t="s">
        <v>630</v>
      </c>
      <c r="B526">
        <v>2.9737620103988491</v>
      </c>
      <c r="C526">
        <v>7.4811622903115702E-2</v>
      </c>
      <c r="D526">
        <v>7.2704402515723285E-2</v>
      </c>
      <c r="E526">
        <v>55.035218612779552</v>
      </c>
      <c r="F526">
        <v>5.7180851063829641E-2</v>
      </c>
      <c r="G526">
        <v>0.4</v>
      </c>
      <c r="H526">
        <v>8.4454467598628749E-2</v>
      </c>
      <c r="I526">
        <v>3.59720415609678</v>
      </c>
      <c r="J526">
        <v>-5.8948863636363653E-2</v>
      </c>
      <c r="K526">
        <v>-2.021197929504559E-2</v>
      </c>
      <c r="O526" t="b">
        <v>0</v>
      </c>
    </row>
    <row r="527" spans="1:15" x14ac:dyDescent="0.3">
      <c r="A527" s="1" t="s">
        <v>631</v>
      </c>
      <c r="B527">
        <v>1.500381152819674</v>
      </c>
      <c r="C527">
        <v>2.252824553783294E-2</v>
      </c>
      <c r="D527">
        <v>2.3423423423423462E-2</v>
      </c>
      <c r="E527">
        <v>57.79425838720362</v>
      </c>
      <c r="F527">
        <v>2.3942733004626241E-2</v>
      </c>
      <c r="G527">
        <v>0.4</v>
      </c>
      <c r="H527">
        <v>-5.3182406673232492E-2</v>
      </c>
      <c r="I527">
        <v>0.41649471450134118</v>
      </c>
      <c r="J527">
        <v>0</v>
      </c>
      <c r="K527">
        <v>2.1942611631118551E-2</v>
      </c>
      <c r="L527">
        <v>0</v>
      </c>
      <c r="M527">
        <v>235898581.79185</v>
      </c>
      <c r="N527">
        <v>0</v>
      </c>
      <c r="O527" t="b">
        <v>1</v>
      </c>
    </row>
    <row r="528" spans="1:15" x14ac:dyDescent="0.3">
      <c r="A528" s="1" t="s">
        <v>632</v>
      </c>
      <c r="B528">
        <v>4.8518819230671886</v>
      </c>
      <c r="C528">
        <v>7.2883910516256409E-2</v>
      </c>
      <c r="D528">
        <v>1.5923088478293559E-2</v>
      </c>
      <c r="E528">
        <v>46.803691089317027</v>
      </c>
      <c r="F528">
        <v>4.3416927899686542E-2</v>
      </c>
      <c r="G528">
        <v>0.6</v>
      </c>
      <c r="H528">
        <v>0</v>
      </c>
      <c r="I528">
        <v>1</v>
      </c>
      <c r="J528">
        <v>-5.6758775205378864E-3</v>
      </c>
      <c r="K528">
        <v>5.4372451291344603E-3</v>
      </c>
      <c r="L528">
        <v>3.968253968253968E-3</v>
      </c>
      <c r="M528">
        <v>633409636.5</v>
      </c>
      <c r="N528">
        <v>0</v>
      </c>
      <c r="O528" t="b">
        <v>1</v>
      </c>
    </row>
    <row r="529" spans="1:15" x14ac:dyDescent="0.3">
      <c r="A529" s="1" t="s">
        <v>633</v>
      </c>
      <c r="B529">
        <v>1.001952924694318</v>
      </c>
      <c r="C529">
        <v>2.1250417280546649E-2</v>
      </c>
      <c r="D529">
        <v>5.1313049047928161E-2</v>
      </c>
      <c r="E529">
        <v>77.716656179351546</v>
      </c>
      <c r="F529">
        <v>0.10248088479435059</v>
      </c>
      <c r="G529">
        <v>0.4</v>
      </c>
      <c r="H529">
        <v>1.8713450543169759E-2</v>
      </c>
      <c r="I529">
        <v>0.98606613118319208</v>
      </c>
      <c r="J529">
        <v>0</v>
      </c>
      <c r="K529">
        <v>5.2455591319604089E-2</v>
      </c>
      <c r="L529">
        <v>0</v>
      </c>
      <c r="M529">
        <v>196049590.11649999</v>
      </c>
      <c r="N529">
        <v>0</v>
      </c>
      <c r="O529" t="b">
        <v>1</v>
      </c>
    </row>
    <row r="530" spans="1:15" x14ac:dyDescent="0.3">
      <c r="A530" s="1" t="s">
        <v>634</v>
      </c>
      <c r="B530">
        <v>6.4729994554216628</v>
      </c>
      <c r="C530">
        <v>3.6537590062213042E-2</v>
      </c>
      <c r="D530">
        <v>2.5795890720253001E-2</v>
      </c>
      <c r="E530">
        <v>71.776839986841537</v>
      </c>
      <c r="F530">
        <v>0.16178110040002619</v>
      </c>
      <c r="G530">
        <v>1</v>
      </c>
      <c r="H530">
        <v>0.1236454191587882</v>
      </c>
      <c r="I530">
        <v>2.2108140383970691</v>
      </c>
      <c r="J530">
        <v>0</v>
      </c>
      <c r="K530">
        <v>1.037983346640803E-2</v>
      </c>
      <c r="L530">
        <v>0</v>
      </c>
      <c r="M530">
        <v>165103085.5</v>
      </c>
      <c r="N530">
        <v>0</v>
      </c>
      <c r="O530" t="b">
        <v>1</v>
      </c>
    </row>
    <row r="531" spans="1:15" x14ac:dyDescent="0.3">
      <c r="A531" s="1" t="s">
        <v>635</v>
      </c>
      <c r="B531">
        <v>45.795574944441697</v>
      </c>
      <c r="C531">
        <v>4.4861117859429783E-2</v>
      </c>
      <c r="D531">
        <v>5.9385989831803578E-2</v>
      </c>
      <c r="E531">
        <v>62.532031524857388</v>
      </c>
      <c r="F531">
        <v>4.9120585714373943E-2</v>
      </c>
      <c r="G531">
        <v>0.4</v>
      </c>
      <c r="H531">
        <v>0.13987208574746771</v>
      </c>
      <c r="I531">
        <v>2.691013491509529</v>
      </c>
      <c r="J531">
        <v>0</v>
      </c>
      <c r="K531">
        <v>3.8379654541404351E-2</v>
      </c>
      <c r="L531">
        <v>0</v>
      </c>
      <c r="M531">
        <v>221493959.82300001</v>
      </c>
      <c r="N531">
        <v>0</v>
      </c>
      <c r="O531" t="b">
        <v>1</v>
      </c>
    </row>
    <row r="532" spans="1:15" x14ac:dyDescent="0.3">
      <c r="A532" s="1" t="s">
        <v>636</v>
      </c>
      <c r="B532">
        <v>3.0500803423916261</v>
      </c>
      <c r="C532">
        <v>4.2315210077575272E-2</v>
      </c>
      <c r="D532">
        <v>7.117092119866808E-2</v>
      </c>
      <c r="E532">
        <v>72.472798176308288</v>
      </c>
      <c r="F532">
        <v>0.13262099308610931</v>
      </c>
      <c r="G532">
        <v>1</v>
      </c>
      <c r="H532">
        <v>0.12753919751507611</v>
      </c>
      <c r="I532">
        <v>2.329597221410848</v>
      </c>
      <c r="J532">
        <v>0</v>
      </c>
      <c r="K532">
        <v>5.2262773722627782E-2</v>
      </c>
      <c r="L532">
        <v>0</v>
      </c>
      <c r="M532">
        <v>168715783</v>
      </c>
      <c r="N532">
        <v>0</v>
      </c>
      <c r="O532" t="b">
        <v>1</v>
      </c>
    </row>
    <row r="533" spans="1:15" x14ac:dyDescent="0.3">
      <c r="A533" s="1" t="s">
        <v>637</v>
      </c>
      <c r="B533">
        <v>2.599604354674408E-2</v>
      </c>
      <c r="C533">
        <v>5.1391932110304037E-4</v>
      </c>
      <c r="D533">
        <v>1.9571444669157169E-4</v>
      </c>
      <c r="E533">
        <v>83.673716896548768</v>
      </c>
      <c r="F533">
        <v>4.3841622140019521E-3</v>
      </c>
      <c r="G533">
        <v>0.8</v>
      </c>
      <c r="H533">
        <v>-7.8264079600866412E-2</v>
      </c>
      <c r="I533">
        <v>2.8518366705930581E-2</v>
      </c>
      <c r="J533">
        <v>0</v>
      </c>
      <c r="K533">
        <v>1.9575275833427769E-4</v>
      </c>
      <c r="L533">
        <v>0</v>
      </c>
      <c r="M533">
        <v>69266092.602950007</v>
      </c>
      <c r="N533">
        <v>0</v>
      </c>
      <c r="O533" t="b">
        <v>0</v>
      </c>
    </row>
    <row r="534" spans="1:15" x14ac:dyDescent="0.3">
      <c r="A534" s="1" t="s">
        <v>638</v>
      </c>
      <c r="B534">
        <v>1.748903294342683</v>
      </c>
      <c r="C534">
        <v>4.0306598164154939E-2</v>
      </c>
      <c r="D534">
        <v>3.5492048859184118E-2</v>
      </c>
      <c r="E534">
        <v>48.526937550063401</v>
      </c>
      <c r="F534">
        <v>-4.8256196534327778E-2</v>
      </c>
      <c r="G534">
        <v>0.4</v>
      </c>
      <c r="H534">
        <v>1.5079323478306719E-2</v>
      </c>
      <c r="I534">
        <v>1.9075532153247901</v>
      </c>
      <c r="J534">
        <v>-5.1169910343319407E-2</v>
      </c>
      <c r="K534">
        <v>-2.3041474654372779E-4</v>
      </c>
      <c r="L534">
        <v>0</v>
      </c>
      <c r="M534">
        <v>129305674</v>
      </c>
      <c r="N534">
        <v>0</v>
      </c>
      <c r="O534" t="b">
        <v>1</v>
      </c>
    </row>
    <row r="535" spans="1:15" x14ac:dyDescent="0.3">
      <c r="A535" s="1" t="s">
        <v>639</v>
      </c>
      <c r="B535">
        <v>1.9949839208575231</v>
      </c>
      <c r="C535">
        <v>2.7245057554555741E-2</v>
      </c>
      <c r="D535">
        <v>2.6279742760882099E-2</v>
      </c>
      <c r="E535">
        <v>69.052668937717783</v>
      </c>
      <c r="F535">
        <v>5.3658768222612618E-2</v>
      </c>
      <c r="G535">
        <v>0.8</v>
      </c>
      <c r="H535">
        <v>0.10126415039873279</v>
      </c>
      <c r="I535">
        <v>1.4184025903654029</v>
      </c>
      <c r="J535">
        <v>0</v>
      </c>
      <c r="K535">
        <v>1.35245118801437E-2</v>
      </c>
      <c r="L535">
        <v>0</v>
      </c>
      <c r="M535">
        <v>86658675.462449998</v>
      </c>
      <c r="N535">
        <v>0</v>
      </c>
      <c r="O535" t="b">
        <v>0</v>
      </c>
    </row>
    <row r="536" spans="1:15" x14ac:dyDescent="0.3">
      <c r="A536" s="1" t="s">
        <v>640</v>
      </c>
      <c r="B536">
        <v>7.3575064513200452</v>
      </c>
      <c r="C536">
        <v>3.3697473899972727E-2</v>
      </c>
      <c r="D536">
        <v>1.7060547769533731E-2</v>
      </c>
      <c r="E536">
        <v>53.918599136231371</v>
      </c>
      <c r="F536">
        <v>-5.00761366108331E-2</v>
      </c>
      <c r="G536">
        <v>0.6</v>
      </c>
      <c r="H536">
        <v>-0.18378520224006589</v>
      </c>
      <c r="I536">
        <v>1.495793438766714</v>
      </c>
      <c r="J536">
        <v>-6.8714011516314732E-2</v>
      </c>
      <c r="K536">
        <v>1.083333333333325E-2</v>
      </c>
      <c r="L536">
        <v>0</v>
      </c>
      <c r="M536">
        <v>484835112</v>
      </c>
      <c r="N536">
        <v>0</v>
      </c>
      <c r="O536" t="b">
        <v>1</v>
      </c>
    </row>
    <row r="537" spans="1:15" x14ac:dyDescent="0.3">
      <c r="A537" s="1" t="s">
        <v>641</v>
      </c>
      <c r="B537">
        <v>0.48310117429229249</v>
      </c>
      <c r="C537">
        <v>1.3176876133091099E-2</v>
      </c>
      <c r="D537">
        <v>1.6318993639329291E-2</v>
      </c>
      <c r="E537">
        <v>62.71186444699012</v>
      </c>
      <c r="F537">
        <v>2.280919063082365E-2</v>
      </c>
      <c r="G537">
        <v>0.6</v>
      </c>
      <c r="H537">
        <v>-0.1073932556072628</v>
      </c>
      <c r="I537">
        <v>0.97465989266667841</v>
      </c>
      <c r="J537">
        <v>0</v>
      </c>
      <c r="K537">
        <v>1.0164242476008219E-2</v>
      </c>
      <c r="L537">
        <v>0</v>
      </c>
      <c r="M537">
        <v>11734133.012700001</v>
      </c>
      <c r="N537">
        <v>0</v>
      </c>
      <c r="O537" t="b">
        <v>0</v>
      </c>
    </row>
    <row r="538" spans="1:15" x14ac:dyDescent="0.3">
      <c r="A538" s="1" t="s">
        <v>642</v>
      </c>
      <c r="B538">
        <v>0.42745662581128552</v>
      </c>
      <c r="C538">
        <v>1.8283003670285951E-2</v>
      </c>
      <c r="D538">
        <v>3.079555175363554E-2</v>
      </c>
      <c r="E538">
        <v>43.053694528770897</v>
      </c>
      <c r="F538">
        <v>-1.350210970464139E-2</v>
      </c>
      <c r="G538">
        <v>0.2</v>
      </c>
      <c r="H538">
        <v>-0.1242976481969337</v>
      </c>
      <c r="I538">
        <v>0.7826670021300951</v>
      </c>
      <c r="J538">
        <v>-2.826267664172899E-2</v>
      </c>
      <c r="K538">
        <v>3.040987219039204E-2</v>
      </c>
      <c r="L538">
        <v>0</v>
      </c>
      <c r="M538">
        <v>7719008.8369999994</v>
      </c>
      <c r="N538">
        <v>0</v>
      </c>
      <c r="O538" t="b">
        <v>0</v>
      </c>
    </row>
    <row r="539" spans="1:15" x14ac:dyDescent="0.3">
      <c r="A539" s="1" t="s">
        <v>643</v>
      </c>
      <c r="B539">
        <v>2.3698631941648278</v>
      </c>
      <c r="C539">
        <v>2.288617280699979E-2</v>
      </c>
      <c r="D539">
        <v>1.7093191694833379E-2</v>
      </c>
      <c r="E539">
        <v>70.060677199960594</v>
      </c>
      <c r="F539">
        <v>9.299134473295334E-2</v>
      </c>
      <c r="G539">
        <v>0.6</v>
      </c>
      <c r="H539">
        <v>8.6341223905686312E-2</v>
      </c>
      <c r="I539">
        <v>0.2280049906359076</v>
      </c>
      <c r="J539">
        <v>0</v>
      </c>
      <c r="K539">
        <v>1.4506769825917141E-3</v>
      </c>
      <c r="L539">
        <v>0</v>
      </c>
      <c r="M539">
        <v>49261175.5616</v>
      </c>
      <c r="N539">
        <v>0</v>
      </c>
      <c r="O539" t="b">
        <v>0</v>
      </c>
    </row>
    <row r="540" spans="1:15" x14ac:dyDescent="0.3">
      <c r="A540" s="1" t="s">
        <v>644</v>
      </c>
      <c r="B540">
        <v>24.748954475696141</v>
      </c>
      <c r="C540">
        <v>4.7904601892449418E-2</v>
      </c>
      <c r="D540">
        <v>8.0483131060913968E-2</v>
      </c>
      <c r="E540">
        <v>70.534545632998388</v>
      </c>
      <c r="F540">
        <v>0.10572951223166301</v>
      </c>
      <c r="G540">
        <v>1</v>
      </c>
      <c r="H540">
        <v>0.19232546479959761</v>
      </c>
      <c r="I540">
        <v>2.7005547300643449</v>
      </c>
      <c r="J540">
        <v>0</v>
      </c>
      <c r="K540">
        <v>3.6473066506169223E-2</v>
      </c>
      <c r="L540">
        <v>0</v>
      </c>
      <c r="M540">
        <v>163985863.5</v>
      </c>
      <c r="N540">
        <v>0</v>
      </c>
      <c r="O540" t="b">
        <v>1</v>
      </c>
    </row>
    <row r="541" spans="1:15" x14ac:dyDescent="0.3">
      <c r="A541" s="1" t="s">
        <v>645</v>
      </c>
      <c r="B541">
        <v>2.5643431325857469</v>
      </c>
      <c r="C541">
        <v>4.1387074444573062E-2</v>
      </c>
      <c r="D541">
        <v>3.9864428663653952E-2</v>
      </c>
      <c r="E541">
        <v>45.557017098804103</v>
      </c>
      <c r="F541">
        <v>3.9946290701577743E-2</v>
      </c>
      <c r="G541">
        <v>0.2</v>
      </c>
      <c r="H541">
        <v>-0.28067387141683192</v>
      </c>
      <c r="I541">
        <v>1.2299322670498589</v>
      </c>
      <c r="J541">
        <v>-6.5460030165912508E-2</v>
      </c>
      <c r="K541">
        <v>9.9429502852486085E-3</v>
      </c>
      <c r="L541">
        <v>0</v>
      </c>
      <c r="M541">
        <v>150073060.5</v>
      </c>
      <c r="N541">
        <v>0</v>
      </c>
      <c r="O541" t="b">
        <v>1</v>
      </c>
    </row>
    <row r="542" spans="1:15" x14ac:dyDescent="0.3">
      <c r="A542" s="1" t="s">
        <v>646</v>
      </c>
      <c r="B542">
        <v>0.46848131246808861</v>
      </c>
      <c r="C542">
        <v>1.4495090113492841E-2</v>
      </c>
      <c r="D542">
        <v>2.5742574257425769E-2</v>
      </c>
      <c r="E542">
        <v>68.23861158209975</v>
      </c>
      <c r="F542">
        <v>5.165199169611423E-2</v>
      </c>
      <c r="G542">
        <v>0.6</v>
      </c>
      <c r="H542">
        <v>-4.9923110959221452E-2</v>
      </c>
      <c r="I542">
        <v>1.100272011656777</v>
      </c>
      <c r="J542">
        <v>0</v>
      </c>
      <c r="K542">
        <v>1.962268912865173E-2</v>
      </c>
      <c r="L542">
        <v>0</v>
      </c>
      <c r="M542">
        <v>24338823.079950001</v>
      </c>
      <c r="N542">
        <v>0</v>
      </c>
      <c r="O542" t="b">
        <v>0</v>
      </c>
    </row>
    <row r="543" spans="1:15" x14ac:dyDescent="0.3">
      <c r="A543" s="1" t="s">
        <v>647</v>
      </c>
      <c r="B543">
        <v>0.32674097273496627</v>
      </c>
      <c r="C543">
        <v>9.1367963070094881E-3</v>
      </c>
      <c r="D543">
        <v>9.7116971001928645E-3</v>
      </c>
      <c r="E543">
        <v>53.502320903601642</v>
      </c>
      <c r="F543">
        <v>-1.2260771332057271E-2</v>
      </c>
      <c r="G543">
        <v>0.2</v>
      </c>
      <c r="H543">
        <v>-3.9292803236710271E-2</v>
      </c>
      <c r="I543">
        <v>0.81458159455078716</v>
      </c>
      <c r="J543">
        <v>-1.7236356840953811E-2</v>
      </c>
      <c r="K543">
        <v>6.7905787757815972E-3</v>
      </c>
      <c r="L543">
        <v>0</v>
      </c>
      <c r="M543">
        <v>25182170.386300001</v>
      </c>
      <c r="N543">
        <v>0</v>
      </c>
      <c r="O543" t="b">
        <v>0</v>
      </c>
    </row>
    <row r="544" spans="1:15" x14ac:dyDescent="0.3">
      <c r="A544" s="1" t="s">
        <v>648</v>
      </c>
      <c r="B544">
        <v>0.39213950950843057</v>
      </c>
      <c r="C544">
        <v>8.8103419422685438E-3</v>
      </c>
      <c r="D544">
        <v>1.2649127142824941E-2</v>
      </c>
      <c r="E544">
        <v>67.733272898391533</v>
      </c>
      <c r="F544">
        <v>2.918121488195724E-2</v>
      </c>
      <c r="G544">
        <v>0.6</v>
      </c>
      <c r="H544">
        <v>5.1468166734894377E-2</v>
      </c>
      <c r="I544">
        <v>0.72202501063547597</v>
      </c>
      <c r="J544">
        <v>0</v>
      </c>
      <c r="K544">
        <v>1.1694643648637809E-2</v>
      </c>
      <c r="L544">
        <v>0</v>
      </c>
      <c r="M544">
        <v>44144164.351999998</v>
      </c>
      <c r="N544">
        <v>0</v>
      </c>
      <c r="O544" t="b">
        <v>0</v>
      </c>
    </row>
    <row r="545" spans="1:15" x14ac:dyDescent="0.3">
      <c r="A545" s="1" t="s">
        <v>649</v>
      </c>
      <c r="B545">
        <v>0.27313632665632781</v>
      </c>
      <c r="C545">
        <v>9.9794054313601666E-3</v>
      </c>
      <c r="D545">
        <v>1.5710632078918509E-2</v>
      </c>
      <c r="E545">
        <v>65.698193315498145</v>
      </c>
      <c r="F545">
        <v>3.087735685606896E-2</v>
      </c>
      <c r="G545">
        <v>0.4</v>
      </c>
      <c r="H545">
        <v>2.50608266100509E-2</v>
      </c>
      <c r="I545">
        <v>0.76130042964896361</v>
      </c>
      <c r="J545">
        <v>0</v>
      </c>
      <c r="K545">
        <v>1.265354447239897E-2</v>
      </c>
      <c r="L545">
        <v>0</v>
      </c>
      <c r="M545">
        <v>80556352.036500007</v>
      </c>
      <c r="N545">
        <v>0</v>
      </c>
      <c r="O545" t="b">
        <v>0</v>
      </c>
    </row>
    <row r="546" spans="1:15" x14ac:dyDescent="0.3">
      <c r="A546" s="1" t="s">
        <v>650</v>
      </c>
      <c r="B546">
        <v>1.121457551150622</v>
      </c>
      <c r="C546">
        <v>2.0770886526298851E-2</v>
      </c>
      <c r="D546">
        <v>2.33535462792498E-2</v>
      </c>
      <c r="E546">
        <v>41.743092491105877</v>
      </c>
      <c r="F546">
        <v>-1.7044130498106599E-2</v>
      </c>
      <c r="G546">
        <v>0.4</v>
      </c>
      <c r="H546">
        <v>-0.1128493360901187</v>
      </c>
      <c r="I546">
        <v>0.29845595830735439</v>
      </c>
      <c r="J546">
        <v>-5.0722000397350753E-2</v>
      </c>
      <c r="K546">
        <v>-6.502874218882293E-3</v>
      </c>
      <c r="L546">
        <v>0</v>
      </c>
      <c r="M546">
        <v>67654121.120200008</v>
      </c>
      <c r="N546">
        <v>0</v>
      </c>
      <c r="O546" t="b">
        <v>0</v>
      </c>
    </row>
    <row r="547" spans="1:15" x14ac:dyDescent="0.3">
      <c r="A547" s="1" t="s">
        <v>651</v>
      </c>
      <c r="B547">
        <v>5.7580572096209304</v>
      </c>
      <c r="C547">
        <v>2.7693618745772079E-2</v>
      </c>
      <c r="D547">
        <v>4.2660638707194963E-2</v>
      </c>
      <c r="E547">
        <v>60.08044709364863</v>
      </c>
      <c r="F547">
        <v>6.7132005748306245E-2</v>
      </c>
      <c r="G547">
        <v>0.8</v>
      </c>
      <c r="H547">
        <v>-4.1833180968636318E-3</v>
      </c>
      <c r="I547">
        <v>0.80004750447183348</v>
      </c>
      <c r="J547">
        <v>-9.1498284407167674E-3</v>
      </c>
      <c r="K547">
        <v>2.4589760015768961E-2</v>
      </c>
      <c r="L547">
        <v>0</v>
      </c>
      <c r="M547">
        <v>121162074.48999999</v>
      </c>
      <c r="N547">
        <v>0</v>
      </c>
      <c r="O547" t="b">
        <v>1</v>
      </c>
    </row>
    <row r="548" spans="1:15" x14ac:dyDescent="0.3">
      <c r="A548" s="1" t="s">
        <v>652</v>
      </c>
      <c r="B548">
        <v>1.3064583948262289</v>
      </c>
      <c r="C548">
        <v>2.070755679228271E-2</v>
      </c>
      <c r="D548">
        <v>2.555519100218898E-2</v>
      </c>
      <c r="E548">
        <v>76.68042629573101</v>
      </c>
      <c r="F548">
        <v>5.6285891275594802E-2</v>
      </c>
      <c r="G548">
        <v>1</v>
      </c>
      <c r="H548">
        <v>0.12389313375478329</v>
      </c>
      <c r="I548">
        <v>0.13813533412961879</v>
      </c>
      <c r="J548">
        <v>0</v>
      </c>
      <c r="K548">
        <v>1.9774518123408798E-2</v>
      </c>
      <c r="L548">
        <v>0</v>
      </c>
      <c r="M548">
        <v>57525267.143849999</v>
      </c>
      <c r="N548">
        <v>0</v>
      </c>
      <c r="O548" t="b">
        <v>0</v>
      </c>
    </row>
    <row r="549" spans="1:15" x14ac:dyDescent="0.3">
      <c r="A549" s="1" t="s">
        <v>653</v>
      </c>
      <c r="B549">
        <v>1.454836367282061</v>
      </c>
      <c r="C549">
        <v>2.037877073870583E-2</v>
      </c>
      <c r="D549">
        <v>2.606674903137424E-2</v>
      </c>
      <c r="E549">
        <v>79.435549542470824</v>
      </c>
      <c r="F549">
        <v>7.831106922114861E-2</v>
      </c>
      <c r="G549">
        <v>1</v>
      </c>
      <c r="H549">
        <v>0.14407919424609361</v>
      </c>
      <c r="I549">
        <v>0.26295371167795512</v>
      </c>
      <c r="J549">
        <v>0</v>
      </c>
      <c r="K549">
        <v>2.0484070169018539E-2</v>
      </c>
      <c r="L549">
        <v>0</v>
      </c>
      <c r="M549">
        <v>190705217.24245</v>
      </c>
      <c r="N549">
        <v>0</v>
      </c>
      <c r="O549" t="b">
        <v>1</v>
      </c>
    </row>
    <row r="550" spans="1:15" x14ac:dyDescent="0.3">
      <c r="A550" s="1" t="s">
        <v>654</v>
      </c>
      <c r="B550">
        <v>4.9134615382257593E-2</v>
      </c>
      <c r="C550">
        <v>2.7252949610495031E-3</v>
      </c>
      <c r="D550">
        <v>3.2780338452835039E-3</v>
      </c>
      <c r="E550">
        <v>59.510817697570907</v>
      </c>
      <c r="F550">
        <v>2.0174736561291429E-3</v>
      </c>
      <c r="G550">
        <v>0.4</v>
      </c>
      <c r="H550">
        <v>-9.058001041329837E-2</v>
      </c>
      <c r="I550">
        <v>0.22589380205949119</v>
      </c>
      <c r="J550">
        <v>0</v>
      </c>
      <c r="K550">
        <v>3.2888146911520528E-3</v>
      </c>
      <c r="L550">
        <v>0</v>
      </c>
      <c r="M550">
        <v>21981838.907699998</v>
      </c>
      <c r="N550">
        <v>0</v>
      </c>
      <c r="O550" t="b">
        <v>0</v>
      </c>
    </row>
    <row r="551" spans="1:15" x14ac:dyDescent="0.3">
      <c r="A551" s="1" t="s">
        <v>655</v>
      </c>
      <c r="B551">
        <v>1.051140315134367</v>
      </c>
      <c r="C551">
        <v>1.8082081262761861E-2</v>
      </c>
      <c r="D551">
        <v>2.6801257835669529E-2</v>
      </c>
      <c r="E551">
        <v>65.70786258449786</v>
      </c>
      <c r="F551">
        <v>4.5511689516933851E-2</v>
      </c>
      <c r="G551">
        <v>0.6</v>
      </c>
      <c r="H551">
        <v>0.1039913874379606</v>
      </c>
      <c r="I551">
        <v>0.50372256760452749</v>
      </c>
      <c r="J551">
        <v>0</v>
      </c>
      <c r="K551">
        <v>2.3768095523229341E-2</v>
      </c>
      <c r="L551">
        <v>0</v>
      </c>
      <c r="M551">
        <v>52333184.651000001</v>
      </c>
      <c r="N551">
        <v>0</v>
      </c>
      <c r="O551" t="b">
        <v>0</v>
      </c>
    </row>
    <row r="552" spans="1:15" x14ac:dyDescent="0.3">
      <c r="A552" s="1" t="s">
        <v>656</v>
      </c>
      <c r="B552">
        <v>4.7605307911649799</v>
      </c>
      <c r="C552">
        <v>3.5507800336876109E-2</v>
      </c>
      <c r="D552">
        <v>2.33460132766465E-2</v>
      </c>
      <c r="E552">
        <v>41.722870244555857</v>
      </c>
      <c r="F552">
        <v>-4.0438018894932808E-2</v>
      </c>
      <c r="G552">
        <v>0.6</v>
      </c>
      <c r="H552">
        <v>-0.18680981425838961</v>
      </c>
      <c r="I552">
        <v>1.047519511054761</v>
      </c>
      <c r="J552">
        <v>-4.6850561637992387E-2</v>
      </c>
      <c r="K552">
        <v>1.032403918613412E-2</v>
      </c>
      <c r="L552">
        <v>0</v>
      </c>
      <c r="M552">
        <v>14489947</v>
      </c>
      <c r="N552">
        <v>0</v>
      </c>
      <c r="O552" t="b">
        <v>0</v>
      </c>
    </row>
    <row r="553" spans="1:15" x14ac:dyDescent="0.3">
      <c r="A553" s="1" t="s">
        <v>657</v>
      </c>
      <c r="B553">
        <v>2.2453056128714328</v>
      </c>
      <c r="C553">
        <v>0.14598866143507361</v>
      </c>
      <c r="D553">
        <v>8.0104031209362755E-2</v>
      </c>
      <c r="E553">
        <v>34.568667386457903</v>
      </c>
      <c r="F553">
        <v>-0.39233504543658632</v>
      </c>
      <c r="G553">
        <v>0.6</v>
      </c>
      <c r="H553">
        <v>0</v>
      </c>
      <c r="I553">
        <v>1</v>
      </c>
      <c r="J553">
        <v>-0.29803742583295301</v>
      </c>
      <c r="K553">
        <v>-4.8267326732673199E-2</v>
      </c>
      <c r="O553" t="b">
        <v>0</v>
      </c>
    </row>
    <row r="554" spans="1:15" x14ac:dyDescent="0.3">
      <c r="A554" s="1" t="s">
        <v>658</v>
      </c>
      <c r="B554">
        <v>2.831404778788134</v>
      </c>
      <c r="C554">
        <v>4.119605381621029E-2</v>
      </c>
      <c r="D554">
        <v>3.5355739851593293E-2</v>
      </c>
      <c r="E554">
        <v>72.105820616583173</v>
      </c>
      <c r="F554">
        <v>6.8563432835821114E-2</v>
      </c>
      <c r="G554">
        <v>0.6</v>
      </c>
      <c r="H554">
        <v>0.12665152267827229</v>
      </c>
      <c r="I554">
        <v>1.656514786000912</v>
      </c>
      <c r="J554">
        <v>-1.452854859799402E-3</v>
      </c>
      <c r="K554">
        <v>-1.452854859799402E-3</v>
      </c>
      <c r="L554">
        <v>0</v>
      </c>
      <c r="M554">
        <v>36074517.5</v>
      </c>
      <c r="N554">
        <v>0</v>
      </c>
      <c r="O554" t="b">
        <v>0</v>
      </c>
    </row>
    <row r="555" spans="1:15" x14ac:dyDescent="0.3">
      <c r="A555" s="1" t="s">
        <v>659</v>
      </c>
      <c r="B555">
        <v>1.5280503539907979</v>
      </c>
      <c r="C555">
        <v>1.584999381778085E-2</v>
      </c>
      <c r="D555">
        <v>1.3743815283122631E-2</v>
      </c>
      <c r="E555">
        <v>50.486899835966199</v>
      </c>
      <c r="F555">
        <v>7.439252375513572E-3</v>
      </c>
      <c r="G555">
        <v>0.6</v>
      </c>
      <c r="H555">
        <v>-0.1132750185518812</v>
      </c>
      <c r="I555">
        <v>0.32350314072039571</v>
      </c>
      <c r="J555">
        <v>-1.574791091327676E-2</v>
      </c>
      <c r="K555">
        <v>5.8804257778835023E-3</v>
      </c>
      <c r="L555">
        <v>0</v>
      </c>
      <c r="M555">
        <v>63926753.30985</v>
      </c>
      <c r="N555">
        <v>0</v>
      </c>
      <c r="O555" t="b">
        <v>0</v>
      </c>
    </row>
    <row r="556" spans="1:15" x14ac:dyDescent="0.3">
      <c r="A556" s="1" t="s">
        <v>660</v>
      </c>
      <c r="B556">
        <v>0.1948155435083993</v>
      </c>
      <c r="C556">
        <v>4.4579093777593537E-3</v>
      </c>
      <c r="D556">
        <v>5.4094748187115699E-3</v>
      </c>
      <c r="E556">
        <v>52.876219104902617</v>
      </c>
      <c r="F556">
        <v>2.3992751711718881E-3</v>
      </c>
      <c r="G556">
        <v>0.2</v>
      </c>
      <c r="H556">
        <v>-7.7212960238106448E-2</v>
      </c>
      <c r="I556">
        <v>1.9595934668798849E-2</v>
      </c>
      <c r="J556">
        <v>-4.2608360808511492E-3</v>
      </c>
      <c r="K556">
        <v>2.8248198632336852E-3</v>
      </c>
      <c r="L556">
        <v>0</v>
      </c>
      <c r="M556">
        <v>9834613.8735000007</v>
      </c>
      <c r="N556">
        <v>1</v>
      </c>
      <c r="O556" t="b">
        <v>0</v>
      </c>
    </row>
    <row r="557" spans="1:15" x14ac:dyDescent="0.3">
      <c r="A557" s="1" t="s">
        <v>661</v>
      </c>
      <c r="B557">
        <v>10.818596256978079</v>
      </c>
      <c r="C557">
        <v>4.125613490820304E-2</v>
      </c>
      <c r="D557">
        <v>5.7011020859550732E-2</v>
      </c>
      <c r="E557">
        <v>55.08143062836497</v>
      </c>
      <c r="F557">
        <v>-3.8182218309859017E-2</v>
      </c>
      <c r="G557">
        <v>0.6</v>
      </c>
      <c r="H557">
        <v>0.13243775278873759</v>
      </c>
      <c r="I557">
        <v>1.771820372166415</v>
      </c>
      <c r="J557">
        <v>-3.9168987249010627E-2</v>
      </c>
      <c r="K557">
        <v>3.4764422697498347E-2</v>
      </c>
      <c r="L557">
        <v>0</v>
      </c>
      <c r="M557">
        <v>472144680</v>
      </c>
      <c r="N557">
        <v>0</v>
      </c>
      <c r="O557" t="b">
        <v>1</v>
      </c>
    </row>
    <row r="558" spans="1:15" x14ac:dyDescent="0.3">
      <c r="A558" s="1" t="s">
        <v>662</v>
      </c>
      <c r="B558">
        <v>3.155306187855532</v>
      </c>
      <c r="C558">
        <v>2.858326105494639E-2</v>
      </c>
      <c r="D558">
        <v>2.4458737204456949E-2</v>
      </c>
      <c r="E558">
        <v>44.278801913653147</v>
      </c>
      <c r="F558">
        <v>-1.8380358714886521E-2</v>
      </c>
      <c r="G558">
        <v>0.2</v>
      </c>
      <c r="H558">
        <v>-0.17132161734137641</v>
      </c>
      <c r="I558">
        <v>1.246131471059952</v>
      </c>
      <c r="J558">
        <v>-3.1666666666666621E-2</v>
      </c>
      <c r="K558">
        <v>9.4184345281638215E-3</v>
      </c>
      <c r="L558">
        <v>0</v>
      </c>
      <c r="M558">
        <v>43619913.139600001</v>
      </c>
      <c r="N558">
        <v>0</v>
      </c>
      <c r="O558" t="b">
        <v>0</v>
      </c>
    </row>
    <row r="559" spans="1:15" x14ac:dyDescent="0.3">
      <c r="A559" s="1" t="s">
        <v>663</v>
      </c>
      <c r="B559">
        <v>3.351063904380108</v>
      </c>
      <c r="C559">
        <v>2.242324253830888E-2</v>
      </c>
      <c r="D559">
        <v>2.6216827482836651E-2</v>
      </c>
      <c r="E559">
        <v>32.656403042010993</v>
      </c>
      <c r="F559">
        <v>-1.687377887126584E-2</v>
      </c>
      <c r="G559">
        <v>0.4</v>
      </c>
      <c r="H559">
        <v>-0.33397345283508473</v>
      </c>
      <c r="I559">
        <v>0.15819795488824159</v>
      </c>
      <c r="J559">
        <v>-4.5518703735637711E-2</v>
      </c>
      <c r="K559">
        <v>-1.069475823162191E-3</v>
      </c>
      <c r="L559">
        <v>0</v>
      </c>
      <c r="M559">
        <v>21560623.760000002</v>
      </c>
      <c r="N559">
        <v>1</v>
      </c>
      <c r="O559" t="b">
        <v>0</v>
      </c>
    </row>
    <row r="560" spans="1:15" x14ac:dyDescent="0.3">
      <c r="A560" s="1" t="s">
        <v>664</v>
      </c>
      <c r="B560">
        <v>7.5837434907801331</v>
      </c>
      <c r="C560">
        <v>4.1668920279011722E-2</v>
      </c>
      <c r="D560">
        <v>3.9120879120879137E-2</v>
      </c>
      <c r="E560">
        <v>63.446548080107142</v>
      </c>
      <c r="F560">
        <v>0.1023622047244095</v>
      </c>
      <c r="G560">
        <v>1</v>
      </c>
      <c r="H560">
        <v>2.8804078744403321E-2</v>
      </c>
      <c r="I560">
        <v>1.6207719363154069</v>
      </c>
      <c r="J560">
        <v>0</v>
      </c>
      <c r="K560">
        <v>4.0271418326252029E-3</v>
      </c>
      <c r="L560">
        <v>0</v>
      </c>
      <c r="M560">
        <v>175330620.5</v>
      </c>
      <c r="N560">
        <v>0</v>
      </c>
      <c r="O560" t="b">
        <v>1</v>
      </c>
    </row>
    <row r="561" spans="1:15" x14ac:dyDescent="0.3">
      <c r="A561" s="1" t="s">
        <v>665</v>
      </c>
      <c r="B561">
        <v>0.79258424255512328</v>
      </c>
      <c r="C561">
        <v>8.600910704962314E-3</v>
      </c>
      <c r="D561">
        <v>1.1038380400906361E-2</v>
      </c>
      <c r="E561">
        <v>53.711152567347497</v>
      </c>
      <c r="F561">
        <v>8.4019635951388949E-3</v>
      </c>
      <c r="G561">
        <v>0.2</v>
      </c>
      <c r="H561">
        <v>-0.1242857132250636</v>
      </c>
      <c r="I561">
        <v>0.32073005073154037</v>
      </c>
      <c r="J561">
        <v>-3.02172984025828E-3</v>
      </c>
      <c r="K561">
        <v>9.7245673800208099E-3</v>
      </c>
      <c r="L561">
        <v>0</v>
      </c>
      <c r="M561">
        <v>26330023.240699999</v>
      </c>
      <c r="N561">
        <v>0</v>
      </c>
      <c r="O561" t="b">
        <v>0</v>
      </c>
    </row>
    <row r="562" spans="1:15" x14ac:dyDescent="0.3">
      <c r="A562" s="1" t="s">
        <v>666</v>
      </c>
      <c r="B562">
        <v>4.0913243434034294</v>
      </c>
      <c r="C562">
        <v>1.763737543983648E-2</v>
      </c>
      <c r="D562">
        <v>1.463557630545465E-2</v>
      </c>
      <c r="E562">
        <v>61.890861195149171</v>
      </c>
      <c r="F562">
        <v>-1.7643590858037459E-3</v>
      </c>
      <c r="G562">
        <v>1</v>
      </c>
      <c r="H562">
        <v>9.1307384365971106E-2</v>
      </c>
      <c r="I562">
        <v>1.5580535261048629</v>
      </c>
      <c r="J562">
        <v>0</v>
      </c>
      <c r="K562">
        <v>3.2393391575122892E-3</v>
      </c>
      <c r="L562">
        <v>0</v>
      </c>
      <c r="M562">
        <v>55855492.827</v>
      </c>
      <c r="N562">
        <v>0</v>
      </c>
      <c r="O562" t="b">
        <v>0</v>
      </c>
    </row>
    <row r="563" spans="1:15" x14ac:dyDescent="0.3">
      <c r="A563" s="1" t="s">
        <v>667</v>
      </c>
      <c r="B563">
        <v>1.1645611401673881</v>
      </c>
      <c r="C563">
        <v>2.51742572452959E-2</v>
      </c>
      <c r="D563">
        <v>2.1833117163856421E-2</v>
      </c>
      <c r="E563">
        <v>65.900628392473749</v>
      </c>
      <c r="F563">
        <v>5.8852612111113027E-2</v>
      </c>
      <c r="G563">
        <v>0.4</v>
      </c>
      <c r="H563">
        <v>8.567007462778968E-2</v>
      </c>
      <c r="I563">
        <v>0.51032838644972178</v>
      </c>
      <c r="J563">
        <v>-8.7850867795158383E-3</v>
      </c>
      <c r="K563">
        <v>8.7221979938945093E-3</v>
      </c>
      <c r="L563">
        <v>0</v>
      </c>
      <c r="M563">
        <v>124123749.7534</v>
      </c>
      <c r="N563">
        <v>0</v>
      </c>
      <c r="O563" t="b">
        <v>1</v>
      </c>
    </row>
    <row r="564" spans="1:15" x14ac:dyDescent="0.3">
      <c r="A564" s="1" t="s">
        <v>668</v>
      </c>
      <c r="B564">
        <v>2.3320854589132698</v>
      </c>
      <c r="C564">
        <v>2.8579478663152819E-2</v>
      </c>
      <c r="D564">
        <v>3.9950980392156929E-2</v>
      </c>
      <c r="E564">
        <v>46.72511627133504</v>
      </c>
      <c r="F564">
        <v>-8.2644628099174389E-3</v>
      </c>
      <c r="G564">
        <v>0.4</v>
      </c>
      <c r="H564">
        <v>-3.3961976051111342E-2</v>
      </c>
      <c r="I564">
        <v>1.3120959202133571</v>
      </c>
      <c r="J564">
        <v>-6.1205706396686647E-2</v>
      </c>
      <c r="K564">
        <v>-2.2754491017964121E-2</v>
      </c>
      <c r="L564">
        <v>0</v>
      </c>
      <c r="M564">
        <v>422638259</v>
      </c>
      <c r="N564">
        <v>0</v>
      </c>
      <c r="O564" t="b">
        <v>1</v>
      </c>
    </row>
    <row r="565" spans="1:15" x14ac:dyDescent="0.3">
      <c r="A565" s="1" t="s">
        <v>669</v>
      </c>
      <c r="B565">
        <v>0.64194692082323013</v>
      </c>
      <c r="C565">
        <v>1.2922495270886149E-2</v>
      </c>
      <c r="D565">
        <v>9.3826683334439949E-3</v>
      </c>
      <c r="E565">
        <v>35.945811292213492</v>
      </c>
      <c r="F565">
        <v>-2.5297256994859411E-2</v>
      </c>
      <c r="G565">
        <v>0.2</v>
      </c>
      <c r="H565">
        <v>-4.1805379926372149E-2</v>
      </c>
      <c r="I565">
        <v>-0.21767647880027641</v>
      </c>
      <c r="J565">
        <v>-4.8623399903477187E-2</v>
      </c>
      <c r="K565">
        <v>-3.7781935662417609E-3</v>
      </c>
      <c r="L565">
        <v>0</v>
      </c>
      <c r="M565">
        <v>25221786.34485</v>
      </c>
      <c r="N565">
        <v>0</v>
      </c>
      <c r="O565" t="b">
        <v>0</v>
      </c>
    </row>
    <row r="566" spans="1:15" x14ac:dyDescent="0.3">
      <c r="A566" s="1" t="s">
        <v>670</v>
      </c>
      <c r="B566">
        <v>2.3449975617742959E-2</v>
      </c>
      <c r="C566">
        <v>3.9365081068218252E-4</v>
      </c>
      <c r="D566">
        <v>6.6643724662368608E-4</v>
      </c>
      <c r="E566">
        <v>83.940158443505482</v>
      </c>
      <c r="F566">
        <v>3.3399469785522222E-3</v>
      </c>
      <c r="G566">
        <v>0.6</v>
      </c>
      <c r="H566">
        <v>-8.2624925509941771E-2</v>
      </c>
      <c r="I566">
        <v>-6.3822844481486259E-4</v>
      </c>
      <c r="J566">
        <v>0</v>
      </c>
      <c r="K566">
        <v>3.3416959694787529E-4</v>
      </c>
      <c r="L566">
        <v>0</v>
      </c>
      <c r="M566">
        <v>40502605.984200001</v>
      </c>
      <c r="N566">
        <v>0</v>
      </c>
      <c r="O566" t="b">
        <v>0</v>
      </c>
    </row>
    <row r="567" spans="1:15" x14ac:dyDescent="0.3">
      <c r="A567" s="1" t="s">
        <v>671</v>
      </c>
      <c r="B567">
        <v>0.98832599213684891</v>
      </c>
      <c r="C567">
        <v>1.8035145841913298E-2</v>
      </c>
      <c r="D567">
        <v>2.5091240875912409E-2</v>
      </c>
      <c r="E567">
        <v>69.446338042837951</v>
      </c>
      <c r="F567">
        <v>6.8807402076372925E-2</v>
      </c>
      <c r="G567">
        <v>0.6</v>
      </c>
      <c r="H567">
        <v>7.6249236599123138E-2</v>
      </c>
      <c r="I567">
        <v>0.50390932469375049</v>
      </c>
      <c r="J567">
        <v>0</v>
      </c>
      <c r="K567">
        <v>2.1054592882429501E-2</v>
      </c>
      <c r="L567">
        <v>0</v>
      </c>
      <c r="M567">
        <v>179054688.54840001</v>
      </c>
      <c r="N567">
        <v>0</v>
      </c>
      <c r="O567" t="b">
        <v>1</v>
      </c>
    </row>
    <row r="568" spans="1:15" x14ac:dyDescent="0.3">
      <c r="A568" s="1" t="s">
        <v>672</v>
      </c>
      <c r="B568">
        <v>7.2865290812757184</v>
      </c>
      <c r="C568">
        <v>4.2031201437907922E-2</v>
      </c>
      <c r="D568">
        <v>3.905168435625294E-2</v>
      </c>
      <c r="E568">
        <v>51.065273746803143</v>
      </c>
      <c r="F568">
        <v>-7.6742823667252491E-2</v>
      </c>
      <c r="G568">
        <v>0.8</v>
      </c>
      <c r="H568">
        <v>-4.1338161765148512E-2</v>
      </c>
      <c r="I568">
        <v>2.7230086188302232</v>
      </c>
      <c r="J568">
        <v>-7.0754716981132004E-2</v>
      </c>
      <c r="K568">
        <v>-5.7680106131385862E-5</v>
      </c>
      <c r="L568">
        <v>0</v>
      </c>
      <c r="M568">
        <v>287202960.5</v>
      </c>
      <c r="N568">
        <v>0</v>
      </c>
      <c r="O568" t="b">
        <v>1</v>
      </c>
    </row>
    <row r="569" spans="1:15" x14ac:dyDescent="0.3">
      <c r="A569" s="1" t="s">
        <v>673</v>
      </c>
      <c r="B569">
        <v>0.37862817568543272</v>
      </c>
      <c r="C569">
        <v>8.2862590015085891E-3</v>
      </c>
      <c r="D569">
        <v>1.1084727587074799E-2</v>
      </c>
      <c r="E569">
        <v>52.317218485930653</v>
      </c>
      <c r="F569">
        <v>7.2235031675844663E-3</v>
      </c>
      <c r="G569">
        <v>0.2</v>
      </c>
      <c r="H569">
        <v>-0.11329191302037619</v>
      </c>
      <c r="I569">
        <v>0.28228638905467762</v>
      </c>
      <c r="J569">
        <v>-1.2237459900215301E-2</v>
      </c>
      <c r="K569">
        <v>8.9894537874506408E-3</v>
      </c>
      <c r="L569">
        <v>0</v>
      </c>
      <c r="M569">
        <v>26593527.669349998</v>
      </c>
      <c r="N569">
        <v>0</v>
      </c>
      <c r="O569" t="b">
        <v>0</v>
      </c>
    </row>
    <row r="570" spans="1:15" x14ac:dyDescent="0.3">
      <c r="A570" s="1" t="s">
        <v>674</v>
      </c>
      <c r="B570">
        <v>1.950635770357912</v>
      </c>
      <c r="C570">
        <v>2.2884042355207791E-2</v>
      </c>
      <c r="D570">
        <v>1.6893477240732029E-2</v>
      </c>
      <c r="E570">
        <v>40.983301822112672</v>
      </c>
      <c r="F570">
        <v>-7.7289456592335992E-2</v>
      </c>
      <c r="G570">
        <v>0.6</v>
      </c>
      <c r="H570">
        <v>-0.1392071338112103</v>
      </c>
      <c r="I570">
        <v>0.2192847268526239</v>
      </c>
      <c r="J570">
        <v>-7.8685689580631268E-2</v>
      </c>
      <c r="K570">
        <v>1.2921414307529579E-3</v>
      </c>
      <c r="L570">
        <v>0</v>
      </c>
      <c r="M570">
        <v>8284325.5</v>
      </c>
      <c r="N570">
        <v>0</v>
      </c>
      <c r="O570" t="b">
        <v>0</v>
      </c>
    </row>
    <row r="571" spans="1:15" x14ac:dyDescent="0.3">
      <c r="A571" s="1" t="s">
        <v>675</v>
      </c>
      <c r="B571">
        <v>2.438477824597141</v>
      </c>
      <c r="C571">
        <v>2.64190446868596E-2</v>
      </c>
      <c r="D571">
        <v>1.7388949079089971E-2</v>
      </c>
      <c r="E571">
        <v>38.548929507104319</v>
      </c>
      <c r="F571">
        <v>-9.3854309837031247E-2</v>
      </c>
      <c r="G571">
        <v>0.4</v>
      </c>
      <c r="H571">
        <v>-0.15618330089886501</v>
      </c>
      <c r="I571">
        <v>0.22428106271159831</v>
      </c>
      <c r="J571">
        <v>-9.509803921568627E-2</v>
      </c>
      <c r="K571">
        <v>-2.1621621621621401E-3</v>
      </c>
      <c r="L571">
        <v>0</v>
      </c>
      <c r="M571">
        <v>107225868</v>
      </c>
      <c r="N571">
        <v>0</v>
      </c>
      <c r="O571" t="b">
        <v>1</v>
      </c>
    </row>
    <row r="572" spans="1:15" x14ac:dyDescent="0.3">
      <c r="A572" s="1" t="s">
        <v>676</v>
      </c>
      <c r="B572">
        <v>0.55289584471979258</v>
      </c>
      <c r="C572">
        <v>1.4297723950737071E-2</v>
      </c>
      <c r="D572">
        <v>1.0744707811182809E-2</v>
      </c>
      <c r="E572">
        <v>44.408935718962482</v>
      </c>
      <c r="F572">
        <v>-4.0972365167661451E-2</v>
      </c>
      <c r="G572">
        <v>0.6</v>
      </c>
      <c r="H572">
        <v>-0.14405157122041379</v>
      </c>
      <c r="I572">
        <v>1.065943777526245</v>
      </c>
      <c r="J572">
        <v>-4.4488975975211731E-2</v>
      </c>
      <c r="K572">
        <v>6.9551676817756203E-3</v>
      </c>
      <c r="L572">
        <v>0</v>
      </c>
      <c r="M572">
        <v>1219161792.1263001</v>
      </c>
      <c r="N572">
        <v>0</v>
      </c>
      <c r="O572" t="b">
        <v>1</v>
      </c>
    </row>
    <row r="573" spans="1:15" x14ac:dyDescent="0.3">
      <c r="A573" s="1" t="s">
        <v>677</v>
      </c>
      <c r="B573">
        <v>0.95060195018288796</v>
      </c>
      <c r="C573">
        <v>2.0504787536300431E-2</v>
      </c>
      <c r="D573">
        <v>2.2648835202760939E-2</v>
      </c>
      <c r="E573">
        <v>67.594559615729395</v>
      </c>
      <c r="F573">
        <v>4.7210300429184393E-2</v>
      </c>
      <c r="G573">
        <v>0.6</v>
      </c>
      <c r="H573">
        <v>2.3095042796219101E-2</v>
      </c>
      <c r="I573">
        <v>0.42827460010793172</v>
      </c>
      <c r="J573">
        <v>-2.156566745740163E-4</v>
      </c>
      <c r="K573">
        <v>1.3111888111888129E-2</v>
      </c>
      <c r="L573">
        <v>0</v>
      </c>
      <c r="M573">
        <v>67936347.263599992</v>
      </c>
      <c r="N573">
        <v>0</v>
      </c>
      <c r="O573" t="b">
        <v>0</v>
      </c>
    </row>
    <row r="574" spans="1:15" x14ac:dyDescent="0.3">
      <c r="A574" s="1" t="s">
        <v>678</v>
      </c>
      <c r="B574">
        <v>1.0289171183036101</v>
      </c>
      <c r="C574">
        <v>3.8787249249962692E-2</v>
      </c>
      <c r="D574">
        <v>4.7585120178533717E-2</v>
      </c>
      <c r="E574">
        <v>60.133192681108923</v>
      </c>
      <c r="F574">
        <v>0.1079267095739482</v>
      </c>
      <c r="G574">
        <v>0.6</v>
      </c>
      <c r="H574">
        <v>5.02615138187869E-2</v>
      </c>
      <c r="I574">
        <v>1.9666485063907679</v>
      </c>
      <c r="J574">
        <v>-3.0513008869933241E-2</v>
      </c>
      <c r="K574">
        <v>2.0649852830842089E-2</v>
      </c>
      <c r="L574">
        <v>0</v>
      </c>
      <c r="M574">
        <v>174625319.07844999</v>
      </c>
      <c r="N574">
        <v>0</v>
      </c>
      <c r="O574" t="b">
        <v>1</v>
      </c>
    </row>
    <row r="575" spans="1:15" x14ac:dyDescent="0.3">
      <c r="A575" s="1" t="s">
        <v>679</v>
      </c>
      <c r="B575">
        <v>2.2850438694806019E-2</v>
      </c>
      <c r="C575">
        <v>2.297935286437516E-4</v>
      </c>
      <c r="D575">
        <v>2.9968121159700418E-4</v>
      </c>
      <c r="E575">
        <v>99.274048828273223</v>
      </c>
      <c r="F575">
        <v>3.464327917356735E-3</v>
      </c>
      <c r="G575">
        <v>0.6</v>
      </c>
      <c r="H575">
        <v>-8.1572063355608307E-2</v>
      </c>
      <c r="I575">
        <v>-1.644072291864514E-3</v>
      </c>
      <c r="J575">
        <v>0</v>
      </c>
      <c r="K575">
        <v>2.9977104734757448E-4</v>
      </c>
      <c r="L575">
        <v>0</v>
      </c>
      <c r="M575">
        <v>63092483.733149998</v>
      </c>
      <c r="N575">
        <v>0</v>
      </c>
      <c r="O575" t="b">
        <v>0</v>
      </c>
    </row>
    <row r="576" spans="1:15" x14ac:dyDescent="0.3">
      <c r="A576" s="1" t="s">
        <v>680</v>
      </c>
      <c r="B576">
        <v>3.134044538441938</v>
      </c>
      <c r="C576">
        <v>4.3317823613572053E-2</v>
      </c>
      <c r="D576">
        <v>3.1720801658604032E-2</v>
      </c>
      <c r="E576">
        <v>46.045132592767857</v>
      </c>
      <c r="F576">
        <v>-0.1288380493678507</v>
      </c>
      <c r="G576">
        <v>0.4</v>
      </c>
      <c r="H576">
        <v>-0.1498431331105558</v>
      </c>
      <c r="I576">
        <v>1.8552120987749661</v>
      </c>
      <c r="J576">
        <v>-0.1009071703740525</v>
      </c>
      <c r="K576">
        <v>-6.4542708047239383E-3</v>
      </c>
      <c r="L576">
        <v>0</v>
      </c>
      <c r="M576">
        <v>195246468.5</v>
      </c>
      <c r="N576">
        <v>0</v>
      </c>
      <c r="O576" t="b">
        <v>1</v>
      </c>
    </row>
    <row r="577" spans="1:15" x14ac:dyDescent="0.3">
      <c r="A577" s="1" t="s">
        <v>681</v>
      </c>
      <c r="B577">
        <v>6.222772194255219</v>
      </c>
      <c r="C577">
        <v>1.8257272353009991E-2</v>
      </c>
      <c r="D577">
        <v>3.3341352783433698E-2</v>
      </c>
      <c r="E577">
        <v>53.0532291833619</v>
      </c>
      <c r="F577">
        <v>-2.0771803210866691E-2</v>
      </c>
      <c r="G577">
        <v>0.4</v>
      </c>
      <c r="H577">
        <v>-5.7823334738836716E-3</v>
      </c>
      <c r="I577">
        <v>0.7054204776540145</v>
      </c>
      <c r="J577">
        <v>-2.8912834130136119E-2</v>
      </c>
      <c r="K577">
        <v>2.3814244089994219E-2</v>
      </c>
      <c r="L577">
        <v>0</v>
      </c>
      <c r="M577">
        <v>345832152.764</v>
      </c>
      <c r="N577">
        <v>0</v>
      </c>
      <c r="O577" t="b">
        <v>1</v>
      </c>
    </row>
    <row r="578" spans="1:15" x14ac:dyDescent="0.3">
      <c r="A578" s="1" t="s">
        <v>682</v>
      </c>
      <c r="B578">
        <v>2.9959750205704259</v>
      </c>
      <c r="C578">
        <v>2.3351325179816251E-2</v>
      </c>
      <c r="D578">
        <v>2.720187061574442E-2</v>
      </c>
      <c r="E578">
        <v>47.947254050622767</v>
      </c>
      <c r="F578">
        <v>-2.3963484214530099E-2</v>
      </c>
      <c r="G578">
        <v>0.4</v>
      </c>
      <c r="H578">
        <v>-0.19887948285034571</v>
      </c>
      <c r="I578">
        <v>0.69274744501393071</v>
      </c>
      <c r="J578">
        <v>-3.1917301743001558E-2</v>
      </c>
      <c r="K578">
        <v>1.7123830664341311E-2</v>
      </c>
      <c r="L578">
        <v>0</v>
      </c>
      <c r="M578">
        <v>227398201</v>
      </c>
      <c r="N578">
        <v>0</v>
      </c>
      <c r="O578" t="b">
        <v>1</v>
      </c>
    </row>
    <row r="579" spans="1:15" x14ac:dyDescent="0.3">
      <c r="A579" s="1" t="s">
        <v>683</v>
      </c>
      <c r="B579">
        <v>1.472988262453224</v>
      </c>
      <c r="C579">
        <v>4.0656590186398667E-2</v>
      </c>
      <c r="D579">
        <v>2.8153463980127059E-2</v>
      </c>
      <c r="E579">
        <v>62.724528315495093</v>
      </c>
      <c r="F579">
        <v>8.4081388390185419E-2</v>
      </c>
      <c r="G579">
        <v>1</v>
      </c>
      <c r="H579">
        <v>-2.999000500512701E-2</v>
      </c>
      <c r="I579">
        <v>2.6598488476845699</v>
      </c>
      <c r="J579">
        <v>0</v>
      </c>
      <c r="K579">
        <v>5.8300943920042148E-3</v>
      </c>
      <c r="L579">
        <v>0</v>
      </c>
      <c r="M579">
        <v>61086178</v>
      </c>
      <c r="N579">
        <v>0</v>
      </c>
      <c r="O579" t="b">
        <v>0</v>
      </c>
    </row>
    <row r="580" spans="1:15" x14ac:dyDescent="0.3">
      <c r="A580" s="1" t="s">
        <v>684</v>
      </c>
      <c r="B580">
        <v>2.7493865176975261</v>
      </c>
      <c r="C580">
        <v>3.3237585925607667E-2</v>
      </c>
      <c r="D580">
        <v>4.0927620189750477E-2</v>
      </c>
      <c r="E580">
        <v>62.187887495264697</v>
      </c>
      <c r="F580">
        <v>9.6603307340896949E-2</v>
      </c>
      <c r="G580">
        <v>0.6</v>
      </c>
      <c r="H580">
        <v>9.1981748216050721E-2</v>
      </c>
      <c r="I580">
        <v>1.3316476487432909</v>
      </c>
      <c r="J580">
        <v>0</v>
      </c>
      <c r="K580">
        <v>1.6840976924173971E-2</v>
      </c>
      <c r="L580">
        <v>0</v>
      </c>
      <c r="M580">
        <v>1040428740.4615999</v>
      </c>
      <c r="N580">
        <v>0</v>
      </c>
      <c r="O580" t="b">
        <v>1</v>
      </c>
    </row>
    <row r="581" spans="1:15" x14ac:dyDescent="0.3">
      <c r="A581" s="1" t="s">
        <v>685</v>
      </c>
      <c r="B581">
        <v>3.8702688195735542</v>
      </c>
      <c r="C581">
        <v>3.5705892627508728E-2</v>
      </c>
      <c r="D581">
        <v>4.5002906091721792E-2</v>
      </c>
      <c r="E581">
        <v>65.529700951095975</v>
      </c>
      <c r="F581">
        <v>0.13535594764875</v>
      </c>
      <c r="G581">
        <v>0.6</v>
      </c>
      <c r="H581">
        <v>0.1041559048499978</v>
      </c>
      <c r="I581">
        <v>1.535673535920079</v>
      </c>
      <c r="J581">
        <v>0</v>
      </c>
      <c r="K581">
        <v>1.827183225612505E-2</v>
      </c>
      <c r="L581">
        <v>0</v>
      </c>
      <c r="M581">
        <v>310593826.02735001</v>
      </c>
      <c r="N581">
        <v>0</v>
      </c>
      <c r="O581" t="b">
        <v>1</v>
      </c>
    </row>
    <row r="582" spans="1:15" x14ac:dyDescent="0.3">
      <c r="A582" s="1" t="s">
        <v>686</v>
      </c>
      <c r="B582">
        <v>7.2164365184727908</v>
      </c>
      <c r="C582">
        <v>2.551203588463994E-2</v>
      </c>
      <c r="D582">
        <v>1.6113750777758899E-2</v>
      </c>
      <c r="E582">
        <v>38.44834234366683</v>
      </c>
      <c r="F582">
        <v>-9.0849484138463055E-2</v>
      </c>
      <c r="G582">
        <v>0.4</v>
      </c>
      <c r="H582">
        <v>-4.403786720906061E-2</v>
      </c>
      <c r="I582">
        <v>1.102341452723322</v>
      </c>
      <c r="J582">
        <v>-8.7282278309466554E-2</v>
      </c>
      <c r="K582">
        <v>-5.9950100151106023E-3</v>
      </c>
      <c r="L582">
        <v>0</v>
      </c>
      <c r="M582">
        <v>1132309230.612</v>
      </c>
      <c r="N582">
        <v>0</v>
      </c>
      <c r="O582" t="b">
        <v>1</v>
      </c>
    </row>
    <row r="583" spans="1:15" x14ac:dyDescent="0.3">
      <c r="A583" s="1" t="s">
        <v>687</v>
      </c>
      <c r="B583">
        <v>2.257372781033721</v>
      </c>
      <c r="C583">
        <v>2.6734561250569621E-2</v>
      </c>
      <c r="D583">
        <v>2.7939339029921871E-2</v>
      </c>
      <c r="E583">
        <v>65.655860392742085</v>
      </c>
      <c r="F583">
        <v>0.14956542338544981</v>
      </c>
      <c r="G583">
        <v>0.4</v>
      </c>
      <c r="H583">
        <v>4.2013479081670857E-2</v>
      </c>
      <c r="I583">
        <v>1.225149344325194</v>
      </c>
      <c r="J583">
        <v>-1.1584281618849611E-2</v>
      </c>
      <c r="K583">
        <v>1.7344000385556061E-2</v>
      </c>
      <c r="L583">
        <v>0</v>
      </c>
      <c r="M583">
        <v>251210537.32325</v>
      </c>
      <c r="N583">
        <v>0</v>
      </c>
      <c r="O583" t="b">
        <v>1</v>
      </c>
    </row>
    <row r="584" spans="1:15" x14ac:dyDescent="0.3">
      <c r="A584" s="1" t="s">
        <v>688</v>
      </c>
      <c r="B584">
        <v>0.56601309909219943</v>
      </c>
      <c r="C584">
        <v>2.066955762664191E-2</v>
      </c>
      <c r="D584">
        <v>2.4339118971366359E-2</v>
      </c>
      <c r="E584">
        <v>60.769733577325141</v>
      </c>
      <c r="F584">
        <v>4.9698321795196287E-2</v>
      </c>
      <c r="G584">
        <v>0.6</v>
      </c>
      <c r="H584">
        <v>-0.14247770869718621</v>
      </c>
      <c r="I584">
        <v>0.57127212752716072</v>
      </c>
      <c r="J584">
        <v>0</v>
      </c>
      <c r="K584">
        <v>1.437255286913941E-2</v>
      </c>
      <c r="L584">
        <v>0</v>
      </c>
      <c r="M584">
        <v>97152173.984149992</v>
      </c>
      <c r="N584">
        <v>0</v>
      </c>
      <c r="O584" t="b">
        <v>1</v>
      </c>
    </row>
    <row r="585" spans="1:15" x14ac:dyDescent="0.3">
      <c r="A585" s="1" t="s">
        <v>689</v>
      </c>
      <c r="B585">
        <v>34.351399847420844</v>
      </c>
      <c r="C585">
        <v>4.754729600123582E-2</v>
      </c>
      <c r="D585">
        <v>0.14619609449830301</v>
      </c>
      <c r="E585">
        <v>73.492441564488658</v>
      </c>
      <c r="F585">
        <v>0.2469825138554953</v>
      </c>
      <c r="G585">
        <v>0.8</v>
      </c>
      <c r="H585">
        <v>6.0673700018504431E-2</v>
      </c>
      <c r="I585">
        <v>2.3082768884385998</v>
      </c>
      <c r="J585">
        <v>0</v>
      </c>
      <c r="K585">
        <v>0.156244798668459</v>
      </c>
      <c r="L585">
        <v>0</v>
      </c>
      <c r="M585">
        <v>1422110338.3345001</v>
      </c>
      <c r="N585">
        <v>0</v>
      </c>
      <c r="O585" t="b">
        <v>1</v>
      </c>
    </row>
    <row r="586" spans="1:15" x14ac:dyDescent="0.3">
      <c r="A586" s="1" t="s">
        <v>690</v>
      </c>
      <c r="B586">
        <v>1.9281561109821921</v>
      </c>
      <c r="C586">
        <v>4.4799166147355768E-2</v>
      </c>
      <c r="D586">
        <v>4.5539033457248933E-2</v>
      </c>
      <c r="E586">
        <v>56.983139822259339</v>
      </c>
      <c r="F586">
        <v>1.7975402081362279E-2</v>
      </c>
      <c r="G586">
        <v>0.6</v>
      </c>
      <c r="H586">
        <v>5.2122059203822499E-2</v>
      </c>
      <c r="I586">
        <v>1.7133273866479519</v>
      </c>
      <c r="J586">
        <v>-4.1647385469689713E-3</v>
      </c>
      <c r="K586">
        <v>-1.160362032954332E-3</v>
      </c>
      <c r="L586">
        <v>0</v>
      </c>
      <c r="M586">
        <v>82835190.251749992</v>
      </c>
      <c r="N586">
        <v>0</v>
      </c>
      <c r="O586" t="b">
        <v>0</v>
      </c>
    </row>
    <row r="587" spans="1:15" x14ac:dyDescent="0.3">
      <c r="A587" s="1" t="s">
        <v>691</v>
      </c>
      <c r="B587">
        <v>0.87303103844330388</v>
      </c>
      <c r="C587">
        <v>1.9654008069412511E-2</v>
      </c>
      <c r="D587">
        <v>1.3845114813147281E-2</v>
      </c>
      <c r="E587">
        <v>45.572493869237121</v>
      </c>
      <c r="F587">
        <v>1.4155251141552579E-2</v>
      </c>
      <c r="G587">
        <v>0.6</v>
      </c>
      <c r="H587">
        <v>-0.142823373274445</v>
      </c>
      <c r="I587">
        <v>-5.9697277821377639E-2</v>
      </c>
      <c r="J587">
        <v>-4.4936572780047257E-2</v>
      </c>
      <c r="K587">
        <v>6.5714933152050134E-3</v>
      </c>
      <c r="L587">
        <v>0</v>
      </c>
      <c r="M587">
        <v>61692320.587099999</v>
      </c>
      <c r="N587">
        <v>0</v>
      </c>
      <c r="O587" t="b">
        <v>0</v>
      </c>
    </row>
    <row r="588" spans="1:15" x14ac:dyDescent="0.3">
      <c r="A588" s="1" t="s">
        <v>692</v>
      </c>
      <c r="B588">
        <v>1.323591338274394</v>
      </c>
      <c r="C588">
        <v>3.2745950971657438E-2</v>
      </c>
      <c r="D588">
        <v>2.6026719445818889E-2</v>
      </c>
      <c r="E588">
        <v>74.329942975720869</v>
      </c>
      <c r="F588">
        <v>0.1675332177931832</v>
      </c>
      <c r="G588">
        <v>0.8</v>
      </c>
      <c r="H588">
        <v>0.13928003697685651</v>
      </c>
      <c r="I588">
        <v>1.888045829221342</v>
      </c>
      <c r="J588">
        <v>0</v>
      </c>
      <c r="K588">
        <v>1.1511511511511641E-2</v>
      </c>
      <c r="L588">
        <v>0</v>
      </c>
      <c r="M588">
        <v>72541786</v>
      </c>
      <c r="N588">
        <v>0</v>
      </c>
      <c r="O588" t="b">
        <v>0</v>
      </c>
    </row>
    <row r="589" spans="1:15" x14ac:dyDescent="0.3">
      <c r="A589" s="1" t="s">
        <v>693</v>
      </c>
      <c r="B589">
        <v>2.6634460505266668</v>
      </c>
      <c r="C589">
        <v>5.3397073988104789E-2</v>
      </c>
      <c r="D589">
        <v>4.0854049719326317E-2</v>
      </c>
      <c r="E589">
        <v>51.401403948059261</v>
      </c>
      <c r="F589">
        <v>-9.9955791733956412E-2</v>
      </c>
      <c r="G589">
        <v>0.2</v>
      </c>
      <c r="H589">
        <v>0.13091888628914841</v>
      </c>
      <c r="I589">
        <v>2.5915119232006378</v>
      </c>
      <c r="J589">
        <v>-9.166895813264031E-2</v>
      </c>
      <c r="K589">
        <v>2.199711513244185E-2</v>
      </c>
      <c r="L589">
        <v>0</v>
      </c>
      <c r="M589">
        <v>72253460.801999986</v>
      </c>
      <c r="N589">
        <v>0</v>
      </c>
      <c r="O589" t="b">
        <v>0</v>
      </c>
    </row>
    <row r="590" spans="1:15" x14ac:dyDescent="0.3">
      <c r="A590" s="1" t="s">
        <v>694</v>
      </c>
      <c r="B590">
        <v>1.4902705673512351</v>
      </c>
      <c r="C590">
        <v>1.8208827935227861E-2</v>
      </c>
      <c r="D590">
        <v>1.972672167422387E-2</v>
      </c>
      <c r="E590">
        <v>50.556465035214337</v>
      </c>
      <c r="F590">
        <v>4.158057724490849E-3</v>
      </c>
      <c r="G590">
        <v>0.6</v>
      </c>
      <c r="H590">
        <v>-0.13894438904093859</v>
      </c>
      <c r="I590">
        <v>0.58921605660840914</v>
      </c>
      <c r="J590">
        <v>-1.6174052276267999E-2</v>
      </c>
      <c r="K590">
        <v>1.033502415250198E-2</v>
      </c>
      <c r="L590">
        <v>0</v>
      </c>
      <c r="M590">
        <v>58711668.541499987</v>
      </c>
      <c r="N590">
        <v>0</v>
      </c>
      <c r="O590" t="b">
        <v>0</v>
      </c>
    </row>
    <row r="591" spans="1:15" x14ac:dyDescent="0.3">
      <c r="A591" s="1" t="s">
        <v>695</v>
      </c>
      <c r="B591">
        <v>4.9858016143259443</v>
      </c>
      <c r="C591">
        <v>4.8585086867335259E-2</v>
      </c>
      <c r="D591">
        <v>3.2839602416682948E-2</v>
      </c>
      <c r="E591">
        <v>56.787385589774821</v>
      </c>
      <c r="F591">
        <v>4.7998366013071843E-2</v>
      </c>
      <c r="G591">
        <v>0.4</v>
      </c>
      <c r="H591">
        <v>0.2119317045754622</v>
      </c>
      <c r="I591">
        <v>-0.29275255712525211</v>
      </c>
      <c r="J591">
        <v>-7.7573033707865169E-2</v>
      </c>
      <c r="K591">
        <v>-5.7165003391143046E-3</v>
      </c>
      <c r="L591">
        <v>0</v>
      </c>
      <c r="M591">
        <v>107726449.5</v>
      </c>
      <c r="N591">
        <v>0</v>
      </c>
      <c r="O591" t="b">
        <v>1</v>
      </c>
    </row>
    <row r="592" spans="1:15" x14ac:dyDescent="0.3">
      <c r="A592" s="1" t="s">
        <v>696</v>
      </c>
      <c r="B592">
        <v>1.657106356179151</v>
      </c>
      <c r="C592">
        <v>1.841710175633806E-2</v>
      </c>
      <c r="D592">
        <v>1.497835545948112E-2</v>
      </c>
      <c r="E592">
        <v>55.851099522146598</v>
      </c>
      <c r="F592">
        <v>5.1569585339628958E-2</v>
      </c>
      <c r="G592">
        <v>0.4</v>
      </c>
      <c r="H592">
        <v>-9.2515506013849197E-2</v>
      </c>
      <c r="I592">
        <v>0.60654057841060416</v>
      </c>
      <c r="J592">
        <v>-2.3086160247028361E-2</v>
      </c>
      <c r="K592">
        <v>-7.7515678045625425E-4</v>
      </c>
      <c r="L592">
        <v>0</v>
      </c>
      <c r="M592">
        <v>26747537.1985</v>
      </c>
      <c r="N592">
        <v>0</v>
      </c>
      <c r="O592" t="b">
        <v>0</v>
      </c>
    </row>
    <row r="593" spans="1:15" x14ac:dyDescent="0.3">
      <c r="A593" s="1" t="s">
        <v>697</v>
      </c>
      <c r="B593">
        <v>1.572698421566749</v>
      </c>
      <c r="C593">
        <v>2.724702740067134E-2</v>
      </c>
      <c r="D593">
        <v>2.234927234927234E-2</v>
      </c>
      <c r="E593">
        <v>50.857603893361791</v>
      </c>
      <c r="F593">
        <v>3.6824142266929982E-2</v>
      </c>
      <c r="G593">
        <v>0.6</v>
      </c>
      <c r="H593">
        <v>3.2471306012115731E-3</v>
      </c>
      <c r="I593">
        <v>0.88761541265540178</v>
      </c>
      <c r="J593">
        <v>-1.8200374213301559E-2</v>
      </c>
      <c r="K593">
        <v>1.2098895318253479E-2</v>
      </c>
      <c r="L593">
        <v>0</v>
      </c>
      <c r="M593">
        <v>32116446.920699999</v>
      </c>
      <c r="N593">
        <v>0</v>
      </c>
      <c r="O593" t="b">
        <v>0</v>
      </c>
    </row>
    <row r="594" spans="1:15" x14ac:dyDescent="0.3">
      <c r="A594" s="1" t="s">
        <v>698</v>
      </c>
      <c r="B594">
        <v>2.8193187453043782</v>
      </c>
      <c r="C594">
        <v>2.3388295935960129E-2</v>
      </c>
      <c r="D594">
        <v>2.1668436421555571E-2</v>
      </c>
      <c r="E594">
        <v>46.197938881997928</v>
      </c>
      <c r="F594">
        <v>2.6998935037273689E-2</v>
      </c>
      <c r="G594">
        <v>0.2</v>
      </c>
      <c r="H594">
        <v>-5.7421630279683514E-3</v>
      </c>
      <c r="I594">
        <v>0.11801819994571951</v>
      </c>
      <c r="J594">
        <v>-5.2550499096125192E-2</v>
      </c>
      <c r="K594">
        <v>1.658837717263895E-2</v>
      </c>
      <c r="L594">
        <v>0</v>
      </c>
      <c r="M594">
        <v>771776730.97920001</v>
      </c>
      <c r="N594">
        <v>0</v>
      </c>
      <c r="O594" t="b">
        <v>1</v>
      </c>
    </row>
    <row r="595" spans="1:15" x14ac:dyDescent="0.3">
      <c r="A595" s="1" t="s">
        <v>699</v>
      </c>
      <c r="B595">
        <v>0.8754428820106871</v>
      </c>
      <c r="C595">
        <v>1.9421873318321799E-2</v>
      </c>
      <c r="D595">
        <v>1.247029956672311E-2</v>
      </c>
      <c r="E595">
        <v>38.687593789926133</v>
      </c>
      <c r="F595">
        <v>-1.103600193952803E-2</v>
      </c>
      <c r="G595">
        <v>0.4</v>
      </c>
      <c r="H595">
        <v>-0.12538602362542459</v>
      </c>
      <c r="I595">
        <v>-0.44667615262359461</v>
      </c>
      <c r="J595">
        <v>-5.4212443452206098E-2</v>
      </c>
      <c r="K595">
        <v>1.533125509653122E-3</v>
      </c>
      <c r="L595">
        <v>0</v>
      </c>
      <c r="M595">
        <v>267899885.50435001</v>
      </c>
      <c r="N595">
        <v>0</v>
      </c>
      <c r="O595" t="b">
        <v>1</v>
      </c>
    </row>
    <row r="596" spans="1:15" x14ac:dyDescent="0.3">
      <c r="A596" s="1" t="s">
        <v>700</v>
      </c>
      <c r="B596">
        <v>2.3920866104885108</v>
      </c>
      <c r="C596">
        <v>1.7765613868029079E-2</v>
      </c>
      <c r="D596">
        <v>1.8752738642524362E-2</v>
      </c>
      <c r="E596">
        <v>56.862776354809739</v>
      </c>
      <c r="F596">
        <v>1.611941650127147E-2</v>
      </c>
      <c r="G596">
        <v>0.8</v>
      </c>
      <c r="H596">
        <v>-0.12422650051415079</v>
      </c>
      <c r="I596">
        <v>0.2300803924552596</v>
      </c>
      <c r="J596">
        <v>-3.3973324648794989E-3</v>
      </c>
      <c r="K596">
        <v>1.367913874877646E-2</v>
      </c>
      <c r="L596">
        <v>0</v>
      </c>
      <c r="M596">
        <v>72592138.3125</v>
      </c>
      <c r="N596">
        <v>0</v>
      </c>
      <c r="O596" t="b">
        <v>0</v>
      </c>
    </row>
    <row r="597" spans="1:15" x14ac:dyDescent="0.3">
      <c r="A597" s="1" t="s">
        <v>701</v>
      </c>
      <c r="B597">
        <v>1.519367341410893</v>
      </c>
      <c r="C597">
        <v>3.9008147404644228E-2</v>
      </c>
      <c r="D597">
        <v>2.079589216944789E-2</v>
      </c>
      <c r="E597">
        <v>54.214456707057202</v>
      </c>
      <c r="F597">
        <v>7.0348996977191547E-2</v>
      </c>
      <c r="G597">
        <v>0.4</v>
      </c>
      <c r="H597">
        <v>2.1164090167711019E-2</v>
      </c>
      <c r="I597">
        <v>1.2041236964950961</v>
      </c>
      <c r="J597">
        <v>-5.4841057995632103E-2</v>
      </c>
      <c r="K597">
        <v>-9.4099694811800028E-3</v>
      </c>
      <c r="L597">
        <v>0</v>
      </c>
      <c r="M597">
        <v>56155614.5</v>
      </c>
      <c r="N597">
        <v>0</v>
      </c>
      <c r="O597" t="b">
        <v>0</v>
      </c>
    </row>
    <row r="598" spans="1:15" x14ac:dyDescent="0.3">
      <c r="A598" s="1" t="s">
        <v>702</v>
      </c>
      <c r="B598">
        <v>5.3217604231371878</v>
      </c>
      <c r="C598">
        <v>1.3678859846130801E-2</v>
      </c>
      <c r="D598">
        <v>1.352011309600306E-2</v>
      </c>
      <c r="E598">
        <v>62.700085597888283</v>
      </c>
      <c r="F598">
        <v>2.8199164860722051E-2</v>
      </c>
      <c r="G598">
        <v>0.6</v>
      </c>
      <c r="H598">
        <v>0.1133329497607963</v>
      </c>
      <c r="I598">
        <v>0.35561054182631791</v>
      </c>
      <c r="J598">
        <v>-1.7960230917254409E-3</v>
      </c>
      <c r="K598">
        <v>4.2591636551367884E-3</v>
      </c>
      <c r="L598">
        <v>0</v>
      </c>
      <c r="M598">
        <v>2965428780</v>
      </c>
      <c r="N598">
        <v>0</v>
      </c>
      <c r="O598" t="b">
        <v>1</v>
      </c>
    </row>
    <row r="599" spans="1:15" x14ac:dyDescent="0.3">
      <c r="A599" s="1" t="s">
        <v>703</v>
      </c>
      <c r="B599">
        <v>1.133653947215848</v>
      </c>
      <c r="C599">
        <v>1.3539399823430651E-2</v>
      </c>
      <c r="D599">
        <v>1.337632867550465E-2</v>
      </c>
      <c r="E599">
        <v>62.854736611083638</v>
      </c>
      <c r="F599">
        <v>2.837140751658063E-2</v>
      </c>
      <c r="G599">
        <v>0.6</v>
      </c>
      <c r="H599">
        <v>0.1151089503909994</v>
      </c>
      <c r="I599">
        <v>0.34630819813101432</v>
      </c>
      <c r="J599">
        <v>-1.550202718817006E-3</v>
      </c>
      <c r="K599">
        <v>4.318100035984207E-3</v>
      </c>
      <c r="L599">
        <v>0</v>
      </c>
      <c r="M599">
        <v>248662852</v>
      </c>
      <c r="N599">
        <v>0</v>
      </c>
      <c r="O599" t="b">
        <v>1</v>
      </c>
    </row>
    <row r="600" spans="1:15" x14ac:dyDescent="0.3">
      <c r="A600" s="1" t="s">
        <v>704</v>
      </c>
      <c r="B600">
        <v>0.72314450465456004</v>
      </c>
      <c r="C600">
        <v>1.7262938759956079E-2</v>
      </c>
      <c r="D600">
        <v>1.3726426354738671E-2</v>
      </c>
      <c r="E600">
        <v>40.681129093940811</v>
      </c>
      <c r="F600">
        <v>-5.13975411970643E-2</v>
      </c>
      <c r="G600">
        <v>0.2</v>
      </c>
      <c r="H600">
        <v>-0.19556162605326891</v>
      </c>
      <c r="I600">
        <v>0.30331964249447319</v>
      </c>
      <c r="J600">
        <v>-5.4760271499747271E-2</v>
      </c>
      <c r="K600">
        <v>1.3549479796757909E-2</v>
      </c>
      <c r="L600">
        <v>0</v>
      </c>
      <c r="M600">
        <v>70241545.099600002</v>
      </c>
      <c r="N600">
        <v>0</v>
      </c>
      <c r="O600" t="b">
        <v>0</v>
      </c>
    </row>
    <row r="601" spans="1:15" x14ac:dyDescent="0.3">
      <c r="A601" s="1" t="s">
        <v>705</v>
      </c>
      <c r="B601">
        <v>3.149214772492869</v>
      </c>
      <c r="C601">
        <v>3.3493555110560222E-2</v>
      </c>
      <c r="D601">
        <v>5.3397784619965971E-2</v>
      </c>
      <c r="E601">
        <v>70.394591210691132</v>
      </c>
      <c r="F601">
        <v>6.7314077496325009E-2</v>
      </c>
      <c r="G601">
        <v>1</v>
      </c>
      <c r="H601">
        <v>0.16252170638984589</v>
      </c>
      <c r="I601">
        <v>1.8985431597687921</v>
      </c>
      <c r="J601">
        <v>0</v>
      </c>
      <c r="K601">
        <v>3.3914557132536549E-2</v>
      </c>
      <c r="L601">
        <v>0</v>
      </c>
      <c r="M601">
        <v>294237041.24529999</v>
      </c>
      <c r="N601">
        <v>0</v>
      </c>
      <c r="O601" t="b">
        <v>1</v>
      </c>
    </row>
    <row r="602" spans="1:15" x14ac:dyDescent="0.3">
      <c r="A602" s="1" t="s">
        <v>706</v>
      </c>
      <c r="B602">
        <v>1.7827663016984401</v>
      </c>
      <c r="C602">
        <v>2.211619161730425E-2</v>
      </c>
      <c r="D602">
        <v>4.7648466488274782E-2</v>
      </c>
      <c r="E602">
        <v>81.183377458863035</v>
      </c>
      <c r="F602">
        <v>0.13949619032809821</v>
      </c>
      <c r="G602">
        <v>0.8</v>
      </c>
      <c r="H602">
        <v>0.1921834794713442</v>
      </c>
      <c r="I602">
        <v>0.67616909549744286</v>
      </c>
      <c r="J602">
        <v>0</v>
      </c>
      <c r="K602">
        <v>4.7174701244646178E-2</v>
      </c>
      <c r="L602">
        <v>0</v>
      </c>
      <c r="M602">
        <v>473760429.36659998</v>
      </c>
      <c r="N602">
        <v>0</v>
      </c>
      <c r="O602" t="b">
        <v>1</v>
      </c>
    </row>
    <row r="603" spans="1:15" x14ac:dyDescent="0.3">
      <c r="A603" s="1" t="s">
        <v>707</v>
      </c>
      <c r="B603">
        <v>0.72080010331955591</v>
      </c>
      <c r="C603">
        <v>2.3072986661957621E-2</v>
      </c>
      <c r="D603">
        <v>1.9110115236875839E-2</v>
      </c>
      <c r="E603">
        <v>53.107725483003023</v>
      </c>
      <c r="F603">
        <v>7.501720578114246E-2</v>
      </c>
      <c r="G603">
        <v>0.6</v>
      </c>
      <c r="H603">
        <v>4.1291147377989758E-2</v>
      </c>
      <c r="I603">
        <v>0.50471517906357544</v>
      </c>
      <c r="J603">
        <v>-3.4610630407911007E-2</v>
      </c>
      <c r="K603">
        <v>1.0022631749110779E-2</v>
      </c>
      <c r="L603">
        <v>0</v>
      </c>
      <c r="M603">
        <v>29115880</v>
      </c>
      <c r="N603">
        <v>0</v>
      </c>
      <c r="O603" t="b">
        <v>0</v>
      </c>
    </row>
    <row r="604" spans="1:15" x14ac:dyDescent="0.3">
      <c r="A604" s="1" t="s">
        <v>708</v>
      </c>
      <c r="B604">
        <v>0.77417123095338725</v>
      </c>
      <c r="C604">
        <v>3.4998699410189293E-2</v>
      </c>
      <c r="D604">
        <v>7.278481012658225E-2</v>
      </c>
      <c r="E604">
        <v>48.526880533407088</v>
      </c>
      <c r="F604">
        <v>2.931596091205213E-2</v>
      </c>
      <c r="G604">
        <v>0.4</v>
      </c>
      <c r="H604">
        <v>-0.12455087541984899</v>
      </c>
      <c r="I604">
        <v>1.362660558511404</v>
      </c>
      <c r="J604">
        <v>-5.2676659528907988E-2</v>
      </c>
      <c r="K604">
        <v>-4.2838598009519613E-2</v>
      </c>
      <c r="L604">
        <v>0</v>
      </c>
      <c r="M604">
        <v>183223297</v>
      </c>
      <c r="N604">
        <v>0</v>
      </c>
      <c r="O604" t="b">
        <v>1</v>
      </c>
    </row>
    <row r="605" spans="1:15" x14ac:dyDescent="0.3">
      <c r="A605" s="1" t="s">
        <v>709</v>
      </c>
      <c r="B605">
        <v>2.4726286215607471</v>
      </c>
      <c r="C605">
        <v>2.8155643606931759E-2</v>
      </c>
      <c r="D605">
        <v>1.9585515827829639E-2</v>
      </c>
      <c r="E605">
        <v>63.156271109989859</v>
      </c>
      <c r="F605">
        <v>1.6905974988420391E-2</v>
      </c>
      <c r="G605">
        <v>0.4</v>
      </c>
      <c r="H605">
        <v>0.13403535131032021</v>
      </c>
      <c r="I605">
        <v>1.3721150093006611</v>
      </c>
      <c r="J605">
        <v>-3.685018644439586E-2</v>
      </c>
      <c r="K605">
        <v>-6.7857950689890201E-3</v>
      </c>
      <c r="L605">
        <v>0</v>
      </c>
      <c r="M605">
        <v>81668924</v>
      </c>
      <c r="N605">
        <v>0</v>
      </c>
      <c r="O605" t="b">
        <v>0</v>
      </c>
    </row>
    <row r="606" spans="1:15" x14ac:dyDescent="0.3">
      <c r="A606" s="1" t="s">
        <v>710</v>
      </c>
      <c r="B606">
        <v>6.6919008355495349</v>
      </c>
      <c r="C606">
        <v>4.0174706342976138E-2</v>
      </c>
      <c r="D606">
        <v>4.6286846370894988E-2</v>
      </c>
      <c r="E606">
        <v>57.507433508616003</v>
      </c>
      <c r="F606">
        <v>6.3393769152196189E-2</v>
      </c>
      <c r="G606">
        <v>0.6</v>
      </c>
      <c r="H606">
        <v>-7.9376230736326644E-2</v>
      </c>
      <c r="I606">
        <v>2.181986184686759</v>
      </c>
      <c r="J606">
        <v>0</v>
      </c>
      <c r="K606">
        <v>4.0347261257885007E-2</v>
      </c>
      <c r="L606">
        <v>0</v>
      </c>
      <c r="M606">
        <v>128381148</v>
      </c>
      <c r="N606">
        <v>0</v>
      </c>
      <c r="O606" t="b">
        <v>1</v>
      </c>
    </row>
    <row r="607" spans="1:15" x14ac:dyDescent="0.3">
      <c r="A607" s="1" t="s">
        <v>711</v>
      </c>
      <c r="B607">
        <v>8.9025723781631587</v>
      </c>
      <c r="C607">
        <v>2.775341012102963E-2</v>
      </c>
      <c r="D607">
        <v>2.015437660159481E-2</v>
      </c>
      <c r="E607">
        <v>66.390130406094599</v>
      </c>
      <c r="F607">
        <v>0.1053701636135576</v>
      </c>
      <c r="G607">
        <v>0.6</v>
      </c>
      <c r="H607">
        <v>0.25705715764096082</v>
      </c>
      <c r="I607">
        <v>1.359694051959103</v>
      </c>
      <c r="J607">
        <v>-7.509258944124575E-3</v>
      </c>
      <c r="K607">
        <v>1.022908360260266E-2</v>
      </c>
      <c r="L607">
        <v>0</v>
      </c>
      <c r="M607">
        <v>4331546173.3780003</v>
      </c>
      <c r="N607">
        <v>0</v>
      </c>
      <c r="O607" t="b">
        <v>1</v>
      </c>
    </row>
    <row r="608" spans="1:15" x14ac:dyDescent="0.3">
      <c r="A608" s="1" t="s">
        <v>712</v>
      </c>
      <c r="B608">
        <v>8.9759676146506102</v>
      </c>
      <c r="C608">
        <v>2.805121369642518E-2</v>
      </c>
      <c r="D608">
        <v>2.0704095504476772E-2</v>
      </c>
      <c r="E608">
        <v>66.103981899475656</v>
      </c>
      <c r="F608">
        <v>0.1045163027344964</v>
      </c>
      <c r="G608">
        <v>0.6</v>
      </c>
      <c r="H608">
        <v>0.2512642084237442</v>
      </c>
      <c r="I608">
        <v>1.400861187654644</v>
      </c>
      <c r="J608">
        <v>-9.3374323918500313E-3</v>
      </c>
      <c r="K608">
        <v>9.8719611686028941E-3</v>
      </c>
      <c r="L608">
        <v>0</v>
      </c>
      <c r="M608">
        <v>6441742894.2959995</v>
      </c>
      <c r="N608">
        <v>0</v>
      </c>
      <c r="O608" t="b">
        <v>1</v>
      </c>
    </row>
    <row r="609" spans="1:15" x14ac:dyDescent="0.3">
      <c r="A609" s="1" t="s">
        <v>713</v>
      </c>
      <c r="B609">
        <v>6.1630035819065447E-2</v>
      </c>
      <c r="C609">
        <v>2.6871374925470661E-3</v>
      </c>
      <c r="D609">
        <v>3.0302766053926481E-3</v>
      </c>
      <c r="E609">
        <v>47.694204864317761</v>
      </c>
      <c r="F609">
        <v>7.6360193213087513E-4</v>
      </c>
      <c r="G609">
        <v>0.2</v>
      </c>
      <c r="H609">
        <v>-8.9628388125553723E-2</v>
      </c>
      <c r="I609">
        <v>-4.8262144479327203E-2</v>
      </c>
      <c r="J609">
        <v>-6.9708436885722591E-3</v>
      </c>
      <c r="K609">
        <v>2.6053961426149019E-3</v>
      </c>
      <c r="L609">
        <v>0</v>
      </c>
      <c r="M609">
        <v>170964867.76539999</v>
      </c>
      <c r="N609">
        <v>0</v>
      </c>
      <c r="O609" t="b">
        <v>1</v>
      </c>
    </row>
    <row r="610" spans="1:15" x14ac:dyDescent="0.3">
      <c r="A610" s="1" t="s">
        <v>714</v>
      </c>
      <c r="B610">
        <v>2.6007027259580191</v>
      </c>
      <c r="C610">
        <v>1.9997867926381741E-2</v>
      </c>
      <c r="D610">
        <v>4.1146029573468447E-2</v>
      </c>
      <c r="E610">
        <v>58.004008887156751</v>
      </c>
      <c r="F610">
        <v>5.6930854003446107E-2</v>
      </c>
      <c r="G610">
        <v>0.6</v>
      </c>
      <c r="H610">
        <v>-0.14128945016883421</v>
      </c>
      <c r="I610">
        <v>0.23697643823335751</v>
      </c>
      <c r="J610">
        <v>0</v>
      </c>
      <c r="K610">
        <v>3.7230521370861691E-2</v>
      </c>
      <c r="L610">
        <v>0</v>
      </c>
      <c r="M610">
        <v>146014024.85699999</v>
      </c>
      <c r="N610">
        <v>0</v>
      </c>
      <c r="O610" t="b">
        <v>1</v>
      </c>
    </row>
    <row r="611" spans="1:15" x14ac:dyDescent="0.3">
      <c r="A611" s="1" t="s">
        <v>715</v>
      </c>
      <c r="B611">
        <v>2.2192117669772289</v>
      </c>
      <c r="C611">
        <v>2.7798280240768872E-2</v>
      </c>
      <c r="D611">
        <v>3.9208244240768492E-2</v>
      </c>
      <c r="E611">
        <v>58.20937937318272</v>
      </c>
      <c r="F611">
        <v>6.1434263901686048E-2</v>
      </c>
      <c r="G611">
        <v>0.2</v>
      </c>
      <c r="H611">
        <v>-9.0810921329532904E-2</v>
      </c>
      <c r="I611">
        <v>1.048599790790991</v>
      </c>
      <c r="J611">
        <v>0</v>
      </c>
      <c r="K611">
        <v>3.6644258525114097E-2</v>
      </c>
      <c r="L611">
        <v>0</v>
      </c>
      <c r="M611">
        <v>191887384.9233</v>
      </c>
      <c r="N611">
        <v>0</v>
      </c>
      <c r="O611" t="b">
        <v>1</v>
      </c>
    </row>
    <row r="612" spans="1:15" x14ac:dyDescent="0.3">
      <c r="A612" s="1" t="s">
        <v>716</v>
      </c>
      <c r="B612">
        <v>0.21464457115729971</v>
      </c>
      <c r="C612">
        <v>4.1437175899092613E-2</v>
      </c>
      <c r="D612">
        <v>3.6679536679536759E-2</v>
      </c>
      <c r="E612">
        <v>41.217413113081449</v>
      </c>
      <c r="F612">
        <v>-0.12203389830508481</v>
      </c>
      <c r="G612">
        <v>0.4</v>
      </c>
      <c r="H612">
        <v>-6.0768933794076038E-2</v>
      </c>
      <c r="I612">
        <v>2.1814283620476789</v>
      </c>
      <c r="J612">
        <v>-0.1190476190476191</v>
      </c>
      <c r="K612">
        <v>5.8252427184464217E-3</v>
      </c>
      <c r="L612">
        <v>0</v>
      </c>
      <c r="M612">
        <v>174062688</v>
      </c>
      <c r="N612">
        <v>0</v>
      </c>
      <c r="O612" t="b">
        <v>1</v>
      </c>
    </row>
    <row r="613" spans="1:15" x14ac:dyDescent="0.3">
      <c r="A613" s="1" t="s">
        <v>717</v>
      </c>
      <c r="B613">
        <v>2.1117250292008398</v>
      </c>
      <c r="C613">
        <v>1.3620341773202361E-2</v>
      </c>
      <c r="D613">
        <v>1.589891771261983E-2</v>
      </c>
      <c r="E613">
        <v>58.54719781050202</v>
      </c>
      <c r="F613">
        <v>-4.8715990269637688E-3</v>
      </c>
      <c r="G613">
        <v>0.6</v>
      </c>
      <c r="H613">
        <v>6.3477440228351407E-3</v>
      </c>
      <c r="I613">
        <v>1.078154388199241</v>
      </c>
      <c r="J613">
        <v>-5.5736926836464917E-3</v>
      </c>
      <c r="K613">
        <v>1.303521140564667E-2</v>
      </c>
      <c r="L613">
        <v>0</v>
      </c>
      <c r="M613">
        <v>23292762.136500001</v>
      </c>
      <c r="N613">
        <v>0</v>
      </c>
      <c r="O613" t="b">
        <v>0</v>
      </c>
    </row>
    <row r="614" spans="1:15" x14ac:dyDescent="0.3">
      <c r="A614" s="1" t="s">
        <v>718</v>
      </c>
      <c r="B614">
        <v>4.6862142705042356</v>
      </c>
      <c r="C614">
        <v>2.2381170637897411E-2</v>
      </c>
      <c r="D614">
        <v>4.4416425480700267E-2</v>
      </c>
      <c r="E614">
        <v>58.809271241728382</v>
      </c>
      <c r="F614">
        <v>3.7242896207347442E-2</v>
      </c>
      <c r="G614">
        <v>0.8</v>
      </c>
      <c r="H614">
        <v>-0.15033995009147411</v>
      </c>
      <c r="I614">
        <v>1.079695640742085</v>
      </c>
      <c r="J614">
        <v>0</v>
      </c>
      <c r="K614">
        <v>3.9751312215396961E-2</v>
      </c>
      <c r="L614">
        <v>0</v>
      </c>
      <c r="M614">
        <v>171871874.43799999</v>
      </c>
      <c r="N614">
        <v>0</v>
      </c>
      <c r="O614" t="b">
        <v>1</v>
      </c>
    </row>
    <row r="615" spans="1:15" x14ac:dyDescent="0.3">
      <c r="A615" s="1" t="s">
        <v>719</v>
      </c>
      <c r="B615">
        <v>20.610844350943371</v>
      </c>
      <c r="C615">
        <v>2.3300015658125981E-2</v>
      </c>
      <c r="D615">
        <v>3.1409078833577318E-2</v>
      </c>
      <c r="E615">
        <v>74.593227635564403</v>
      </c>
      <c r="F615">
        <v>0.12098363356418269</v>
      </c>
      <c r="G615">
        <v>1</v>
      </c>
      <c r="H615">
        <v>0.1111175242669791</v>
      </c>
      <c r="I615">
        <v>1.096484674801341</v>
      </c>
      <c r="J615">
        <v>0</v>
      </c>
      <c r="K615">
        <v>1.444280961615441E-2</v>
      </c>
      <c r="L615">
        <v>0</v>
      </c>
      <c r="M615">
        <v>1389435568.7160001</v>
      </c>
      <c r="N615">
        <v>0</v>
      </c>
      <c r="O615" t="b">
        <v>1</v>
      </c>
    </row>
    <row r="616" spans="1:15" x14ac:dyDescent="0.3">
      <c r="A616" s="1" t="s">
        <v>720</v>
      </c>
      <c r="B616">
        <v>3.8589304482569662</v>
      </c>
      <c r="C616">
        <v>5.4907946048050167E-2</v>
      </c>
      <c r="D616">
        <v>5.9049516220831037E-2</v>
      </c>
      <c r="E616">
        <v>72.370996582103402</v>
      </c>
      <c r="F616">
        <v>0.22056269538034029</v>
      </c>
      <c r="G616">
        <v>0.8</v>
      </c>
      <c r="H616">
        <v>0.28671598554371303</v>
      </c>
      <c r="I616">
        <v>2.2462713950137521</v>
      </c>
      <c r="J616">
        <v>0</v>
      </c>
      <c r="K616">
        <v>2.9894490035170081E-2</v>
      </c>
      <c r="L616">
        <v>0</v>
      </c>
      <c r="M616">
        <v>20073079.5</v>
      </c>
      <c r="N616">
        <v>0</v>
      </c>
      <c r="O616" t="b">
        <v>0</v>
      </c>
    </row>
    <row r="617" spans="1:15" x14ac:dyDescent="0.3">
      <c r="A617" s="1" t="s">
        <v>721</v>
      </c>
      <c r="B617">
        <v>0.36065610613922938</v>
      </c>
      <c r="C617">
        <v>8.5353705099653621E-3</v>
      </c>
      <c r="D617">
        <v>1.2713498981168751E-2</v>
      </c>
      <c r="E617">
        <v>63.774162175619658</v>
      </c>
      <c r="F617">
        <v>1.8708577738239199E-2</v>
      </c>
      <c r="G617">
        <v>0.8</v>
      </c>
      <c r="H617">
        <v>-5.9107356549252622E-2</v>
      </c>
      <c r="I617">
        <v>0.68766488731013364</v>
      </c>
      <c r="J617">
        <v>0</v>
      </c>
      <c r="K617">
        <v>1.046955149283191E-2</v>
      </c>
      <c r="L617">
        <v>0</v>
      </c>
      <c r="M617">
        <v>13164721.212850001</v>
      </c>
      <c r="N617">
        <v>0</v>
      </c>
      <c r="O617" t="b">
        <v>0</v>
      </c>
    </row>
    <row r="618" spans="1:15" x14ac:dyDescent="0.3">
      <c r="A618" s="1" t="s">
        <v>722</v>
      </c>
      <c r="B618">
        <v>0.89586817537594365</v>
      </c>
      <c r="C618">
        <v>1.8654826092612011E-2</v>
      </c>
      <c r="D618">
        <v>2.416738506644682E-2</v>
      </c>
      <c r="E618">
        <v>58.352492513618373</v>
      </c>
      <c r="F618">
        <v>3.1102656372115289E-2</v>
      </c>
      <c r="G618">
        <v>0.4</v>
      </c>
      <c r="H618">
        <v>0.1030788371451128</v>
      </c>
      <c r="I618">
        <v>0.203693609670378</v>
      </c>
      <c r="J618">
        <v>-1.1435005732941541E-2</v>
      </c>
      <c r="K618">
        <v>2.4116863037799249E-2</v>
      </c>
      <c r="L618">
        <v>0</v>
      </c>
      <c r="M618">
        <v>178110260.7588</v>
      </c>
      <c r="N618">
        <v>0</v>
      </c>
      <c r="O618" t="b">
        <v>1</v>
      </c>
    </row>
    <row r="619" spans="1:15" x14ac:dyDescent="0.3">
      <c r="A619" s="1" t="s">
        <v>723</v>
      </c>
      <c r="B619">
        <v>1.330889736169296</v>
      </c>
      <c r="C619">
        <v>1.0013993184271959E-2</v>
      </c>
      <c r="D619">
        <v>1.0842494149868719E-2</v>
      </c>
      <c r="E619">
        <v>61.195981026911859</v>
      </c>
      <c r="F619">
        <v>9.7017306611155707E-3</v>
      </c>
      <c r="G619">
        <v>0.6</v>
      </c>
      <c r="H619">
        <v>-0.21261953381754181</v>
      </c>
      <c r="I619">
        <v>0.95509894397515482</v>
      </c>
      <c r="J619">
        <v>0</v>
      </c>
      <c r="K619">
        <v>6.4215667714209168E-3</v>
      </c>
      <c r="L619">
        <v>0</v>
      </c>
      <c r="M619">
        <v>27084148.800000001</v>
      </c>
      <c r="N619">
        <v>0</v>
      </c>
      <c r="O619" t="b">
        <v>0</v>
      </c>
    </row>
    <row r="620" spans="1:15" x14ac:dyDescent="0.3">
      <c r="A620" s="1" t="s">
        <v>724</v>
      </c>
      <c r="B620">
        <v>2.2145947126940748</v>
      </c>
      <c r="C620">
        <v>5.4681350930717902E-2</v>
      </c>
      <c r="D620">
        <v>4.9135802469135667E-2</v>
      </c>
      <c r="E620">
        <v>44.482232393381018</v>
      </c>
      <c r="F620">
        <v>-0.12318683697770071</v>
      </c>
      <c r="G620">
        <v>0.4</v>
      </c>
      <c r="H620">
        <v>-0.1022031324453064</v>
      </c>
      <c r="I620">
        <v>0.8670319537797222</v>
      </c>
      <c r="J620">
        <v>-0.12959381044487431</v>
      </c>
      <c r="K620">
        <v>3.7929267042542181E-2</v>
      </c>
      <c r="L620">
        <v>0</v>
      </c>
      <c r="M620">
        <v>162178484.5</v>
      </c>
      <c r="N620">
        <v>0</v>
      </c>
      <c r="O620" t="b">
        <v>1</v>
      </c>
    </row>
    <row r="621" spans="1:15" x14ac:dyDescent="0.3">
      <c r="A621" s="1" t="s">
        <v>725</v>
      </c>
      <c r="B621">
        <v>0.6379309569022269</v>
      </c>
      <c r="C621">
        <v>3.104286894901347E-3</v>
      </c>
      <c r="D621">
        <v>4.9635036496349476E-3</v>
      </c>
      <c r="E621">
        <v>85.292126141437052</v>
      </c>
      <c r="F621">
        <v>1.261456588154131E-2</v>
      </c>
      <c r="G621">
        <v>1</v>
      </c>
      <c r="H621">
        <v>-4.6396034712483117E-2</v>
      </c>
      <c r="I621">
        <v>8.4124992423760356E-2</v>
      </c>
      <c r="J621">
        <v>0</v>
      </c>
      <c r="K621">
        <v>4.868549172345471E-4</v>
      </c>
      <c r="L621">
        <v>0</v>
      </c>
      <c r="M621">
        <v>122126523.5</v>
      </c>
      <c r="N621">
        <v>0</v>
      </c>
      <c r="O621" t="b">
        <v>1</v>
      </c>
    </row>
    <row r="622" spans="1:15" x14ac:dyDescent="0.3">
      <c r="A622" s="1" t="s">
        <v>726</v>
      </c>
      <c r="B622">
        <v>0.52384699380378807</v>
      </c>
      <c r="C622">
        <v>1.162301571792615E-2</v>
      </c>
      <c r="D622">
        <v>1.453966957918615E-2</v>
      </c>
      <c r="E622">
        <v>61.396799838259163</v>
      </c>
      <c r="F622">
        <v>2.4374167564447099E-2</v>
      </c>
      <c r="G622">
        <v>0.6</v>
      </c>
      <c r="H622">
        <v>3.053312995193186E-3</v>
      </c>
      <c r="I622">
        <v>0.66368767666367212</v>
      </c>
      <c r="J622">
        <v>0</v>
      </c>
      <c r="K622">
        <v>1.0463398283975909E-2</v>
      </c>
      <c r="L622">
        <v>0</v>
      </c>
      <c r="M622">
        <v>15542812.944599999</v>
      </c>
      <c r="N622">
        <v>1</v>
      </c>
      <c r="O622" t="b">
        <v>0</v>
      </c>
    </row>
    <row r="623" spans="1:15" x14ac:dyDescent="0.3">
      <c r="A623" s="1" t="s">
        <v>727</v>
      </c>
      <c r="B623">
        <v>7.8639485995876619</v>
      </c>
      <c r="C623">
        <v>3.920018244149176E-2</v>
      </c>
      <c r="D623">
        <v>3.3846767359553463E-2</v>
      </c>
      <c r="E623">
        <v>32.037399118604483</v>
      </c>
      <c r="F623">
        <v>-7.8798732607797239E-2</v>
      </c>
      <c r="G623">
        <v>0.2</v>
      </c>
      <c r="H623">
        <v>-0.2806575098112129</v>
      </c>
      <c r="I623">
        <v>0.73524952131532306</v>
      </c>
      <c r="J623">
        <v>-9.842254280706475E-2</v>
      </c>
      <c r="K623">
        <v>1.7034220532319511E-2</v>
      </c>
      <c r="L623">
        <v>0</v>
      </c>
      <c r="M623">
        <v>157540340</v>
      </c>
      <c r="N623">
        <v>0</v>
      </c>
      <c r="O623" t="b">
        <v>1</v>
      </c>
    </row>
    <row r="624" spans="1:15" x14ac:dyDescent="0.3">
      <c r="A624" s="1" t="s">
        <v>728</v>
      </c>
      <c r="B624">
        <v>19.075707452198831</v>
      </c>
      <c r="C624">
        <v>1.919682019078248E-2</v>
      </c>
      <c r="D624">
        <v>3.8600530748492207E-2</v>
      </c>
      <c r="E624">
        <v>64.939905508116055</v>
      </c>
      <c r="F624">
        <v>4.8012639123698582E-2</v>
      </c>
      <c r="G624">
        <v>0.4</v>
      </c>
      <c r="H624">
        <v>-7.9975003717912621E-2</v>
      </c>
      <c r="I624">
        <v>0.51126233614558925</v>
      </c>
      <c r="J624">
        <v>0</v>
      </c>
      <c r="K624">
        <v>3.8479586067505567E-2</v>
      </c>
      <c r="L624">
        <v>0</v>
      </c>
      <c r="M624">
        <v>269340812.42199999</v>
      </c>
      <c r="N624">
        <v>0</v>
      </c>
      <c r="O624" t="b">
        <v>1</v>
      </c>
    </row>
    <row r="625" spans="1:15" x14ac:dyDescent="0.3">
      <c r="A625" s="1" t="s">
        <v>729</v>
      </c>
      <c r="B625">
        <v>4.2812184300971943</v>
      </c>
      <c r="C625">
        <v>2.769294438470073E-2</v>
      </c>
      <c r="D625">
        <v>2.2749618360112779E-2</v>
      </c>
      <c r="E625">
        <v>50.538080627834887</v>
      </c>
      <c r="F625">
        <v>-1.1129874117285939E-2</v>
      </c>
      <c r="G625">
        <v>0.2</v>
      </c>
      <c r="H625">
        <v>1.949565173354131E-2</v>
      </c>
      <c r="I625">
        <v>0.80413224113574799</v>
      </c>
      <c r="J625">
        <v>-7.0071280339258357E-2</v>
      </c>
      <c r="K625">
        <v>1.8023297927682869E-2</v>
      </c>
      <c r="L625">
        <v>0</v>
      </c>
      <c r="M625">
        <v>117643843.5705</v>
      </c>
      <c r="N625">
        <v>0</v>
      </c>
      <c r="O625" t="b">
        <v>1</v>
      </c>
    </row>
    <row r="626" spans="1:15" x14ac:dyDescent="0.3">
      <c r="A626" s="1" t="s">
        <v>730</v>
      </c>
      <c r="B626">
        <v>0.85106352250224626</v>
      </c>
      <c r="C626">
        <v>2.944856479246527E-2</v>
      </c>
      <c r="D626">
        <v>3.4778546712802727E-2</v>
      </c>
      <c r="E626">
        <v>70.451882529609591</v>
      </c>
      <c r="F626">
        <v>5.46598448299771E-2</v>
      </c>
      <c r="G626">
        <v>0.8</v>
      </c>
      <c r="H626">
        <v>0.15710200145749861</v>
      </c>
      <c r="I626">
        <v>0.82022971431028047</v>
      </c>
      <c r="J626">
        <v>0</v>
      </c>
      <c r="K626">
        <v>1.6095801309321981E-2</v>
      </c>
      <c r="L626">
        <v>0</v>
      </c>
      <c r="M626">
        <v>279186568.30989999</v>
      </c>
      <c r="N626">
        <v>0</v>
      </c>
      <c r="O626" t="b">
        <v>1</v>
      </c>
    </row>
    <row r="627" spans="1:15" x14ac:dyDescent="0.3">
      <c r="A627" s="1" t="s">
        <v>731</v>
      </c>
      <c r="B627">
        <v>2.31521971280254</v>
      </c>
      <c r="C627">
        <v>3.6954823827654283E-2</v>
      </c>
      <c r="D627">
        <v>2.0271348762968811E-2</v>
      </c>
      <c r="E627">
        <v>34.231454699173909</v>
      </c>
      <c r="F627">
        <v>-7.8811939420673549E-2</v>
      </c>
      <c r="G627">
        <v>0.4</v>
      </c>
      <c r="H627">
        <v>-0.22637446048948731</v>
      </c>
      <c r="I627">
        <v>0.50617214841059543</v>
      </c>
      <c r="J627">
        <v>-0.15337837837837839</v>
      </c>
      <c r="K627">
        <v>1.26070793599482E-2</v>
      </c>
      <c r="L627">
        <v>0</v>
      </c>
      <c r="M627">
        <v>98145805.5</v>
      </c>
      <c r="N627">
        <v>0</v>
      </c>
      <c r="O627" t="b">
        <v>1</v>
      </c>
    </row>
    <row r="628" spans="1:15" x14ac:dyDescent="0.3">
      <c r="A628" s="1" t="s">
        <v>732</v>
      </c>
      <c r="B628">
        <v>1.850947506565116</v>
      </c>
      <c r="C628">
        <v>2.2683902998932758E-2</v>
      </c>
      <c r="D628">
        <v>3.3349101809616442E-2</v>
      </c>
      <c r="E628">
        <v>61.798976947574353</v>
      </c>
      <c r="F628">
        <v>6.1079006090995369E-2</v>
      </c>
      <c r="G628">
        <v>0.4</v>
      </c>
      <c r="H628">
        <v>-7.0504903087247623E-3</v>
      </c>
      <c r="I628">
        <v>1.014040602725244</v>
      </c>
      <c r="J628">
        <v>-6.4098349077856831E-3</v>
      </c>
      <c r="K628">
        <v>2.8799745817846171E-2</v>
      </c>
      <c r="L628">
        <v>0</v>
      </c>
      <c r="M628">
        <v>116237539.92659999</v>
      </c>
      <c r="N628">
        <v>0</v>
      </c>
      <c r="O628" t="b">
        <v>1</v>
      </c>
    </row>
    <row r="629" spans="1:15" x14ac:dyDescent="0.3">
      <c r="A629" s="1" t="s">
        <v>733</v>
      </c>
      <c r="B629">
        <v>0.34457263086866091</v>
      </c>
      <c r="C629">
        <v>1.9795402394977849E-2</v>
      </c>
      <c r="D629">
        <v>3.8726467394738763E-2</v>
      </c>
      <c r="E629">
        <v>74.678001096431998</v>
      </c>
      <c r="F629">
        <v>0.11069493807387749</v>
      </c>
      <c r="G629">
        <v>0.8</v>
      </c>
      <c r="H629">
        <v>-4.2793566794092061E-2</v>
      </c>
      <c r="I629">
        <v>0.78902830718836536</v>
      </c>
      <c r="J629">
        <v>0</v>
      </c>
      <c r="K629">
        <v>3.3553819114573447E-2</v>
      </c>
      <c r="L629">
        <v>0</v>
      </c>
      <c r="M629">
        <v>386086037.96740001</v>
      </c>
      <c r="N629">
        <v>0</v>
      </c>
      <c r="O629" t="b">
        <v>1</v>
      </c>
    </row>
    <row r="630" spans="1:15" x14ac:dyDescent="0.3">
      <c r="A630" s="1" t="s">
        <v>734</v>
      </c>
      <c r="B630">
        <v>0.76537160802198545</v>
      </c>
      <c r="C630">
        <v>4.1938170302574553E-2</v>
      </c>
      <c r="D630">
        <v>4.8219178082191727E-2</v>
      </c>
      <c r="E630">
        <v>66.509094390576763</v>
      </c>
      <c r="F630">
        <v>8.2443653618030854E-2</v>
      </c>
      <c r="G630">
        <v>0.6</v>
      </c>
      <c r="H630">
        <v>0.15045802715244269</v>
      </c>
      <c r="I630">
        <v>2.5603724249612849</v>
      </c>
      <c r="J630">
        <v>0</v>
      </c>
      <c r="K630">
        <v>3.8702333523050747E-2</v>
      </c>
      <c r="L630">
        <v>0</v>
      </c>
      <c r="M630">
        <v>65064334</v>
      </c>
      <c r="N630">
        <v>0</v>
      </c>
      <c r="O630" t="b">
        <v>0</v>
      </c>
    </row>
    <row r="631" spans="1:15" x14ac:dyDescent="0.3">
      <c r="A631" s="1" t="s">
        <v>735</v>
      </c>
      <c r="B631">
        <v>12.1642940907998</v>
      </c>
      <c r="C631">
        <v>2.5990193214167779E-2</v>
      </c>
      <c r="D631">
        <v>4.7530734946606402E-2</v>
      </c>
      <c r="E631">
        <v>42.895805838980017</v>
      </c>
      <c r="F631">
        <v>2.0531248228373041E-2</v>
      </c>
      <c r="G631">
        <v>0.4</v>
      </c>
      <c r="H631">
        <v>0.1093696546235136</v>
      </c>
      <c r="I631">
        <v>0.1683657929354761</v>
      </c>
      <c r="J631">
        <v>-9.1344324420871037E-2</v>
      </c>
      <c r="K631">
        <v>-4.0469561723257108E-2</v>
      </c>
      <c r="L631">
        <v>0</v>
      </c>
      <c r="M631">
        <v>489924451.60399997</v>
      </c>
      <c r="N631">
        <v>0</v>
      </c>
      <c r="O631" t="b">
        <v>1</v>
      </c>
    </row>
    <row r="632" spans="1:15" x14ac:dyDescent="0.3">
      <c r="A632" s="1" t="s">
        <v>736</v>
      </c>
      <c r="B632">
        <v>8.413894300202049</v>
      </c>
      <c r="C632">
        <v>2.3962333894005209E-2</v>
      </c>
      <c r="D632">
        <v>2.2840543388488541E-2</v>
      </c>
      <c r="E632">
        <v>45.41780964911068</v>
      </c>
      <c r="F632">
        <v>-4.5972014671919581E-2</v>
      </c>
      <c r="G632">
        <v>0.4</v>
      </c>
      <c r="H632">
        <v>-0.25057264685147268</v>
      </c>
      <c r="I632">
        <v>0.46537816004388832</v>
      </c>
      <c r="J632">
        <v>-5.5683300388613237E-2</v>
      </c>
      <c r="K632">
        <v>1.6972224635792399E-2</v>
      </c>
      <c r="L632">
        <v>0</v>
      </c>
      <c r="M632">
        <v>1229356034.9305</v>
      </c>
      <c r="N632">
        <v>0</v>
      </c>
      <c r="O632" t="b">
        <v>1</v>
      </c>
    </row>
    <row r="633" spans="1:15" x14ac:dyDescent="0.3">
      <c r="A633" s="1" t="s">
        <v>737</v>
      </c>
      <c r="B633">
        <v>0.62126539889515942</v>
      </c>
      <c r="C633">
        <v>1.7539960443115739E-2</v>
      </c>
      <c r="D633">
        <v>2.0327498588368121E-2</v>
      </c>
      <c r="E633">
        <v>43.073647990851477</v>
      </c>
      <c r="F633">
        <v>-1.8020515663986662E-2</v>
      </c>
      <c r="G633">
        <v>0.6</v>
      </c>
      <c r="H633">
        <v>-5.0835205643101573E-2</v>
      </c>
      <c r="I633">
        <v>9.0709962707772387E-2</v>
      </c>
      <c r="J633">
        <v>-4.6054403447347132E-2</v>
      </c>
      <c r="K633">
        <v>7.1083309638897418E-3</v>
      </c>
      <c r="L633">
        <v>0</v>
      </c>
      <c r="M633">
        <v>135116482.403</v>
      </c>
      <c r="N633">
        <v>0</v>
      </c>
      <c r="O633" t="b">
        <v>1</v>
      </c>
    </row>
    <row r="634" spans="1:15" x14ac:dyDescent="0.3">
      <c r="A634" s="1" t="s">
        <v>738</v>
      </c>
      <c r="B634">
        <v>1.138102718695065</v>
      </c>
      <c r="C634">
        <v>9.3866464217264318E-3</v>
      </c>
      <c r="D634">
        <v>1.093635306440578E-2</v>
      </c>
      <c r="E634">
        <v>53.12225637076024</v>
      </c>
      <c r="F634">
        <v>2.203434120354375E-2</v>
      </c>
      <c r="G634">
        <v>0.2</v>
      </c>
      <c r="H634">
        <v>-8.7740828410435484E-2</v>
      </c>
      <c r="I634">
        <v>0.14014826767069219</v>
      </c>
      <c r="J634">
        <v>-1.233290703073453E-2</v>
      </c>
      <c r="K634">
        <v>1.047587298941588E-2</v>
      </c>
      <c r="L634">
        <v>0</v>
      </c>
      <c r="M634">
        <v>47878181.420000002</v>
      </c>
      <c r="N634">
        <v>0</v>
      </c>
      <c r="O634" t="b">
        <v>0</v>
      </c>
    </row>
    <row r="635" spans="1:15" x14ac:dyDescent="0.3">
      <c r="A635" s="1" t="s">
        <v>739</v>
      </c>
      <c r="B635">
        <v>0.32462289323486371</v>
      </c>
      <c r="C635">
        <v>7.9547277360486873E-3</v>
      </c>
      <c r="D635">
        <v>6.7387426241398568E-3</v>
      </c>
      <c r="E635">
        <v>64.364553576844443</v>
      </c>
      <c r="F635">
        <v>1.674780624168459E-2</v>
      </c>
      <c r="G635">
        <v>0.8</v>
      </c>
      <c r="H635">
        <v>5.6679178089877033E-2</v>
      </c>
      <c r="I635">
        <v>0.74060289703283289</v>
      </c>
      <c r="J635">
        <v>0</v>
      </c>
      <c r="K635">
        <v>3.867006464690181E-3</v>
      </c>
      <c r="L635">
        <v>0</v>
      </c>
      <c r="M635">
        <v>27433918.285100002</v>
      </c>
      <c r="N635">
        <v>0</v>
      </c>
      <c r="O635" t="b">
        <v>0</v>
      </c>
    </row>
    <row r="636" spans="1:15" x14ac:dyDescent="0.3">
      <c r="A636" s="1" t="s">
        <v>740</v>
      </c>
      <c r="B636">
        <v>7.1021636139133566</v>
      </c>
      <c r="C636">
        <v>2.3017272648621509E-2</v>
      </c>
      <c r="D636">
        <v>1.875822373751454E-2</v>
      </c>
      <c r="E636">
        <v>45.976335558829959</v>
      </c>
      <c r="F636">
        <v>-6.6446811085562163E-2</v>
      </c>
      <c r="G636">
        <v>0.6</v>
      </c>
      <c r="H636">
        <v>-0.12079373278720219</v>
      </c>
      <c r="I636">
        <v>0.93546160054675143</v>
      </c>
      <c r="J636">
        <v>-6.1648876319070567E-2</v>
      </c>
      <c r="K636">
        <v>9.682623307013527E-3</v>
      </c>
      <c r="L636">
        <v>0</v>
      </c>
      <c r="M636">
        <v>115062793.67</v>
      </c>
      <c r="N636">
        <v>0</v>
      </c>
      <c r="O636" t="b">
        <v>1</v>
      </c>
    </row>
    <row r="637" spans="1:15" x14ac:dyDescent="0.3">
      <c r="A637" s="1" t="s">
        <v>741</v>
      </c>
      <c r="B637">
        <v>5.3325019254501473</v>
      </c>
      <c r="C637">
        <v>2.214788479137654E-2</v>
      </c>
      <c r="D637">
        <v>1.6397527910685841E-2</v>
      </c>
      <c r="E637">
        <v>45.2211208129035</v>
      </c>
      <c r="F637">
        <v>-6.7007672634271098E-2</v>
      </c>
      <c r="G637">
        <v>0.6</v>
      </c>
      <c r="H637">
        <v>-0.13815714668860299</v>
      </c>
      <c r="I637">
        <v>0.96685108190450153</v>
      </c>
      <c r="J637">
        <v>-6.1772270282908548E-2</v>
      </c>
      <c r="K637">
        <v>8.9214252490161794E-3</v>
      </c>
      <c r="L637">
        <v>0</v>
      </c>
      <c r="M637">
        <v>46487616.358999997</v>
      </c>
      <c r="N637">
        <v>0</v>
      </c>
      <c r="O637" t="b">
        <v>0</v>
      </c>
    </row>
    <row r="638" spans="1:15" x14ac:dyDescent="0.3">
      <c r="A638" s="1" t="s">
        <v>742</v>
      </c>
      <c r="B638">
        <v>0.6872889781112872</v>
      </c>
      <c r="C638">
        <v>1.9938757705578389E-2</v>
      </c>
      <c r="D638">
        <v>1.6681172033652329E-2</v>
      </c>
      <c r="E638">
        <v>59.963996311950282</v>
      </c>
      <c r="F638">
        <v>2.5587622731329859E-2</v>
      </c>
      <c r="G638">
        <v>0.8</v>
      </c>
      <c r="H638">
        <v>-0.13348194204457051</v>
      </c>
      <c r="I638">
        <v>0.2237130048538534</v>
      </c>
      <c r="J638">
        <v>-7.200460829493105E-3</v>
      </c>
      <c r="K638">
        <v>-7.200460829493105E-3</v>
      </c>
      <c r="L638">
        <v>0</v>
      </c>
      <c r="M638">
        <v>46451903.315099999</v>
      </c>
      <c r="N638">
        <v>0</v>
      </c>
      <c r="O638" t="b">
        <v>0</v>
      </c>
    </row>
    <row r="639" spans="1:15" x14ac:dyDescent="0.3">
      <c r="A639" s="1" t="s">
        <v>743</v>
      </c>
      <c r="B639">
        <v>2.056112439705732</v>
      </c>
      <c r="C639">
        <v>1.585466661299096E-2</v>
      </c>
      <c r="D639">
        <v>8.6748660215136674E-3</v>
      </c>
      <c r="E639">
        <v>44.728453033144667</v>
      </c>
      <c r="F639">
        <v>-3.6228532667337282E-4</v>
      </c>
      <c r="G639">
        <v>0.6</v>
      </c>
      <c r="H639">
        <v>-7.5515756168676923E-2</v>
      </c>
      <c r="I639">
        <v>-6.4825305496772054E-2</v>
      </c>
      <c r="J639">
        <v>-4.9118664946034563E-2</v>
      </c>
      <c r="K639">
        <v>1.5368456821587271E-3</v>
      </c>
      <c r="L639">
        <v>0</v>
      </c>
      <c r="M639">
        <v>183703130.70500001</v>
      </c>
      <c r="N639">
        <v>0</v>
      </c>
      <c r="O639" t="b">
        <v>1</v>
      </c>
    </row>
    <row r="640" spans="1:15" x14ac:dyDescent="0.3">
      <c r="A640" s="1" t="s">
        <v>744</v>
      </c>
      <c r="B640">
        <v>9.6046317234045517</v>
      </c>
      <c r="C640">
        <v>2.9815733636120959E-2</v>
      </c>
      <c r="D640">
        <v>4.8247152573626342E-2</v>
      </c>
      <c r="E640">
        <v>61.207949459755213</v>
      </c>
      <c r="F640">
        <v>1.8528296756283199E-2</v>
      </c>
      <c r="G640">
        <v>0.6</v>
      </c>
      <c r="H640">
        <v>0.1129145421858234</v>
      </c>
      <c r="I640">
        <v>0.78725415124972675</v>
      </c>
      <c r="J640">
        <v>0</v>
      </c>
      <c r="K640">
        <v>2.6002567132423771E-2</v>
      </c>
      <c r="L640">
        <v>0</v>
      </c>
      <c r="M640">
        <v>115908656.32350001</v>
      </c>
      <c r="N640">
        <v>0</v>
      </c>
      <c r="O640" t="b">
        <v>1</v>
      </c>
    </row>
    <row r="641" spans="1:15" x14ac:dyDescent="0.3">
      <c r="A641" s="1" t="s">
        <v>745</v>
      </c>
      <c r="B641">
        <v>2.4876296926293469</v>
      </c>
      <c r="C641">
        <v>6.5671322403097865E-2</v>
      </c>
      <c r="D641">
        <v>5.8342133051742358E-2</v>
      </c>
      <c r="E641">
        <v>44.38692884817214</v>
      </c>
      <c r="F641">
        <v>-7.7222898903775761E-2</v>
      </c>
      <c r="G641">
        <v>0.4</v>
      </c>
      <c r="H641">
        <v>-9.1744395607827586E-2</v>
      </c>
      <c r="I641">
        <v>2.7440950869918388</v>
      </c>
      <c r="J641">
        <v>-5.3473263368315822E-2</v>
      </c>
      <c r="K641">
        <v>-4.8719236564540358E-2</v>
      </c>
      <c r="L641">
        <v>0</v>
      </c>
      <c r="M641">
        <v>1079526408</v>
      </c>
      <c r="N641">
        <v>0</v>
      </c>
      <c r="O641" t="b">
        <v>1</v>
      </c>
    </row>
    <row r="642" spans="1:15" x14ac:dyDescent="0.3">
      <c r="A642" s="1" t="s">
        <v>746</v>
      </c>
      <c r="B642">
        <v>0.99729817812018173</v>
      </c>
      <c r="C642">
        <v>5.8027659811724357E-2</v>
      </c>
      <c r="D642">
        <v>4.5960224826318147E-2</v>
      </c>
      <c r="E642">
        <v>62.986326303210753</v>
      </c>
      <c r="F642">
        <v>0.14481169151246259</v>
      </c>
      <c r="G642">
        <v>0.6</v>
      </c>
      <c r="H642">
        <v>0.1617330453182792</v>
      </c>
      <c r="I642">
        <v>1.975164747307262</v>
      </c>
      <c r="J642">
        <v>-1.8839272461550819E-2</v>
      </c>
      <c r="K642">
        <v>1.117275706460652E-2</v>
      </c>
      <c r="L642">
        <v>0</v>
      </c>
      <c r="M642">
        <v>134618417.97295001</v>
      </c>
      <c r="N642">
        <v>0</v>
      </c>
      <c r="O642" t="b">
        <v>1</v>
      </c>
    </row>
    <row r="643" spans="1:15" x14ac:dyDescent="0.3">
      <c r="A643" s="1" t="s">
        <v>747</v>
      </c>
      <c r="B643">
        <v>4.1853546143548774</v>
      </c>
      <c r="C643">
        <v>2.328314362204327E-2</v>
      </c>
      <c r="D643">
        <v>2.666347721115497E-2</v>
      </c>
      <c r="E643">
        <v>52.444930645803673</v>
      </c>
      <c r="F643">
        <v>-2.1537966216479409E-3</v>
      </c>
      <c r="G643">
        <v>0.8</v>
      </c>
      <c r="H643">
        <v>-0.1673983942813928</v>
      </c>
      <c r="I643">
        <v>0.59349641274713727</v>
      </c>
      <c r="J643">
        <v>-1.8755970414039761E-2</v>
      </c>
      <c r="K643">
        <v>1.6109977446031602E-2</v>
      </c>
      <c r="L643">
        <v>0</v>
      </c>
      <c r="M643">
        <v>67260501.687999994</v>
      </c>
      <c r="N643">
        <v>0</v>
      </c>
      <c r="O643" t="b">
        <v>0</v>
      </c>
    </row>
    <row r="644" spans="1:15" x14ac:dyDescent="0.3">
      <c r="A644" s="1" t="s">
        <v>748</v>
      </c>
      <c r="B644">
        <v>0.17019983889345389</v>
      </c>
      <c r="C644">
        <v>1.799152631009026E-2</v>
      </c>
      <c r="D644">
        <v>2.167019027484144E-2</v>
      </c>
      <c r="E644">
        <v>47.107876571924159</v>
      </c>
      <c r="F644">
        <v>-1.1494252873563199E-2</v>
      </c>
      <c r="G644">
        <v>0.4</v>
      </c>
      <c r="H644">
        <v>-8.6500071050050018E-2</v>
      </c>
      <c r="I644">
        <v>3.8453343557235231E-2</v>
      </c>
      <c r="J644">
        <v>-4.4444444444444398E-2</v>
      </c>
      <c r="K644">
        <v>1.6111707841031109E-2</v>
      </c>
      <c r="L644">
        <v>0</v>
      </c>
      <c r="M644">
        <v>100933834.5</v>
      </c>
      <c r="N644">
        <v>0</v>
      </c>
      <c r="O644" t="b">
        <v>1</v>
      </c>
    </row>
    <row r="645" spans="1:15" x14ac:dyDescent="0.3">
      <c r="A645" s="1" t="s">
        <v>749</v>
      </c>
      <c r="B645">
        <v>4.2401471748406312</v>
      </c>
      <c r="C645">
        <v>3.2245200839871868E-2</v>
      </c>
      <c r="D645">
        <v>4.7491577754625612E-2</v>
      </c>
      <c r="E645">
        <v>63.377352320424997</v>
      </c>
      <c r="F645">
        <v>1.2886677347794031E-2</v>
      </c>
      <c r="G645">
        <v>1</v>
      </c>
      <c r="H645">
        <v>-0.13820234371230589</v>
      </c>
      <c r="I645">
        <v>0.49333545540825591</v>
      </c>
      <c r="J645">
        <v>-1.8364101913300401E-2</v>
      </c>
      <c r="K645">
        <v>2.5797644122006469E-2</v>
      </c>
      <c r="L645">
        <v>0</v>
      </c>
      <c r="M645">
        <v>68511869.324999988</v>
      </c>
      <c r="N645">
        <v>0</v>
      </c>
      <c r="O645" t="b">
        <v>0</v>
      </c>
    </row>
    <row r="646" spans="1:15" x14ac:dyDescent="0.3">
      <c r="A646" s="1" t="s">
        <v>750</v>
      </c>
      <c r="B646">
        <v>5.3480537377397397</v>
      </c>
      <c r="C646">
        <v>1.9727090680776022E-2</v>
      </c>
      <c r="D646">
        <v>1.5632492567373171E-2</v>
      </c>
      <c r="E646">
        <v>48.270885221142827</v>
      </c>
      <c r="F646">
        <v>-1.1496599879674109E-2</v>
      </c>
      <c r="G646">
        <v>0.2</v>
      </c>
      <c r="H646">
        <v>-7.4632378384729081E-2</v>
      </c>
      <c r="I646">
        <v>0.44134534195620578</v>
      </c>
      <c r="J646">
        <v>-5.0879619094298723E-2</v>
      </c>
      <c r="K646">
        <v>7.3535149355499208E-3</v>
      </c>
      <c r="L646">
        <v>0</v>
      </c>
      <c r="M646">
        <v>428587713.79799998</v>
      </c>
      <c r="N646">
        <v>0</v>
      </c>
      <c r="O646" t="b">
        <v>1</v>
      </c>
    </row>
    <row r="647" spans="1:15" x14ac:dyDescent="0.3">
      <c r="A647" s="1" t="s">
        <v>751</v>
      </c>
      <c r="B647">
        <v>0.52574505125191695</v>
      </c>
      <c r="C647">
        <v>1.7203699321070579E-2</v>
      </c>
      <c r="D647">
        <v>2.6505235602094321E-2</v>
      </c>
      <c r="E647">
        <v>55.98942437988002</v>
      </c>
      <c r="F647">
        <v>3.663500678426046E-2</v>
      </c>
      <c r="G647">
        <v>0.6</v>
      </c>
      <c r="H647">
        <v>-0.16257358817254541</v>
      </c>
      <c r="I647">
        <v>0.74874052807883174</v>
      </c>
      <c r="J647">
        <v>0</v>
      </c>
      <c r="K647">
        <v>2.5847599865726819E-2</v>
      </c>
      <c r="L647">
        <v>0</v>
      </c>
      <c r="M647">
        <v>29453353.606800001</v>
      </c>
      <c r="N647">
        <v>0</v>
      </c>
      <c r="O647" t="b">
        <v>0</v>
      </c>
    </row>
    <row r="648" spans="1:15" x14ac:dyDescent="0.3">
      <c r="A648" s="1" t="s">
        <v>752</v>
      </c>
      <c r="B648">
        <v>0.85438703213215927</v>
      </c>
      <c r="C648">
        <v>4.2676674931676289E-2</v>
      </c>
      <c r="D648">
        <v>5.2447552447552483E-2</v>
      </c>
      <c r="E648">
        <v>62.826535863960487</v>
      </c>
      <c r="F648">
        <v>0.14596451058958221</v>
      </c>
      <c r="G648">
        <v>0.8</v>
      </c>
      <c r="H648">
        <v>0.11076968125783079</v>
      </c>
      <c r="I648">
        <v>2.0307383573578059</v>
      </c>
      <c r="J648">
        <v>0</v>
      </c>
      <c r="K648">
        <v>1.3670886075949349E-2</v>
      </c>
      <c r="L648">
        <v>0</v>
      </c>
      <c r="M648">
        <v>75083837</v>
      </c>
      <c r="N648">
        <v>0</v>
      </c>
      <c r="O648" t="b">
        <v>0</v>
      </c>
    </row>
    <row r="649" spans="1:15" x14ac:dyDescent="0.3">
      <c r="A649" s="1" t="s">
        <v>753</v>
      </c>
      <c r="B649">
        <v>0.4040353118597842</v>
      </c>
      <c r="C649">
        <v>5.3993760772388637E-3</v>
      </c>
      <c r="D649">
        <v>2.9399973272751421E-3</v>
      </c>
      <c r="E649">
        <v>64.341321346379232</v>
      </c>
      <c r="F649">
        <v>7.1332436069986294E-3</v>
      </c>
      <c r="G649">
        <v>0.4</v>
      </c>
      <c r="H649">
        <v>7.5646501264547597E-2</v>
      </c>
      <c r="I649">
        <v>9.5987949243497336E-2</v>
      </c>
      <c r="J649">
        <v>-2.399680042661112E-3</v>
      </c>
      <c r="K649">
        <v>-8.011750567499254E-4</v>
      </c>
      <c r="L649">
        <v>0</v>
      </c>
      <c r="M649">
        <v>144422347</v>
      </c>
      <c r="N649">
        <v>0</v>
      </c>
      <c r="O649" t="b">
        <v>1</v>
      </c>
    </row>
    <row r="650" spans="1:15" x14ac:dyDescent="0.3">
      <c r="A650" s="1" t="s">
        <v>754</v>
      </c>
      <c r="B650">
        <v>3.2135452720665021</v>
      </c>
      <c r="C650">
        <v>1.6815072246320211E-2</v>
      </c>
      <c r="D650">
        <v>1.3431984553479281E-2</v>
      </c>
      <c r="E650">
        <v>47.79674734571347</v>
      </c>
      <c r="F650">
        <v>-1.4586985665669849E-2</v>
      </c>
      <c r="G650">
        <v>0.4</v>
      </c>
      <c r="H650">
        <v>-0.10740694452468599</v>
      </c>
      <c r="I650">
        <v>0.61913287765797675</v>
      </c>
      <c r="J650">
        <v>-4.1569709127382233E-2</v>
      </c>
      <c r="K650">
        <v>9.93494723380417E-3</v>
      </c>
      <c r="L650">
        <v>0</v>
      </c>
      <c r="M650">
        <v>805090873.71350002</v>
      </c>
      <c r="N650">
        <v>0</v>
      </c>
      <c r="O650" t="b">
        <v>1</v>
      </c>
    </row>
    <row r="651" spans="1:15" x14ac:dyDescent="0.3">
      <c r="A651" s="1" t="s">
        <v>755</v>
      </c>
      <c r="B651">
        <v>7.703558418320811</v>
      </c>
      <c r="C651">
        <v>5.67857763402684E-2</v>
      </c>
      <c r="D651">
        <v>2.9706619489901231E-2</v>
      </c>
      <c r="E651">
        <v>55.859300504159073</v>
      </c>
      <c r="F651">
        <v>-1.619075654989643E-3</v>
      </c>
      <c r="G651">
        <v>0.4</v>
      </c>
      <c r="H651">
        <v>6.1750877108256177E-2</v>
      </c>
      <c r="I651">
        <v>4.0372134331197902</v>
      </c>
      <c r="J651">
        <v>-1.0358914502480389E-2</v>
      </c>
      <c r="K651">
        <v>-3.6843268734809698E-4</v>
      </c>
      <c r="L651">
        <v>0</v>
      </c>
      <c r="M651">
        <v>2698225972</v>
      </c>
      <c r="N651">
        <v>0</v>
      </c>
      <c r="O651" t="b">
        <v>1</v>
      </c>
    </row>
    <row r="652" spans="1:15" x14ac:dyDescent="0.3">
      <c r="A652" s="1" t="s">
        <v>756</v>
      </c>
      <c r="B652">
        <v>0.95766281271240272</v>
      </c>
      <c r="C652">
        <v>3.8140221144306929E-2</v>
      </c>
      <c r="D652">
        <v>3.2856744593571997E-2</v>
      </c>
      <c r="E652">
        <v>70.397259728638517</v>
      </c>
      <c r="F652">
        <v>5.7791146386262808E-2</v>
      </c>
      <c r="G652">
        <v>1</v>
      </c>
      <c r="H652">
        <v>-5.6089938980867582E-3</v>
      </c>
      <c r="I652">
        <v>2.0564550731513531</v>
      </c>
      <c r="J652">
        <v>0</v>
      </c>
      <c r="K652">
        <v>1.978320113394982E-2</v>
      </c>
      <c r="L652">
        <v>0</v>
      </c>
      <c r="M652">
        <v>379481054.73930001</v>
      </c>
      <c r="N652">
        <v>0</v>
      </c>
      <c r="O652" t="b">
        <v>1</v>
      </c>
    </row>
    <row r="653" spans="1:15" x14ac:dyDescent="0.3">
      <c r="A653" s="1" t="s">
        <v>757</v>
      </c>
      <c r="B653">
        <v>0.76088283189499906</v>
      </c>
      <c r="C653">
        <v>3.0205749578999561E-2</v>
      </c>
      <c r="D653">
        <v>1.7653830885271969E-2</v>
      </c>
      <c r="E653">
        <v>52.508213674021761</v>
      </c>
      <c r="F653">
        <v>7.9064035466782645E-3</v>
      </c>
      <c r="G653">
        <v>0.8</v>
      </c>
      <c r="H653">
        <v>-0.1037055473581948</v>
      </c>
      <c r="I653">
        <v>1.492156189211987</v>
      </c>
      <c r="J653">
        <v>-1.621161409250493E-2</v>
      </c>
      <c r="K653">
        <v>4.3339061372418266E-3</v>
      </c>
      <c r="L653">
        <v>0</v>
      </c>
      <c r="M653">
        <v>226730030.79275</v>
      </c>
      <c r="N653">
        <v>0</v>
      </c>
      <c r="O653" t="b">
        <v>1</v>
      </c>
    </row>
    <row r="654" spans="1:15" x14ac:dyDescent="0.3">
      <c r="A654" s="1" t="s">
        <v>758</v>
      </c>
      <c r="B654">
        <v>3.6331525136360212</v>
      </c>
      <c r="C654">
        <v>3.795207890563064E-2</v>
      </c>
      <c r="D654">
        <v>4.4395696228977329E-2</v>
      </c>
      <c r="E654">
        <v>44.946885862884074</v>
      </c>
      <c r="F654">
        <v>-4.106981869177595E-2</v>
      </c>
      <c r="G654">
        <v>0.4</v>
      </c>
      <c r="H654">
        <v>-9.2473625244590197E-4</v>
      </c>
      <c r="I654">
        <v>1.170581762634729</v>
      </c>
      <c r="J654">
        <v>-9.2090288315629709E-2</v>
      </c>
      <c r="K654">
        <v>2.648509543212518E-2</v>
      </c>
      <c r="L654">
        <v>0</v>
      </c>
      <c r="M654">
        <v>84894433</v>
      </c>
      <c r="N654">
        <v>0</v>
      </c>
      <c r="O654" t="b">
        <v>0</v>
      </c>
    </row>
    <row r="655" spans="1:15" x14ac:dyDescent="0.3">
      <c r="A655" s="1" t="s">
        <v>759</v>
      </c>
      <c r="B655">
        <v>0.53242670934375613</v>
      </c>
      <c r="C655">
        <v>2.2713868644307571E-2</v>
      </c>
      <c r="D655">
        <v>1.685110449391225E-2</v>
      </c>
      <c r="E655">
        <v>58.125361934889419</v>
      </c>
      <c r="F655">
        <v>7.1785867785977509E-2</v>
      </c>
      <c r="G655">
        <v>0.6</v>
      </c>
      <c r="H655">
        <v>-8.5399510542827531E-2</v>
      </c>
      <c r="I655">
        <v>-2.8925660644029749E-2</v>
      </c>
      <c r="J655">
        <v>-2.4649440352848221E-2</v>
      </c>
      <c r="K655">
        <v>4.6545516886677962E-3</v>
      </c>
      <c r="L655">
        <v>0</v>
      </c>
      <c r="M655">
        <v>88241036.954999998</v>
      </c>
      <c r="N655">
        <v>0</v>
      </c>
      <c r="O655" t="b">
        <v>0</v>
      </c>
    </row>
    <row r="656" spans="1:15" x14ac:dyDescent="0.3">
      <c r="A656" s="1" t="s">
        <v>760</v>
      </c>
      <c r="B656">
        <v>1.1293984238432471</v>
      </c>
      <c r="C656">
        <v>1.5245659069158301E-2</v>
      </c>
      <c r="D656">
        <v>4.8191144708423228E-2</v>
      </c>
      <c r="E656">
        <v>66.771864829141748</v>
      </c>
      <c r="F656">
        <v>2.8317601332592979E-2</v>
      </c>
      <c r="G656">
        <v>0.4</v>
      </c>
      <c r="H656">
        <v>3.9686169025296418E-2</v>
      </c>
      <c r="I656">
        <v>0.81977630149141534</v>
      </c>
      <c r="J656">
        <v>0</v>
      </c>
      <c r="K656">
        <v>4.6475490888543407E-2</v>
      </c>
      <c r="L656">
        <v>0</v>
      </c>
      <c r="M656">
        <v>88966817.835199997</v>
      </c>
      <c r="N656">
        <v>0</v>
      </c>
      <c r="O656" t="b">
        <v>0</v>
      </c>
    </row>
    <row r="657" spans="1:15" x14ac:dyDescent="0.3">
      <c r="A657" s="1" t="s">
        <v>761</v>
      </c>
      <c r="B657">
        <v>1.670215416938287</v>
      </c>
      <c r="C657">
        <v>2.2011273285955289E-2</v>
      </c>
      <c r="D657">
        <v>2.583025830258295E-2</v>
      </c>
      <c r="E657">
        <v>64.95522657399458</v>
      </c>
      <c r="F657">
        <v>3.9452054794520519E-2</v>
      </c>
      <c r="G657">
        <v>0.8</v>
      </c>
      <c r="H657">
        <v>3.8815486219972363E-2</v>
      </c>
      <c r="I657">
        <v>0.24792971206544029</v>
      </c>
      <c r="J657">
        <v>0</v>
      </c>
      <c r="K657">
        <v>1.9344438473938741E-2</v>
      </c>
      <c r="L657">
        <v>0</v>
      </c>
      <c r="M657">
        <v>102103260.5</v>
      </c>
      <c r="N657">
        <v>0</v>
      </c>
      <c r="O657" t="b">
        <v>1</v>
      </c>
    </row>
    <row r="658" spans="1:15" x14ac:dyDescent="0.3">
      <c r="A658" s="1" t="s">
        <v>762</v>
      </c>
      <c r="B658">
        <v>0.39869406914685251</v>
      </c>
      <c r="C658">
        <v>2.2797108386330249E-2</v>
      </c>
      <c r="D658">
        <v>3.4210466126892741E-2</v>
      </c>
      <c r="E658">
        <v>58.72396142182329</v>
      </c>
      <c r="F658">
        <v>-1.9251798722528472E-2</v>
      </c>
      <c r="G658">
        <v>0.6</v>
      </c>
      <c r="H658">
        <v>-2.0879573315536179E-2</v>
      </c>
      <c r="I658">
        <v>0.65040129831515825</v>
      </c>
      <c r="J658">
        <v>-1.273540170708576E-2</v>
      </c>
      <c r="K658">
        <v>2.1774820198526609E-2</v>
      </c>
      <c r="L658">
        <v>0</v>
      </c>
      <c r="M658">
        <v>131338484.75364999</v>
      </c>
      <c r="N658">
        <v>0</v>
      </c>
      <c r="O658" t="b">
        <v>1</v>
      </c>
    </row>
    <row r="659" spans="1:15" x14ac:dyDescent="0.3">
      <c r="A659" s="1" t="s">
        <v>763</v>
      </c>
      <c r="B659">
        <v>3.9521608826542831</v>
      </c>
      <c r="C659">
        <v>2.209330509910995E-2</v>
      </c>
      <c r="D659">
        <v>1.427173882662044E-2</v>
      </c>
      <c r="E659">
        <v>48.092021389845613</v>
      </c>
      <c r="F659">
        <v>7.4223089626182182E-2</v>
      </c>
      <c r="G659">
        <v>0.4</v>
      </c>
      <c r="H659">
        <v>-5.9039297154519013E-2</v>
      </c>
      <c r="I659">
        <v>0.14431198405527829</v>
      </c>
      <c r="J659">
        <v>-4.3252465609823987E-2</v>
      </c>
      <c r="K659">
        <v>7.1559674349994662E-3</v>
      </c>
      <c r="L659">
        <v>0</v>
      </c>
      <c r="M659">
        <v>271221238.17900002</v>
      </c>
      <c r="N659">
        <v>0</v>
      </c>
      <c r="O659" t="b">
        <v>1</v>
      </c>
    </row>
    <row r="660" spans="1:15" x14ac:dyDescent="0.3">
      <c r="A660" s="1" t="s">
        <v>764</v>
      </c>
      <c r="B660">
        <v>1.387944726865401</v>
      </c>
      <c r="C660">
        <v>2.852331949990549E-2</v>
      </c>
      <c r="D660">
        <v>5.3842992190711009E-2</v>
      </c>
      <c r="E660">
        <v>73.084402771373007</v>
      </c>
      <c r="F660">
        <v>9.0786819098856775E-2</v>
      </c>
      <c r="G660">
        <v>0.6</v>
      </c>
      <c r="H660">
        <v>0.21472173612552239</v>
      </c>
      <c r="I660">
        <v>0.57028113789000567</v>
      </c>
      <c r="J660">
        <v>0</v>
      </c>
      <c r="K660">
        <v>2.485256950294867E-2</v>
      </c>
      <c r="L660">
        <v>0</v>
      </c>
      <c r="M660">
        <v>58479074.382449999</v>
      </c>
      <c r="N660">
        <v>0</v>
      </c>
      <c r="O660" t="b">
        <v>0</v>
      </c>
    </row>
    <row r="661" spans="1:15" x14ac:dyDescent="0.3">
      <c r="A661" s="1" t="s">
        <v>765</v>
      </c>
      <c r="B661">
        <v>11.26517361693146</v>
      </c>
      <c r="C661">
        <v>2.5203647742627979E-2</v>
      </c>
      <c r="D661">
        <v>2.7176563765476679E-2</v>
      </c>
      <c r="E661">
        <v>59.440509443803137</v>
      </c>
      <c r="F661">
        <v>-2.7277475516866101E-2</v>
      </c>
      <c r="G661">
        <v>0.8</v>
      </c>
      <c r="H661">
        <v>-4.8066483902674907E-2</v>
      </c>
      <c r="I661">
        <v>1.3196945370280191</v>
      </c>
      <c r="J661">
        <v>-7.3510469134486778E-3</v>
      </c>
      <c r="K661">
        <v>2.160855016548124E-2</v>
      </c>
      <c r="L661">
        <v>0</v>
      </c>
      <c r="M661">
        <v>212583923.368</v>
      </c>
      <c r="N661">
        <v>0</v>
      </c>
      <c r="O661" t="b">
        <v>1</v>
      </c>
    </row>
    <row r="662" spans="1:15" x14ac:dyDescent="0.3">
      <c r="A662" s="1" t="s">
        <v>766</v>
      </c>
      <c r="B662">
        <v>14.733846405833891</v>
      </c>
      <c r="C662">
        <v>3.7541331581608502E-2</v>
      </c>
      <c r="D662">
        <v>2.7492547201060001E-2</v>
      </c>
      <c r="E662">
        <v>49.639378007891303</v>
      </c>
      <c r="F662">
        <v>1.5840559078555749E-2</v>
      </c>
      <c r="G662">
        <v>1</v>
      </c>
      <c r="H662">
        <v>-0.1311943718227398</v>
      </c>
      <c r="I662">
        <v>1.4148724212186099</v>
      </c>
      <c r="J662">
        <v>-9.8143102230295876E-3</v>
      </c>
      <c r="K662">
        <v>1.728875064800417E-2</v>
      </c>
      <c r="L662">
        <v>0</v>
      </c>
      <c r="M662">
        <v>363210374</v>
      </c>
      <c r="N662">
        <v>0</v>
      </c>
      <c r="O662" t="b">
        <v>1</v>
      </c>
    </row>
    <row r="663" spans="1:15" x14ac:dyDescent="0.3">
      <c r="A663" s="1" t="s">
        <v>767</v>
      </c>
      <c r="B663">
        <v>9.1412354022131872</v>
      </c>
      <c r="C663">
        <v>3.5738104815833623E-2</v>
      </c>
      <c r="D663">
        <v>3.627279266881428E-2</v>
      </c>
      <c r="E663">
        <v>54.072735244725948</v>
      </c>
      <c r="F663">
        <v>7.6504802067287825E-2</v>
      </c>
      <c r="G663">
        <v>0.4</v>
      </c>
      <c r="H663">
        <v>-5.7310627056988951E-2</v>
      </c>
      <c r="I663">
        <v>0.84434376800178823</v>
      </c>
      <c r="J663">
        <v>-4.6153247460793967E-3</v>
      </c>
      <c r="K663">
        <v>2.504257919730701E-2</v>
      </c>
      <c r="L663">
        <v>0</v>
      </c>
      <c r="M663">
        <v>391647434.58099997</v>
      </c>
      <c r="N663">
        <v>0</v>
      </c>
      <c r="O663" t="b">
        <v>1</v>
      </c>
    </row>
    <row r="664" spans="1:15" x14ac:dyDescent="0.3">
      <c r="A664" s="1" t="s">
        <v>768</v>
      </c>
      <c r="B664">
        <v>5.4209419689167104</v>
      </c>
      <c r="C664">
        <v>2.8176838551466861E-2</v>
      </c>
      <c r="D664">
        <v>2.105099017620465E-2</v>
      </c>
      <c r="E664">
        <v>41.440378334648337</v>
      </c>
      <c r="F664">
        <v>-8.2721464670544642E-2</v>
      </c>
      <c r="G664">
        <v>0.6</v>
      </c>
      <c r="H664">
        <v>3.147829506753983E-3</v>
      </c>
      <c r="I664">
        <v>1.087711293147233</v>
      </c>
      <c r="J664">
        <v>-7.9033030157970363E-2</v>
      </c>
      <c r="K664">
        <v>5.3825250836119221E-3</v>
      </c>
      <c r="L664">
        <v>0</v>
      </c>
      <c r="M664">
        <v>391052311.68650001</v>
      </c>
      <c r="N664">
        <v>0</v>
      </c>
      <c r="O664" t="b">
        <v>1</v>
      </c>
    </row>
    <row r="665" spans="1:15" x14ac:dyDescent="0.3">
      <c r="A665" s="1" t="s">
        <v>769</v>
      </c>
      <c r="B665">
        <v>0.23399703543018771</v>
      </c>
      <c r="C665">
        <v>2.9265359559536722E-3</v>
      </c>
      <c r="D665">
        <v>4.5837137461383973E-3</v>
      </c>
      <c r="E665">
        <v>61.917970334928661</v>
      </c>
      <c r="F665">
        <v>6.2711823878316419E-3</v>
      </c>
      <c r="G665">
        <v>0.4</v>
      </c>
      <c r="H665">
        <v>-9.89758147176686E-2</v>
      </c>
      <c r="I665">
        <v>0.21702509406624701</v>
      </c>
      <c r="J665">
        <v>-2.488218473084558E-4</v>
      </c>
      <c r="K665">
        <v>3.355519415331409E-3</v>
      </c>
      <c r="L665">
        <v>0</v>
      </c>
      <c r="M665">
        <v>2820911575.5287499</v>
      </c>
      <c r="N665">
        <v>0</v>
      </c>
      <c r="O665" t="b">
        <v>1</v>
      </c>
    </row>
    <row r="666" spans="1:15" x14ac:dyDescent="0.3">
      <c r="A666" s="1" t="s">
        <v>770</v>
      </c>
      <c r="B666">
        <v>0.69134884320836687</v>
      </c>
      <c r="C666">
        <v>4.4718553894460993E-2</v>
      </c>
      <c r="D666">
        <v>4.7865459249676598E-2</v>
      </c>
      <c r="E666">
        <v>64.084843926140252</v>
      </c>
      <c r="F666">
        <v>0.16240601503759389</v>
      </c>
      <c r="G666">
        <v>0.8</v>
      </c>
      <c r="H666">
        <v>0.1508746146843728</v>
      </c>
      <c r="I666">
        <v>1.9860930313361329</v>
      </c>
      <c r="J666">
        <v>-5.1480051480050637E-3</v>
      </c>
      <c r="K666">
        <v>1.8445322793148922E-2</v>
      </c>
      <c r="L666">
        <v>0</v>
      </c>
      <c r="M666">
        <v>98338658.5</v>
      </c>
      <c r="N666">
        <v>0</v>
      </c>
      <c r="O666" t="b">
        <v>1</v>
      </c>
    </row>
    <row r="667" spans="1:15" x14ac:dyDescent="0.3">
      <c r="A667" s="1" t="s">
        <v>771</v>
      </c>
      <c r="B667">
        <v>8.7373894138591549E-2</v>
      </c>
      <c r="C667">
        <v>1.750096026427366E-3</v>
      </c>
      <c r="D667">
        <v>1.942906588256057E-3</v>
      </c>
      <c r="E667">
        <v>36.77126982392631</v>
      </c>
      <c r="F667">
        <v>-4.6413333864987472E-3</v>
      </c>
      <c r="G667">
        <v>0</v>
      </c>
      <c r="H667">
        <v>-9.53364465389724E-2</v>
      </c>
      <c r="I667">
        <v>-7.1418029798879096E-3</v>
      </c>
      <c r="J667">
        <v>-6.3707451244197078E-3</v>
      </c>
      <c r="K667">
        <v>0</v>
      </c>
      <c r="L667">
        <v>0</v>
      </c>
      <c r="M667">
        <v>32832038.124449998</v>
      </c>
      <c r="N667">
        <v>0</v>
      </c>
      <c r="O667" t="b">
        <v>0</v>
      </c>
    </row>
    <row r="668" spans="1:15" x14ac:dyDescent="0.3">
      <c r="A668" s="1" t="s">
        <v>772</v>
      </c>
      <c r="B668">
        <v>1.079774845626768</v>
      </c>
      <c r="C668">
        <v>1.355309207514457E-2</v>
      </c>
      <c r="D668">
        <v>1.330488264089354E-2</v>
      </c>
      <c r="E668">
        <v>62.798880275949983</v>
      </c>
      <c r="F668">
        <v>2.8398089583064449E-2</v>
      </c>
      <c r="G668">
        <v>0.6</v>
      </c>
      <c r="H668">
        <v>0.11467566373673729</v>
      </c>
      <c r="I668">
        <v>0.34799262418263011</v>
      </c>
      <c r="J668">
        <v>-1.75416614459345E-3</v>
      </c>
      <c r="K668">
        <v>4.1593143433324986E-3</v>
      </c>
      <c r="L668">
        <v>0</v>
      </c>
      <c r="M668">
        <v>468321339</v>
      </c>
      <c r="N668">
        <v>0</v>
      </c>
      <c r="O668" t="b">
        <v>1</v>
      </c>
    </row>
    <row r="669" spans="1:15" x14ac:dyDescent="0.3">
      <c r="A669" s="1" t="s">
        <v>773</v>
      </c>
      <c r="B669">
        <v>0.56890982522684652</v>
      </c>
      <c r="C669">
        <v>1.349406606325537E-2</v>
      </c>
      <c r="D669">
        <v>1.351992409867173E-2</v>
      </c>
      <c r="E669">
        <v>62.8829591869045</v>
      </c>
      <c r="F669">
        <v>2.8543547206635541E-2</v>
      </c>
      <c r="G669">
        <v>0.6</v>
      </c>
      <c r="H669">
        <v>0.1150061276065556</v>
      </c>
      <c r="I669">
        <v>0.34635061197776529</v>
      </c>
      <c r="J669">
        <v>-1.657589391427905E-3</v>
      </c>
      <c r="K669">
        <v>3.8095238095237072E-3</v>
      </c>
      <c r="L669">
        <v>0</v>
      </c>
      <c r="M669">
        <v>71879190.5</v>
      </c>
      <c r="N669">
        <v>0</v>
      </c>
      <c r="O669" t="b">
        <v>0</v>
      </c>
    </row>
    <row r="670" spans="1:15" x14ac:dyDescent="0.3">
      <c r="A670" s="1" t="s">
        <v>774</v>
      </c>
      <c r="B670">
        <v>2.9446611606610111</v>
      </c>
      <c r="C670">
        <v>1.7450154139990699E-2</v>
      </c>
      <c r="D670">
        <v>1.4619519161822209E-2</v>
      </c>
      <c r="E670">
        <v>56.777337344287453</v>
      </c>
      <c r="F670">
        <v>5.8851212288539838E-2</v>
      </c>
      <c r="G670">
        <v>0.2</v>
      </c>
      <c r="H670">
        <v>0.1931874447821047</v>
      </c>
      <c r="I670">
        <v>0.75200868959956879</v>
      </c>
      <c r="J670">
        <v>-2.8190184402391068E-2</v>
      </c>
      <c r="K670">
        <v>1.1011988568621289E-2</v>
      </c>
      <c r="L670">
        <v>0</v>
      </c>
      <c r="M670">
        <v>219293875.4355</v>
      </c>
      <c r="N670">
        <v>0</v>
      </c>
      <c r="O670" t="b">
        <v>1</v>
      </c>
    </row>
    <row r="671" spans="1:15" x14ac:dyDescent="0.3">
      <c r="A671" s="1" t="s">
        <v>775</v>
      </c>
      <c r="B671">
        <v>2.2894083306467379</v>
      </c>
      <c r="C671">
        <v>4.3616085552424043E-2</v>
      </c>
      <c r="D671">
        <v>3.2387121356448903E-2</v>
      </c>
      <c r="E671">
        <v>46.156846172052752</v>
      </c>
      <c r="F671">
        <v>-0.12792822728027911</v>
      </c>
      <c r="G671">
        <v>0.4</v>
      </c>
      <c r="H671">
        <v>-0.14776640325551391</v>
      </c>
      <c r="I671">
        <v>1.850087614698277</v>
      </c>
      <c r="J671">
        <v>-0.10042844901456729</v>
      </c>
      <c r="K671">
        <v>-6.8117313150425352E-3</v>
      </c>
      <c r="L671">
        <v>0</v>
      </c>
      <c r="M671">
        <v>2609332279</v>
      </c>
      <c r="N671">
        <v>0</v>
      </c>
      <c r="O671" t="b">
        <v>1</v>
      </c>
    </row>
    <row r="672" spans="1:15" x14ac:dyDescent="0.3">
      <c r="A672" s="1" t="s">
        <v>776</v>
      </c>
      <c r="B672">
        <v>2.1161371412537808</v>
      </c>
      <c r="C672">
        <v>3.1774546592697753E-2</v>
      </c>
      <c r="D672">
        <v>2.6249840461872429E-2</v>
      </c>
      <c r="E672">
        <v>52.999872672457833</v>
      </c>
      <c r="F672">
        <v>-6.1547523261040848E-2</v>
      </c>
      <c r="G672">
        <v>0.6</v>
      </c>
      <c r="H672">
        <v>1.6753147111452871E-2</v>
      </c>
      <c r="I672">
        <v>1.941053270864723</v>
      </c>
      <c r="J672">
        <v>-8.1812867593330507E-2</v>
      </c>
      <c r="K672">
        <v>1.693090669219743E-2</v>
      </c>
      <c r="L672">
        <v>0</v>
      </c>
      <c r="M672">
        <v>291356036.02139997</v>
      </c>
      <c r="N672">
        <v>0</v>
      </c>
      <c r="O672" t="b">
        <v>1</v>
      </c>
    </row>
    <row r="673" spans="1:15" x14ac:dyDescent="0.3">
      <c r="A673" s="1" t="s">
        <v>777</v>
      </c>
      <c r="B673">
        <v>7.698987790448415</v>
      </c>
      <c r="C673">
        <v>2.4763789262837579E-2</v>
      </c>
      <c r="D673">
        <v>2.5712695844604571E-2</v>
      </c>
      <c r="E673">
        <v>61.480731987551849</v>
      </c>
      <c r="F673">
        <v>1.144844458614469E-2</v>
      </c>
      <c r="G673">
        <v>0.8</v>
      </c>
      <c r="H673">
        <v>0.15597118487423611</v>
      </c>
      <c r="I673">
        <v>1.013557070508486</v>
      </c>
      <c r="J673">
        <v>-7.3341124031751637E-3</v>
      </c>
      <c r="K673">
        <v>7.051697330914708E-3</v>
      </c>
      <c r="L673">
        <v>0</v>
      </c>
      <c r="M673">
        <v>1038075952.21</v>
      </c>
      <c r="N673">
        <v>0</v>
      </c>
      <c r="O673" t="b">
        <v>1</v>
      </c>
    </row>
    <row r="674" spans="1:15" x14ac:dyDescent="0.3">
      <c r="A674" s="1" t="s">
        <v>778</v>
      </c>
      <c r="B674">
        <v>0.38383588373713218</v>
      </c>
      <c r="C674">
        <v>1.265114976061741E-2</v>
      </c>
      <c r="D674">
        <v>8.2399472643375077E-3</v>
      </c>
      <c r="E674">
        <v>42.031969865864781</v>
      </c>
      <c r="F674">
        <v>-3.2948929159803958E-4</v>
      </c>
      <c r="G674">
        <v>0.2</v>
      </c>
      <c r="H674">
        <v>-0.101801085691177</v>
      </c>
      <c r="I674">
        <v>-0.16599221599818789</v>
      </c>
      <c r="J674">
        <v>-2.8498238872878608E-2</v>
      </c>
      <c r="K674">
        <v>-9.8781692459670722E-4</v>
      </c>
      <c r="L674">
        <v>0</v>
      </c>
      <c r="M674">
        <v>132213561.99600001</v>
      </c>
      <c r="N674">
        <v>0</v>
      </c>
      <c r="O674" t="b">
        <v>1</v>
      </c>
    </row>
    <row r="675" spans="1:15" x14ac:dyDescent="0.3">
      <c r="A675" s="1" t="s">
        <v>779</v>
      </c>
      <c r="B675">
        <v>10.25970818918074</v>
      </c>
      <c r="C675">
        <v>3.6228422779995197E-2</v>
      </c>
      <c r="D675">
        <v>7.2889704973604752E-2</v>
      </c>
      <c r="E675">
        <v>67.192166736751119</v>
      </c>
      <c r="F675">
        <v>0.1011976513590231</v>
      </c>
      <c r="G675">
        <v>0.2</v>
      </c>
      <c r="H675">
        <v>6.1099280939470417E-3</v>
      </c>
      <c r="I675">
        <v>0.90624597620069391</v>
      </c>
      <c r="J675">
        <v>0</v>
      </c>
      <c r="K675">
        <v>6.6330545713328082E-2</v>
      </c>
      <c r="L675">
        <v>0</v>
      </c>
      <c r="M675">
        <v>72794379.291500002</v>
      </c>
      <c r="N675">
        <v>1</v>
      </c>
      <c r="O675" t="b">
        <v>0</v>
      </c>
    </row>
    <row r="676" spans="1:15" x14ac:dyDescent="0.3">
      <c r="A676" s="1" t="s">
        <v>780</v>
      </c>
      <c r="B676">
        <v>2.6274294945439052</v>
      </c>
      <c r="C676">
        <v>1.6431395874648411E-2</v>
      </c>
      <c r="D676">
        <v>2.4002051243566379E-2</v>
      </c>
      <c r="E676">
        <v>61.336446139861451</v>
      </c>
      <c r="F676">
        <v>7.2778504578846714E-2</v>
      </c>
      <c r="G676">
        <v>0.6</v>
      </c>
      <c r="H676">
        <v>-0.16123179543183311</v>
      </c>
      <c r="I676">
        <v>0.34488811264479657</v>
      </c>
      <c r="J676">
        <v>0</v>
      </c>
      <c r="K676">
        <v>1.499936524057377E-2</v>
      </c>
      <c r="L676">
        <v>0</v>
      </c>
      <c r="M676">
        <v>487894308.63</v>
      </c>
      <c r="N676">
        <v>0</v>
      </c>
      <c r="O676" t="b">
        <v>1</v>
      </c>
    </row>
    <row r="677" spans="1:15" x14ac:dyDescent="0.3">
      <c r="A677" s="1" t="s">
        <v>781</v>
      </c>
      <c r="B677">
        <v>0.15019808973382809</v>
      </c>
      <c r="C677">
        <v>3.028187293020727E-2</v>
      </c>
      <c r="D677">
        <v>3.2258064516129059E-2</v>
      </c>
      <c r="E677">
        <v>27.701315486868442</v>
      </c>
      <c r="F677">
        <v>-0.12982456140350879</v>
      </c>
      <c r="G677">
        <v>0</v>
      </c>
      <c r="H677">
        <v>-0.13806790180712261</v>
      </c>
      <c r="I677">
        <v>1.6033602798003199</v>
      </c>
      <c r="J677">
        <v>-0.1236749116607774</v>
      </c>
      <c r="K677">
        <v>-1.5873015873015931E-2</v>
      </c>
      <c r="L677">
        <v>0</v>
      </c>
      <c r="M677">
        <v>4284128.392395</v>
      </c>
      <c r="N677">
        <v>0</v>
      </c>
      <c r="O677" t="b">
        <v>0</v>
      </c>
    </row>
    <row r="678" spans="1:15" x14ac:dyDescent="0.3">
      <c r="A678" s="1" t="s">
        <v>782</v>
      </c>
      <c r="B678">
        <v>7.6457856746962536</v>
      </c>
      <c r="C678">
        <v>4.1137338183020837E-2</v>
      </c>
      <c r="D678">
        <v>3.1905735499838467E-2</v>
      </c>
      <c r="E678">
        <v>60.841656632646313</v>
      </c>
      <c r="F678">
        <v>0.17871638762049741</v>
      </c>
      <c r="G678">
        <v>0.4</v>
      </c>
      <c r="H678">
        <v>2.050011527332252E-2</v>
      </c>
      <c r="I678">
        <v>1.0506448482236701</v>
      </c>
      <c r="J678">
        <v>-1.0224731068271259E-2</v>
      </c>
      <c r="K678">
        <v>2.5208229907882629E-2</v>
      </c>
      <c r="L678">
        <v>0</v>
      </c>
      <c r="M678">
        <v>178582897.5</v>
      </c>
      <c r="N678">
        <v>0</v>
      </c>
      <c r="O678" t="b">
        <v>1</v>
      </c>
    </row>
    <row r="679" spans="1:15" x14ac:dyDescent="0.3">
      <c r="A679" s="1" t="s">
        <v>783</v>
      </c>
      <c r="B679">
        <v>1.9357105565334459E-2</v>
      </c>
      <c r="C679">
        <v>3.850466872347576E-4</v>
      </c>
      <c r="D679">
        <v>5.9277412322146083E-4</v>
      </c>
      <c r="E679">
        <v>82.135248190091218</v>
      </c>
      <c r="F679">
        <v>3.3410039377543832E-3</v>
      </c>
      <c r="G679">
        <v>0.4</v>
      </c>
      <c r="H679">
        <v>-8.0379416720862643E-2</v>
      </c>
      <c r="I679">
        <v>-6.7523350686766125E-4</v>
      </c>
      <c r="J679">
        <v>0</v>
      </c>
      <c r="K679">
        <v>5.9312571279579451E-4</v>
      </c>
      <c r="L679">
        <v>0</v>
      </c>
      <c r="M679">
        <v>57975077.006750003</v>
      </c>
      <c r="N679">
        <v>0</v>
      </c>
      <c r="O679" t="b">
        <v>0</v>
      </c>
    </row>
    <row r="680" spans="1:15" x14ac:dyDescent="0.3">
      <c r="A680" s="1" t="s">
        <v>784</v>
      </c>
      <c r="B680">
        <v>2.1807282384044471</v>
      </c>
      <c r="C680">
        <v>1.7340396297745281E-2</v>
      </c>
      <c r="D680">
        <v>1.0098600508905931E-2</v>
      </c>
      <c r="E680">
        <v>40.048517060540519</v>
      </c>
      <c r="F680">
        <v>-2.3602484472049708E-2</v>
      </c>
      <c r="G680">
        <v>0.6</v>
      </c>
      <c r="H680">
        <v>-6.5156353666086339E-2</v>
      </c>
      <c r="I680">
        <v>0.33189124547799509</v>
      </c>
      <c r="J680">
        <v>-4.5682197602064052E-2</v>
      </c>
      <c r="K680">
        <v>5.5973132896209874E-3</v>
      </c>
      <c r="L680">
        <v>0</v>
      </c>
      <c r="M680">
        <v>44709616.023999996</v>
      </c>
      <c r="N680">
        <v>0</v>
      </c>
      <c r="O680" t="b">
        <v>0</v>
      </c>
    </row>
    <row r="681" spans="1:15" x14ac:dyDescent="0.3">
      <c r="A681" s="1" t="s">
        <v>785</v>
      </c>
      <c r="B681">
        <v>14.169772495550641</v>
      </c>
      <c r="C681">
        <v>3.9461544554527529E-2</v>
      </c>
      <c r="D681">
        <v>3.5039740669158367E-2</v>
      </c>
      <c r="E681">
        <v>53.326779492230941</v>
      </c>
      <c r="F681">
        <v>-1.402580000329501E-2</v>
      </c>
      <c r="G681">
        <v>0.8</v>
      </c>
      <c r="H681">
        <v>4.8374595185280762E-2</v>
      </c>
      <c r="I681">
        <v>1.3693343230720509</v>
      </c>
      <c r="J681">
        <v>-3.1617952438228618E-2</v>
      </c>
      <c r="K681">
        <v>-8.8412033752806041E-3</v>
      </c>
      <c r="L681">
        <v>0</v>
      </c>
      <c r="M681">
        <v>72281702.631000012</v>
      </c>
      <c r="N681">
        <v>0</v>
      </c>
      <c r="O681" t="b">
        <v>0</v>
      </c>
    </row>
    <row r="682" spans="1:15" x14ac:dyDescent="0.3">
      <c r="A682" s="1" t="s">
        <v>786</v>
      </c>
      <c r="B682">
        <v>0.70683076227985631</v>
      </c>
      <c r="C682">
        <v>8.6866047063895169E-3</v>
      </c>
      <c r="D682">
        <v>1.2728246950357821E-2</v>
      </c>
      <c r="E682">
        <v>63.343837170227509</v>
      </c>
      <c r="F682">
        <v>1.9056063600363601E-2</v>
      </c>
      <c r="G682">
        <v>0.4</v>
      </c>
      <c r="H682">
        <v>-4.2541346460569618E-2</v>
      </c>
      <c r="I682">
        <v>0.73350179626647383</v>
      </c>
      <c r="J682">
        <v>0</v>
      </c>
      <c r="K682">
        <v>1.122447711484198E-2</v>
      </c>
      <c r="L682">
        <v>0</v>
      </c>
      <c r="M682">
        <v>82265262.506300002</v>
      </c>
      <c r="N682">
        <v>0</v>
      </c>
      <c r="O682" t="b">
        <v>0</v>
      </c>
    </row>
    <row r="683" spans="1:15" x14ac:dyDescent="0.3">
      <c r="A683" s="1" t="s">
        <v>787</v>
      </c>
      <c r="B683">
        <v>0.30739596499007282</v>
      </c>
      <c r="C683">
        <v>7.9374284096033511E-3</v>
      </c>
      <c r="D683">
        <v>9.9180425228650414E-3</v>
      </c>
      <c r="E683">
        <v>70.73750664962806</v>
      </c>
      <c r="F683">
        <v>3.392174451634955E-2</v>
      </c>
      <c r="G683">
        <v>0.6</v>
      </c>
      <c r="H683">
        <v>5.7355273418823682E-2</v>
      </c>
      <c r="I683">
        <v>0.4766577532359943</v>
      </c>
      <c r="J683">
        <v>0</v>
      </c>
      <c r="K683">
        <v>9.2409206521286702E-3</v>
      </c>
      <c r="L683">
        <v>0</v>
      </c>
      <c r="M683">
        <v>22963525.190549999</v>
      </c>
      <c r="N683">
        <v>0</v>
      </c>
      <c r="O683" t="b">
        <v>0</v>
      </c>
    </row>
    <row r="684" spans="1:15" x14ac:dyDescent="0.3">
      <c r="A684" s="1" t="s">
        <v>788</v>
      </c>
      <c r="B684">
        <v>19.206734410308279</v>
      </c>
      <c r="C684">
        <v>2.7366647778391168E-2</v>
      </c>
      <c r="D684">
        <v>1.9577390536169741E-2</v>
      </c>
      <c r="E684">
        <v>48.47170297609258</v>
      </c>
      <c r="F684">
        <v>-1.093589255767413E-2</v>
      </c>
      <c r="G684">
        <v>0.2</v>
      </c>
      <c r="H684">
        <v>3.6257961315845209E-2</v>
      </c>
      <c r="I684">
        <v>1.122687702147841</v>
      </c>
      <c r="J684">
        <v>-8.4585485469817812E-2</v>
      </c>
      <c r="K684">
        <v>3.9624638800677134E-3</v>
      </c>
      <c r="L684">
        <v>0</v>
      </c>
      <c r="M684">
        <v>286616970</v>
      </c>
      <c r="N684">
        <v>1</v>
      </c>
      <c r="O684" t="b">
        <v>1</v>
      </c>
    </row>
    <row r="685" spans="1:15" x14ac:dyDescent="0.3">
      <c r="A685" s="1" t="s">
        <v>789</v>
      </c>
      <c r="B685">
        <v>0.31927358392185262</v>
      </c>
      <c r="C685">
        <v>3.3309537657273841E-3</v>
      </c>
      <c r="D685">
        <v>4.0437973719490896E-3</v>
      </c>
      <c r="E685">
        <v>47.634126470543713</v>
      </c>
      <c r="F685">
        <v>1.717071009194715E-3</v>
      </c>
      <c r="G685">
        <v>0.2</v>
      </c>
      <c r="H685">
        <v>-9.101820420253165E-2</v>
      </c>
      <c r="I685">
        <v>-5.158908391144712E-2</v>
      </c>
      <c r="J685">
        <v>-9.6677005606170541E-3</v>
      </c>
      <c r="K685">
        <v>3.2257963226758331E-3</v>
      </c>
      <c r="L685">
        <v>0</v>
      </c>
      <c r="M685">
        <v>694820692.68554997</v>
      </c>
      <c r="N685">
        <v>0</v>
      </c>
      <c r="O685" t="b">
        <v>1</v>
      </c>
    </row>
    <row r="686" spans="1:15" x14ac:dyDescent="0.3">
      <c r="A686" s="1" t="s">
        <v>790</v>
      </c>
      <c r="B686">
        <v>0.74463834288084974</v>
      </c>
      <c r="C686">
        <v>8.4408219899051989E-3</v>
      </c>
      <c r="D686">
        <v>1.223323399687368E-2</v>
      </c>
      <c r="E686">
        <v>61.775268114492988</v>
      </c>
      <c r="F686">
        <v>1.2841531936780729E-2</v>
      </c>
      <c r="G686">
        <v>0.6</v>
      </c>
      <c r="H686">
        <v>-6.1891836474754582E-2</v>
      </c>
      <c r="I686">
        <v>0.72433187601327831</v>
      </c>
      <c r="J686">
        <v>0</v>
      </c>
      <c r="K686">
        <v>1.101914799007986E-2</v>
      </c>
      <c r="L686">
        <v>0</v>
      </c>
      <c r="M686">
        <v>799424300.88730001</v>
      </c>
      <c r="N686">
        <v>0</v>
      </c>
      <c r="O686" t="b">
        <v>1</v>
      </c>
    </row>
    <row r="687" spans="1:15" x14ac:dyDescent="0.3">
      <c r="A687" s="1" t="s">
        <v>791</v>
      </c>
      <c r="B687">
        <v>0.25288982019028311</v>
      </c>
      <c r="C687">
        <v>2.1298854598538171E-3</v>
      </c>
      <c r="D687">
        <v>3.267808715279577E-3</v>
      </c>
      <c r="E687">
        <v>50.34161534758028</v>
      </c>
      <c r="F687">
        <v>2.753192351867995E-3</v>
      </c>
      <c r="G687">
        <v>0.2</v>
      </c>
      <c r="H687">
        <v>-8.8277988421861964E-2</v>
      </c>
      <c r="I687">
        <v>-3.8526549281005233E-2</v>
      </c>
      <c r="J687">
        <v>-4.9111632584646348E-3</v>
      </c>
      <c r="K687">
        <v>2.6854479124442938E-3</v>
      </c>
      <c r="L687">
        <v>0</v>
      </c>
      <c r="M687">
        <v>204194657.7175</v>
      </c>
      <c r="N687">
        <v>0</v>
      </c>
      <c r="O687" t="b">
        <v>1</v>
      </c>
    </row>
    <row r="688" spans="1:15" x14ac:dyDescent="0.3">
      <c r="A688" s="1" t="s">
        <v>792</v>
      </c>
      <c r="B688">
        <v>0.65945873009520362</v>
      </c>
      <c r="C688">
        <v>9.8765278888248743E-3</v>
      </c>
      <c r="D688">
        <v>1.1777691578441321E-2</v>
      </c>
      <c r="E688">
        <v>58.954951564217062</v>
      </c>
      <c r="F688">
        <v>-7.5979281080236216E-3</v>
      </c>
      <c r="G688">
        <v>0.4</v>
      </c>
      <c r="H688">
        <v>1.697406942926431E-3</v>
      </c>
      <c r="I688">
        <v>0.98436909343747803</v>
      </c>
      <c r="J688">
        <v>-8.7559252435788215E-3</v>
      </c>
      <c r="K688">
        <v>9.6610687207590029E-3</v>
      </c>
      <c r="L688">
        <v>0</v>
      </c>
      <c r="M688">
        <v>553698925.82349992</v>
      </c>
      <c r="N688">
        <v>0</v>
      </c>
      <c r="O688" t="b">
        <v>1</v>
      </c>
    </row>
    <row r="689" spans="1:15" x14ac:dyDescent="0.3">
      <c r="A689" s="1" t="s">
        <v>793</v>
      </c>
      <c r="B689">
        <v>22.314657191832691</v>
      </c>
      <c r="C689">
        <v>4.7393291121894263E-2</v>
      </c>
      <c r="D689">
        <v>6.4692889304222206E-2</v>
      </c>
      <c r="E689">
        <v>71.222894174661889</v>
      </c>
      <c r="F689">
        <v>0.1688595402412989</v>
      </c>
      <c r="G689">
        <v>1</v>
      </c>
      <c r="H689">
        <v>0.10115228517149651</v>
      </c>
      <c r="I689">
        <v>3.3034408587206761</v>
      </c>
      <c r="J689">
        <v>0</v>
      </c>
      <c r="K689">
        <v>3.7206740830487917E-2</v>
      </c>
      <c r="L689">
        <v>0</v>
      </c>
      <c r="M689">
        <v>43992880</v>
      </c>
      <c r="N689">
        <v>0</v>
      </c>
      <c r="O689" t="b">
        <v>0</v>
      </c>
    </row>
    <row r="690" spans="1:15" x14ac:dyDescent="0.3">
      <c r="A690" s="1" t="s">
        <v>794</v>
      </c>
      <c r="B690">
        <v>0.62881670167154913</v>
      </c>
      <c r="C690">
        <v>9.0454967435573286E-3</v>
      </c>
      <c r="D690">
        <v>1.4212330491346729E-2</v>
      </c>
      <c r="E690">
        <v>61.505132253558749</v>
      </c>
      <c r="F690">
        <v>1.897166343216616E-2</v>
      </c>
      <c r="G690">
        <v>0.2</v>
      </c>
      <c r="H690">
        <v>-2.1952091706070868E-2</v>
      </c>
      <c r="I690">
        <v>0.63733313885074439</v>
      </c>
      <c r="J690">
        <v>0</v>
      </c>
      <c r="K690">
        <v>1.266466320066084E-2</v>
      </c>
      <c r="L690">
        <v>0</v>
      </c>
      <c r="M690">
        <v>40485172.134199999</v>
      </c>
      <c r="N690">
        <v>0</v>
      </c>
      <c r="O690" t="b">
        <v>0</v>
      </c>
    </row>
    <row r="691" spans="1:15" x14ac:dyDescent="0.3">
      <c r="A691" s="1" t="s">
        <v>795</v>
      </c>
      <c r="B691">
        <v>3.3739418185611232</v>
      </c>
      <c r="C691">
        <v>1.9184512353362309E-2</v>
      </c>
      <c r="D691">
        <v>2.4643482611958992E-2</v>
      </c>
      <c r="E691">
        <v>60.668819690411638</v>
      </c>
      <c r="F691">
        <v>4.5675621038612002E-2</v>
      </c>
      <c r="G691">
        <v>0.4</v>
      </c>
      <c r="H691">
        <v>3.9654623788866562E-2</v>
      </c>
      <c r="I691">
        <v>0.68174362999670202</v>
      </c>
      <c r="J691">
        <v>-1.407676912641065E-2</v>
      </c>
      <c r="K691">
        <v>1.7348396762866699E-2</v>
      </c>
      <c r="L691">
        <v>0</v>
      </c>
      <c r="M691">
        <v>105670810.2925</v>
      </c>
      <c r="N691">
        <v>0</v>
      </c>
      <c r="O691" t="b">
        <v>1</v>
      </c>
    </row>
    <row r="692" spans="1:15" x14ac:dyDescent="0.3">
      <c r="A692" s="1" t="s">
        <v>796</v>
      </c>
      <c r="B692">
        <v>1.626165467223935</v>
      </c>
      <c r="C692">
        <v>2.5021741268653759E-2</v>
      </c>
      <c r="D692">
        <v>1.804582544110557E-2</v>
      </c>
      <c r="E692">
        <v>47.459675666026001</v>
      </c>
      <c r="F692">
        <v>4.1573111139959103E-2</v>
      </c>
      <c r="G692">
        <v>0.4</v>
      </c>
      <c r="H692">
        <v>-4.6403502591918611E-2</v>
      </c>
      <c r="I692">
        <v>0.49903001248483558</v>
      </c>
      <c r="J692">
        <v>-6.2912651596968128E-2</v>
      </c>
      <c r="K692">
        <v>1.317009975789318E-2</v>
      </c>
      <c r="L692">
        <v>0</v>
      </c>
      <c r="M692">
        <v>125572703.37</v>
      </c>
      <c r="N692">
        <v>0</v>
      </c>
      <c r="O692" t="b">
        <v>1</v>
      </c>
    </row>
    <row r="693" spans="1:15" x14ac:dyDescent="0.3">
      <c r="A693" s="1" t="s">
        <v>797</v>
      </c>
      <c r="B693">
        <v>0.50061184083568577</v>
      </c>
      <c r="C693">
        <v>8.2642762711543916E-3</v>
      </c>
      <c r="D693">
        <v>6.8229017059730441E-3</v>
      </c>
      <c r="E693">
        <v>45.427578713707618</v>
      </c>
      <c r="F693">
        <v>-6.2943842674841877E-3</v>
      </c>
      <c r="G693">
        <v>0.2</v>
      </c>
      <c r="H693">
        <v>-9.5701984130050058E-2</v>
      </c>
      <c r="I693">
        <v>0.39636769646149761</v>
      </c>
      <c r="J693">
        <v>-2.3786731645055511E-2</v>
      </c>
      <c r="K693">
        <v>3.2532032492404989E-4</v>
      </c>
      <c r="L693">
        <v>0</v>
      </c>
      <c r="M693">
        <v>34836759.099250004</v>
      </c>
      <c r="N693">
        <v>0</v>
      </c>
      <c r="O693" t="b">
        <v>0</v>
      </c>
    </row>
    <row r="694" spans="1:15" x14ac:dyDescent="0.3">
      <c r="A694" s="1" t="s">
        <v>798</v>
      </c>
      <c r="B694">
        <v>0.16244990810682139</v>
      </c>
      <c r="C694">
        <v>3.029261585264511E-3</v>
      </c>
      <c r="D694">
        <v>4.8110183508650074E-3</v>
      </c>
      <c r="E694">
        <v>56.410354574828212</v>
      </c>
      <c r="F694">
        <v>7.3049325669634069E-3</v>
      </c>
      <c r="G694">
        <v>0.2</v>
      </c>
      <c r="H694">
        <v>-8.7534213939205338E-2</v>
      </c>
      <c r="I694">
        <v>4.4091882331034837E-2</v>
      </c>
      <c r="J694">
        <v>-3.241557360138092E-3</v>
      </c>
      <c r="K694">
        <v>3.9012701592144872E-3</v>
      </c>
      <c r="L694">
        <v>0</v>
      </c>
      <c r="M694">
        <v>98730294.990549996</v>
      </c>
      <c r="N694">
        <v>0</v>
      </c>
      <c r="O694" t="b">
        <v>1</v>
      </c>
    </row>
    <row r="695" spans="1:15" x14ac:dyDescent="0.3">
      <c r="A695" s="1" t="s">
        <v>799</v>
      </c>
      <c r="B695">
        <v>2.3499805588504041</v>
      </c>
      <c r="C695">
        <v>1.751716740475728E-2</v>
      </c>
      <c r="D695">
        <v>1.4602729719052149E-2</v>
      </c>
      <c r="E695">
        <v>63.84671149144738</v>
      </c>
      <c r="F695">
        <v>1.666489837367546E-2</v>
      </c>
      <c r="G695">
        <v>1</v>
      </c>
      <c r="H695">
        <v>0.1180035529994538</v>
      </c>
      <c r="I695">
        <v>1.578229694629866</v>
      </c>
      <c r="J695">
        <v>0</v>
      </c>
      <c r="K695">
        <v>4.718288234985657E-3</v>
      </c>
      <c r="L695">
        <v>0</v>
      </c>
      <c r="M695">
        <v>40581795.237000003</v>
      </c>
      <c r="N695">
        <v>0</v>
      </c>
      <c r="O695" t="b">
        <v>0</v>
      </c>
    </row>
    <row r="696" spans="1:15" x14ac:dyDescent="0.3">
      <c r="A696" s="1" t="s">
        <v>800</v>
      </c>
      <c r="B696">
        <v>7.4814288900039355E-2</v>
      </c>
      <c r="C696">
        <v>1.4244019111525621E-3</v>
      </c>
      <c r="D696">
        <v>2.6464445303321731E-3</v>
      </c>
      <c r="E696">
        <v>62.246007024931657</v>
      </c>
      <c r="F696">
        <v>5.186374571071628E-3</v>
      </c>
      <c r="G696">
        <v>0.2</v>
      </c>
      <c r="H696">
        <v>-8.4080650686575581E-2</v>
      </c>
      <c r="I696">
        <v>1.396777632360106E-2</v>
      </c>
      <c r="J696">
        <v>-1.884522549550072E-4</v>
      </c>
      <c r="K696">
        <v>2.2727185988908878E-3</v>
      </c>
      <c r="L696">
        <v>0</v>
      </c>
      <c r="M696">
        <v>128716277.5033</v>
      </c>
      <c r="N696">
        <v>0</v>
      </c>
      <c r="O696" t="b">
        <v>1</v>
      </c>
    </row>
    <row r="697" spans="1:15" x14ac:dyDescent="0.3">
      <c r="A697" s="1" t="s">
        <v>801</v>
      </c>
      <c r="B697">
        <v>2.1084223124744281</v>
      </c>
      <c r="C697">
        <v>1.9153545716519151E-2</v>
      </c>
      <c r="D697">
        <v>1.498909883720922E-2</v>
      </c>
      <c r="E697">
        <v>58.311622927839373</v>
      </c>
      <c r="F697">
        <v>-1.520844516013597E-2</v>
      </c>
      <c r="G697">
        <v>0.8</v>
      </c>
      <c r="H697">
        <v>-0.13397644977031831</v>
      </c>
      <c r="I697">
        <v>1.3535616960438499</v>
      </c>
      <c r="J697">
        <v>-8.5562460596235734E-3</v>
      </c>
      <c r="K697">
        <v>1.1823556161891791E-3</v>
      </c>
      <c r="L697">
        <v>0</v>
      </c>
      <c r="M697">
        <v>473854306.5</v>
      </c>
      <c r="N697">
        <v>0</v>
      </c>
      <c r="O697" t="b">
        <v>1</v>
      </c>
    </row>
    <row r="698" spans="1:15" x14ac:dyDescent="0.3">
      <c r="A698" s="1" t="s">
        <v>802</v>
      </c>
      <c r="B698">
        <v>2.2914153801646742</v>
      </c>
      <c r="C698">
        <v>1.7138484518808339E-2</v>
      </c>
      <c r="D698">
        <v>2.2288706058339491E-2</v>
      </c>
      <c r="E698">
        <v>56.755366666932247</v>
      </c>
      <c r="F698">
        <v>1.410800970873782E-2</v>
      </c>
      <c r="G698">
        <v>0.2</v>
      </c>
      <c r="H698">
        <v>4.1873631675946613E-2</v>
      </c>
      <c r="I698">
        <v>0.75287767989638232</v>
      </c>
      <c r="J698">
        <v>-2.813113324125904E-2</v>
      </c>
      <c r="K698">
        <v>1.518602885345488E-2</v>
      </c>
      <c r="L698">
        <v>0</v>
      </c>
      <c r="M698">
        <v>21741995.601</v>
      </c>
      <c r="N698">
        <v>1</v>
      </c>
      <c r="O698" t="b">
        <v>0</v>
      </c>
    </row>
    <row r="699" spans="1:15" x14ac:dyDescent="0.3">
      <c r="A699" s="1" t="s">
        <v>803</v>
      </c>
      <c r="B699">
        <v>0.83310136269602941</v>
      </c>
      <c r="C699">
        <v>1.3383713419291879E-2</v>
      </c>
      <c r="D699">
        <v>1.1716151999922811E-2</v>
      </c>
      <c r="E699">
        <v>48.908142591428629</v>
      </c>
      <c r="F699">
        <v>8.7428027853806434E-3</v>
      </c>
      <c r="G699">
        <v>0.6</v>
      </c>
      <c r="H699">
        <v>-6.1230868386366197E-2</v>
      </c>
      <c r="I699">
        <v>0.54510469864114519</v>
      </c>
      <c r="J699">
        <v>-3.3503505928092703E-2</v>
      </c>
      <c r="K699">
        <v>9.2334531493452054E-3</v>
      </c>
      <c r="L699">
        <v>0</v>
      </c>
      <c r="M699">
        <v>48698625.836400002</v>
      </c>
      <c r="N699">
        <v>0</v>
      </c>
      <c r="O699" t="b">
        <v>0</v>
      </c>
    </row>
    <row r="700" spans="1:15" x14ac:dyDescent="0.3">
      <c r="A700" s="1" t="s">
        <v>804</v>
      </c>
      <c r="B700">
        <v>0.8990796626140426</v>
      </c>
      <c r="C700">
        <v>1.3401457523290869E-2</v>
      </c>
      <c r="D700">
        <v>2.1655074961021401E-2</v>
      </c>
      <c r="E700">
        <v>64.658443090132792</v>
      </c>
      <c r="F700">
        <v>3.1675391059906133E-2</v>
      </c>
      <c r="G700">
        <v>0.6</v>
      </c>
      <c r="H700">
        <v>-7.7867291083278029E-2</v>
      </c>
      <c r="I700">
        <v>1.0426548582234081</v>
      </c>
      <c r="J700">
        <v>0</v>
      </c>
      <c r="K700">
        <v>1.8891536549101359E-2</v>
      </c>
      <c r="L700">
        <v>0</v>
      </c>
      <c r="M700">
        <v>506858061.37805003</v>
      </c>
      <c r="N700">
        <v>0</v>
      </c>
      <c r="O700" t="b">
        <v>1</v>
      </c>
    </row>
    <row r="701" spans="1:15" x14ac:dyDescent="0.3">
      <c r="A701" s="1" t="s">
        <v>805</v>
      </c>
      <c r="B701">
        <v>1.72912534721126</v>
      </c>
      <c r="C701">
        <v>1.293200418230081E-2</v>
      </c>
      <c r="D701">
        <v>2.3633412859268978E-2</v>
      </c>
      <c r="E701">
        <v>66.573902571345187</v>
      </c>
      <c r="F701">
        <v>4.4968934390996917E-2</v>
      </c>
      <c r="G701">
        <v>0.6</v>
      </c>
      <c r="H701">
        <v>-6.228155092319234E-2</v>
      </c>
      <c r="I701">
        <v>0.94692169066606735</v>
      </c>
      <c r="J701">
        <v>0</v>
      </c>
      <c r="K701">
        <v>2.163863780496178E-2</v>
      </c>
      <c r="L701">
        <v>0</v>
      </c>
      <c r="M701">
        <v>19099714.723499998</v>
      </c>
      <c r="N701">
        <v>0</v>
      </c>
      <c r="O701" t="b">
        <v>0</v>
      </c>
    </row>
    <row r="702" spans="1:15" x14ac:dyDescent="0.3">
      <c r="A702" s="1" t="s">
        <v>806</v>
      </c>
      <c r="B702">
        <v>1.349426305604172</v>
      </c>
      <c r="C702">
        <v>1.369835484487552E-2</v>
      </c>
      <c r="D702">
        <v>1.934826987283543E-2</v>
      </c>
      <c r="E702">
        <v>62.74939326688402</v>
      </c>
      <c r="F702">
        <v>2.078350831671916E-2</v>
      </c>
      <c r="G702">
        <v>0.6</v>
      </c>
      <c r="H702">
        <v>-8.8073493403630396E-2</v>
      </c>
      <c r="I702">
        <v>1.1024835405548259</v>
      </c>
      <c r="J702">
        <v>0</v>
      </c>
      <c r="K702">
        <v>1.7103132975955448E-2</v>
      </c>
      <c r="L702">
        <v>0</v>
      </c>
      <c r="M702">
        <v>18739530.788249999</v>
      </c>
      <c r="N702">
        <v>0</v>
      </c>
      <c r="O702" t="b">
        <v>0</v>
      </c>
    </row>
    <row r="703" spans="1:15" x14ac:dyDescent="0.3">
      <c r="A703" s="1" t="s">
        <v>807</v>
      </c>
      <c r="B703">
        <v>1.93324219804876</v>
      </c>
      <c r="C703">
        <v>1.56517552223903E-2</v>
      </c>
      <c r="D703">
        <v>2.6992454418860619E-2</v>
      </c>
      <c r="E703">
        <v>66.605896810872736</v>
      </c>
      <c r="F703">
        <v>4.181040663298452E-2</v>
      </c>
      <c r="G703">
        <v>0.4</v>
      </c>
      <c r="H703">
        <v>-1.731775904063787E-2</v>
      </c>
      <c r="I703">
        <v>1.2068511654030269</v>
      </c>
      <c r="J703">
        <v>0</v>
      </c>
      <c r="K703">
        <v>1.9723100547359481E-2</v>
      </c>
      <c r="L703">
        <v>0</v>
      </c>
      <c r="M703">
        <v>489555386.648</v>
      </c>
      <c r="N703">
        <v>0</v>
      </c>
      <c r="O703" t="b">
        <v>1</v>
      </c>
    </row>
    <row r="704" spans="1:15" x14ac:dyDescent="0.3">
      <c r="A704" s="1" t="s">
        <v>808</v>
      </c>
      <c r="B704">
        <v>1.8476695288810341</v>
      </c>
      <c r="C704">
        <v>1.5855197014442431E-2</v>
      </c>
      <c r="D704">
        <v>2.8609676146017501E-2</v>
      </c>
      <c r="E704">
        <v>67.580710199014959</v>
      </c>
      <c r="F704">
        <v>4.712954559749849E-2</v>
      </c>
      <c r="G704">
        <v>0.6</v>
      </c>
      <c r="H704">
        <v>1.071219810052282E-2</v>
      </c>
      <c r="I704">
        <v>1.3124849677966519</v>
      </c>
      <c r="J704">
        <v>0</v>
      </c>
      <c r="K704">
        <v>2.3242336702169689E-2</v>
      </c>
      <c r="L704">
        <v>0</v>
      </c>
      <c r="M704">
        <v>24397210.171500001</v>
      </c>
      <c r="N704">
        <v>1</v>
      </c>
      <c r="O704" t="b">
        <v>0</v>
      </c>
    </row>
    <row r="705" spans="1:15" x14ac:dyDescent="0.3">
      <c r="A705" s="1" t="s">
        <v>809</v>
      </c>
      <c r="B705">
        <v>2.1880002138356351</v>
      </c>
      <c r="C705">
        <v>1.5045247227739049E-2</v>
      </c>
      <c r="D705">
        <v>2.4685755150314959E-2</v>
      </c>
      <c r="E705">
        <v>64.914891475906799</v>
      </c>
      <c r="F705">
        <v>3.6823681227408533E-2</v>
      </c>
      <c r="G705">
        <v>0.6</v>
      </c>
      <c r="H705">
        <v>-4.4729855818114221E-2</v>
      </c>
      <c r="I705">
        <v>1.1183467570297829</v>
      </c>
      <c r="J705">
        <v>0</v>
      </c>
      <c r="K705">
        <v>1.6588025584565399E-2</v>
      </c>
      <c r="L705">
        <v>0</v>
      </c>
      <c r="M705">
        <v>14449486.489</v>
      </c>
      <c r="N705">
        <v>1</v>
      </c>
      <c r="O705" t="b">
        <v>0</v>
      </c>
    </row>
    <row r="706" spans="1:15" x14ac:dyDescent="0.3">
      <c r="A706" s="1" t="s">
        <v>810</v>
      </c>
      <c r="B706">
        <v>4.3899904315902107</v>
      </c>
      <c r="C706">
        <v>3.2540141068788157E-2</v>
      </c>
      <c r="D706">
        <v>3.4022681787858597E-2</v>
      </c>
      <c r="E706">
        <v>70.841128338096084</v>
      </c>
      <c r="F706">
        <v>0.10836345711468939</v>
      </c>
      <c r="G706">
        <v>0.8</v>
      </c>
      <c r="H706">
        <v>0.123595962640092</v>
      </c>
      <c r="I706">
        <v>1.347620350848562</v>
      </c>
      <c r="J706">
        <v>0</v>
      </c>
      <c r="K706">
        <v>2.1039884961780109E-2</v>
      </c>
      <c r="L706">
        <v>0</v>
      </c>
      <c r="M706">
        <v>187178841</v>
      </c>
      <c r="N706">
        <v>0</v>
      </c>
      <c r="O706" t="b">
        <v>1</v>
      </c>
    </row>
    <row r="707" spans="1:15" x14ac:dyDescent="0.3">
      <c r="A707" s="1" t="s">
        <v>811</v>
      </c>
      <c r="B707">
        <v>2.3812420698720351</v>
      </c>
      <c r="C707">
        <v>2.6033038918465451E-2</v>
      </c>
      <c r="D707">
        <v>2.5227943588061592E-2</v>
      </c>
      <c r="E707">
        <v>42.8609831613593</v>
      </c>
      <c r="F707">
        <v>-3.7269368809927261E-2</v>
      </c>
      <c r="G707">
        <v>0.4</v>
      </c>
      <c r="H707">
        <v>-4.0136049647835972E-2</v>
      </c>
      <c r="I707">
        <v>0.36079598741614988</v>
      </c>
      <c r="J707">
        <v>-8.7972241332894718E-2</v>
      </c>
      <c r="K707">
        <v>1.3892106450357881E-2</v>
      </c>
      <c r="L707">
        <v>0</v>
      </c>
      <c r="M707">
        <v>31736413.339400001</v>
      </c>
      <c r="N707">
        <v>0</v>
      </c>
      <c r="O707" t="b">
        <v>0</v>
      </c>
    </row>
    <row r="708" spans="1:15" x14ac:dyDescent="0.3">
      <c r="A708" s="1" t="s">
        <v>812</v>
      </c>
      <c r="B708">
        <v>3.5032488429432802</v>
      </c>
      <c r="C708">
        <v>3.6810432310006087E-2</v>
      </c>
      <c r="D708">
        <v>2.7319533466428441E-2</v>
      </c>
      <c r="E708">
        <v>38.02730575604933</v>
      </c>
      <c r="F708">
        <v>-0.10200037742970371</v>
      </c>
      <c r="G708">
        <v>0.4</v>
      </c>
      <c r="H708">
        <v>5.0070741634682593E-2</v>
      </c>
      <c r="I708">
        <v>0.59715627399075444</v>
      </c>
      <c r="J708">
        <v>-0.1209126177720303</v>
      </c>
      <c r="K708">
        <v>1.0508617065996261E-4</v>
      </c>
      <c r="L708">
        <v>0</v>
      </c>
      <c r="M708">
        <v>127192156</v>
      </c>
      <c r="N708">
        <v>0</v>
      </c>
      <c r="O708" t="b">
        <v>1</v>
      </c>
    </row>
    <row r="709" spans="1:15" x14ac:dyDescent="0.3">
      <c r="A709" s="1" t="s">
        <v>813</v>
      </c>
      <c r="B709">
        <v>0.4482289535688137</v>
      </c>
      <c r="C709">
        <v>8.4000928329987581E-3</v>
      </c>
      <c r="D709">
        <v>4.6851574212893564E-3</v>
      </c>
      <c r="E709">
        <v>42.1289575189762</v>
      </c>
      <c r="F709">
        <v>-1.458910433979688E-2</v>
      </c>
      <c r="G709">
        <v>0.8</v>
      </c>
      <c r="H709">
        <v>-8.1301983489367013E-2</v>
      </c>
      <c r="I709">
        <v>0.1886805974321952</v>
      </c>
      <c r="J709">
        <v>-2.681014043406893E-2</v>
      </c>
      <c r="K709">
        <v>1.68950628871789E-3</v>
      </c>
      <c r="L709">
        <v>0</v>
      </c>
      <c r="M709">
        <v>289683135</v>
      </c>
      <c r="N709">
        <v>0</v>
      </c>
      <c r="O709" t="b">
        <v>1</v>
      </c>
    </row>
    <row r="710" spans="1:15" x14ac:dyDescent="0.3">
      <c r="A710" s="1" t="s">
        <v>814</v>
      </c>
      <c r="B710">
        <v>0.3500605727297289</v>
      </c>
      <c r="C710">
        <v>1.937247220419086E-2</v>
      </c>
      <c r="D710">
        <v>2.82235749861648E-2</v>
      </c>
      <c r="E710">
        <v>62.252808211699261</v>
      </c>
      <c r="F710">
        <v>7.8162291169451059E-2</v>
      </c>
      <c r="G710">
        <v>0.6</v>
      </c>
      <c r="H710">
        <v>3.1499372057611157E-2</v>
      </c>
      <c r="I710">
        <v>0.74463667374926223</v>
      </c>
      <c r="J710">
        <v>-1.202843083652261E-2</v>
      </c>
      <c r="K710">
        <v>1.8028169014084439E-2</v>
      </c>
      <c r="L710">
        <v>0</v>
      </c>
      <c r="M710">
        <v>218687204.02590001</v>
      </c>
      <c r="N710">
        <v>0</v>
      </c>
      <c r="O710" t="b">
        <v>1</v>
      </c>
    </row>
    <row r="711" spans="1:15" x14ac:dyDescent="0.3">
      <c r="A711" s="1" t="s">
        <v>815</v>
      </c>
      <c r="B711">
        <v>0.41443623607949759</v>
      </c>
      <c r="C711">
        <v>1.536656418537255E-2</v>
      </c>
      <c r="D711">
        <v>1.6314423433444619E-2</v>
      </c>
      <c r="E711">
        <v>67.114589497543619</v>
      </c>
      <c r="F711">
        <v>2.4696048632218751E-2</v>
      </c>
      <c r="G711">
        <v>0.4</v>
      </c>
      <c r="H711">
        <v>3.1681583716371357E-2</v>
      </c>
      <c r="I711">
        <v>0.46626608204701231</v>
      </c>
      <c r="J711">
        <v>0</v>
      </c>
      <c r="K711">
        <v>1.4291086874764989E-2</v>
      </c>
      <c r="L711">
        <v>0</v>
      </c>
      <c r="M711">
        <v>46604157.357649997</v>
      </c>
      <c r="N711">
        <v>0</v>
      </c>
      <c r="O711" t="b">
        <v>0</v>
      </c>
    </row>
    <row r="712" spans="1:15" x14ac:dyDescent="0.3">
      <c r="A712" s="1" t="s">
        <v>816</v>
      </c>
      <c r="B712">
        <v>1.9437693318613589</v>
      </c>
      <c r="C712">
        <v>1.800937017039923E-2</v>
      </c>
      <c r="D712">
        <v>2.455272349927274E-2</v>
      </c>
      <c r="E712">
        <v>47.728133663959653</v>
      </c>
      <c r="F712">
        <v>1.219157655841174E-2</v>
      </c>
      <c r="G712">
        <v>0.4</v>
      </c>
      <c r="H712">
        <v>-0.235565747217551</v>
      </c>
      <c r="I712">
        <v>0.26397030723255821</v>
      </c>
      <c r="J712">
        <v>-5.2167341032470782E-3</v>
      </c>
      <c r="K712">
        <v>2.3139634088539252E-2</v>
      </c>
      <c r="L712">
        <v>0</v>
      </c>
      <c r="M712">
        <v>63378287.486000001</v>
      </c>
      <c r="N712">
        <v>0</v>
      </c>
      <c r="O712" t="b">
        <v>0</v>
      </c>
    </row>
    <row r="713" spans="1:15" x14ac:dyDescent="0.3">
      <c r="A713" s="1" t="s">
        <v>817</v>
      </c>
      <c r="B713">
        <v>6.6408463085925122</v>
      </c>
      <c r="C713">
        <v>3.497943802261002E-2</v>
      </c>
      <c r="D713">
        <v>4.1717145114564057E-2</v>
      </c>
      <c r="E713">
        <v>44.404326077421487</v>
      </c>
      <c r="F713">
        <v>-1.0785744060024969E-2</v>
      </c>
      <c r="G713">
        <v>0</v>
      </c>
      <c r="H713">
        <v>0.13469778914136721</v>
      </c>
      <c r="I713">
        <v>0.21154789400281959</v>
      </c>
      <c r="J713">
        <v>-0.101981930845277</v>
      </c>
      <c r="K713">
        <v>-2.2248545089354699E-2</v>
      </c>
      <c r="L713">
        <v>0</v>
      </c>
      <c r="M713">
        <v>211024103</v>
      </c>
      <c r="N713">
        <v>0</v>
      </c>
      <c r="O713" t="b">
        <v>1</v>
      </c>
    </row>
    <row r="714" spans="1:15" x14ac:dyDescent="0.3">
      <c r="A714" s="1" t="s">
        <v>818</v>
      </c>
      <c r="B714">
        <v>2.0419740043533632</v>
      </c>
      <c r="C714">
        <v>5.0072928012588593E-2</v>
      </c>
      <c r="D714">
        <v>5.1495831289847999E-2</v>
      </c>
      <c r="E714">
        <v>57.371746137022591</v>
      </c>
      <c r="F714">
        <v>6.0598179453836172E-2</v>
      </c>
      <c r="G714">
        <v>0.6</v>
      </c>
      <c r="H714">
        <v>0.19157745396961989</v>
      </c>
      <c r="I714">
        <v>2.315236153631576</v>
      </c>
      <c r="J714">
        <v>-6.8098720292504522E-2</v>
      </c>
      <c r="K714">
        <v>6.9135802469135754E-3</v>
      </c>
      <c r="L714">
        <v>0</v>
      </c>
      <c r="M714">
        <v>1968081577</v>
      </c>
      <c r="N714">
        <v>0</v>
      </c>
      <c r="O714" t="b">
        <v>1</v>
      </c>
    </row>
    <row r="715" spans="1:15" x14ac:dyDescent="0.3">
      <c r="A715" s="1" t="s">
        <v>819</v>
      </c>
      <c r="B715">
        <v>16.90006156051782</v>
      </c>
      <c r="C715">
        <v>2.555921786131804E-2</v>
      </c>
      <c r="D715">
        <v>2.517951882300987E-2</v>
      </c>
      <c r="E715">
        <v>53.49281687821707</v>
      </c>
      <c r="F715">
        <v>1.4021522262214651E-2</v>
      </c>
      <c r="G715">
        <v>0.6</v>
      </c>
      <c r="H715">
        <v>-4.2445930693213091E-2</v>
      </c>
      <c r="I715">
        <v>0.71828411178581819</v>
      </c>
      <c r="J715">
        <v>-1.6627205558662261E-2</v>
      </c>
      <c r="K715">
        <v>1.0187244860544229E-2</v>
      </c>
      <c r="L715">
        <v>0</v>
      </c>
      <c r="M715">
        <v>1095415483.6094999</v>
      </c>
      <c r="N715">
        <v>0</v>
      </c>
      <c r="O715" t="b">
        <v>1</v>
      </c>
    </row>
    <row r="716" spans="1:15" x14ac:dyDescent="0.3">
      <c r="A716" s="1" t="s">
        <v>820</v>
      </c>
      <c r="B716">
        <v>0.50761379003114737</v>
      </c>
      <c r="C716">
        <v>1.9382413878559549E-2</v>
      </c>
      <c r="D716">
        <v>1.8732769746538699E-2</v>
      </c>
      <c r="E716">
        <v>34.601172299277643</v>
      </c>
      <c r="F716">
        <v>-5.5635486418364133E-2</v>
      </c>
      <c r="G716">
        <v>0.2</v>
      </c>
      <c r="H716">
        <v>-0.21670017530053989</v>
      </c>
      <c r="I716">
        <v>0.15579792500676681</v>
      </c>
      <c r="J716">
        <v>-8.4056126017738819E-2</v>
      </c>
      <c r="K716">
        <v>1.4947468773858E-2</v>
      </c>
      <c r="L716">
        <v>0</v>
      </c>
      <c r="M716">
        <v>109727188.1313</v>
      </c>
      <c r="N716">
        <v>0</v>
      </c>
      <c r="O716" t="b">
        <v>1</v>
      </c>
    </row>
    <row r="717" spans="1:15" x14ac:dyDescent="0.3">
      <c r="A717" s="1" t="s">
        <v>821</v>
      </c>
      <c r="B717">
        <v>4.294976388845301</v>
      </c>
      <c r="C717">
        <v>8.3123212480071623E-2</v>
      </c>
      <c r="D717">
        <v>6.1737952390168327E-2</v>
      </c>
      <c r="E717">
        <v>49.422151550141869</v>
      </c>
      <c r="F717">
        <v>-6.6823189452772214E-2</v>
      </c>
      <c r="G717">
        <v>0.6</v>
      </c>
      <c r="H717">
        <v>4.4183240884739163E-2</v>
      </c>
      <c r="I717">
        <v>3.1174830950919952</v>
      </c>
      <c r="J717">
        <v>-5.642804967129289E-2</v>
      </c>
      <c r="K717">
        <v>-5.0881704628949247E-2</v>
      </c>
      <c r="L717">
        <v>0</v>
      </c>
      <c r="M717">
        <v>800655777</v>
      </c>
      <c r="N717">
        <v>0</v>
      </c>
      <c r="O717" t="b">
        <v>1</v>
      </c>
    </row>
    <row r="718" spans="1:15" x14ac:dyDescent="0.3">
      <c r="A718" s="1" t="s">
        <v>822</v>
      </c>
      <c r="B718">
        <v>2.5723157367098359</v>
      </c>
      <c r="C718">
        <v>3.2714176989823693E-2</v>
      </c>
      <c r="D718">
        <v>2.441816100724898E-2</v>
      </c>
      <c r="E718">
        <v>54.884156155721918</v>
      </c>
      <c r="F718">
        <v>0.13071613459879189</v>
      </c>
      <c r="G718">
        <v>0</v>
      </c>
      <c r="H718">
        <v>0.13759812992272899</v>
      </c>
      <c r="I718">
        <v>0.40570066979010622</v>
      </c>
      <c r="J718">
        <v>-4.9558805753656572E-2</v>
      </c>
      <c r="K718">
        <v>-2.9165609941669279E-3</v>
      </c>
      <c r="L718">
        <v>0</v>
      </c>
      <c r="M718">
        <v>67674587</v>
      </c>
      <c r="N718">
        <v>0</v>
      </c>
      <c r="O718" t="b">
        <v>0</v>
      </c>
    </row>
    <row r="719" spans="1:15" x14ac:dyDescent="0.3">
      <c r="A719" s="1" t="s">
        <v>823</v>
      </c>
      <c r="B719">
        <v>1.4018139533532821</v>
      </c>
      <c r="C719">
        <v>1.103651471746302E-2</v>
      </c>
      <c r="D719">
        <v>9.8885179819865228E-3</v>
      </c>
      <c r="E719">
        <v>62.604026301952601</v>
      </c>
      <c r="F719">
        <v>9.425415242787949E-3</v>
      </c>
      <c r="G719">
        <v>0.8</v>
      </c>
      <c r="H719">
        <v>0.22455552714975091</v>
      </c>
      <c r="I719">
        <v>1.030916804585237</v>
      </c>
      <c r="J719">
        <v>0</v>
      </c>
      <c r="K719">
        <v>5.0483470224247373E-3</v>
      </c>
      <c r="L719">
        <v>0</v>
      </c>
      <c r="M719">
        <v>15137407.864499999</v>
      </c>
      <c r="N719">
        <v>0</v>
      </c>
      <c r="O719" t="b">
        <v>0</v>
      </c>
    </row>
    <row r="720" spans="1:15" x14ac:dyDescent="0.3">
      <c r="A720" s="1" t="s">
        <v>824</v>
      </c>
      <c r="B720">
        <v>1.8943608794694009</v>
      </c>
      <c r="C720">
        <v>4.2078207007316772E-2</v>
      </c>
      <c r="D720">
        <v>3.3762772101288377E-2</v>
      </c>
      <c r="E720">
        <v>69.119356923595916</v>
      </c>
      <c r="F720">
        <v>0.13030379111222709</v>
      </c>
      <c r="G720">
        <v>0.8</v>
      </c>
      <c r="H720">
        <v>7.9223666230565037E-2</v>
      </c>
      <c r="I720">
        <v>2.2620814602496582</v>
      </c>
      <c r="J720">
        <v>-4.4228217602829689E-3</v>
      </c>
      <c r="K720">
        <v>2.8088604704270551E-2</v>
      </c>
      <c r="L720">
        <v>0</v>
      </c>
      <c r="M720">
        <v>162463530</v>
      </c>
      <c r="N720">
        <v>0</v>
      </c>
      <c r="O720" t="b">
        <v>1</v>
      </c>
    </row>
    <row r="721" spans="1:15" x14ac:dyDescent="0.3">
      <c r="A721" s="1" t="s">
        <v>825</v>
      </c>
      <c r="B721">
        <v>1.1957058932043549</v>
      </c>
      <c r="C721">
        <v>3.0869991253184691E-2</v>
      </c>
      <c r="D721">
        <v>4.4222587107834152E-2</v>
      </c>
      <c r="E721">
        <v>49.970267789932286</v>
      </c>
      <c r="F721">
        <v>4.4133662565639893E-2</v>
      </c>
      <c r="G721">
        <v>0.2</v>
      </c>
      <c r="H721">
        <v>-0.12368267053953801</v>
      </c>
      <c r="I721">
        <v>1.0911312132008899</v>
      </c>
      <c r="J721">
        <v>-9.1174213353799605E-3</v>
      </c>
      <c r="K721">
        <v>4.0979553223968727E-2</v>
      </c>
      <c r="L721">
        <v>0</v>
      </c>
      <c r="M721">
        <v>201622128.10589999</v>
      </c>
      <c r="N721">
        <v>0</v>
      </c>
      <c r="O721" t="b">
        <v>1</v>
      </c>
    </row>
    <row r="722" spans="1:15" x14ac:dyDescent="0.3">
      <c r="A722" s="1" t="s">
        <v>826</v>
      </c>
      <c r="B722">
        <v>0.38309601799921861</v>
      </c>
      <c r="C722">
        <v>8.5239660995656448E-3</v>
      </c>
      <c r="D722">
        <v>1.213971350632129E-2</v>
      </c>
      <c r="E722">
        <v>60.672090863641223</v>
      </c>
      <c r="F722">
        <v>1.29436927952109E-2</v>
      </c>
      <c r="G722">
        <v>0.4</v>
      </c>
      <c r="H722">
        <v>-5.2537918777799973E-2</v>
      </c>
      <c r="I722">
        <v>0.68874000522414092</v>
      </c>
      <c r="J722">
        <v>0</v>
      </c>
      <c r="K722">
        <v>1.046359998201352E-2</v>
      </c>
      <c r="L722">
        <v>0</v>
      </c>
      <c r="M722">
        <v>52360096.87015</v>
      </c>
      <c r="N722">
        <v>0</v>
      </c>
      <c r="O722" t="b">
        <v>0</v>
      </c>
    </row>
    <row r="723" spans="1:15" x14ac:dyDescent="0.3">
      <c r="A723" s="1" t="s">
        <v>827</v>
      </c>
      <c r="B723">
        <v>5.8781636879160102</v>
      </c>
      <c r="C723">
        <v>2.636893812989418E-2</v>
      </c>
      <c r="D723">
        <v>2.888928763682037E-2</v>
      </c>
      <c r="E723">
        <v>52.828922621888658</v>
      </c>
      <c r="F723">
        <v>4.6327153250410591E-2</v>
      </c>
      <c r="G723">
        <v>0.4</v>
      </c>
      <c r="H723">
        <v>0.1093716270486957</v>
      </c>
      <c r="I723">
        <v>0.88397004484328334</v>
      </c>
      <c r="J723">
        <v>-3.8806484994825752E-2</v>
      </c>
      <c r="K723">
        <v>2.2287443822800901E-2</v>
      </c>
      <c r="L723">
        <v>0</v>
      </c>
      <c r="M723">
        <v>292676659</v>
      </c>
      <c r="N723">
        <v>0</v>
      </c>
      <c r="O723" t="b">
        <v>1</v>
      </c>
    </row>
    <row r="724" spans="1:15" x14ac:dyDescent="0.3">
      <c r="A724" s="1" t="s">
        <v>828</v>
      </c>
      <c r="B724">
        <v>1.8104395504965409</v>
      </c>
      <c r="C724">
        <v>2.2361513327765401E-2</v>
      </c>
      <c r="D724">
        <v>3.3279686965414793E-2</v>
      </c>
      <c r="E724">
        <v>59.98130276263749</v>
      </c>
      <c r="F724">
        <v>4.8555169323379888E-2</v>
      </c>
      <c r="G724">
        <v>0.4</v>
      </c>
      <c r="H724">
        <v>-4.4053852012918497E-2</v>
      </c>
      <c r="I724">
        <v>0.89882363608161486</v>
      </c>
      <c r="J724">
        <v>0</v>
      </c>
      <c r="K724">
        <v>3.3171309382373559E-2</v>
      </c>
      <c r="L724">
        <v>0</v>
      </c>
      <c r="M724">
        <v>220831119.57519999</v>
      </c>
      <c r="N724">
        <v>0</v>
      </c>
      <c r="O724" t="b">
        <v>1</v>
      </c>
    </row>
    <row r="725" spans="1:15" x14ac:dyDescent="0.3">
      <c r="A725" s="1" t="s">
        <v>829</v>
      </c>
      <c r="B725">
        <v>5.1668041571805254</v>
      </c>
      <c r="C725">
        <v>0.1176412604093926</v>
      </c>
      <c r="D725">
        <v>6.8192167577413573E-2</v>
      </c>
      <c r="E725">
        <v>42.583883224555727</v>
      </c>
      <c r="F725">
        <v>-0.2700681402692372</v>
      </c>
      <c r="G725">
        <v>0.6</v>
      </c>
      <c r="H725">
        <v>9.1648691947278399E-2</v>
      </c>
      <c r="I725">
        <v>2.871399986878608</v>
      </c>
      <c r="J725">
        <v>-0.23457650749390041</v>
      </c>
      <c r="K725">
        <v>-6.233988044406491E-2</v>
      </c>
      <c r="L725">
        <v>0</v>
      </c>
      <c r="M725">
        <v>246373566.5</v>
      </c>
      <c r="N725">
        <v>0</v>
      </c>
      <c r="O725" t="b">
        <v>1</v>
      </c>
    </row>
    <row r="726" spans="1:15" x14ac:dyDescent="0.3">
      <c r="A726" s="1" t="s">
        <v>830</v>
      </c>
      <c r="B726">
        <v>2.788391697941814</v>
      </c>
      <c r="C726">
        <v>3.295437615825586E-2</v>
      </c>
      <c r="D726">
        <v>3.3450847794151507E-2</v>
      </c>
      <c r="E726">
        <v>37.65264280277492</v>
      </c>
      <c r="F726">
        <v>-0.16446592738152849</v>
      </c>
      <c r="G726">
        <v>0.8</v>
      </c>
      <c r="H726">
        <v>-0.155723741116534</v>
      </c>
      <c r="I726">
        <v>1.1597790015112599</v>
      </c>
      <c r="J726">
        <v>-0.1547167360965426</v>
      </c>
      <c r="K726">
        <v>4.6997134813382413E-3</v>
      </c>
      <c r="L726">
        <v>0</v>
      </c>
      <c r="M726">
        <v>149656015.40239999</v>
      </c>
      <c r="N726">
        <v>0</v>
      </c>
      <c r="O726" t="b">
        <v>1</v>
      </c>
    </row>
    <row r="727" spans="1:15" x14ac:dyDescent="0.3">
      <c r="A727" s="1" t="s">
        <v>831</v>
      </c>
      <c r="B727">
        <v>12.52848495783125</v>
      </c>
      <c r="C727">
        <v>2.253648898732058E-2</v>
      </c>
      <c r="D727">
        <v>2.4284069650309398E-2</v>
      </c>
      <c r="E727">
        <v>51.127185315392808</v>
      </c>
      <c r="F727">
        <v>-3.5196112460951223E-2</v>
      </c>
      <c r="G727">
        <v>0.2</v>
      </c>
      <c r="H727">
        <v>0.1166848935894039</v>
      </c>
      <c r="I727">
        <v>0.90105612094793963</v>
      </c>
      <c r="J727">
        <v>-3.9646207265880203E-2</v>
      </c>
      <c r="K727">
        <v>-3.9596509773709432E-3</v>
      </c>
      <c r="L727">
        <v>0</v>
      </c>
      <c r="M727">
        <v>923322255.5</v>
      </c>
      <c r="N727">
        <v>0</v>
      </c>
      <c r="O727" t="b">
        <v>1</v>
      </c>
    </row>
    <row r="728" spans="1:15" x14ac:dyDescent="0.3">
      <c r="A728" s="1" t="s">
        <v>832</v>
      </c>
      <c r="B728">
        <v>6.5106209575728075E-2</v>
      </c>
      <c r="C728">
        <v>1.3452807995645939E-3</v>
      </c>
      <c r="D728">
        <v>2.4630134721877698E-3</v>
      </c>
      <c r="E728">
        <v>56.414372090968072</v>
      </c>
      <c r="F728">
        <v>3.25878753202824E-3</v>
      </c>
      <c r="G728">
        <v>0.2</v>
      </c>
      <c r="H728">
        <v>-8.6024835558782389E-2</v>
      </c>
      <c r="I728">
        <v>-6.3783050910172154E-4</v>
      </c>
      <c r="J728">
        <v>-1.6400037132158209E-3</v>
      </c>
      <c r="K728">
        <v>1.6433275520213451E-3</v>
      </c>
      <c r="L728">
        <v>0</v>
      </c>
      <c r="M728">
        <v>16392217.132999999</v>
      </c>
      <c r="N728">
        <v>0</v>
      </c>
      <c r="O728" t="b">
        <v>0</v>
      </c>
    </row>
    <row r="729" spans="1:15" x14ac:dyDescent="0.3">
      <c r="A729" s="1" t="s">
        <v>833</v>
      </c>
      <c r="B729">
        <v>6.5957769692567343</v>
      </c>
      <c r="C729">
        <v>2.85679875660808E-2</v>
      </c>
      <c r="D729">
        <v>3.1358281358281268E-2</v>
      </c>
      <c r="E729">
        <v>47.321325935814897</v>
      </c>
      <c r="F729">
        <v>9.7970608817354865E-3</v>
      </c>
      <c r="G729">
        <v>0.6</v>
      </c>
      <c r="H729">
        <v>-5.6701833461724638E-2</v>
      </c>
      <c r="I729">
        <v>0.99017474294298335</v>
      </c>
      <c r="J729">
        <v>-1.9118021921998522E-2</v>
      </c>
      <c r="K729">
        <v>6.5393669892754858E-3</v>
      </c>
      <c r="L729">
        <v>0</v>
      </c>
      <c r="M729">
        <v>260177581</v>
      </c>
      <c r="N729">
        <v>0</v>
      </c>
      <c r="O729" t="b">
        <v>1</v>
      </c>
    </row>
    <row r="730" spans="1:15" x14ac:dyDescent="0.3">
      <c r="A730" s="1" t="s">
        <v>834</v>
      </c>
      <c r="B730">
        <v>3.6671941529120531</v>
      </c>
      <c r="C730">
        <v>1.7937752655605821E-2</v>
      </c>
      <c r="D730">
        <v>1.961455683819209E-2</v>
      </c>
      <c r="E730">
        <v>49.550869818601413</v>
      </c>
      <c r="F730">
        <v>-3.0952268094989851E-2</v>
      </c>
      <c r="G730">
        <v>0.6</v>
      </c>
      <c r="H730">
        <v>-3.6959161193912529E-2</v>
      </c>
      <c r="I730">
        <v>1.0101760768815209</v>
      </c>
      <c r="J730">
        <v>-2.8834734691938649E-2</v>
      </c>
      <c r="K730">
        <v>8.9325371366530959E-3</v>
      </c>
      <c r="L730">
        <v>0</v>
      </c>
      <c r="M730">
        <v>90039823.704999998</v>
      </c>
      <c r="N730">
        <v>1</v>
      </c>
      <c r="O730" t="b">
        <v>0</v>
      </c>
    </row>
    <row r="731" spans="1:15" x14ac:dyDescent="0.3">
      <c r="A731" s="1" t="s">
        <v>835</v>
      </c>
      <c r="B731">
        <v>1.626756347069191</v>
      </c>
      <c r="C731">
        <v>1.085821695036104E-2</v>
      </c>
      <c r="D731">
        <v>1.204127674912228E-2</v>
      </c>
      <c r="E731">
        <v>61.437260994587149</v>
      </c>
      <c r="F731">
        <v>1.11018876583453E-2</v>
      </c>
      <c r="G731">
        <v>0.6</v>
      </c>
      <c r="H731">
        <v>-5.6689514420488217E-2</v>
      </c>
      <c r="I731">
        <v>1.032538983804909</v>
      </c>
      <c r="J731">
        <v>0</v>
      </c>
      <c r="K731">
        <v>7.3762279704951972E-3</v>
      </c>
      <c r="L731">
        <v>0</v>
      </c>
      <c r="M731">
        <v>212468009.586</v>
      </c>
      <c r="N731">
        <v>0</v>
      </c>
      <c r="O731" t="b">
        <v>1</v>
      </c>
    </row>
    <row r="732" spans="1:15" x14ac:dyDescent="0.3">
      <c r="A732" s="1" t="s">
        <v>836</v>
      </c>
      <c r="B732">
        <v>5.5781499462828261</v>
      </c>
      <c r="C732">
        <v>3.2521483811305991E-2</v>
      </c>
      <c r="D732">
        <v>1.710567740581382E-2</v>
      </c>
      <c r="E732">
        <v>37.87366045142106</v>
      </c>
      <c r="F732">
        <v>-9.8675775091960127E-2</v>
      </c>
      <c r="G732">
        <v>0.6</v>
      </c>
      <c r="H732">
        <v>-5.9952488456931803E-2</v>
      </c>
      <c r="I732">
        <v>1.047237716940167</v>
      </c>
      <c r="J732">
        <v>-9.6168033218809956E-2</v>
      </c>
      <c r="K732">
        <v>8.0338514883488976E-3</v>
      </c>
      <c r="L732">
        <v>0</v>
      </c>
      <c r="M732">
        <v>66504709.868500002</v>
      </c>
      <c r="N732">
        <v>0</v>
      </c>
      <c r="O732" t="b">
        <v>0</v>
      </c>
    </row>
    <row r="733" spans="1:15" x14ac:dyDescent="0.3">
      <c r="A733" s="1" t="s">
        <v>837</v>
      </c>
      <c r="B733">
        <v>0.1672350965982575</v>
      </c>
      <c r="C733">
        <v>2.427045671684085E-2</v>
      </c>
      <c r="D733">
        <v>1.7310840463944429E-2</v>
      </c>
      <c r="E733">
        <v>48.480302908392503</v>
      </c>
      <c r="F733">
        <v>-1.53432840086597E-2</v>
      </c>
      <c r="G733">
        <v>0.6</v>
      </c>
      <c r="H733">
        <v>2.0050674430152671E-2</v>
      </c>
      <c r="I733">
        <v>0.74825748399294123</v>
      </c>
      <c r="J733">
        <v>-6.9393554277317526E-2</v>
      </c>
      <c r="K733">
        <v>-1.1842720412559181E-2</v>
      </c>
      <c r="L733">
        <v>0</v>
      </c>
      <c r="M733">
        <v>166516948.6584</v>
      </c>
      <c r="N733">
        <v>0</v>
      </c>
      <c r="O733" t="b">
        <v>1</v>
      </c>
    </row>
    <row r="734" spans="1:15" x14ac:dyDescent="0.3">
      <c r="A734" s="1" t="s">
        <v>838</v>
      </c>
      <c r="B734">
        <v>4.1654448061566409</v>
      </c>
      <c r="C734">
        <v>1.6535907893739418E-2</v>
      </c>
      <c r="D734">
        <v>3.0055219667888031E-2</v>
      </c>
      <c r="E734">
        <v>60.441525561272741</v>
      </c>
      <c r="F734">
        <v>3.7910688828274967E-2</v>
      </c>
      <c r="G734">
        <v>0.4</v>
      </c>
      <c r="H734">
        <v>-0.1099342612286669</v>
      </c>
      <c r="I734">
        <v>0.25592567733201638</v>
      </c>
      <c r="J734">
        <v>0</v>
      </c>
      <c r="K734">
        <v>2.7978306202483649E-2</v>
      </c>
      <c r="L734">
        <v>0</v>
      </c>
      <c r="M734">
        <v>238788442.64199999</v>
      </c>
      <c r="N734">
        <v>0</v>
      </c>
      <c r="O734" t="b">
        <v>1</v>
      </c>
    </row>
    <row r="735" spans="1:15" x14ac:dyDescent="0.3">
      <c r="A735" s="1" t="s">
        <v>839</v>
      </c>
      <c r="B735">
        <v>0.12234756773050851</v>
      </c>
      <c r="C735">
        <v>2.6407450725007072E-3</v>
      </c>
      <c r="D735">
        <v>3.6455309330530451E-3</v>
      </c>
      <c r="E735">
        <v>52.190565043931912</v>
      </c>
      <c r="F735">
        <v>2.4948393825434678E-3</v>
      </c>
      <c r="G735">
        <v>0.2</v>
      </c>
      <c r="H735">
        <v>-8.8788535130103513E-2</v>
      </c>
      <c r="I735">
        <v>1.3397718535245601E-2</v>
      </c>
      <c r="J735">
        <v>-4.5421242273123719E-3</v>
      </c>
      <c r="K735">
        <v>3.0091986222633431E-3</v>
      </c>
      <c r="L735">
        <v>0</v>
      </c>
      <c r="M735">
        <v>115145240.34475</v>
      </c>
      <c r="N735">
        <v>0</v>
      </c>
      <c r="O735" t="b">
        <v>1</v>
      </c>
    </row>
    <row r="736" spans="1:15" x14ac:dyDescent="0.3">
      <c r="A736" s="1" t="s">
        <v>840</v>
      </c>
      <c r="B736">
        <v>2.2367252891749372</v>
      </c>
      <c r="C736">
        <v>1.3195863701755361E-2</v>
      </c>
      <c r="D736">
        <v>1.125060471262882E-2</v>
      </c>
      <c r="E736">
        <v>59.181838427408252</v>
      </c>
      <c r="F736">
        <v>2.5373655166702762E-3</v>
      </c>
      <c r="G736">
        <v>0.6</v>
      </c>
      <c r="H736">
        <v>1.3498423479600041E-3</v>
      </c>
      <c r="I736">
        <v>1.2343512727501851</v>
      </c>
      <c r="J736">
        <v>0</v>
      </c>
      <c r="K736">
        <v>4.4384396129255599E-3</v>
      </c>
      <c r="L736">
        <v>0</v>
      </c>
      <c r="M736">
        <v>62408653.189999998</v>
      </c>
      <c r="N736">
        <v>0</v>
      </c>
      <c r="O736" t="b">
        <v>0</v>
      </c>
    </row>
    <row r="737" spans="1:15" x14ac:dyDescent="0.3">
      <c r="A737" s="1" t="s">
        <v>841</v>
      </c>
      <c r="B737">
        <v>0.93616809009543811</v>
      </c>
      <c r="C737">
        <v>9.1192013373930982E-3</v>
      </c>
      <c r="D737">
        <v>1.3559454115079981E-2</v>
      </c>
      <c r="E737">
        <v>61.829853763234958</v>
      </c>
      <c r="F737">
        <v>1.9251389992057218E-2</v>
      </c>
      <c r="G737">
        <v>0.4</v>
      </c>
      <c r="H737">
        <v>-1.4535677682501431E-2</v>
      </c>
      <c r="I737">
        <v>0.7151424561478007</v>
      </c>
      <c r="J737">
        <v>0</v>
      </c>
      <c r="K737">
        <v>1.017466174661763E-2</v>
      </c>
      <c r="L737">
        <v>0</v>
      </c>
      <c r="M737">
        <v>62401175.192200013</v>
      </c>
      <c r="N737">
        <v>0</v>
      </c>
      <c r="O737" t="b">
        <v>0</v>
      </c>
    </row>
    <row r="738" spans="1:15" x14ac:dyDescent="0.3">
      <c r="A738" s="1" t="s">
        <v>842</v>
      </c>
      <c r="B738">
        <v>1.9183503443239689</v>
      </c>
      <c r="C738">
        <v>9.0399955907390864E-3</v>
      </c>
      <c r="D738">
        <v>1.3180526561329261E-2</v>
      </c>
      <c r="E738">
        <v>61.531741456904577</v>
      </c>
      <c r="F738">
        <v>1.8292185513087981E-2</v>
      </c>
      <c r="G738">
        <v>0.2</v>
      </c>
      <c r="H738">
        <v>-5.6230109264303607E-3</v>
      </c>
      <c r="I738">
        <v>0.7111290775143877</v>
      </c>
      <c r="J738">
        <v>0</v>
      </c>
      <c r="K738">
        <v>9.9468391420018953E-3</v>
      </c>
      <c r="L738">
        <v>0</v>
      </c>
      <c r="M738">
        <v>108892040.508</v>
      </c>
      <c r="N738">
        <v>0</v>
      </c>
      <c r="O738" t="b">
        <v>1</v>
      </c>
    </row>
    <row r="739" spans="1:15" x14ac:dyDescent="0.3">
      <c r="A739" s="1" t="s">
        <v>843</v>
      </c>
      <c r="B739">
        <v>7.2773234639534596</v>
      </c>
      <c r="C739">
        <v>1.0570099819535529E-2</v>
      </c>
      <c r="D739">
        <v>1.107218489372278E-2</v>
      </c>
      <c r="E739">
        <v>60.947506392027343</v>
      </c>
      <c r="F739">
        <v>8.906747322700248E-3</v>
      </c>
      <c r="G739">
        <v>0.6</v>
      </c>
      <c r="H739">
        <v>4.2781116638329992E-3</v>
      </c>
      <c r="I739">
        <v>0.99468903655728058</v>
      </c>
      <c r="J739">
        <v>0</v>
      </c>
      <c r="K739">
        <v>6.4231502379810124E-3</v>
      </c>
      <c r="L739">
        <v>0</v>
      </c>
      <c r="M739">
        <v>3429828716.2080002</v>
      </c>
      <c r="N739">
        <v>0</v>
      </c>
      <c r="O739" t="b">
        <v>1</v>
      </c>
    </row>
    <row r="740" spans="1:15" x14ac:dyDescent="0.3">
      <c r="A740" s="1" t="s">
        <v>844</v>
      </c>
      <c r="B740">
        <v>1.6889983993530071</v>
      </c>
      <c r="C740">
        <v>1.3578576534147509E-2</v>
      </c>
      <c r="D740">
        <v>1.1158722374524709E-2</v>
      </c>
      <c r="E740">
        <v>58.906841023243359</v>
      </c>
      <c r="F740">
        <v>1.6024092504911549E-3</v>
      </c>
      <c r="G740">
        <v>0.6</v>
      </c>
      <c r="H740">
        <v>7.2104545386930544E-3</v>
      </c>
      <c r="I740">
        <v>1.235362809104495</v>
      </c>
      <c r="J740">
        <v>0</v>
      </c>
      <c r="K740">
        <v>3.8657713787648711E-3</v>
      </c>
      <c r="L740">
        <v>0</v>
      </c>
      <c r="M740">
        <v>197145199.59650001</v>
      </c>
      <c r="N740">
        <v>0</v>
      </c>
      <c r="O740" t="b">
        <v>1</v>
      </c>
    </row>
    <row r="741" spans="1:15" x14ac:dyDescent="0.3">
      <c r="A741" s="1" t="s">
        <v>845</v>
      </c>
      <c r="B741">
        <v>0.81545908709529435</v>
      </c>
      <c r="C741">
        <v>3.0525075880247891E-2</v>
      </c>
      <c r="D741">
        <v>3.8615877579133387E-2</v>
      </c>
      <c r="E741">
        <v>72.441294680482869</v>
      </c>
      <c r="F741">
        <v>0.14923382690768941</v>
      </c>
      <c r="G741">
        <v>0.8</v>
      </c>
      <c r="H741">
        <v>0.16241338736702621</v>
      </c>
      <c r="I741">
        <v>1.5758312265276051</v>
      </c>
      <c r="J741">
        <v>0</v>
      </c>
      <c r="K741">
        <v>1.469566043110815E-2</v>
      </c>
      <c r="L741">
        <v>0</v>
      </c>
      <c r="M741">
        <v>82368094.225100011</v>
      </c>
      <c r="N741">
        <v>0</v>
      </c>
      <c r="O741" t="b">
        <v>0</v>
      </c>
    </row>
    <row r="742" spans="1:15" x14ac:dyDescent="0.3">
      <c r="A742" s="1" t="s">
        <v>846</v>
      </c>
      <c r="B742">
        <v>4.0168926106509737</v>
      </c>
      <c r="C742">
        <v>1.0692353340620509E-2</v>
      </c>
      <c r="D742">
        <v>1.1544430218351279E-2</v>
      </c>
      <c r="E742">
        <v>60.821355966665962</v>
      </c>
      <c r="F742">
        <v>9.7540653138017408E-3</v>
      </c>
      <c r="G742">
        <v>0.6</v>
      </c>
      <c r="H742">
        <v>-0.1338324560048843</v>
      </c>
      <c r="I742">
        <v>1.0060700626758929</v>
      </c>
      <c r="J742">
        <v>0</v>
      </c>
      <c r="K742">
        <v>7.0554112484484399E-3</v>
      </c>
      <c r="L742">
        <v>0</v>
      </c>
      <c r="M742">
        <v>271657915.76749998</v>
      </c>
      <c r="N742">
        <v>0</v>
      </c>
      <c r="O742" t="b">
        <v>1</v>
      </c>
    </row>
    <row r="743" spans="1:15" x14ac:dyDescent="0.3">
      <c r="A743" s="1" t="s">
        <v>847</v>
      </c>
      <c r="B743">
        <v>2.0964260370494978</v>
      </c>
      <c r="C743">
        <v>9.9604988599518145E-3</v>
      </c>
      <c r="D743">
        <v>1.550785370164477E-2</v>
      </c>
      <c r="E743">
        <v>63.468891219152681</v>
      </c>
      <c r="F743">
        <v>2.739906570796791E-2</v>
      </c>
      <c r="G743">
        <v>0.4</v>
      </c>
      <c r="H743">
        <v>-2.3047641035195229E-2</v>
      </c>
      <c r="I743">
        <v>0.7291139259007795</v>
      </c>
      <c r="J743">
        <v>0</v>
      </c>
      <c r="K743">
        <v>1.3658386229880691E-2</v>
      </c>
      <c r="L743">
        <v>0</v>
      </c>
      <c r="M743">
        <v>435006606.18550003</v>
      </c>
      <c r="N743">
        <v>0</v>
      </c>
      <c r="O743" t="b">
        <v>1</v>
      </c>
    </row>
    <row r="744" spans="1:15" x14ac:dyDescent="0.3">
      <c r="A744" s="1" t="s">
        <v>848</v>
      </c>
      <c r="B744">
        <v>6.526582217952936</v>
      </c>
      <c r="C744">
        <v>1.363152268018057E-2</v>
      </c>
      <c r="D744">
        <v>1.0871245190962111E-2</v>
      </c>
      <c r="E744">
        <v>56.989872727953049</v>
      </c>
      <c r="F744">
        <v>-5.3535481538879992E-3</v>
      </c>
      <c r="G744">
        <v>0.6</v>
      </c>
      <c r="H744">
        <v>-5.0039505632541066E-3</v>
      </c>
      <c r="I744">
        <v>1.2502243358513949</v>
      </c>
      <c r="J744">
        <v>-3.4717163349665681E-3</v>
      </c>
      <c r="K744">
        <v>1.629683247316382E-3</v>
      </c>
      <c r="L744">
        <v>0</v>
      </c>
      <c r="M744">
        <v>513727605.1135</v>
      </c>
      <c r="N744">
        <v>0</v>
      </c>
      <c r="O744" t="b">
        <v>1</v>
      </c>
    </row>
    <row r="745" spans="1:15" x14ac:dyDescent="0.3">
      <c r="A745" s="1" t="s">
        <v>849</v>
      </c>
      <c r="B745">
        <v>4.2699345780328271</v>
      </c>
      <c r="C745">
        <v>1.6813546247934019E-2</v>
      </c>
      <c r="D745">
        <v>2.3665330487718409E-2</v>
      </c>
      <c r="E745">
        <v>65.001342263188704</v>
      </c>
      <c r="F745">
        <v>4.4175088605096668E-2</v>
      </c>
      <c r="G745">
        <v>0.8</v>
      </c>
      <c r="H745">
        <v>3.0721466952610889E-2</v>
      </c>
      <c r="I745">
        <v>1.349744201786597</v>
      </c>
      <c r="J745">
        <v>0</v>
      </c>
      <c r="K745">
        <v>1.3602075434045119E-2</v>
      </c>
      <c r="L745">
        <v>0</v>
      </c>
      <c r="M745">
        <v>6918598610.2635002</v>
      </c>
      <c r="N745">
        <v>0</v>
      </c>
      <c r="O745" t="b">
        <v>1</v>
      </c>
    </row>
    <row r="746" spans="1:15" x14ac:dyDescent="0.3">
      <c r="A746" s="1" t="s">
        <v>850</v>
      </c>
      <c r="B746">
        <v>2.8784729232439599</v>
      </c>
      <c r="C746">
        <v>1.542523859236453E-2</v>
      </c>
      <c r="D746">
        <v>2.616179370659337E-2</v>
      </c>
      <c r="E746">
        <v>68.954579736340719</v>
      </c>
      <c r="F746">
        <v>5.9442028409542491E-2</v>
      </c>
      <c r="G746">
        <v>0.6</v>
      </c>
      <c r="H746">
        <v>3.1487405149517138E-2</v>
      </c>
      <c r="I746">
        <v>1.1539381858555811</v>
      </c>
      <c r="J746">
        <v>0</v>
      </c>
      <c r="K746">
        <v>1.9387192107462651E-2</v>
      </c>
      <c r="L746">
        <v>0</v>
      </c>
      <c r="M746">
        <v>130935159.2</v>
      </c>
      <c r="N746">
        <v>0</v>
      </c>
      <c r="O746" t="b">
        <v>1</v>
      </c>
    </row>
    <row r="747" spans="1:15" x14ac:dyDescent="0.3">
      <c r="A747" s="1" t="s">
        <v>851</v>
      </c>
      <c r="B747">
        <v>6.332912489593693</v>
      </c>
      <c r="C747">
        <v>1.8977861820778229E-2</v>
      </c>
      <c r="D747">
        <v>2.1321546299071049E-2</v>
      </c>
      <c r="E747">
        <v>61.401533130138702</v>
      </c>
      <c r="F747">
        <v>2.9172744964393701E-2</v>
      </c>
      <c r="G747">
        <v>0.8</v>
      </c>
      <c r="H747">
        <v>2.793554959828989E-2</v>
      </c>
      <c r="I747">
        <v>1.5356292750634011</v>
      </c>
      <c r="J747">
        <v>0</v>
      </c>
      <c r="K747">
        <v>8.3825386944513802E-3</v>
      </c>
      <c r="L747">
        <v>0</v>
      </c>
      <c r="M747">
        <v>105853258.748</v>
      </c>
      <c r="N747">
        <v>0</v>
      </c>
      <c r="O747" t="b">
        <v>1</v>
      </c>
    </row>
    <row r="748" spans="1:15" x14ac:dyDescent="0.3">
      <c r="A748" s="1" t="s">
        <v>852</v>
      </c>
      <c r="B748">
        <v>1.9548028905707</v>
      </c>
      <c r="C748">
        <v>1.396487277161523E-2</v>
      </c>
      <c r="D748">
        <v>1.6409487069581351E-2</v>
      </c>
      <c r="E748">
        <v>56.092609666841987</v>
      </c>
      <c r="F748">
        <v>-5.1101997882004868E-3</v>
      </c>
      <c r="G748">
        <v>0.6</v>
      </c>
      <c r="H748">
        <v>-0.2444378372369205</v>
      </c>
      <c r="I748">
        <v>1.1541401287028781</v>
      </c>
      <c r="J748">
        <v>-3.0553596991645948E-3</v>
      </c>
      <c r="K748">
        <v>1.0744302920024261E-2</v>
      </c>
      <c r="L748">
        <v>0</v>
      </c>
      <c r="M748">
        <v>118731199.90700001</v>
      </c>
      <c r="N748">
        <v>0</v>
      </c>
      <c r="O748" t="b">
        <v>1</v>
      </c>
    </row>
    <row r="749" spans="1:15" x14ac:dyDescent="0.3">
      <c r="A749" s="1" t="s">
        <v>853</v>
      </c>
      <c r="B749">
        <v>1.160230171488978</v>
      </c>
      <c r="C749">
        <v>1.1882235296233759E-2</v>
      </c>
      <c r="D749">
        <v>1.754432679496264E-2</v>
      </c>
      <c r="E749">
        <v>61.922130833267502</v>
      </c>
      <c r="F749">
        <v>1.9974533044888831E-2</v>
      </c>
      <c r="G749">
        <v>0.6</v>
      </c>
      <c r="H749">
        <v>-0.12259598068482851</v>
      </c>
      <c r="I749">
        <v>0.92687059252838966</v>
      </c>
      <c r="J749">
        <v>0</v>
      </c>
      <c r="K749">
        <v>1.438192722395759E-2</v>
      </c>
      <c r="L749">
        <v>0</v>
      </c>
      <c r="M749">
        <v>142297090.70860001</v>
      </c>
      <c r="N749">
        <v>0</v>
      </c>
      <c r="O749" t="b">
        <v>1</v>
      </c>
    </row>
    <row r="750" spans="1:15" x14ac:dyDescent="0.3">
      <c r="A750" s="1" t="s">
        <v>854</v>
      </c>
      <c r="B750">
        <v>1.653681486523884</v>
      </c>
      <c r="C750">
        <v>1.158673145362232E-2</v>
      </c>
      <c r="D750">
        <v>1.890388307338748E-2</v>
      </c>
      <c r="E750">
        <v>64.021967522040043</v>
      </c>
      <c r="F750">
        <v>2.8256484149855821E-2</v>
      </c>
      <c r="G750">
        <v>0.6</v>
      </c>
      <c r="H750">
        <v>-6.8278082935281578E-2</v>
      </c>
      <c r="I750">
        <v>0.84957903196982565</v>
      </c>
      <c r="J750">
        <v>0</v>
      </c>
      <c r="K750">
        <v>1.580048682581037E-2</v>
      </c>
      <c r="L750">
        <v>0</v>
      </c>
      <c r="M750">
        <v>55011306.553499997</v>
      </c>
      <c r="N750">
        <v>0</v>
      </c>
      <c r="O750" t="b">
        <v>0</v>
      </c>
    </row>
    <row r="751" spans="1:15" x14ac:dyDescent="0.3">
      <c r="A751" s="1" t="s">
        <v>855</v>
      </c>
      <c r="B751">
        <v>4.0818234029220726</v>
      </c>
      <c r="C751">
        <v>1.04731422400513E-2</v>
      </c>
      <c r="D751">
        <v>1.1204848335565631E-2</v>
      </c>
      <c r="E751">
        <v>61.544978208752291</v>
      </c>
      <c r="F751">
        <v>1.128196079855948E-2</v>
      </c>
      <c r="G751">
        <v>0.6</v>
      </c>
      <c r="H751">
        <v>-6.0042593881072713E-2</v>
      </c>
      <c r="I751">
        <v>1.0181597343592881</v>
      </c>
      <c r="J751">
        <v>0</v>
      </c>
      <c r="K751">
        <v>7.6841533728055911E-3</v>
      </c>
      <c r="L751">
        <v>0</v>
      </c>
      <c r="M751">
        <v>56233544.824500002</v>
      </c>
      <c r="N751">
        <v>0</v>
      </c>
      <c r="O751" t="b">
        <v>0</v>
      </c>
    </row>
    <row r="752" spans="1:15" x14ac:dyDescent="0.3">
      <c r="A752" s="1" t="s">
        <v>856</v>
      </c>
      <c r="B752">
        <v>3.8456947829805901</v>
      </c>
      <c r="C752">
        <v>1.3740120273039891E-2</v>
      </c>
      <c r="D752">
        <v>1.035056879894832E-2</v>
      </c>
      <c r="E752">
        <v>56.515643979504709</v>
      </c>
      <c r="F752">
        <v>-6.1007222857467616E-3</v>
      </c>
      <c r="G752">
        <v>0.8</v>
      </c>
      <c r="H752">
        <v>2.2642124028269942E-2</v>
      </c>
      <c r="I752">
        <v>1.253813818579993</v>
      </c>
      <c r="J752">
        <v>-5.3271828478217431E-3</v>
      </c>
      <c r="K752">
        <v>9.6560307276338797E-4</v>
      </c>
      <c r="L752">
        <v>0</v>
      </c>
      <c r="M752">
        <v>64393747.005999997</v>
      </c>
      <c r="N752">
        <v>0</v>
      </c>
      <c r="O752" t="b">
        <v>0</v>
      </c>
    </row>
    <row r="753" spans="1:15" x14ac:dyDescent="0.3">
      <c r="A753" s="1" t="s">
        <v>857</v>
      </c>
      <c r="B753">
        <v>0.41507285514148629</v>
      </c>
      <c r="C753">
        <v>1.473980309451301E-2</v>
      </c>
      <c r="D753">
        <v>1.6690340909090991E-2</v>
      </c>
      <c r="E753">
        <v>72.35695162807788</v>
      </c>
      <c r="F753">
        <v>0.1148060174188439</v>
      </c>
      <c r="G753">
        <v>0.6</v>
      </c>
      <c r="H753">
        <v>-2.5959375948094148E-3</v>
      </c>
      <c r="I753">
        <v>0.79413729597394023</v>
      </c>
      <c r="J753">
        <v>0</v>
      </c>
      <c r="K753">
        <v>1.331414177761792E-2</v>
      </c>
      <c r="L753">
        <v>0</v>
      </c>
      <c r="M753">
        <v>3565165.1483999998</v>
      </c>
      <c r="N753">
        <v>1</v>
      </c>
      <c r="O753" t="b">
        <v>0</v>
      </c>
    </row>
    <row r="754" spans="1:15" x14ac:dyDescent="0.3">
      <c r="A754" s="1" t="s">
        <v>858</v>
      </c>
      <c r="B754">
        <v>1.1460872488239251</v>
      </c>
      <c r="C754">
        <v>1.1984073153996419E-2</v>
      </c>
      <c r="D754">
        <v>1.5693130700105171E-2</v>
      </c>
      <c r="E754">
        <v>53.663751893318377</v>
      </c>
      <c r="F754">
        <v>3.5514318228821118E-2</v>
      </c>
      <c r="G754">
        <v>0.2</v>
      </c>
      <c r="H754">
        <v>4.8493000172395259E-2</v>
      </c>
      <c r="I754">
        <v>0.43783217568225929</v>
      </c>
      <c r="J754">
        <v>-2.9942354956733249E-2</v>
      </c>
      <c r="K754">
        <v>1.551504622870015E-2</v>
      </c>
      <c r="L754">
        <v>0</v>
      </c>
      <c r="M754">
        <v>13337786.98545</v>
      </c>
      <c r="N754">
        <v>0</v>
      </c>
      <c r="O754" t="b">
        <v>0</v>
      </c>
    </row>
    <row r="755" spans="1:15" x14ac:dyDescent="0.3">
      <c r="A755" s="1" t="s">
        <v>859</v>
      </c>
      <c r="B755">
        <v>1.874396141936598</v>
      </c>
      <c r="C755">
        <v>1.74964635670363E-2</v>
      </c>
      <c r="D755">
        <v>1.38803323065434E-2</v>
      </c>
      <c r="E755">
        <v>61.014152154344977</v>
      </c>
      <c r="F755">
        <v>-2.0307784029511828E-3</v>
      </c>
      <c r="G755">
        <v>1</v>
      </c>
      <c r="H755">
        <v>9.9404886966163106E-2</v>
      </c>
      <c r="I755">
        <v>1.525160878119737</v>
      </c>
      <c r="J755">
        <v>0</v>
      </c>
      <c r="K755">
        <v>3.5221162673060298E-3</v>
      </c>
      <c r="L755">
        <v>0</v>
      </c>
      <c r="M755">
        <v>14562505.99815</v>
      </c>
      <c r="N755">
        <v>0</v>
      </c>
      <c r="O755" t="b">
        <v>0</v>
      </c>
    </row>
    <row r="756" spans="1:15" x14ac:dyDescent="0.3">
      <c r="A756" s="1" t="s">
        <v>860</v>
      </c>
      <c r="B756">
        <v>0.70270890588267998</v>
      </c>
      <c r="C756">
        <v>8.3948041263001202E-3</v>
      </c>
      <c r="D756">
        <v>1.2428978969651561E-2</v>
      </c>
      <c r="E756">
        <v>62.497045284481779</v>
      </c>
      <c r="F756">
        <v>9.4690939963146814E-3</v>
      </c>
      <c r="G756">
        <v>0.6</v>
      </c>
      <c r="H756">
        <v>-3.6290855449747521E-2</v>
      </c>
      <c r="I756">
        <v>0.79622115283334549</v>
      </c>
      <c r="J756">
        <v>0</v>
      </c>
      <c r="K756">
        <v>1.090519125749068E-2</v>
      </c>
      <c r="L756">
        <v>0</v>
      </c>
      <c r="M756">
        <v>116341394.9868</v>
      </c>
      <c r="N756">
        <v>0</v>
      </c>
      <c r="O756" t="b">
        <v>1</v>
      </c>
    </row>
    <row r="757" spans="1:15" x14ac:dyDescent="0.3">
      <c r="A757" s="1" t="s">
        <v>861</v>
      </c>
      <c r="B757">
        <v>1.5385375513609549</v>
      </c>
      <c r="C757">
        <v>1.2070274595857329E-2</v>
      </c>
      <c r="D757">
        <v>1.8044168987565189E-2</v>
      </c>
      <c r="E757">
        <v>64.511409975752059</v>
      </c>
      <c r="F757">
        <v>2.8101080004194309E-2</v>
      </c>
      <c r="G757">
        <v>0.4</v>
      </c>
      <c r="H757">
        <v>-7.4571173447119679E-2</v>
      </c>
      <c r="I757">
        <v>0.69144351489784528</v>
      </c>
      <c r="J757">
        <v>0</v>
      </c>
      <c r="K757">
        <v>1.257526890262306E-2</v>
      </c>
      <c r="L757">
        <v>0</v>
      </c>
      <c r="M757">
        <v>32863711.098000001</v>
      </c>
      <c r="N757">
        <v>0</v>
      </c>
      <c r="O757" t="b">
        <v>0</v>
      </c>
    </row>
    <row r="758" spans="1:15" x14ac:dyDescent="0.3">
      <c r="A758" s="1" t="s">
        <v>862</v>
      </c>
      <c r="B758">
        <v>1.034386506509368</v>
      </c>
      <c r="C758">
        <v>1.1044860255809389E-2</v>
      </c>
      <c r="D758">
        <v>1.026339729982537E-2</v>
      </c>
      <c r="E758">
        <v>44.265784136577999</v>
      </c>
      <c r="F758">
        <v>-1.0262691507361249E-2</v>
      </c>
      <c r="G758">
        <v>0.2</v>
      </c>
      <c r="H758">
        <v>-0.14809534793426041</v>
      </c>
      <c r="I758">
        <v>0.36085988232127653</v>
      </c>
      <c r="J758">
        <v>-2.4664267898335309E-2</v>
      </c>
      <c r="K758">
        <v>3.7178625666220988E-3</v>
      </c>
      <c r="L758">
        <v>0</v>
      </c>
      <c r="M758">
        <v>549270218.04499996</v>
      </c>
      <c r="N758">
        <v>0</v>
      </c>
      <c r="O758" t="b">
        <v>1</v>
      </c>
    </row>
    <row r="759" spans="1:15" x14ac:dyDescent="0.3">
      <c r="A759" s="1" t="s">
        <v>863</v>
      </c>
      <c r="B759">
        <v>3.48667543022591</v>
      </c>
      <c r="C759">
        <v>1.7037011088163429E-2</v>
      </c>
      <c r="D759">
        <v>1.368169535750764E-2</v>
      </c>
      <c r="E759">
        <v>61.258237185052607</v>
      </c>
      <c r="F759">
        <v>-6.8361711581943485E-4</v>
      </c>
      <c r="G759">
        <v>1</v>
      </c>
      <c r="H759">
        <v>0.10167652024924489</v>
      </c>
      <c r="I759">
        <v>1.515880032388212</v>
      </c>
      <c r="J759">
        <v>0</v>
      </c>
      <c r="K759">
        <v>2.105541491408847E-3</v>
      </c>
      <c r="L759">
        <v>0</v>
      </c>
      <c r="M759">
        <v>114784459.9065</v>
      </c>
      <c r="N759">
        <v>0</v>
      </c>
      <c r="O759" t="b">
        <v>1</v>
      </c>
    </row>
    <row r="760" spans="1:15" x14ac:dyDescent="0.3">
      <c r="A760" s="1" t="s">
        <v>864</v>
      </c>
      <c r="B760">
        <v>4.3622412615936206</v>
      </c>
      <c r="C760">
        <v>3.233685145732855E-2</v>
      </c>
      <c r="D760">
        <v>4.5693106004447863E-2</v>
      </c>
      <c r="E760">
        <v>38.102119083546746</v>
      </c>
      <c r="F760">
        <v>-0.12123561178026319</v>
      </c>
      <c r="G760">
        <v>0.2</v>
      </c>
      <c r="H760">
        <v>-0.1104488032694876</v>
      </c>
      <c r="I760">
        <v>1.507491769380026</v>
      </c>
      <c r="J760">
        <v>-0.12345109454902239</v>
      </c>
      <c r="K760">
        <v>-1.4789118130363431E-2</v>
      </c>
      <c r="L760">
        <v>0</v>
      </c>
      <c r="M760">
        <v>100672132.8495</v>
      </c>
      <c r="N760">
        <v>0</v>
      </c>
      <c r="O760" t="b">
        <v>1</v>
      </c>
    </row>
    <row r="761" spans="1:15" x14ac:dyDescent="0.3">
      <c r="A761" s="1" t="s">
        <v>865</v>
      </c>
      <c r="B761">
        <v>4.2645632212652759E-2</v>
      </c>
      <c r="C761">
        <v>8.5115755736975881E-4</v>
      </c>
      <c r="D761">
        <v>7.9037025653103468E-4</v>
      </c>
      <c r="E761">
        <v>70.637356404505212</v>
      </c>
      <c r="F761">
        <v>2.4710081713339438E-3</v>
      </c>
      <c r="G761">
        <v>0.2</v>
      </c>
      <c r="H761">
        <v>-8.2987743316783852E-2</v>
      </c>
      <c r="I761">
        <v>3.092145257838327E-2</v>
      </c>
      <c r="J761">
        <v>-3.9502901867216611E-4</v>
      </c>
      <c r="K761">
        <v>3.9534136129204528E-4</v>
      </c>
      <c r="L761">
        <v>0</v>
      </c>
      <c r="M761">
        <v>273983311.16979998</v>
      </c>
      <c r="N761">
        <v>0</v>
      </c>
      <c r="O761" t="b">
        <v>1</v>
      </c>
    </row>
    <row r="762" spans="1:15" x14ac:dyDescent="0.3">
      <c r="A762" s="1" t="s">
        <v>866</v>
      </c>
      <c r="B762">
        <v>0.73116607617529283</v>
      </c>
      <c r="C762">
        <v>1.019109291963957E-2</v>
      </c>
      <c r="D762">
        <v>1.6463727392341889E-2</v>
      </c>
      <c r="E762">
        <v>64.340657043612282</v>
      </c>
      <c r="F762">
        <v>2.8261364955563421E-2</v>
      </c>
      <c r="G762">
        <v>0.4</v>
      </c>
      <c r="H762">
        <v>-5.3878797034445066E-3</v>
      </c>
      <c r="I762">
        <v>0.76115649516939721</v>
      </c>
      <c r="J762">
        <v>0</v>
      </c>
      <c r="K762">
        <v>1.436169761543216E-2</v>
      </c>
      <c r="L762">
        <v>0</v>
      </c>
      <c r="M762">
        <v>17184814.949700002</v>
      </c>
      <c r="N762">
        <v>1</v>
      </c>
      <c r="O762" t="b">
        <v>0</v>
      </c>
    </row>
    <row r="763" spans="1:15" x14ac:dyDescent="0.3">
      <c r="A763" s="1" t="s">
        <v>867</v>
      </c>
      <c r="B763">
        <v>5.6060279087307219</v>
      </c>
      <c r="C763">
        <v>3.3982105284177257E-2</v>
      </c>
      <c r="D763">
        <v>3.0854094683881939E-2</v>
      </c>
      <c r="E763">
        <v>54.836293839299749</v>
      </c>
      <c r="F763">
        <v>0.23860650198963879</v>
      </c>
      <c r="G763">
        <v>0.4</v>
      </c>
      <c r="H763">
        <v>0.11071093682621989</v>
      </c>
      <c r="I763">
        <v>-0.38956836468704997</v>
      </c>
      <c r="J763">
        <v>-8.805970149253739E-2</v>
      </c>
      <c r="K763">
        <v>1.670159004067551E-2</v>
      </c>
      <c r="L763">
        <v>0</v>
      </c>
      <c r="M763">
        <v>92703459</v>
      </c>
      <c r="N763">
        <v>1</v>
      </c>
      <c r="O763" t="b">
        <v>0</v>
      </c>
    </row>
    <row r="764" spans="1:15" x14ac:dyDescent="0.3">
      <c r="A764" s="1" t="s">
        <v>868</v>
      </c>
      <c r="B764">
        <v>4.982973147178174</v>
      </c>
      <c r="C764">
        <v>2.5150018408005719E-2</v>
      </c>
      <c r="D764">
        <v>5.0270024731237109E-2</v>
      </c>
      <c r="E764">
        <v>81.375771073254072</v>
      </c>
      <c r="F764">
        <v>0.17598528015194681</v>
      </c>
      <c r="G764">
        <v>0.6</v>
      </c>
      <c r="H764">
        <v>0.15232282259152191</v>
      </c>
      <c r="I764">
        <v>0.2420144545644663</v>
      </c>
      <c r="J764">
        <v>0</v>
      </c>
      <c r="K764">
        <v>4.4053327712493928E-2</v>
      </c>
      <c r="L764">
        <v>0</v>
      </c>
      <c r="M764">
        <v>159584648.2525</v>
      </c>
      <c r="N764">
        <v>0</v>
      </c>
      <c r="O764" t="b">
        <v>1</v>
      </c>
    </row>
    <row r="765" spans="1:15" x14ac:dyDescent="0.3">
      <c r="A765" s="1" t="s">
        <v>869</v>
      </c>
      <c r="B765">
        <v>7.7870459119465201</v>
      </c>
      <c r="C765">
        <v>3.3871742737851221E-2</v>
      </c>
      <c r="D765">
        <v>3.7568834874596557E-2</v>
      </c>
      <c r="E765">
        <v>69.092223951435344</v>
      </c>
      <c r="F765">
        <v>4.9264276325397871E-2</v>
      </c>
      <c r="G765">
        <v>1</v>
      </c>
      <c r="H765">
        <v>3.064005822394986E-2</v>
      </c>
      <c r="I765">
        <v>1.943421911617127</v>
      </c>
      <c r="J765">
        <v>0</v>
      </c>
      <c r="K765">
        <v>8.2449631169467796E-3</v>
      </c>
      <c r="L765">
        <v>0</v>
      </c>
      <c r="M765">
        <v>224551757.891</v>
      </c>
      <c r="N765">
        <v>0</v>
      </c>
      <c r="O765" t="b">
        <v>1</v>
      </c>
    </row>
    <row r="766" spans="1:15" x14ac:dyDescent="0.3">
      <c r="A766" s="1" t="s">
        <v>870</v>
      </c>
      <c r="B766">
        <v>0.2438156813925409</v>
      </c>
      <c r="C766">
        <v>4.5381996045159604E-3</v>
      </c>
      <c r="D766">
        <v>3.5104569177965088E-3</v>
      </c>
      <c r="E766">
        <v>51.317316250978642</v>
      </c>
      <c r="F766">
        <v>3.3822587362566381E-3</v>
      </c>
      <c r="G766">
        <v>0.4</v>
      </c>
      <c r="H766">
        <v>-8.6019512748549951E-2</v>
      </c>
      <c r="I766">
        <v>-1.875708584922715E-2</v>
      </c>
      <c r="J766">
        <v>-5.8013978870697924E-3</v>
      </c>
      <c r="K766">
        <v>2.8728068947365681E-3</v>
      </c>
      <c r="L766">
        <v>0</v>
      </c>
      <c r="M766">
        <v>17791693.621849999</v>
      </c>
      <c r="N766">
        <v>0</v>
      </c>
      <c r="O766" t="b">
        <v>0</v>
      </c>
    </row>
    <row r="767" spans="1:15" x14ac:dyDescent="0.3">
      <c r="A767" s="1" t="s">
        <v>871</v>
      </c>
      <c r="B767">
        <v>0.40279588625856749</v>
      </c>
      <c r="C767">
        <v>2.870961413104544E-2</v>
      </c>
      <c r="D767">
        <v>1.88880969351389E-2</v>
      </c>
      <c r="E767">
        <v>49.973514792329603</v>
      </c>
      <c r="F767">
        <v>7.0992366412213626E-2</v>
      </c>
      <c r="G767">
        <v>0.4</v>
      </c>
      <c r="H767">
        <v>-0.13540087185747521</v>
      </c>
      <c r="I767">
        <v>0.23345968797918371</v>
      </c>
      <c r="J767">
        <v>-6.2792251169004776E-2</v>
      </c>
      <c r="K767">
        <v>1.22655122655122E-2</v>
      </c>
      <c r="O767" t="b">
        <v>0</v>
      </c>
    </row>
    <row r="768" spans="1:15" x14ac:dyDescent="0.3">
      <c r="A768" s="1" t="s">
        <v>872</v>
      </c>
      <c r="B768">
        <v>4.8689184629437179</v>
      </c>
      <c r="C768">
        <v>3.1699307036880391E-2</v>
      </c>
      <c r="D768">
        <v>0.109494326061056</v>
      </c>
      <c r="E768">
        <v>69.840437205537768</v>
      </c>
      <c r="F768">
        <v>8.1273054937628597E-2</v>
      </c>
      <c r="G768">
        <v>0.2</v>
      </c>
      <c r="H768">
        <v>4.0037163021157278E-2</v>
      </c>
      <c r="I768">
        <v>0.77903391001982292</v>
      </c>
      <c r="J768">
        <v>0</v>
      </c>
      <c r="K768">
        <v>0.1160301682797107</v>
      </c>
      <c r="L768">
        <v>0</v>
      </c>
      <c r="M768">
        <v>61072787.001000002</v>
      </c>
      <c r="N768">
        <v>0</v>
      </c>
      <c r="O768" t="b">
        <v>0</v>
      </c>
    </row>
    <row r="769" spans="1:15" x14ac:dyDescent="0.3">
      <c r="A769" s="1" t="s">
        <v>873</v>
      </c>
      <c r="B769">
        <v>2.4252979281009832</v>
      </c>
      <c r="C769">
        <v>2.0942042380631919E-2</v>
      </c>
      <c r="D769">
        <v>1.7615059148605401E-2</v>
      </c>
      <c r="E769">
        <v>53.15472622785272</v>
      </c>
      <c r="F769">
        <v>-5.5229238048621232E-2</v>
      </c>
      <c r="G769">
        <v>0.8</v>
      </c>
      <c r="H769">
        <v>3.3497300203605737E-2</v>
      </c>
      <c r="I769">
        <v>0.90459840016287585</v>
      </c>
      <c r="J769">
        <v>-5.5845426381868513E-2</v>
      </c>
      <c r="K769">
        <v>3.4551265440097012E-4</v>
      </c>
      <c r="L769">
        <v>0</v>
      </c>
      <c r="M769">
        <v>407680765.33960003</v>
      </c>
      <c r="N769">
        <v>0</v>
      </c>
      <c r="O769" t="b">
        <v>1</v>
      </c>
    </row>
    <row r="770" spans="1:15" x14ac:dyDescent="0.3">
      <c r="A770" s="1" t="s">
        <v>874</v>
      </c>
      <c r="B770">
        <v>0.1312931066897953</v>
      </c>
      <c r="C770">
        <v>2.7891264390310249E-3</v>
      </c>
      <c r="D770">
        <v>4.2147124053601506E-3</v>
      </c>
      <c r="E770">
        <v>52.413689274003048</v>
      </c>
      <c r="F770">
        <v>3.6715635061086438E-3</v>
      </c>
      <c r="G770">
        <v>0.2</v>
      </c>
      <c r="H770">
        <v>-8.6483403734128744E-2</v>
      </c>
      <c r="I770">
        <v>5.1427915385183019E-3</v>
      </c>
      <c r="J770">
        <v>-5.2365757274782654E-3</v>
      </c>
      <c r="K770">
        <v>3.0641772534913958E-3</v>
      </c>
      <c r="L770">
        <v>0</v>
      </c>
      <c r="M770">
        <v>35864694.222200014</v>
      </c>
      <c r="N770">
        <v>0</v>
      </c>
      <c r="O770" t="b">
        <v>0</v>
      </c>
    </row>
    <row r="771" spans="1:15" x14ac:dyDescent="0.3">
      <c r="A771" s="1" t="s">
        <v>875</v>
      </c>
      <c r="B771">
        <v>0.67849441075800121</v>
      </c>
      <c r="C771">
        <v>2.2914367131307029E-2</v>
      </c>
      <c r="D771">
        <v>1.1077338736913189E-2</v>
      </c>
      <c r="E771">
        <v>39.961305751729952</v>
      </c>
      <c r="F771">
        <v>-5.7306590257879653E-2</v>
      </c>
      <c r="G771">
        <v>0.4</v>
      </c>
      <c r="H771">
        <v>-0.15721559286019329</v>
      </c>
      <c r="I771">
        <v>1.3138153479272101</v>
      </c>
      <c r="J771">
        <v>-6.3271116735210353E-2</v>
      </c>
      <c r="K771">
        <v>-3.0303030303030498E-3</v>
      </c>
      <c r="L771">
        <v>0</v>
      </c>
      <c r="M771">
        <v>388771077</v>
      </c>
      <c r="N771">
        <v>0</v>
      </c>
      <c r="O771" t="b">
        <v>1</v>
      </c>
    </row>
    <row r="772" spans="1:15" x14ac:dyDescent="0.3">
      <c r="A772" s="1" t="s">
        <v>876</v>
      </c>
      <c r="B772">
        <v>2.138498243602919</v>
      </c>
      <c r="C772">
        <v>3.4846214471056021E-2</v>
      </c>
      <c r="D772">
        <v>4.7225336322869883E-2</v>
      </c>
      <c r="E772">
        <v>68.376298283759411</v>
      </c>
      <c r="F772">
        <v>0.11591032655636591</v>
      </c>
      <c r="G772">
        <v>0.8</v>
      </c>
      <c r="H772">
        <v>-5.6362823722663838E-2</v>
      </c>
      <c r="I772">
        <v>1.980470435600346</v>
      </c>
      <c r="J772">
        <v>0</v>
      </c>
      <c r="K772">
        <v>3.7763543266076338E-2</v>
      </c>
      <c r="L772">
        <v>0</v>
      </c>
      <c r="M772">
        <v>93824669.129049987</v>
      </c>
      <c r="N772">
        <v>0</v>
      </c>
      <c r="O772" t="b">
        <v>1</v>
      </c>
    </row>
    <row r="773" spans="1:15" x14ac:dyDescent="0.3">
      <c r="A773" s="1" t="s">
        <v>877</v>
      </c>
      <c r="B773">
        <v>0.40882479849391878</v>
      </c>
      <c r="C773">
        <v>7.2162701929267686E-3</v>
      </c>
      <c r="D773">
        <v>8.5343811117465449E-3</v>
      </c>
      <c r="E773">
        <v>59.750610965956319</v>
      </c>
      <c r="F773">
        <v>1.8691437541469069E-2</v>
      </c>
      <c r="G773">
        <v>0.2</v>
      </c>
      <c r="H773">
        <v>-7.8931050919848339E-2</v>
      </c>
      <c r="I773">
        <v>0.45092934617271352</v>
      </c>
      <c r="J773">
        <v>-2.2419668724298352E-3</v>
      </c>
      <c r="K773">
        <v>6.8404412431155581E-3</v>
      </c>
      <c r="L773">
        <v>0</v>
      </c>
      <c r="M773">
        <v>244418621.52500001</v>
      </c>
      <c r="N773">
        <v>0</v>
      </c>
      <c r="O773" t="b">
        <v>1</v>
      </c>
    </row>
    <row r="774" spans="1:15" x14ac:dyDescent="0.3">
      <c r="A774" s="1" t="s">
        <v>878</v>
      </c>
      <c r="B774">
        <v>0.66948871446649794</v>
      </c>
      <c r="C774">
        <v>1.155055613486339E-2</v>
      </c>
      <c r="D774">
        <v>9.4838651797052084E-3</v>
      </c>
      <c r="E774">
        <v>64.939741445573105</v>
      </c>
      <c r="F774">
        <v>1.4302388864681159E-2</v>
      </c>
      <c r="G774">
        <v>0.8</v>
      </c>
      <c r="H774">
        <v>0.1412232560858846</v>
      </c>
      <c r="I774">
        <v>0.95258540159206528</v>
      </c>
      <c r="J774">
        <v>0</v>
      </c>
      <c r="K774">
        <v>3.5684913125155759E-3</v>
      </c>
      <c r="L774">
        <v>0</v>
      </c>
      <c r="M774">
        <v>290656879.47149998</v>
      </c>
      <c r="N774">
        <v>0</v>
      </c>
      <c r="O774" t="b">
        <v>1</v>
      </c>
    </row>
    <row r="775" spans="1:15" x14ac:dyDescent="0.3">
      <c r="A775" s="1" t="s">
        <v>879</v>
      </c>
      <c r="B775">
        <v>0.57586910174690786</v>
      </c>
      <c r="C775">
        <v>8.5609579413784172E-3</v>
      </c>
      <c r="D775">
        <v>9.1070050797643475E-3</v>
      </c>
      <c r="E775">
        <v>55.345564471221508</v>
      </c>
      <c r="F775">
        <v>-3.3662201585027418E-3</v>
      </c>
      <c r="G775">
        <v>0.2</v>
      </c>
      <c r="H775">
        <v>-0.1966082791081972</v>
      </c>
      <c r="I775">
        <v>0.8256265440490782</v>
      </c>
      <c r="J775">
        <v>-1.118367958934363E-2</v>
      </c>
      <c r="K775">
        <v>6.2077517617300506E-3</v>
      </c>
      <c r="L775">
        <v>0</v>
      </c>
      <c r="M775">
        <v>6917271.8363000005</v>
      </c>
      <c r="N775">
        <v>0</v>
      </c>
      <c r="O775" t="b">
        <v>0</v>
      </c>
    </row>
    <row r="776" spans="1:15" x14ac:dyDescent="0.3">
      <c r="A776" s="1" t="s">
        <v>880</v>
      </c>
      <c r="B776">
        <v>1.353593427505311</v>
      </c>
      <c r="C776">
        <v>1.428593138693585E-2</v>
      </c>
      <c r="D776">
        <v>1.1369908844423319E-2</v>
      </c>
      <c r="E776">
        <v>57.696137991920317</v>
      </c>
      <c r="F776">
        <v>-2.6273767180317038E-3</v>
      </c>
      <c r="G776">
        <v>1</v>
      </c>
      <c r="H776">
        <v>-5.8451589118920878E-2</v>
      </c>
      <c r="I776">
        <v>1.307399219855782</v>
      </c>
      <c r="J776">
        <v>0</v>
      </c>
      <c r="K776">
        <v>1.4776403837637451E-3</v>
      </c>
      <c r="L776">
        <v>0</v>
      </c>
      <c r="M776">
        <v>32171932.631700002</v>
      </c>
      <c r="N776">
        <v>0</v>
      </c>
      <c r="O776" t="b">
        <v>0</v>
      </c>
    </row>
    <row r="777" spans="1:15" x14ac:dyDescent="0.3">
      <c r="A777" s="1" t="s">
        <v>881</v>
      </c>
      <c r="B777">
        <v>0.99022532214571246</v>
      </c>
      <c r="C777">
        <v>2.1611203014965351E-2</v>
      </c>
      <c r="D777">
        <v>2.7062418158009489E-2</v>
      </c>
      <c r="E777">
        <v>66.175769727970078</v>
      </c>
      <c r="F777">
        <v>4.6835732236691692E-2</v>
      </c>
      <c r="G777">
        <v>0.8</v>
      </c>
      <c r="H777">
        <v>-1.444155153068637E-2</v>
      </c>
      <c r="I777">
        <v>1.472085184409307</v>
      </c>
      <c r="J777">
        <v>0</v>
      </c>
      <c r="K777">
        <v>2.5055928411632959E-2</v>
      </c>
      <c r="L777">
        <v>0</v>
      </c>
      <c r="M777">
        <v>44532373.3389</v>
      </c>
      <c r="N777">
        <v>0</v>
      </c>
      <c r="O777" t="b">
        <v>0</v>
      </c>
    </row>
    <row r="778" spans="1:15" x14ac:dyDescent="0.3">
      <c r="A778" s="1" t="s">
        <v>882</v>
      </c>
      <c r="B778">
        <v>0.80255609819759999</v>
      </c>
      <c r="C778">
        <v>1.2109795320251139E-2</v>
      </c>
      <c r="D778">
        <v>1.9208338803107679E-2</v>
      </c>
      <c r="E778">
        <v>64.020829134311754</v>
      </c>
      <c r="F778">
        <v>2.649517445831728E-2</v>
      </c>
      <c r="G778">
        <v>0.6</v>
      </c>
      <c r="H778">
        <v>-7.8390913860624148E-2</v>
      </c>
      <c r="I778">
        <v>0.94453964360444209</v>
      </c>
      <c r="J778">
        <v>0</v>
      </c>
      <c r="K778">
        <v>1.6009750264452949E-2</v>
      </c>
      <c r="L778">
        <v>0</v>
      </c>
      <c r="M778">
        <v>11389972.794199999</v>
      </c>
      <c r="N778">
        <v>0</v>
      </c>
      <c r="O778" t="b">
        <v>0</v>
      </c>
    </row>
    <row r="779" spans="1:15" x14ac:dyDescent="0.3">
      <c r="A779" s="1" t="s">
        <v>883</v>
      </c>
      <c r="B779">
        <v>0.66426553307404168</v>
      </c>
      <c r="C779">
        <v>3.3246523176878963E-2</v>
      </c>
      <c r="D779">
        <v>6.1061061061061003E-2</v>
      </c>
      <c r="E779">
        <v>56.770765575459777</v>
      </c>
      <c r="F779">
        <v>0.1482758620689657</v>
      </c>
      <c r="G779">
        <v>0.6</v>
      </c>
      <c r="H779">
        <v>-1.5671113096307698E-2</v>
      </c>
      <c r="I779">
        <v>0.88757853125258401</v>
      </c>
      <c r="J779">
        <v>-1.499250374812688E-3</v>
      </c>
      <c r="K779">
        <v>4.7718930256948067E-2</v>
      </c>
      <c r="L779">
        <v>0</v>
      </c>
      <c r="M779">
        <v>87236342</v>
      </c>
      <c r="N779">
        <v>1</v>
      </c>
      <c r="O779" t="b">
        <v>0</v>
      </c>
    </row>
    <row r="780" spans="1:15" x14ac:dyDescent="0.3">
      <c r="A780" s="1" t="s">
        <v>884</v>
      </c>
      <c r="B780">
        <v>0.64631713327798868</v>
      </c>
      <c r="C780">
        <v>8.7590852369076443E-3</v>
      </c>
      <c r="D780">
        <v>1.2366475940597661E-2</v>
      </c>
      <c r="E780">
        <v>61.079271585393833</v>
      </c>
      <c r="F780">
        <v>1.198113957972757E-2</v>
      </c>
      <c r="G780">
        <v>0.4</v>
      </c>
      <c r="H780">
        <v>-3.6289911031893517E-2</v>
      </c>
      <c r="I780">
        <v>0.74087960894821492</v>
      </c>
      <c r="J780">
        <v>-2.101601761342442E-3</v>
      </c>
      <c r="K780">
        <v>1.0905274810185221E-2</v>
      </c>
      <c r="L780">
        <v>0</v>
      </c>
      <c r="M780">
        <v>19245701.313450001</v>
      </c>
      <c r="N780">
        <v>0</v>
      </c>
      <c r="O780" t="b">
        <v>0</v>
      </c>
    </row>
    <row r="781" spans="1:15" x14ac:dyDescent="0.3">
      <c r="A781" s="1" t="s">
        <v>885</v>
      </c>
      <c r="B781">
        <v>3.629914438728377</v>
      </c>
      <c r="C781">
        <v>1.9701028161348041E-2</v>
      </c>
      <c r="D781">
        <v>3.1744911804613238E-2</v>
      </c>
      <c r="E781">
        <v>79.928945348062371</v>
      </c>
      <c r="F781">
        <v>0.14099404267967941</v>
      </c>
      <c r="G781">
        <v>0.6</v>
      </c>
      <c r="H781">
        <v>9.8608712789736305E-2</v>
      </c>
      <c r="I781">
        <v>4.3450016400083558E-2</v>
      </c>
      <c r="J781">
        <v>0</v>
      </c>
      <c r="K781">
        <v>2.6365191040402799E-2</v>
      </c>
      <c r="L781">
        <v>0</v>
      </c>
      <c r="M781">
        <v>115191487.8365</v>
      </c>
      <c r="N781">
        <v>0</v>
      </c>
      <c r="O781" t="b">
        <v>1</v>
      </c>
    </row>
    <row r="782" spans="1:15" x14ac:dyDescent="0.3">
      <c r="A782" s="1" t="s">
        <v>886</v>
      </c>
      <c r="B782">
        <v>9.1190974489836591</v>
      </c>
      <c r="C782">
        <v>2.7520212002002831E-2</v>
      </c>
      <c r="D782">
        <v>2.2211492032834249E-2</v>
      </c>
      <c r="E782">
        <v>62.763241381017792</v>
      </c>
      <c r="F782">
        <v>0.1053807919404879</v>
      </c>
      <c r="G782">
        <v>0.6</v>
      </c>
      <c r="H782">
        <v>1.237270913065933E-2</v>
      </c>
      <c r="I782">
        <v>0.80751668894251261</v>
      </c>
      <c r="J782">
        <v>0</v>
      </c>
      <c r="K782">
        <v>1.9067535982285611E-2</v>
      </c>
      <c r="L782">
        <v>0</v>
      </c>
      <c r="M782">
        <v>96958314.5</v>
      </c>
      <c r="N782">
        <v>0</v>
      </c>
      <c r="O782" t="b">
        <v>1</v>
      </c>
    </row>
    <row r="783" spans="1:15" x14ac:dyDescent="0.3">
      <c r="A783" s="1" t="s">
        <v>887</v>
      </c>
      <c r="B783">
        <v>0.1368163721723028</v>
      </c>
      <c r="C783">
        <v>3.0195490678103999E-3</v>
      </c>
      <c r="D783">
        <v>5.2504734033397187E-3</v>
      </c>
      <c r="E783">
        <v>54.432946316168497</v>
      </c>
      <c r="F783">
        <v>3.623750182738084E-3</v>
      </c>
      <c r="G783">
        <v>0.2</v>
      </c>
      <c r="H783">
        <v>-7.6621129409439812E-2</v>
      </c>
      <c r="I783">
        <v>6.2620841957311381E-3</v>
      </c>
      <c r="J783">
        <v>-2.9201481419539599E-3</v>
      </c>
      <c r="K783">
        <v>3.9550914324077979E-3</v>
      </c>
      <c r="L783">
        <v>0</v>
      </c>
      <c r="M783">
        <v>23756179.8605</v>
      </c>
      <c r="N783">
        <v>0</v>
      </c>
      <c r="O783" t="b">
        <v>0</v>
      </c>
    </row>
    <row r="784" spans="1:15" x14ac:dyDescent="0.3">
      <c r="A784" s="1" t="s">
        <v>888</v>
      </c>
      <c r="B784">
        <v>3.8411761699939331E-2</v>
      </c>
      <c r="C784">
        <v>7.5773305387211913E-4</v>
      </c>
      <c r="D784">
        <v>7.8511826090386472E-4</v>
      </c>
      <c r="E784">
        <v>74.269869056257392</v>
      </c>
      <c r="F784">
        <v>2.5769984593386748E-3</v>
      </c>
      <c r="G784">
        <v>0.6</v>
      </c>
      <c r="H784">
        <v>-9.3148338718819459E-2</v>
      </c>
      <c r="I784">
        <v>3.2446905939542479E-3</v>
      </c>
      <c r="J784">
        <v>0</v>
      </c>
      <c r="K784">
        <v>2.9401260110373251E-4</v>
      </c>
      <c r="L784">
        <v>0</v>
      </c>
      <c r="M784">
        <v>31426983.7368</v>
      </c>
      <c r="N784">
        <v>0</v>
      </c>
      <c r="O784" t="b">
        <v>0</v>
      </c>
    </row>
    <row r="785" spans="1:15" x14ac:dyDescent="0.3">
      <c r="A785" s="1" t="s">
        <v>889</v>
      </c>
      <c r="B785">
        <v>0.13397659626838729</v>
      </c>
      <c r="C785">
        <v>2.6418121317506112E-3</v>
      </c>
      <c r="D785">
        <v>4.0146784214977436E-3</v>
      </c>
      <c r="E785">
        <v>52.586165419923077</v>
      </c>
      <c r="F785">
        <v>3.0240699353256679E-3</v>
      </c>
      <c r="G785">
        <v>0.2</v>
      </c>
      <c r="H785">
        <v>-8.3324563336366994E-2</v>
      </c>
      <c r="I785">
        <v>1.3642478740856121E-2</v>
      </c>
      <c r="J785">
        <v>-4.3818749006127033E-3</v>
      </c>
      <c r="K785">
        <v>3.143111462763359E-3</v>
      </c>
      <c r="O785" t="b">
        <v>0</v>
      </c>
    </row>
    <row r="786" spans="1:15" x14ac:dyDescent="0.3">
      <c r="A786" s="1" t="s">
        <v>890</v>
      </c>
      <c r="B786">
        <v>8.1029647602541235E-2</v>
      </c>
      <c r="C786">
        <v>1.6137120837258179E-3</v>
      </c>
      <c r="D786">
        <v>1.3860897134618229E-3</v>
      </c>
      <c r="E786">
        <v>53.220457094422358</v>
      </c>
      <c r="F786">
        <v>1.314568204180411E-4</v>
      </c>
      <c r="G786">
        <v>0.6</v>
      </c>
      <c r="H786">
        <v>-7.6986666866664652E-2</v>
      </c>
      <c r="I786">
        <v>-7.5820346996053794E-3</v>
      </c>
      <c r="J786">
        <v>-2.2314731100534502E-3</v>
      </c>
      <c r="K786">
        <v>1.190345638888646E-3</v>
      </c>
      <c r="L786">
        <v>0</v>
      </c>
      <c r="M786">
        <v>28456329.089600001</v>
      </c>
      <c r="N786">
        <v>0</v>
      </c>
      <c r="O786" t="b">
        <v>0</v>
      </c>
    </row>
    <row r="787" spans="1:15" x14ac:dyDescent="0.3">
      <c r="A787" s="1" t="s">
        <v>891</v>
      </c>
      <c r="B787">
        <v>3.2887515626234678</v>
      </c>
      <c r="C787">
        <v>1.600770785124931E-2</v>
      </c>
      <c r="D787">
        <v>3.3113001830146788E-2</v>
      </c>
      <c r="E787">
        <v>67.553449321666292</v>
      </c>
      <c r="F787">
        <v>0.10318905015813699</v>
      </c>
      <c r="G787">
        <v>0.2</v>
      </c>
      <c r="H787">
        <v>0.1375551233909032</v>
      </c>
      <c r="I787">
        <v>-4.6369483715750512E-3</v>
      </c>
      <c r="J787">
        <v>-4.9113153994438941E-3</v>
      </c>
      <c r="K787">
        <v>3.290548659396797E-2</v>
      </c>
      <c r="L787">
        <v>0</v>
      </c>
      <c r="M787">
        <v>1359426872.4965</v>
      </c>
      <c r="N787">
        <v>0</v>
      </c>
      <c r="O787" t="b">
        <v>1</v>
      </c>
    </row>
    <row r="788" spans="1:15" x14ac:dyDescent="0.3">
      <c r="A788" s="1" t="s">
        <v>892</v>
      </c>
      <c r="B788">
        <v>0.29163767522334089</v>
      </c>
      <c r="C788">
        <v>3.029517097766601E-3</v>
      </c>
      <c r="D788">
        <v>4.8314347626458387E-3</v>
      </c>
      <c r="E788">
        <v>62.725944019797979</v>
      </c>
      <c r="F788">
        <v>7.4038881139077972E-3</v>
      </c>
      <c r="G788">
        <v>0.4</v>
      </c>
      <c r="H788">
        <v>-9.8268559680734918E-2</v>
      </c>
      <c r="I788">
        <v>0.2284206671434254</v>
      </c>
      <c r="J788">
        <v>-1.0283011322742559E-4</v>
      </c>
      <c r="K788">
        <v>3.5067602080705029E-3</v>
      </c>
      <c r="L788">
        <v>0</v>
      </c>
      <c r="M788">
        <v>348343376.57910001</v>
      </c>
      <c r="N788">
        <v>0</v>
      </c>
      <c r="O788" t="b">
        <v>1</v>
      </c>
    </row>
    <row r="789" spans="1:15" x14ac:dyDescent="0.3">
      <c r="A789" s="1" t="s">
        <v>893</v>
      </c>
      <c r="B789">
        <v>0.92711553215889575</v>
      </c>
      <c r="C789">
        <v>6.1766524460952418E-2</v>
      </c>
      <c r="D789">
        <v>3.4310459693537562E-2</v>
      </c>
      <c r="E789">
        <v>50.846434433397938</v>
      </c>
      <c r="F789">
        <v>-4.8192771084337283E-2</v>
      </c>
      <c r="G789">
        <v>0.4</v>
      </c>
      <c r="H789">
        <v>4.0962099225171689E-2</v>
      </c>
      <c r="I789">
        <v>3.151306945528717</v>
      </c>
      <c r="J789">
        <v>-8.1957186544342586E-2</v>
      </c>
      <c r="K789">
        <v>-2.7849740932642471E-2</v>
      </c>
      <c r="L789">
        <v>0</v>
      </c>
      <c r="M789">
        <v>195999854.5</v>
      </c>
      <c r="N789">
        <v>0</v>
      </c>
      <c r="O789" t="b">
        <v>1</v>
      </c>
    </row>
    <row r="790" spans="1:15" x14ac:dyDescent="0.3">
      <c r="A790" s="1" t="s">
        <v>894</v>
      </c>
      <c r="B790">
        <v>4.9999800755659352E-2</v>
      </c>
      <c r="C790">
        <v>1.0907103989978371E-3</v>
      </c>
      <c r="D790">
        <v>1.943653676253937E-3</v>
      </c>
      <c r="E790">
        <v>64.003609655855371</v>
      </c>
      <c r="F790">
        <v>5.190243132302097E-3</v>
      </c>
      <c r="G790">
        <v>0.2</v>
      </c>
      <c r="H790">
        <v>-8.5707182483709524E-2</v>
      </c>
      <c r="I790">
        <v>2.8361154889915891E-2</v>
      </c>
      <c r="J790">
        <v>-1.2962680551621419E-3</v>
      </c>
      <c r="K790">
        <v>1.297450313550552E-3</v>
      </c>
      <c r="L790">
        <v>0</v>
      </c>
      <c r="M790">
        <v>32651351.241599999</v>
      </c>
      <c r="N790">
        <v>0</v>
      </c>
      <c r="O790" t="b">
        <v>0</v>
      </c>
    </row>
    <row r="791" spans="1:15" x14ac:dyDescent="0.3">
      <c r="A791" s="1" t="s">
        <v>895</v>
      </c>
      <c r="B791">
        <v>7.3614307478417711</v>
      </c>
      <c r="C791">
        <v>2.384523932223289E-2</v>
      </c>
      <c r="D791">
        <v>4.1050541434388139E-2</v>
      </c>
      <c r="E791">
        <v>52.00199915320934</v>
      </c>
      <c r="F791">
        <v>-2.1396849749736099E-2</v>
      </c>
      <c r="G791">
        <v>0.6</v>
      </c>
      <c r="H791">
        <v>-3.2016517096654047E-2</v>
      </c>
      <c r="I791">
        <v>0.86252643435996645</v>
      </c>
      <c r="J791">
        <v>-3.2147123092694962E-2</v>
      </c>
      <c r="K791">
        <v>3.1942666323484532E-2</v>
      </c>
      <c r="L791">
        <v>0</v>
      </c>
      <c r="M791">
        <v>2294223565.4549999</v>
      </c>
      <c r="N791">
        <v>0</v>
      </c>
      <c r="O791" t="b">
        <v>1</v>
      </c>
    </row>
    <row r="792" spans="1:15" x14ac:dyDescent="0.3">
      <c r="A792" s="1" t="s">
        <v>896</v>
      </c>
      <c r="B792">
        <v>2.2134686531876419E-2</v>
      </c>
      <c r="C792">
        <v>4.402582221525802E-4</v>
      </c>
      <c r="D792">
        <v>5.9272106705693102E-4</v>
      </c>
      <c r="E792">
        <v>85.888692791486179</v>
      </c>
      <c r="F792">
        <v>3.5389716023976892E-3</v>
      </c>
      <c r="G792">
        <v>0.4</v>
      </c>
      <c r="H792">
        <v>-8.0946674221511222E-2</v>
      </c>
      <c r="I792">
        <v>-9.0539571418690073E-4</v>
      </c>
      <c r="J792">
        <v>0</v>
      </c>
      <c r="K792">
        <v>3.9596710488343229E-4</v>
      </c>
      <c r="L792">
        <v>0</v>
      </c>
      <c r="M792">
        <v>268739089.11264998</v>
      </c>
      <c r="N792">
        <v>0</v>
      </c>
      <c r="O792" t="b">
        <v>1</v>
      </c>
    </row>
    <row r="793" spans="1:15" x14ac:dyDescent="0.3">
      <c r="A793" s="1" t="s">
        <v>897</v>
      </c>
      <c r="B793">
        <v>0.60898426320031518</v>
      </c>
      <c r="C793">
        <v>9.5661093863443816E-3</v>
      </c>
      <c r="D793">
        <v>1.220378067438883E-2</v>
      </c>
      <c r="E793">
        <v>62.873985855851998</v>
      </c>
      <c r="F793">
        <v>2.0763015567852209E-2</v>
      </c>
      <c r="G793">
        <v>0.4</v>
      </c>
      <c r="H793">
        <v>-0.14097848833088819</v>
      </c>
      <c r="I793">
        <v>0.83094287930359945</v>
      </c>
      <c r="J793">
        <v>0</v>
      </c>
      <c r="K793">
        <v>9.4778387926974794E-3</v>
      </c>
      <c r="L793">
        <v>0</v>
      </c>
      <c r="M793">
        <v>33057710.140299998</v>
      </c>
      <c r="N793">
        <v>0</v>
      </c>
      <c r="O793" t="b">
        <v>0</v>
      </c>
    </row>
    <row r="794" spans="1:15" x14ac:dyDescent="0.3">
      <c r="A794" s="1" t="s">
        <v>898</v>
      </c>
      <c r="B794">
        <v>2.611713910351988</v>
      </c>
      <c r="C794">
        <v>2.5231512997314149E-2</v>
      </c>
      <c r="D794">
        <v>3.5841947637909453E-2</v>
      </c>
      <c r="E794">
        <v>70.014171940406769</v>
      </c>
      <c r="F794">
        <v>0.1209040869520961</v>
      </c>
      <c r="G794">
        <v>0.8</v>
      </c>
      <c r="H794">
        <v>2.0749883298965651E-2</v>
      </c>
      <c r="I794">
        <v>1.00098930017618</v>
      </c>
      <c r="J794">
        <v>0</v>
      </c>
      <c r="K794">
        <v>2.831313332008745E-2</v>
      </c>
      <c r="L794">
        <v>0</v>
      </c>
      <c r="M794">
        <v>52206449.134200007</v>
      </c>
      <c r="N794">
        <v>0</v>
      </c>
      <c r="O794" t="b">
        <v>0</v>
      </c>
    </row>
    <row r="795" spans="1:15" x14ac:dyDescent="0.3">
      <c r="A795" s="1" t="s">
        <v>899</v>
      </c>
      <c r="B795">
        <v>1.858054653799516</v>
      </c>
      <c r="C795">
        <v>2.164051541811688E-2</v>
      </c>
      <c r="D795">
        <v>1.7120894479385029E-2</v>
      </c>
      <c r="E795">
        <v>50.778967771707137</v>
      </c>
      <c r="F795">
        <v>-2.7853260869565188E-2</v>
      </c>
      <c r="G795">
        <v>0.4</v>
      </c>
      <c r="H795">
        <v>-1.7163512671542262E-2</v>
      </c>
      <c r="I795">
        <v>1.436880846814661</v>
      </c>
      <c r="J795">
        <v>-5.7829474377263157E-2</v>
      </c>
      <c r="K795">
        <v>-7.3988439306358336E-3</v>
      </c>
      <c r="L795">
        <v>0</v>
      </c>
      <c r="M795">
        <v>10739416.8487</v>
      </c>
      <c r="N795">
        <v>0</v>
      </c>
      <c r="O795" t="b">
        <v>0</v>
      </c>
    </row>
    <row r="796" spans="1:15" x14ac:dyDescent="0.3">
      <c r="A796" s="1" t="s">
        <v>900</v>
      </c>
      <c r="B796">
        <v>1.4344301769442449</v>
      </c>
      <c r="C796">
        <v>1.709064951137361E-2</v>
      </c>
      <c r="D796">
        <v>3.0578798937695089E-2</v>
      </c>
      <c r="E796">
        <v>77.737561201175168</v>
      </c>
      <c r="F796">
        <v>7.9452882846964057E-2</v>
      </c>
      <c r="G796">
        <v>1</v>
      </c>
      <c r="H796">
        <v>6.6297730569417138E-2</v>
      </c>
      <c r="I796">
        <v>0.97760469933337935</v>
      </c>
      <c r="J796">
        <v>0</v>
      </c>
      <c r="K796">
        <v>2.5775558317658879E-2</v>
      </c>
      <c r="L796">
        <v>0</v>
      </c>
      <c r="M796">
        <v>120410032.1398</v>
      </c>
      <c r="N796">
        <v>0</v>
      </c>
      <c r="O796" t="b">
        <v>1</v>
      </c>
    </row>
    <row r="797" spans="1:15" x14ac:dyDescent="0.3">
      <c r="A797" s="1" t="s">
        <v>901</v>
      </c>
      <c r="B797">
        <v>0.60444962516086942</v>
      </c>
      <c r="C797">
        <v>2.063848485397762E-2</v>
      </c>
      <c r="D797">
        <v>1.862569355527104E-2</v>
      </c>
      <c r="E797">
        <v>69.884088022221732</v>
      </c>
      <c r="F797">
        <v>0.13055142730308231</v>
      </c>
      <c r="G797">
        <v>1</v>
      </c>
      <c r="H797">
        <v>3.1036146142236671E-2</v>
      </c>
      <c r="I797">
        <v>0.1016925001466871</v>
      </c>
      <c r="J797">
        <v>0</v>
      </c>
      <c r="K797">
        <v>1.617201107510402E-2</v>
      </c>
      <c r="L797">
        <v>0</v>
      </c>
      <c r="M797">
        <v>380428651.32754999</v>
      </c>
      <c r="N797">
        <v>0</v>
      </c>
      <c r="O797" t="b">
        <v>1</v>
      </c>
    </row>
    <row r="798" spans="1:15" x14ac:dyDescent="0.3">
      <c r="A798" s="1" t="s">
        <v>902</v>
      </c>
      <c r="B798">
        <v>0.53576260183650692</v>
      </c>
      <c r="C798">
        <v>3.177714127144169E-2</v>
      </c>
      <c r="D798">
        <v>3.3807829181494678E-2</v>
      </c>
      <c r="E798">
        <v>51.519169210717457</v>
      </c>
      <c r="F798">
        <v>5.3091817613991177E-2</v>
      </c>
      <c r="G798">
        <v>0.4</v>
      </c>
      <c r="H798">
        <v>0.1080612562218916</v>
      </c>
      <c r="I798">
        <v>0.60872301747219681</v>
      </c>
      <c r="J798">
        <v>-7.6670317634173202E-2</v>
      </c>
      <c r="K798">
        <v>-2.5433526011560788E-2</v>
      </c>
      <c r="L798">
        <v>0</v>
      </c>
      <c r="M798">
        <v>3336612.5</v>
      </c>
      <c r="N798">
        <v>0</v>
      </c>
      <c r="O798" t="b">
        <v>0</v>
      </c>
    </row>
    <row r="799" spans="1:15" x14ac:dyDescent="0.3">
      <c r="A799" s="1" t="s">
        <v>903</v>
      </c>
      <c r="B799">
        <v>0.46251337818655058</v>
      </c>
      <c r="C799">
        <v>2.276282940855516E-2</v>
      </c>
      <c r="D799">
        <v>3.5577888457979941E-2</v>
      </c>
      <c r="E799">
        <v>81.800627814357512</v>
      </c>
      <c r="F799">
        <v>0.14505657995581789</v>
      </c>
      <c r="G799">
        <v>1</v>
      </c>
      <c r="H799">
        <v>4.1573749931858438E-2</v>
      </c>
      <c r="I799">
        <v>0.97678490559154629</v>
      </c>
      <c r="J799">
        <v>0</v>
      </c>
      <c r="K799">
        <v>2.7026753807350309E-2</v>
      </c>
      <c r="L799">
        <v>0</v>
      </c>
      <c r="M799">
        <v>263469190.55129999</v>
      </c>
      <c r="N799">
        <v>0</v>
      </c>
      <c r="O799" t="b">
        <v>1</v>
      </c>
    </row>
    <row r="800" spans="1:15" x14ac:dyDescent="0.3">
      <c r="A800" s="1" t="s">
        <v>904</v>
      </c>
      <c r="B800">
        <v>5.5108387571852546</v>
      </c>
      <c r="C800">
        <v>2.589923280940528E-2</v>
      </c>
      <c r="D800">
        <v>2.2088542156217771E-2</v>
      </c>
      <c r="E800">
        <v>76.67434842760062</v>
      </c>
      <c r="F800">
        <v>0.1595008446406192</v>
      </c>
      <c r="G800">
        <v>0.8</v>
      </c>
      <c r="H800">
        <v>0.1541425537312614</v>
      </c>
      <c r="I800">
        <v>1.838206963197667</v>
      </c>
      <c r="J800">
        <v>0</v>
      </c>
      <c r="K800">
        <v>1.1023472393804081E-2</v>
      </c>
      <c r="L800">
        <v>0</v>
      </c>
      <c r="M800">
        <v>149791268</v>
      </c>
      <c r="N800">
        <v>0</v>
      </c>
      <c r="O800" t="b">
        <v>1</v>
      </c>
    </row>
    <row r="801" spans="1:15" x14ac:dyDescent="0.3">
      <c r="A801" s="1" t="s">
        <v>905</v>
      </c>
      <c r="B801">
        <v>1.040669264360202</v>
      </c>
      <c r="C801">
        <v>3.8175688347769708E-2</v>
      </c>
      <c r="D801">
        <v>3.2281731474688283E-2</v>
      </c>
      <c r="E801">
        <v>58.141943243011227</v>
      </c>
      <c r="F801">
        <v>7.1540880503144555E-2</v>
      </c>
      <c r="G801">
        <v>0.6</v>
      </c>
      <c r="H801">
        <v>7.2735610266958295E-2</v>
      </c>
      <c r="I801">
        <v>1.3578380776760819</v>
      </c>
      <c r="J801">
        <v>-3.8108680310515057E-2</v>
      </c>
      <c r="K801">
        <v>1.300631735414348E-2</v>
      </c>
      <c r="L801">
        <v>0</v>
      </c>
      <c r="M801">
        <v>273610057.19410002</v>
      </c>
      <c r="N801">
        <v>0</v>
      </c>
      <c r="O801" t="b">
        <v>1</v>
      </c>
    </row>
    <row r="802" spans="1:15" x14ac:dyDescent="0.3">
      <c r="A802" s="1" t="s">
        <v>906</v>
      </c>
      <c r="B802">
        <v>0.46537978503450222</v>
      </c>
      <c r="C802">
        <v>1.9432929056059051E-2</v>
      </c>
      <c r="D802">
        <v>9.2366794721897277E-3</v>
      </c>
      <c r="E802">
        <v>44.660943217342407</v>
      </c>
      <c r="F802">
        <v>1.462108469721946E-2</v>
      </c>
      <c r="G802">
        <v>0.4</v>
      </c>
      <c r="H802">
        <v>-0.1225276933826133</v>
      </c>
      <c r="I802">
        <v>0.1021350934953475</v>
      </c>
      <c r="J802">
        <v>-4.5474293412624663E-2</v>
      </c>
      <c r="K802">
        <v>4.951741502308149E-3</v>
      </c>
      <c r="L802">
        <v>0</v>
      </c>
      <c r="M802">
        <v>323472118.09474999</v>
      </c>
      <c r="N802">
        <v>0</v>
      </c>
      <c r="O802" t="b">
        <v>1</v>
      </c>
    </row>
    <row r="803" spans="1:15" x14ac:dyDescent="0.3">
      <c r="A803" s="1" t="s">
        <v>907</v>
      </c>
      <c r="B803">
        <v>0.32117514123364888</v>
      </c>
      <c r="C803">
        <v>1.618973199350994E-2</v>
      </c>
      <c r="D803">
        <v>1.6952142835539578E-2</v>
      </c>
      <c r="E803">
        <v>45.39779859125553</v>
      </c>
      <c r="F803">
        <v>-5.1389532657553083E-4</v>
      </c>
      <c r="G803">
        <v>0.6</v>
      </c>
      <c r="H803">
        <v>-0.22048564101006099</v>
      </c>
      <c r="I803">
        <v>0.52594242919944911</v>
      </c>
      <c r="J803">
        <v>-1.790602923776841E-2</v>
      </c>
      <c r="K803">
        <v>8.0437400596549136E-3</v>
      </c>
      <c r="L803">
        <v>0</v>
      </c>
      <c r="M803">
        <v>88224118.185449988</v>
      </c>
      <c r="N803">
        <v>0</v>
      </c>
      <c r="O803" t="b">
        <v>0</v>
      </c>
    </row>
    <row r="804" spans="1:15" x14ac:dyDescent="0.3">
      <c r="A804" s="1" t="s">
        <v>908</v>
      </c>
      <c r="B804">
        <v>4.1761111974757563</v>
      </c>
      <c r="C804">
        <v>2.9558483309922331E-2</v>
      </c>
      <c r="D804">
        <v>4.606357452772103E-2</v>
      </c>
      <c r="E804">
        <v>78.309953935841051</v>
      </c>
      <c r="F804">
        <v>0.18024008621049711</v>
      </c>
      <c r="G804">
        <v>1</v>
      </c>
      <c r="H804">
        <v>-4.2788788597911513E-2</v>
      </c>
      <c r="I804">
        <v>1.217848767857572</v>
      </c>
      <c r="J804">
        <v>0</v>
      </c>
      <c r="K804">
        <v>4.2425092044004131E-2</v>
      </c>
      <c r="L804">
        <v>0</v>
      </c>
      <c r="M804">
        <v>523050520.35149997</v>
      </c>
      <c r="N804">
        <v>0</v>
      </c>
      <c r="O804" t="b">
        <v>1</v>
      </c>
    </row>
    <row r="805" spans="1:15" x14ac:dyDescent="0.3">
      <c r="A805" s="1" t="s">
        <v>909</v>
      </c>
      <c r="B805">
        <v>37.298099051113432</v>
      </c>
      <c r="C805">
        <v>3.0144749899873459E-2</v>
      </c>
      <c r="D805">
        <v>2.6549745413400071E-2</v>
      </c>
      <c r="E805">
        <v>63.154714690711543</v>
      </c>
      <c r="F805">
        <v>1.891578071858557E-2</v>
      </c>
      <c r="G805">
        <v>0.8</v>
      </c>
      <c r="H805">
        <v>0.17492844460092721</v>
      </c>
      <c r="I805">
        <v>2.3022314959920438</v>
      </c>
      <c r="J805">
        <v>0</v>
      </c>
      <c r="K805">
        <v>1.0849495923269231E-2</v>
      </c>
      <c r="L805">
        <v>0</v>
      </c>
      <c r="M805">
        <v>863210859.60500002</v>
      </c>
      <c r="N805">
        <v>0</v>
      </c>
      <c r="O805" t="b">
        <v>1</v>
      </c>
    </row>
    <row r="806" spans="1:15" x14ac:dyDescent="0.3">
      <c r="A806" s="1" t="s">
        <v>910</v>
      </c>
      <c r="B806">
        <v>1.848638987393153</v>
      </c>
      <c r="C806">
        <v>5.7500435066661047E-2</v>
      </c>
      <c r="D806">
        <v>5.9097978227060609E-2</v>
      </c>
      <c r="E806">
        <v>47.791411162798099</v>
      </c>
      <c r="F806">
        <v>-0.12397820163487749</v>
      </c>
      <c r="G806">
        <v>0.6</v>
      </c>
      <c r="H806">
        <v>-0.13994554108624979</v>
      </c>
      <c r="I806">
        <v>2.7905129547214038</v>
      </c>
      <c r="J806">
        <v>-0.14608233731739709</v>
      </c>
      <c r="K806">
        <v>4.7572499185402288E-2</v>
      </c>
      <c r="O806" t="b">
        <v>0</v>
      </c>
    </row>
    <row r="807" spans="1:15" x14ac:dyDescent="0.3">
      <c r="A807" s="1" t="s">
        <v>911</v>
      </c>
      <c r="B807">
        <v>2.131306293856142</v>
      </c>
      <c r="C807">
        <v>2.0919360572585359E-2</v>
      </c>
      <c r="D807">
        <v>1.2897273316189249E-2</v>
      </c>
      <c r="E807">
        <v>41.051784067708127</v>
      </c>
      <c r="F807">
        <v>1.2642878441506911E-2</v>
      </c>
      <c r="G807">
        <v>0.4</v>
      </c>
      <c r="H807">
        <v>-0.1699880621653328</v>
      </c>
      <c r="I807">
        <v>-0.13854170170383001</v>
      </c>
      <c r="J807">
        <v>-4.3307604184273263E-2</v>
      </c>
      <c r="K807">
        <v>2.4302651645593532E-3</v>
      </c>
      <c r="L807">
        <v>0</v>
      </c>
      <c r="M807">
        <v>286933793.53250003</v>
      </c>
      <c r="N807">
        <v>0</v>
      </c>
      <c r="O807" t="b">
        <v>1</v>
      </c>
    </row>
    <row r="808" spans="1:15" x14ac:dyDescent="0.3">
      <c r="A808" s="1" t="s">
        <v>912</v>
      </c>
      <c r="B808">
        <v>0.54563103858082307</v>
      </c>
      <c r="C808">
        <v>2.0520159405070439E-2</v>
      </c>
      <c r="D808">
        <v>3.0838661150808581E-2</v>
      </c>
      <c r="E808">
        <v>44.778740858810217</v>
      </c>
      <c r="F808">
        <v>-1.7368810051736849E-2</v>
      </c>
      <c r="G808">
        <v>0.4</v>
      </c>
      <c r="H808">
        <v>-8.0986791775273917E-2</v>
      </c>
      <c r="I808">
        <v>0.2307280339803057</v>
      </c>
      <c r="J808">
        <v>-4.4899425287356347E-2</v>
      </c>
      <c r="K808">
        <v>-2.672035139092244E-2</v>
      </c>
      <c r="L808">
        <v>0</v>
      </c>
      <c r="M808">
        <v>367691900.87774998</v>
      </c>
      <c r="N808">
        <v>0</v>
      </c>
      <c r="O808" t="b">
        <v>1</v>
      </c>
    </row>
    <row r="809" spans="1:15" x14ac:dyDescent="0.3">
      <c r="A809" s="1" t="s">
        <v>913</v>
      </c>
      <c r="B809">
        <v>11.83581373936879</v>
      </c>
      <c r="C809">
        <v>3.1340944690064487E-2</v>
      </c>
      <c r="D809">
        <v>2.548146814353084E-2</v>
      </c>
      <c r="E809">
        <v>45.94202962783082</v>
      </c>
      <c r="F809">
        <v>-3.3245954013219607E-2</v>
      </c>
      <c r="G809">
        <v>0.4</v>
      </c>
      <c r="H809">
        <v>-0.11919529697289059</v>
      </c>
      <c r="I809">
        <v>0.35202404388016972</v>
      </c>
      <c r="J809">
        <v>-4.7541343314072997E-2</v>
      </c>
      <c r="K809">
        <v>1.5832752763199839E-2</v>
      </c>
      <c r="L809">
        <v>0</v>
      </c>
      <c r="M809">
        <v>82981008.041999996</v>
      </c>
      <c r="N809">
        <v>0</v>
      </c>
      <c r="O809" t="b">
        <v>0</v>
      </c>
    </row>
    <row r="810" spans="1:15" x14ac:dyDescent="0.3">
      <c r="A810" s="1" t="s">
        <v>914</v>
      </c>
      <c r="B810">
        <v>1.6475256919545369</v>
      </c>
      <c r="C810">
        <v>3.2089801191531479E-2</v>
      </c>
      <c r="D810">
        <v>4.4457559343294137E-2</v>
      </c>
      <c r="E810">
        <v>69.647529691251691</v>
      </c>
      <c r="F810">
        <v>0.12841302460520659</v>
      </c>
      <c r="G810">
        <v>0.6</v>
      </c>
      <c r="H810">
        <v>9.5656474544567494E-2</v>
      </c>
      <c r="I810">
        <v>0.8425876252017328</v>
      </c>
      <c r="J810">
        <v>0</v>
      </c>
      <c r="K810">
        <v>3.4752341948694809E-2</v>
      </c>
      <c r="L810">
        <v>0</v>
      </c>
      <c r="M810">
        <v>113919117.31739999</v>
      </c>
      <c r="N810">
        <v>0</v>
      </c>
      <c r="O810" t="b">
        <v>1</v>
      </c>
    </row>
    <row r="811" spans="1:15" x14ac:dyDescent="0.3">
      <c r="A811" s="1" t="s">
        <v>915</v>
      </c>
      <c r="B811">
        <v>0.95888622368910281</v>
      </c>
      <c r="C811">
        <v>1.36574024168794E-2</v>
      </c>
      <c r="D811">
        <v>1.0682238997293829E-2</v>
      </c>
      <c r="E811">
        <v>48.726335003896757</v>
      </c>
      <c r="F811">
        <v>2.5975287063335628E-3</v>
      </c>
      <c r="G811">
        <v>0.4</v>
      </c>
      <c r="H811">
        <v>7.430837699727218E-3</v>
      </c>
      <c r="I811">
        <v>-0.17349847783948871</v>
      </c>
      <c r="J811">
        <v>-3.3053298443740609E-2</v>
      </c>
      <c r="K811">
        <v>1.71208446283333E-3</v>
      </c>
      <c r="L811">
        <v>0</v>
      </c>
      <c r="M811">
        <v>1062665068.1838</v>
      </c>
      <c r="N811">
        <v>0</v>
      </c>
      <c r="O811" t="b">
        <v>1</v>
      </c>
    </row>
    <row r="812" spans="1:15" x14ac:dyDescent="0.3">
      <c r="A812" s="1" t="s">
        <v>916</v>
      </c>
      <c r="B812">
        <v>1.6282316799617489</v>
      </c>
      <c r="C812">
        <v>2.6721058711692398E-2</v>
      </c>
      <c r="D812">
        <v>2.7759360886461588E-2</v>
      </c>
      <c r="E812">
        <v>33.795892263702569</v>
      </c>
      <c r="F812">
        <v>-4.459040143747961E-2</v>
      </c>
      <c r="G812">
        <v>0.2</v>
      </c>
      <c r="H812">
        <v>-0.1134827586794785</v>
      </c>
      <c r="I812">
        <v>-0.27632886627383868</v>
      </c>
      <c r="J812">
        <v>-9.3412127731432593E-2</v>
      </c>
      <c r="K812">
        <v>-2.6390843973342459E-2</v>
      </c>
      <c r="L812">
        <v>0</v>
      </c>
      <c r="M812">
        <v>420695411.49194998</v>
      </c>
      <c r="N812">
        <v>0</v>
      </c>
      <c r="O812" t="b">
        <v>1</v>
      </c>
    </row>
    <row r="813" spans="1:15" x14ac:dyDescent="0.3">
      <c r="A813" s="1" t="s">
        <v>917</v>
      </c>
      <c r="B813">
        <v>1.2660382110163211</v>
      </c>
      <c r="C813">
        <v>1.9000111221077792E-2</v>
      </c>
      <c r="D813">
        <v>3.9522340214787788E-2</v>
      </c>
      <c r="E813">
        <v>73.294407310419089</v>
      </c>
      <c r="F813">
        <v>9.3266960575040914E-2</v>
      </c>
      <c r="G813">
        <v>0.6</v>
      </c>
      <c r="H813">
        <v>-7.126079944937397E-3</v>
      </c>
      <c r="I813">
        <v>1.063175757402957</v>
      </c>
      <c r="J813">
        <v>0</v>
      </c>
      <c r="K813">
        <v>3.4562959673700711E-2</v>
      </c>
      <c r="L813">
        <v>0</v>
      </c>
      <c r="M813">
        <v>781455656.64295006</v>
      </c>
      <c r="N813">
        <v>0</v>
      </c>
      <c r="O813" t="b">
        <v>1</v>
      </c>
    </row>
    <row r="814" spans="1:15" x14ac:dyDescent="0.3">
      <c r="A814" s="1" t="s">
        <v>918</v>
      </c>
      <c r="B814">
        <v>3.779421197812344</v>
      </c>
      <c r="C814">
        <v>5.6182863056523619E-2</v>
      </c>
      <c r="D814">
        <v>5.6488776572023149E-2</v>
      </c>
      <c r="E814">
        <v>50.23965740268288</v>
      </c>
      <c r="F814">
        <v>-6.9699903194578972E-2</v>
      </c>
      <c r="G814">
        <v>0.6</v>
      </c>
      <c r="H814">
        <v>2.020135923186521E-2</v>
      </c>
      <c r="I814">
        <v>2.272424939830239</v>
      </c>
      <c r="J814">
        <v>-3.0412222542519411E-2</v>
      </c>
      <c r="K814">
        <v>5.5215686274509679E-2</v>
      </c>
      <c r="L814">
        <v>0</v>
      </c>
      <c r="M814">
        <v>54154339.5</v>
      </c>
      <c r="N814">
        <v>0</v>
      </c>
      <c r="O814" t="b">
        <v>0</v>
      </c>
    </row>
    <row r="815" spans="1:15" x14ac:dyDescent="0.3">
      <c r="A815" s="1" t="s">
        <v>919</v>
      </c>
      <c r="B815">
        <v>7.8955360014765201</v>
      </c>
      <c r="C815">
        <v>3.2936492580829799E-2</v>
      </c>
      <c r="D815">
        <v>3.095277824128144E-2</v>
      </c>
      <c r="E815">
        <v>82.726349610158195</v>
      </c>
      <c r="F815">
        <v>0.2014233448604219</v>
      </c>
      <c r="G815">
        <v>0.8</v>
      </c>
      <c r="H815">
        <v>0.37885062820478449</v>
      </c>
      <c r="I815">
        <v>1.1475793368573219</v>
      </c>
      <c r="J815">
        <v>0</v>
      </c>
      <c r="K815">
        <v>2.165018752130932E-2</v>
      </c>
      <c r="L815">
        <v>0</v>
      </c>
      <c r="M815">
        <v>46507734</v>
      </c>
      <c r="N815">
        <v>0</v>
      </c>
      <c r="O815" t="b">
        <v>0</v>
      </c>
    </row>
    <row r="816" spans="1:15" x14ac:dyDescent="0.3">
      <c r="A816" s="1" t="s">
        <v>920</v>
      </c>
      <c r="B816">
        <v>2.2403337598092872</v>
      </c>
      <c r="C816">
        <v>2.974025965497527E-2</v>
      </c>
      <c r="D816">
        <v>3.3519182264701873E-2</v>
      </c>
      <c r="E816">
        <v>50.770039539936867</v>
      </c>
      <c r="F816">
        <v>2.281059063136448E-2</v>
      </c>
      <c r="G816">
        <v>0.2</v>
      </c>
      <c r="H816">
        <v>-0.1622757485922886</v>
      </c>
      <c r="I816">
        <v>1.1815624460128431</v>
      </c>
      <c r="J816">
        <v>-3.5096708082489991E-2</v>
      </c>
      <c r="K816">
        <v>2.475853625357094E-2</v>
      </c>
      <c r="L816">
        <v>0</v>
      </c>
      <c r="M816">
        <v>26563110</v>
      </c>
      <c r="N816">
        <v>0</v>
      </c>
      <c r="O816" t="b">
        <v>0</v>
      </c>
    </row>
    <row r="817" spans="1:15" x14ac:dyDescent="0.3">
      <c r="A817" s="1" t="s">
        <v>921</v>
      </c>
      <c r="B817">
        <v>0.3247101214274844</v>
      </c>
      <c r="C817">
        <v>1.7429421440015271E-2</v>
      </c>
      <c r="D817">
        <v>1.556629092860972E-2</v>
      </c>
      <c r="E817">
        <v>55.964081982725048</v>
      </c>
      <c r="F817">
        <v>2.928176795580106E-2</v>
      </c>
      <c r="G817">
        <v>0.2</v>
      </c>
      <c r="H817">
        <v>-0.14646200593981459</v>
      </c>
      <c r="I817">
        <v>0.36229150644601082</v>
      </c>
      <c r="J817">
        <v>0</v>
      </c>
      <c r="K817">
        <v>1.3050570962479521E-2</v>
      </c>
      <c r="L817">
        <v>0</v>
      </c>
      <c r="M817">
        <v>24210714.847350001</v>
      </c>
      <c r="N817">
        <v>0</v>
      </c>
      <c r="O817" t="b">
        <v>0</v>
      </c>
    </row>
    <row r="818" spans="1:15" x14ac:dyDescent="0.3">
      <c r="A818" s="1" t="s">
        <v>922</v>
      </c>
      <c r="B818">
        <v>4.4116055528061073</v>
      </c>
      <c r="C818">
        <v>5.7360623492473117E-2</v>
      </c>
      <c r="D818">
        <v>6.8391626576517886E-2</v>
      </c>
      <c r="E818">
        <v>50.255693876373847</v>
      </c>
      <c r="F818">
        <v>-2.866885577165967E-2</v>
      </c>
      <c r="G818">
        <v>0.4</v>
      </c>
      <c r="H818">
        <v>5.4410764227508797E-2</v>
      </c>
      <c r="I818">
        <v>2.1207735108411478</v>
      </c>
      <c r="J818">
        <v>-9.9124613800207761E-3</v>
      </c>
      <c r="K818">
        <v>-1.557834609892339E-3</v>
      </c>
      <c r="L818">
        <v>0</v>
      </c>
      <c r="M818">
        <v>124123964</v>
      </c>
      <c r="N818">
        <v>0</v>
      </c>
      <c r="O818" t="b">
        <v>1</v>
      </c>
    </row>
    <row r="819" spans="1:15" x14ac:dyDescent="0.3">
      <c r="A819" s="1" t="s">
        <v>923</v>
      </c>
      <c r="B819">
        <v>0.4348349810313743</v>
      </c>
      <c r="C819">
        <v>2.539419630630449E-2</v>
      </c>
      <c r="D819">
        <v>2.1362579861476119E-2</v>
      </c>
      <c r="E819">
        <v>61.656375507676621</v>
      </c>
      <c r="F819">
        <v>4.5812389683203669E-2</v>
      </c>
      <c r="G819">
        <v>0.6</v>
      </c>
      <c r="H819">
        <v>-4.4469264903763343E-2</v>
      </c>
      <c r="I819">
        <v>0.34201812110785068</v>
      </c>
      <c r="J819">
        <v>-1.7256456596512759E-3</v>
      </c>
      <c r="K819">
        <v>1.7626643212019118E-2</v>
      </c>
      <c r="L819">
        <v>0</v>
      </c>
      <c r="M819">
        <v>368248794.57069999</v>
      </c>
      <c r="N819">
        <v>0</v>
      </c>
      <c r="O819" t="b">
        <v>1</v>
      </c>
    </row>
    <row r="820" spans="1:15" x14ac:dyDescent="0.3">
      <c r="A820" s="1" t="s">
        <v>924</v>
      </c>
      <c r="B820">
        <v>1.216553652531895</v>
      </c>
      <c r="C820">
        <v>4.1267084549928612E-2</v>
      </c>
      <c r="D820">
        <v>4.3758480325644472E-2</v>
      </c>
      <c r="E820">
        <v>56.594028430284517</v>
      </c>
      <c r="F820">
        <v>2.0394289598912869E-3</v>
      </c>
      <c r="G820">
        <v>0.6</v>
      </c>
      <c r="H820">
        <v>-4.556271995222045E-2</v>
      </c>
      <c r="I820">
        <v>0.81395666210821294</v>
      </c>
      <c r="J820">
        <v>-3.1855500821018068E-2</v>
      </c>
      <c r="K820">
        <v>2.0394289598912869E-3</v>
      </c>
      <c r="L820">
        <v>0</v>
      </c>
      <c r="M820">
        <v>59250478</v>
      </c>
      <c r="N820">
        <v>0</v>
      </c>
      <c r="O820" t="b">
        <v>0</v>
      </c>
    </row>
    <row r="821" spans="1:15" x14ac:dyDescent="0.3">
      <c r="A821" s="1" t="s">
        <v>925</v>
      </c>
      <c r="B821">
        <v>0.65631105390291444</v>
      </c>
      <c r="C821">
        <v>1.8722644059031519E-2</v>
      </c>
      <c r="D821">
        <v>1.142795198320317E-2</v>
      </c>
      <c r="E821">
        <v>41.332686170265561</v>
      </c>
      <c r="F821">
        <v>-6.6281683838179339E-2</v>
      </c>
      <c r="G821">
        <v>0.4</v>
      </c>
      <c r="H821">
        <v>-0.16087937558765111</v>
      </c>
      <c r="I821">
        <v>1.48264730524941</v>
      </c>
      <c r="J821">
        <v>-6.062181442039194E-2</v>
      </c>
      <c r="K821">
        <v>3.509696036276377E-3</v>
      </c>
      <c r="L821">
        <v>0</v>
      </c>
      <c r="M821">
        <v>696255748.46079993</v>
      </c>
      <c r="N821">
        <v>0</v>
      </c>
      <c r="O821" t="b">
        <v>1</v>
      </c>
    </row>
    <row r="822" spans="1:15" x14ac:dyDescent="0.3">
      <c r="A822" s="1" t="s">
        <v>926</v>
      </c>
      <c r="B822">
        <v>5.8303011066350816</v>
      </c>
      <c r="C822">
        <v>6.48603972258881E-2</v>
      </c>
      <c r="D822">
        <v>8.2879074424296234E-2</v>
      </c>
      <c r="E822">
        <v>74.604659817295968</v>
      </c>
      <c r="F822">
        <v>0.46735226901730331</v>
      </c>
      <c r="G822">
        <v>0.8</v>
      </c>
      <c r="H822">
        <v>0.19024528419354139</v>
      </c>
      <c r="I822">
        <v>0.50044403441599294</v>
      </c>
      <c r="J822">
        <v>-4.6765641569459171E-2</v>
      </c>
      <c r="K822">
        <v>3.4645488029465987E-2</v>
      </c>
      <c r="L822">
        <v>0</v>
      </c>
      <c r="M822">
        <v>25066871.5</v>
      </c>
      <c r="N822">
        <v>0</v>
      </c>
      <c r="O822" t="b">
        <v>0</v>
      </c>
    </row>
    <row r="823" spans="1:15" x14ac:dyDescent="0.3">
      <c r="A823" s="1" t="s">
        <v>927</v>
      </c>
      <c r="B823">
        <v>1.535617356733417</v>
      </c>
      <c r="C823">
        <v>1.49741821799243E-2</v>
      </c>
      <c r="D823">
        <v>8.5810962350439824E-3</v>
      </c>
      <c r="E823">
        <v>44.032708516892548</v>
      </c>
      <c r="F823">
        <v>-3.4013274895287049E-3</v>
      </c>
      <c r="G823">
        <v>0.4</v>
      </c>
      <c r="H823">
        <v>-8.2454266411863036E-4</v>
      </c>
      <c r="I823">
        <v>0.1241593370482153</v>
      </c>
      <c r="J823">
        <v>-5.2191352890071818E-2</v>
      </c>
      <c r="K823">
        <v>4.8780011902316289E-4</v>
      </c>
      <c r="L823">
        <v>0</v>
      </c>
      <c r="M823">
        <v>67691057.933799997</v>
      </c>
      <c r="N823">
        <v>0</v>
      </c>
      <c r="O823" t="b">
        <v>0</v>
      </c>
    </row>
    <row r="824" spans="1:15" x14ac:dyDescent="0.3">
      <c r="A824" s="1" t="s">
        <v>928</v>
      </c>
      <c r="B824">
        <v>10.20053538893759</v>
      </c>
      <c r="C824">
        <v>2.902125379159165E-2</v>
      </c>
      <c r="D824">
        <v>5.9026700997197652E-2</v>
      </c>
      <c r="E824">
        <v>73.852111519961738</v>
      </c>
      <c r="F824">
        <v>0.19689509098834049</v>
      </c>
      <c r="G824">
        <v>0.6</v>
      </c>
      <c r="H824">
        <v>-6.9965493754440833E-3</v>
      </c>
      <c r="I824">
        <v>1.0916724834831331</v>
      </c>
      <c r="J824">
        <v>0</v>
      </c>
      <c r="K824">
        <v>6.1192511253951531E-2</v>
      </c>
      <c r="L824">
        <v>0</v>
      </c>
      <c r="M824">
        <v>93238627.776000008</v>
      </c>
      <c r="N824">
        <v>0</v>
      </c>
      <c r="O824" t="b">
        <v>1</v>
      </c>
    </row>
    <row r="825" spans="1:15" x14ac:dyDescent="0.3">
      <c r="A825" s="1" t="s">
        <v>929</v>
      </c>
      <c r="B825">
        <v>2.5354965513189929</v>
      </c>
      <c r="C825">
        <v>1.9707718715316101E-2</v>
      </c>
      <c r="D825">
        <v>1.424740585286218E-2</v>
      </c>
      <c r="E825">
        <v>55.995146020868162</v>
      </c>
      <c r="F825">
        <v>4.4498027181060877E-2</v>
      </c>
      <c r="G825">
        <v>0.6</v>
      </c>
      <c r="H825">
        <v>-2.1459837870775472E-2</v>
      </c>
      <c r="I825">
        <v>0.33539232098063909</v>
      </c>
      <c r="J825">
        <v>-1.7690804141343271E-2</v>
      </c>
      <c r="K825">
        <v>6.3987734380499539E-3</v>
      </c>
      <c r="L825">
        <v>0</v>
      </c>
      <c r="M825">
        <v>58727155.300999999</v>
      </c>
      <c r="N825">
        <v>0</v>
      </c>
      <c r="O825" t="b">
        <v>0</v>
      </c>
    </row>
    <row r="826" spans="1:15" x14ac:dyDescent="0.3">
      <c r="A826" s="1" t="s">
        <v>930</v>
      </c>
      <c r="B826">
        <v>1.4661683361370359</v>
      </c>
      <c r="C826">
        <v>2.9721636653903021E-2</v>
      </c>
      <c r="D826">
        <v>4.7395094263125909E-2</v>
      </c>
      <c r="E826">
        <v>53.860130295423922</v>
      </c>
      <c r="F826">
        <v>1.7113402061855739E-2</v>
      </c>
      <c r="G826">
        <v>0.6</v>
      </c>
      <c r="H826">
        <v>-0.18903150015613709</v>
      </c>
      <c r="I826">
        <v>0.76537065117619563</v>
      </c>
      <c r="J826">
        <v>0</v>
      </c>
      <c r="K826">
        <v>4.0059034366434647E-2</v>
      </c>
      <c r="L826">
        <v>0</v>
      </c>
      <c r="M826">
        <v>8455663.5</v>
      </c>
      <c r="N826">
        <v>0</v>
      </c>
      <c r="O826" t="b">
        <v>0</v>
      </c>
    </row>
    <row r="827" spans="1:15" x14ac:dyDescent="0.3">
      <c r="A827" s="1" t="s">
        <v>931</v>
      </c>
      <c r="B827">
        <v>1.575616578633771</v>
      </c>
      <c r="C827">
        <v>3.1811358341081598E-2</v>
      </c>
      <c r="D827">
        <v>4.9868766404199447E-2</v>
      </c>
      <c r="E827">
        <v>53.959368050932817</v>
      </c>
      <c r="F827">
        <v>1.808838643371025E-2</v>
      </c>
      <c r="G827">
        <v>0.6</v>
      </c>
      <c r="H827">
        <v>-0.18940318888570271</v>
      </c>
      <c r="I827">
        <v>0.7328532978923078</v>
      </c>
      <c r="J827">
        <v>0</v>
      </c>
      <c r="K827">
        <v>4.1640378548895907E-2</v>
      </c>
      <c r="L827">
        <v>0</v>
      </c>
      <c r="M827">
        <v>71263955.432000011</v>
      </c>
      <c r="N827">
        <v>0</v>
      </c>
      <c r="O827" t="b">
        <v>0</v>
      </c>
    </row>
    <row r="828" spans="1:15" x14ac:dyDescent="0.3">
      <c r="A828" s="1" t="s">
        <v>932</v>
      </c>
      <c r="B828">
        <v>4.5183698886898167</v>
      </c>
      <c r="C828">
        <v>2.4048848957541748E-2</v>
      </c>
      <c r="D828">
        <v>2.8677421586838649E-2</v>
      </c>
      <c r="E828">
        <v>48.475691343286712</v>
      </c>
      <c r="F828">
        <v>-4.3482466501038597E-2</v>
      </c>
      <c r="G828">
        <v>0.4</v>
      </c>
      <c r="H828">
        <v>-2.711791243243061E-2</v>
      </c>
      <c r="I828">
        <v>0.58953086134260757</v>
      </c>
      <c r="J828">
        <v>-5.0141303633449708E-2</v>
      </c>
      <c r="K828">
        <v>1.816496957150826E-2</v>
      </c>
      <c r="L828">
        <v>0</v>
      </c>
      <c r="M828">
        <v>161135124.83450001</v>
      </c>
      <c r="N828">
        <v>0</v>
      </c>
      <c r="O828" t="b">
        <v>1</v>
      </c>
    </row>
    <row r="829" spans="1:15" x14ac:dyDescent="0.3">
      <c r="A829" s="1" t="s">
        <v>933</v>
      </c>
      <c r="B829">
        <v>5.9790550272880889</v>
      </c>
      <c r="C829">
        <v>2.426978229766474E-2</v>
      </c>
      <c r="D829">
        <v>3.9933754941994963E-2</v>
      </c>
      <c r="E829">
        <v>62.864251251101628</v>
      </c>
      <c r="F829">
        <v>8.6800010587519072E-2</v>
      </c>
      <c r="G829">
        <v>0.6</v>
      </c>
      <c r="H829">
        <v>-2.4316211622270989E-2</v>
      </c>
      <c r="I829">
        <v>1.0238380641912961</v>
      </c>
      <c r="J829">
        <v>0</v>
      </c>
      <c r="K829">
        <v>3.713963357133232E-2</v>
      </c>
      <c r="L829">
        <v>0</v>
      </c>
      <c r="M829">
        <v>64095256.184</v>
      </c>
      <c r="N829">
        <v>0</v>
      </c>
      <c r="O829" t="b">
        <v>0</v>
      </c>
    </row>
    <row r="830" spans="1:15" x14ac:dyDescent="0.3">
      <c r="A830" s="1" t="s">
        <v>934</v>
      </c>
      <c r="B830">
        <v>3.9395947494170751</v>
      </c>
      <c r="C830">
        <v>3.2821750807440431E-2</v>
      </c>
      <c r="D830">
        <v>2.616012663500792E-2</v>
      </c>
      <c r="E830">
        <v>43.931699786829839</v>
      </c>
      <c r="F830">
        <v>-2.580959337716093E-2</v>
      </c>
      <c r="G830">
        <v>0.2</v>
      </c>
      <c r="H830">
        <v>-0.12856225997980661</v>
      </c>
      <c r="I830">
        <v>0.47916541940645252</v>
      </c>
      <c r="J830">
        <v>-9.8400060091639707E-2</v>
      </c>
      <c r="K830">
        <v>2.4234149671473752E-2</v>
      </c>
      <c r="L830">
        <v>0</v>
      </c>
      <c r="M830">
        <v>377577640.61500001</v>
      </c>
      <c r="N830">
        <v>0</v>
      </c>
      <c r="O830" t="b">
        <v>1</v>
      </c>
    </row>
    <row r="831" spans="1:15" x14ac:dyDescent="0.3">
      <c r="A831" s="1" t="s">
        <v>935</v>
      </c>
      <c r="B831">
        <v>0.58932664242968791</v>
      </c>
      <c r="C831">
        <v>2.741309156338673E-2</v>
      </c>
      <c r="D831">
        <v>1.8485440506093642E-2</v>
      </c>
      <c r="E831">
        <v>51.658434274403277</v>
      </c>
      <c r="F831">
        <v>2.607915385937121E-2</v>
      </c>
      <c r="G831">
        <v>0.4</v>
      </c>
      <c r="H831">
        <v>-3.2046400723390683E-2</v>
      </c>
      <c r="I831">
        <v>1.769990621931576</v>
      </c>
      <c r="J831">
        <v>-3.5648440969465289E-2</v>
      </c>
      <c r="K831">
        <v>-5.9693625127732464E-3</v>
      </c>
      <c r="L831">
        <v>0</v>
      </c>
      <c r="M831">
        <v>38491233.295200013</v>
      </c>
      <c r="N831">
        <v>0</v>
      </c>
      <c r="O831" t="b">
        <v>0</v>
      </c>
    </row>
    <row r="832" spans="1:15" x14ac:dyDescent="0.3">
      <c r="A832" s="1" t="s">
        <v>936</v>
      </c>
      <c r="B832">
        <v>7.7899005860549773</v>
      </c>
      <c r="C832">
        <v>2.9272575065215838E-2</v>
      </c>
      <c r="D832">
        <v>5.7632761652813128E-2</v>
      </c>
      <c r="E832">
        <v>65.637062087140933</v>
      </c>
      <c r="F832">
        <v>8.5385898581048281E-2</v>
      </c>
      <c r="G832">
        <v>0.6</v>
      </c>
      <c r="H832">
        <v>-6.0188680967660842E-2</v>
      </c>
      <c r="I832">
        <v>1.432082285106929</v>
      </c>
      <c r="J832">
        <v>0</v>
      </c>
      <c r="K832">
        <v>3.6531547848576373E-2</v>
      </c>
      <c r="L832">
        <v>0</v>
      </c>
      <c r="M832">
        <v>38704748.620499998</v>
      </c>
      <c r="N832">
        <v>0</v>
      </c>
      <c r="O832" t="b">
        <v>0</v>
      </c>
    </row>
    <row r="833" spans="1:15" x14ac:dyDescent="0.3">
      <c r="A833" s="1" t="s">
        <v>937</v>
      </c>
      <c r="B833">
        <v>5.3928763422341701</v>
      </c>
      <c r="C833">
        <v>2.0635953768871139E-2</v>
      </c>
      <c r="D833">
        <v>1.874229912678782E-2</v>
      </c>
      <c r="E833">
        <v>47.481483123126928</v>
      </c>
      <c r="F833">
        <v>5.978112333080654E-3</v>
      </c>
      <c r="G833">
        <v>0.4</v>
      </c>
      <c r="H833">
        <v>-0.10203271168800181</v>
      </c>
      <c r="I833">
        <v>0.2945992029118743</v>
      </c>
      <c r="J833">
        <v>-2.6456958083118431E-2</v>
      </c>
      <c r="K833">
        <v>1.5228386956420479E-2</v>
      </c>
      <c r="L833">
        <v>0</v>
      </c>
      <c r="M833">
        <v>154534994.176</v>
      </c>
      <c r="N833">
        <v>0</v>
      </c>
      <c r="O833" t="b">
        <v>1</v>
      </c>
    </row>
    <row r="834" spans="1:15" x14ac:dyDescent="0.3">
      <c r="A834" s="1" t="s">
        <v>938</v>
      </c>
      <c r="B834">
        <v>6.2966716654451549</v>
      </c>
      <c r="C834">
        <v>2.209769418679668E-2</v>
      </c>
      <c r="D834">
        <v>4.66156864258968E-2</v>
      </c>
      <c r="E834">
        <v>53.745653792297119</v>
      </c>
      <c r="F834">
        <v>-3.3232454146338242E-2</v>
      </c>
      <c r="G834">
        <v>0.6</v>
      </c>
      <c r="H834">
        <v>-1.9299991981731431E-2</v>
      </c>
      <c r="I834">
        <v>0.53904086615490909</v>
      </c>
      <c r="J834">
        <v>-4.8228708089222638E-2</v>
      </c>
      <c r="K834">
        <v>3.0896467889742318E-2</v>
      </c>
      <c r="L834">
        <v>0</v>
      </c>
      <c r="M834">
        <v>288388919.60900003</v>
      </c>
      <c r="N834">
        <v>0</v>
      </c>
      <c r="O834" t="b">
        <v>1</v>
      </c>
    </row>
    <row r="835" spans="1:15" x14ac:dyDescent="0.3">
      <c r="A835" s="1" t="s">
        <v>939</v>
      </c>
      <c r="B835">
        <v>0.58214103329287692</v>
      </c>
      <c r="C835">
        <v>3.382574278285165E-2</v>
      </c>
      <c r="D835">
        <v>1.597908192911111E-2</v>
      </c>
      <c r="E835">
        <v>29.11535275668399</v>
      </c>
      <c r="F835">
        <v>-0.14717542120911789</v>
      </c>
      <c r="G835">
        <v>0.6</v>
      </c>
      <c r="H835">
        <v>-0.30046266649923442</v>
      </c>
      <c r="I835">
        <v>0.96359882056467772</v>
      </c>
      <c r="J835">
        <v>-0.1571988246816847</v>
      </c>
      <c r="K835">
        <v>-1.035077630822312E-2</v>
      </c>
      <c r="L835">
        <v>0</v>
      </c>
      <c r="M835">
        <v>104325814</v>
      </c>
      <c r="N835">
        <v>0</v>
      </c>
      <c r="O835" t="b">
        <v>1</v>
      </c>
    </row>
    <row r="836" spans="1:15" x14ac:dyDescent="0.3">
      <c r="A836" s="1" t="s">
        <v>940</v>
      </c>
      <c r="B836">
        <v>14.476864471939789</v>
      </c>
      <c r="C836">
        <v>2.869837084014398E-2</v>
      </c>
      <c r="D836">
        <v>2.3825996285055589E-2</v>
      </c>
      <c r="E836">
        <v>56.738037627517372</v>
      </c>
      <c r="F836">
        <v>3.3427433563052673E-2</v>
      </c>
      <c r="G836">
        <v>0.6</v>
      </c>
      <c r="H836">
        <v>-0.1179856324345729</v>
      </c>
      <c r="I836">
        <v>0.98763524214184706</v>
      </c>
      <c r="J836">
        <v>-1.143480885154147E-2</v>
      </c>
      <c r="K836">
        <v>1.056948192310081E-2</v>
      </c>
      <c r="L836">
        <v>0</v>
      </c>
      <c r="M836">
        <v>215189269.63749999</v>
      </c>
      <c r="N836">
        <v>0</v>
      </c>
      <c r="O836" t="b">
        <v>1</v>
      </c>
    </row>
    <row r="837" spans="1:15" x14ac:dyDescent="0.3">
      <c r="A837" s="1" t="s">
        <v>941</v>
      </c>
      <c r="B837">
        <v>6.8926692880480944</v>
      </c>
      <c r="C837">
        <v>1.7552891127758211E-2</v>
      </c>
      <c r="D837">
        <v>1.362432515024962E-2</v>
      </c>
      <c r="E837">
        <v>28.987898577869291</v>
      </c>
      <c r="F837">
        <v>-6.3097970538692372E-2</v>
      </c>
      <c r="G837">
        <v>0.4</v>
      </c>
      <c r="H837">
        <v>-0.34429620732743788</v>
      </c>
      <c r="I837">
        <v>0.21807940367350351</v>
      </c>
      <c r="J837">
        <v>-8.1205280472453456E-2</v>
      </c>
      <c r="K837">
        <v>5.8916952712741999E-3</v>
      </c>
      <c r="L837">
        <v>0</v>
      </c>
      <c r="M837">
        <v>870658402.48099995</v>
      </c>
      <c r="N837">
        <v>0</v>
      </c>
      <c r="O837" t="b">
        <v>1</v>
      </c>
    </row>
    <row r="838" spans="1:15" x14ac:dyDescent="0.3">
      <c r="A838" s="1" t="s">
        <v>942</v>
      </c>
      <c r="B838">
        <v>1.4813837405828081</v>
      </c>
      <c r="C838">
        <v>4.0608552193083479E-2</v>
      </c>
      <c r="D838">
        <v>7.7506332306275419E-2</v>
      </c>
      <c r="E838">
        <v>56.555430778432942</v>
      </c>
      <c r="F838">
        <v>9.6537212937357175E-2</v>
      </c>
      <c r="G838">
        <v>0.2</v>
      </c>
      <c r="H838">
        <v>-0.1092280960542142</v>
      </c>
      <c r="I838">
        <v>0.93637117711330797</v>
      </c>
      <c r="J838">
        <v>0</v>
      </c>
      <c r="K838">
        <v>7.0542731205136766E-2</v>
      </c>
      <c r="L838">
        <v>0</v>
      </c>
      <c r="M838">
        <v>44158591.714699998</v>
      </c>
      <c r="N838">
        <v>0</v>
      </c>
      <c r="O838" t="b">
        <v>0</v>
      </c>
    </row>
    <row r="839" spans="1:15" x14ac:dyDescent="0.3">
      <c r="A839" s="1" t="s">
        <v>943</v>
      </c>
      <c r="B839">
        <v>23.306364128622761</v>
      </c>
      <c r="C839">
        <v>6.3678590515362732E-2</v>
      </c>
      <c r="D839">
        <v>6.2486338797814067E-2</v>
      </c>
      <c r="E839">
        <v>74.452144599264244</v>
      </c>
      <c r="F839">
        <v>0.40828812189772612</v>
      </c>
      <c r="G839">
        <v>1</v>
      </c>
      <c r="H839">
        <v>0.24804359029124159</v>
      </c>
      <c r="I839">
        <v>4.2316440633260024</v>
      </c>
      <c r="J839">
        <v>0</v>
      </c>
      <c r="K839">
        <v>1.5735575722254591E-2</v>
      </c>
      <c r="L839">
        <v>0</v>
      </c>
      <c r="M839">
        <v>229466703.5</v>
      </c>
      <c r="N839">
        <v>0</v>
      </c>
      <c r="O839" t="b">
        <v>1</v>
      </c>
    </row>
    <row r="840" spans="1:15" x14ac:dyDescent="0.3">
      <c r="A840" s="1" t="s">
        <v>944</v>
      </c>
      <c r="B840">
        <v>0.8830018027532065</v>
      </c>
      <c r="C840">
        <v>2.9238470289841278E-2</v>
      </c>
      <c r="D840">
        <v>7.4503311258278151E-2</v>
      </c>
      <c r="E840">
        <v>54.101955536218497</v>
      </c>
      <c r="F840">
        <v>-1.455971702853864E-2</v>
      </c>
      <c r="G840">
        <v>0.4</v>
      </c>
      <c r="H840">
        <v>-9.7940369327076893E-2</v>
      </c>
      <c r="I840">
        <v>0.71895654951368038</v>
      </c>
      <c r="J840">
        <v>-2.682044192663768E-2</v>
      </c>
      <c r="K840">
        <v>7.2062477813276349E-2</v>
      </c>
      <c r="L840">
        <v>0</v>
      </c>
      <c r="M840">
        <v>82722043.049199998</v>
      </c>
      <c r="N840">
        <v>0</v>
      </c>
      <c r="O840" t="b">
        <v>0</v>
      </c>
    </row>
    <row r="841" spans="1:15" x14ac:dyDescent="0.3">
      <c r="A841" s="1" t="s">
        <v>945</v>
      </c>
      <c r="B841">
        <v>28.174110417239369</v>
      </c>
      <c r="C841">
        <v>2.8401779078331271E-2</v>
      </c>
      <c r="D841">
        <v>2.6046791077275519E-2</v>
      </c>
      <c r="E841">
        <v>49.972915936059067</v>
      </c>
      <c r="F841">
        <v>2.9441249296917601E-2</v>
      </c>
      <c r="G841">
        <v>0.2</v>
      </c>
      <c r="H841">
        <v>0.1860472816886449</v>
      </c>
      <c r="I841">
        <v>0.54243587811747895</v>
      </c>
      <c r="J841">
        <v>-0.10478029762925389</v>
      </c>
      <c r="K841">
        <v>1.1626756735533929E-2</v>
      </c>
      <c r="L841">
        <v>0</v>
      </c>
      <c r="M841">
        <v>2777183975.0654998</v>
      </c>
      <c r="N841">
        <v>0</v>
      </c>
      <c r="O841" t="b">
        <v>1</v>
      </c>
    </row>
    <row r="842" spans="1:15" x14ac:dyDescent="0.3">
      <c r="A842" s="1" t="s">
        <v>946</v>
      </c>
      <c r="B842">
        <v>2.408377884009163</v>
      </c>
      <c r="C842">
        <v>2.9474701799157552E-2</v>
      </c>
      <c r="D842">
        <v>3.4757067678374783E-2</v>
      </c>
      <c r="E842">
        <v>54.198169228535932</v>
      </c>
      <c r="F842">
        <v>-2.552176505664883E-2</v>
      </c>
      <c r="G842">
        <v>0.6</v>
      </c>
      <c r="H842">
        <v>-0.1732259937182663</v>
      </c>
      <c r="I842">
        <v>0.20251626171534759</v>
      </c>
      <c r="J842">
        <v>-2.6798475464506869E-2</v>
      </c>
      <c r="K842">
        <v>9.1391873533406276E-3</v>
      </c>
      <c r="L842">
        <v>0</v>
      </c>
      <c r="M842">
        <v>8676269.5</v>
      </c>
      <c r="N842">
        <v>0</v>
      </c>
      <c r="O842" t="b">
        <v>0</v>
      </c>
    </row>
    <row r="843" spans="1:15" x14ac:dyDescent="0.3">
      <c r="A843" s="1" t="s">
        <v>947</v>
      </c>
      <c r="B843">
        <v>2.5596766452490041</v>
      </c>
      <c r="C843">
        <v>3.060715825958393E-2</v>
      </c>
      <c r="D843">
        <v>2.7143369604208972E-2</v>
      </c>
      <c r="E843">
        <v>52.054191725774473</v>
      </c>
      <c r="F843">
        <v>-3.906698839480649E-2</v>
      </c>
      <c r="G843">
        <v>0.6</v>
      </c>
      <c r="H843">
        <v>-0.17593991067892509</v>
      </c>
      <c r="I843">
        <v>0.15487871237101819</v>
      </c>
      <c r="J843">
        <v>-4.1929201512200809E-2</v>
      </c>
      <c r="K843">
        <v>5.0474702559788476E-3</v>
      </c>
      <c r="L843">
        <v>0</v>
      </c>
      <c r="M843">
        <v>23067408</v>
      </c>
      <c r="N843">
        <v>0</v>
      </c>
      <c r="O843" t="b">
        <v>0</v>
      </c>
    </row>
    <row r="844" spans="1:15" x14ac:dyDescent="0.3">
      <c r="A844" s="1" t="s">
        <v>948</v>
      </c>
      <c r="B844">
        <v>0.16696873720839259</v>
      </c>
      <c r="C844">
        <v>3.3735283451339889E-3</v>
      </c>
      <c r="D844">
        <v>2.5195074938678609E-3</v>
      </c>
      <c r="E844">
        <v>60.019631748589752</v>
      </c>
      <c r="F844">
        <v>4.0104592452545607E-3</v>
      </c>
      <c r="G844">
        <v>0.2</v>
      </c>
      <c r="H844">
        <v>-7.4734194882735319E-2</v>
      </c>
      <c r="I844">
        <v>7.2268831063824141E-3</v>
      </c>
      <c r="J844">
        <v>-1.3982176256125409E-3</v>
      </c>
      <c r="K844">
        <v>1.201592413380137E-3</v>
      </c>
      <c r="L844">
        <v>0</v>
      </c>
      <c r="M844">
        <v>20904989.9102</v>
      </c>
      <c r="N844">
        <v>0</v>
      </c>
      <c r="O844" t="b">
        <v>0</v>
      </c>
    </row>
    <row r="845" spans="1:15" x14ac:dyDescent="0.3">
      <c r="A845" s="1" t="s">
        <v>949</v>
      </c>
      <c r="B845">
        <v>9.2685547337402543</v>
      </c>
      <c r="C845">
        <v>1.9911522198773009E-2</v>
      </c>
      <c r="D845">
        <v>3.6757202671610617E-2</v>
      </c>
      <c r="E845">
        <v>55.709068733149287</v>
      </c>
      <c r="F845">
        <v>4.2895454372329667E-2</v>
      </c>
      <c r="G845">
        <v>1</v>
      </c>
      <c r="H845">
        <v>-4.8578059879278872E-2</v>
      </c>
      <c r="I845">
        <v>4.3634774321044373E-2</v>
      </c>
      <c r="J845">
        <v>-6.7979166711118477E-3</v>
      </c>
      <c r="K845">
        <v>2.2500118421675541E-3</v>
      </c>
      <c r="L845">
        <v>0</v>
      </c>
      <c r="M845">
        <v>638251333.54999995</v>
      </c>
      <c r="N845">
        <v>0</v>
      </c>
      <c r="O845" t="b">
        <v>1</v>
      </c>
    </row>
    <row r="846" spans="1:15" x14ac:dyDescent="0.3">
      <c r="A846" s="1" t="s">
        <v>950</v>
      </c>
      <c r="B846">
        <v>1.134274055586576</v>
      </c>
      <c r="C846">
        <v>2.5456525767642471E-2</v>
      </c>
      <c r="D846">
        <v>4.4423697127070047E-2</v>
      </c>
      <c r="E846">
        <v>75.384167705810398</v>
      </c>
      <c r="F846">
        <v>9.6177170284319713E-2</v>
      </c>
      <c r="G846">
        <v>1</v>
      </c>
      <c r="H846">
        <v>3.8281630211807062E-2</v>
      </c>
      <c r="I846">
        <v>1.079845577164829</v>
      </c>
      <c r="J846">
        <v>0</v>
      </c>
      <c r="K846">
        <v>4.3821611883795082E-2</v>
      </c>
      <c r="L846">
        <v>0</v>
      </c>
      <c r="M846">
        <v>61098264.444799997</v>
      </c>
      <c r="N846">
        <v>0</v>
      </c>
      <c r="O846" t="b">
        <v>0</v>
      </c>
    </row>
    <row r="847" spans="1:15" x14ac:dyDescent="0.3">
      <c r="A847" s="1" t="s">
        <v>951</v>
      </c>
      <c r="B847">
        <v>4.8661974113098534</v>
      </c>
      <c r="C847">
        <v>2.5225221146181399E-2</v>
      </c>
      <c r="D847">
        <v>4.432118604530616E-2</v>
      </c>
      <c r="E847">
        <v>22.346405404863599</v>
      </c>
      <c r="F847">
        <v>-8.8111557551406317E-2</v>
      </c>
      <c r="G847">
        <v>0</v>
      </c>
      <c r="H847">
        <v>-0.31887738883803241</v>
      </c>
      <c r="I847">
        <v>0.10884340996823511</v>
      </c>
      <c r="J847">
        <v>-0.1036197202732215</v>
      </c>
      <c r="K847">
        <v>-2.9237117552334931E-2</v>
      </c>
      <c r="L847">
        <v>0</v>
      </c>
      <c r="M847">
        <v>402753807.39850003</v>
      </c>
      <c r="N847">
        <v>0</v>
      </c>
      <c r="O847" t="b">
        <v>1</v>
      </c>
    </row>
    <row r="848" spans="1:15" x14ac:dyDescent="0.3">
      <c r="A848" s="1" t="s">
        <v>952</v>
      </c>
      <c r="B848">
        <v>0.94737577085951719</v>
      </c>
      <c r="C848">
        <v>1.4617740639708641E-2</v>
      </c>
      <c r="D848">
        <v>1.481252893072047E-2</v>
      </c>
      <c r="E848">
        <v>33.682612236980717</v>
      </c>
      <c r="F848">
        <v>-3.2108721624850567E-2</v>
      </c>
      <c r="G848">
        <v>0.2</v>
      </c>
      <c r="H848">
        <v>-5.2386588066572252E-2</v>
      </c>
      <c r="I848">
        <v>9.5426234134927471E-2</v>
      </c>
      <c r="J848">
        <v>-6.7079314812149127E-2</v>
      </c>
      <c r="K848">
        <v>-1.232855601787652E-3</v>
      </c>
      <c r="L848">
        <v>0</v>
      </c>
      <c r="M848">
        <v>116392021.17209999</v>
      </c>
      <c r="N848">
        <v>0</v>
      </c>
      <c r="O848" t="b">
        <v>1</v>
      </c>
    </row>
    <row r="849" spans="1:15" x14ac:dyDescent="0.3">
      <c r="A849" s="1" t="s">
        <v>953</v>
      </c>
      <c r="B849">
        <v>2.5940836733437269</v>
      </c>
      <c r="C849">
        <v>2.150090073223147E-2</v>
      </c>
      <c r="D849">
        <v>2.030667219229166E-2</v>
      </c>
      <c r="E849">
        <v>61.661046032766627</v>
      </c>
      <c r="F849">
        <v>-1.130869458329919E-2</v>
      </c>
      <c r="G849">
        <v>0.6</v>
      </c>
      <c r="H849">
        <v>7.5863605482052177E-2</v>
      </c>
      <c r="I849">
        <v>1.4142995875854549</v>
      </c>
      <c r="J849">
        <v>-3.9626847188969361E-3</v>
      </c>
      <c r="K849">
        <v>1.5315997643692739E-2</v>
      </c>
      <c r="L849">
        <v>0</v>
      </c>
      <c r="M849">
        <v>51886257.979999997</v>
      </c>
      <c r="N849">
        <v>0</v>
      </c>
      <c r="O849" t="b">
        <v>0</v>
      </c>
    </row>
    <row r="850" spans="1:15" x14ac:dyDescent="0.3">
      <c r="A850" s="1" t="s">
        <v>954</v>
      </c>
      <c r="B850">
        <v>5.184045962926862</v>
      </c>
      <c r="C850">
        <v>2.1150824617509102E-2</v>
      </c>
      <c r="D850">
        <v>2.46145435109895E-2</v>
      </c>
      <c r="E850">
        <v>57.390817034456369</v>
      </c>
      <c r="F850">
        <v>5.6515854268324173E-2</v>
      </c>
      <c r="G850">
        <v>0.4</v>
      </c>
      <c r="H850">
        <v>-0.15610789618690851</v>
      </c>
      <c r="I850">
        <v>0.37178898237460212</v>
      </c>
      <c r="J850">
        <v>-9.1365181780328486E-3</v>
      </c>
      <c r="K850">
        <v>1.454560506653957E-2</v>
      </c>
      <c r="L850">
        <v>0</v>
      </c>
      <c r="M850">
        <v>613586832.44950008</v>
      </c>
      <c r="N850">
        <v>0</v>
      </c>
      <c r="O850" t="b">
        <v>1</v>
      </c>
    </row>
    <row r="851" spans="1:15" x14ac:dyDescent="0.3">
      <c r="A851" s="1" t="s">
        <v>955</v>
      </c>
      <c r="B851">
        <v>10.239750313313399</v>
      </c>
      <c r="C851">
        <v>2.645998685576733E-2</v>
      </c>
      <c r="D851">
        <v>3.8476446419804092E-2</v>
      </c>
      <c r="E851">
        <v>70.570616749647144</v>
      </c>
      <c r="F851">
        <v>3.1805492973143057E-2</v>
      </c>
      <c r="G851">
        <v>0.8</v>
      </c>
      <c r="H851">
        <v>5.7690603971154712E-2</v>
      </c>
      <c r="I851">
        <v>0.96462903706921566</v>
      </c>
      <c r="J851">
        <v>0</v>
      </c>
      <c r="K851">
        <v>3.2772010354674252E-2</v>
      </c>
      <c r="L851">
        <v>0</v>
      </c>
      <c r="M851">
        <v>220935350.5785</v>
      </c>
      <c r="N851">
        <v>0</v>
      </c>
      <c r="O851" t="b">
        <v>1</v>
      </c>
    </row>
    <row r="852" spans="1:15" x14ac:dyDescent="0.3">
      <c r="A852" s="1" t="s">
        <v>956</v>
      </c>
      <c r="B852">
        <v>0.43870982047069002</v>
      </c>
      <c r="C852">
        <v>3.9816109459693784E-3</v>
      </c>
      <c r="D852">
        <v>5.6814056487330721E-3</v>
      </c>
      <c r="E852">
        <v>53.38144509591136</v>
      </c>
      <c r="F852">
        <v>5.7873117298037347E-3</v>
      </c>
      <c r="G852">
        <v>0.2</v>
      </c>
      <c r="H852">
        <v>-0.1014841071021093</v>
      </c>
      <c r="I852">
        <v>6.4912987506178257E-2</v>
      </c>
      <c r="J852">
        <v>-5.7031475599191861E-3</v>
      </c>
      <c r="K852">
        <v>4.6135049873265999E-3</v>
      </c>
      <c r="L852">
        <v>0</v>
      </c>
      <c r="M852">
        <v>2965117804.5689998</v>
      </c>
      <c r="N852">
        <v>0</v>
      </c>
      <c r="O852" t="b">
        <v>1</v>
      </c>
    </row>
    <row r="853" spans="1:15" x14ac:dyDescent="0.3">
      <c r="A853" s="1" t="s">
        <v>957</v>
      </c>
      <c r="B853">
        <v>6.3350332869363601</v>
      </c>
      <c r="C853">
        <v>3.7695293241875531E-2</v>
      </c>
      <c r="D853">
        <v>4.2496980227182103E-2</v>
      </c>
      <c r="E853">
        <v>64.69891629932178</v>
      </c>
      <c r="F853">
        <v>1.3026076263728431E-2</v>
      </c>
      <c r="G853">
        <v>0.8</v>
      </c>
      <c r="H853">
        <v>0.22996664699945901</v>
      </c>
      <c r="I853">
        <v>2.7993044103978462</v>
      </c>
      <c r="J853">
        <v>0</v>
      </c>
      <c r="K853">
        <v>1.4775499359949819E-2</v>
      </c>
      <c r="L853">
        <v>0</v>
      </c>
      <c r="M853">
        <v>1082453150.3871</v>
      </c>
      <c r="N853">
        <v>0</v>
      </c>
      <c r="O853" t="b">
        <v>1</v>
      </c>
    </row>
    <row r="854" spans="1:15" x14ac:dyDescent="0.3">
      <c r="A854" s="1" t="s">
        <v>958</v>
      </c>
      <c r="B854">
        <v>3.3264372844445518</v>
      </c>
      <c r="C854">
        <v>4.2423635817428293E-2</v>
      </c>
      <c r="D854">
        <v>3.3031501084045449E-2</v>
      </c>
      <c r="E854">
        <v>67.323468877797268</v>
      </c>
      <c r="F854">
        <v>0.16925141664181331</v>
      </c>
      <c r="G854">
        <v>0.8</v>
      </c>
      <c r="H854">
        <v>8.9517942762273969E-2</v>
      </c>
      <c r="I854">
        <v>2.4200188375593519</v>
      </c>
      <c r="J854">
        <v>-5.5802155992390468E-3</v>
      </c>
      <c r="K854">
        <v>5.9012187299549712E-3</v>
      </c>
      <c r="L854">
        <v>0</v>
      </c>
      <c r="M854">
        <v>127404339.5</v>
      </c>
      <c r="N854">
        <v>0</v>
      </c>
      <c r="O854" t="b">
        <v>1</v>
      </c>
    </row>
    <row r="855" spans="1:15" x14ac:dyDescent="0.3">
      <c r="A855" s="1" t="s">
        <v>959</v>
      </c>
      <c r="B855">
        <v>1.480302146597108</v>
      </c>
      <c r="C855">
        <v>2.8412709147737188E-2</v>
      </c>
      <c r="D855">
        <v>3.3205374280230397E-2</v>
      </c>
      <c r="E855">
        <v>71.18930848772564</v>
      </c>
      <c r="F855">
        <v>0.18759972646455439</v>
      </c>
      <c r="G855">
        <v>0.6</v>
      </c>
      <c r="H855">
        <v>2.5226822216015691E-2</v>
      </c>
      <c r="I855">
        <v>0.89140519820698305</v>
      </c>
      <c r="J855">
        <v>0</v>
      </c>
      <c r="K855">
        <v>2.1969399764613758E-2</v>
      </c>
      <c r="L855">
        <v>0</v>
      </c>
      <c r="M855">
        <v>18756112.7892</v>
      </c>
      <c r="N855">
        <v>0</v>
      </c>
      <c r="O855" t="b">
        <v>0</v>
      </c>
    </row>
    <row r="856" spans="1:15" x14ac:dyDescent="0.3">
      <c r="A856" s="1" t="s">
        <v>960</v>
      </c>
      <c r="B856">
        <v>6.1219211619655782</v>
      </c>
      <c r="C856">
        <v>3.2629363404570823E-2</v>
      </c>
      <c r="D856">
        <v>3.581707707067476E-2</v>
      </c>
      <c r="E856">
        <v>62.432485978433981</v>
      </c>
      <c r="F856">
        <v>0.101379512767831</v>
      </c>
      <c r="G856">
        <v>0.6</v>
      </c>
      <c r="H856">
        <v>7.4115158000744072E-2</v>
      </c>
      <c r="I856">
        <v>1.5780201501606379</v>
      </c>
      <c r="J856">
        <v>-1.257828535340233E-2</v>
      </c>
      <c r="K856">
        <v>2.929558920342323E-2</v>
      </c>
      <c r="L856">
        <v>0</v>
      </c>
      <c r="M856">
        <v>628699669</v>
      </c>
      <c r="N856">
        <v>0</v>
      </c>
      <c r="O856" t="b">
        <v>1</v>
      </c>
    </row>
    <row r="857" spans="1:15" x14ac:dyDescent="0.3">
      <c r="A857" s="1" t="s">
        <v>961</v>
      </c>
      <c r="B857">
        <v>0.64772461844710894</v>
      </c>
      <c r="C857">
        <v>7.4536780028436014E-2</v>
      </c>
      <c r="D857">
        <v>9.3210586881473018E-2</v>
      </c>
      <c r="E857">
        <v>52.378363533624103</v>
      </c>
      <c r="F857">
        <v>-0.1715919923736893</v>
      </c>
      <c r="G857">
        <v>0.6</v>
      </c>
      <c r="H857">
        <v>0.12136182363732601</v>
      </c>
      <c r="I857">
        <v>3.0104143364116558</v>
      </c>
      <c r="J857">
        <v>-9.1954022988505857E-2</v>
      </c>
      <c r="K857">
        <v>2.2352941176470461E-2</v>
      </c>
      <c r="L857">
        <v>0</v>
      </c>
      <c r="M857">
        <v>57655189.5</v>
      </c>
      <c r="N857">
        <v>0</v>
      </c>
      <c r="O857" t="b">
        <v>0</v>
      </c>
    </row>
    <row r="858" spans="1:15" x14ac:dyDescent="0.3">
      <c r="A858" s="1" t="s">
        <v>962</v>
      </c>
      <c r="B858">
        <v>1.2374060884448099</v>
      </c>
      <c r="C858">
        <v>3.1202558134331471E-2</v>
      </c>
      <c r="D858">
        <v>4.4188697134442213E-2</v>
      </c>
      <c r="E858">
        <v>79.876004176171151</v>
      </c>
      <c r="F858">
        <v>0.21953484653256769</v>
      </c>
      <c r="G858">
        <v>1</v>
      </c>
      <c r="H858">
        <v>0.1422118979084262</v>
      </c>
      <c r="I858">
        <v>1.108546171417951</v>
      </c>
      <c r="J858">
        <v>0</v>
      </c>
      <c r="K858">
        <v>4.4036383261593759E-2</v>
      </c>
      <c r="L858">
        <v>0</v>
      </c>
      <c r="M858">
        <v>298708653.90324998</v>
      </c>
      <c r="N858">
        <v>0</v>
      </c>
      <c r="O858" t="b">
        <v>1</v>
      </c>
    </row>
    <row r="859" spans="1:15" x14ac:dyDescent="0.3">
      <c r="A859" s="1" t="s">
        <v>963</v>
      </c>
      <c r="B859">
        <v>1.6658857225057959</v>
      </c>
      <c r="C859">
        <v>2.5192978790257781E-2</v>
      </c>
      <c r="D859">
        <v>1.218601134215508E-2</v>
      </c>
      <c r="E859">
        <v>58.531408294311639</v>
      </c>
      <c r="F859">
        <v>5.1408489241002719E-3</v>
      </c>
      <c r="G859">
        <v>0.4</v>
      </c>
      <c r="H859">
        <v>0.1059155549517402</v>
      </c>
      <c r="I859">
        <v>0.90992727923897998</v>
      </c>
      <c r="J859">
        <v>-4.3459141058856399E-2</v>
      </c>
      <c r="K859">
        <v>6.0225284935211398E-4</v>
      </c>
      <c r="L859">
        <v>0</v>
      </c>
      <c r="M859">
        <v>240041684.7649</v>
      </c>
      <c r="N859">
        <v>0</v>
      </c>
      <c r="O859" t="b">
        <v>1</v>
      </c>
    </row>
    <row r="860" spans="1:15" x14ac:dyDescent="0.3">
      <c r="A860" s="1" t="s">
        <v>964</v>
      </c>
      <c r="B860">
        <v>1.4835992357651</v>
      </c>
      <c r="C860">
        <v>2.5154276632165139E-2</v>
      </c>
      <c r="D860">
        <v>1.880298406239406E-2</v>
      </c>
      <c r="E860">
        <v>48.070093225451089</v>
      </c>
      <c r="F860">
        <v>-2.286282306163023E-2</v>
      </c>
      <c r="G860">
        <v>0.2</v>
      </c>
      <c r="H860">
        <v>7.1689998326280864E-4</v>
      </c>
      <c r="I860">
        <v>0.68262138706573017</v>
      </c>
      <c r="J860">
        <v>-2.4962803769218112E-2</v>
      </c>
      <c r="K860">
        <v>1.2879958784131951E-2</v>
      </c>
      <c r="L860">
        <v>0</v>
      </c>
      <c r="M860">
        <v>104350526.7625</v>
      </c>
      <c r="N860">
        <v>0</v>
      </c>
      <c r="O860" t="b">
        <v>1</v>
      </c>
    </row>
    <row r="861" spans="1:15" x14ac:dyDescent="0.3">
      <c r="A861" s="1" t="s">
        <v>965</v>
      </c>
      <c r="B861">
        <v>1.8334832242172849</v>
      </c>
      <c r="C861">
        <v>4.1029087040581592E-2</v>
      </c>
      <c r="D861">
        <v>5.7483764998634883E-2</v>
      </c>
      <c r="E861">
        <v>52.512316205434288</v>
      </c>
      <c r="F861">
        <v>8.7941142100342651E-2</v>
      </c>
      <c r="G861">
        <v>0.6</v>
      </c>
      <c r="H861">
        <v>-0.13593689660966549</v>
      </c>
      <c r="I861">
        <v>1.312563240765027</v>
      </c>
      <c r="J861">
        <v>-5.613663053488005E-2</v>
      </c>
      <c r="K861">
        <v>5.7269535427332929E-2</v>
      </c>
      <c r="L861">
        <v>0</v>
      </c>
      <c r="M861">
        <v>231453008.5059</v>
      </c>
      <c r="N861">
        <v>0</v>
      </c>
      <c r="O861" t="b">
        <v>1</v>
      </c>
    </row>
    <row r="862" spans="1:15" x14ac:dyDescent="0.3">
      <c r="A862" s="1" t="s">
        <v>966</v>
      </c>
      <c r="B862">
        <v>1.078709223898622</v>
      </c>
      <c r="C862">
        <v>5.3086083853278641E-2</v>
      </c>
      <c r="D862">
        <v>9.8425196850393692E-2</v>
      </c>
      <c r="E862">
        <v>43.082364533464691</v>
      </c>
      <c r="F862">
        <v>-0.1433389544688026</v>
      </c>
      <c r="G862">
        <v>0.4</v>
      </c>
      <c r="H862">
        <v>4.3592478570639623E-2</v>
      </c>
      <c r="I862">
        <v>1.8049070080566549</v>
      </c>
      <c r="J862">
        <v>-0.17297517297517301</v>
      </c>
      <c r="K862">
        <v>-6.7033976124885264E-2</v>
      </c>
      <c r="L862">
        <v>0</v>
      </c>
      <c r="M862">
        <v>235426711.5</v>
      </c>
      <c r="N862">
        <v>0</v>
      </c>
      <c r="O862" t="b">
        <v>1</v>
      </c>
    </row>
    <row r="863" spans="1:15" x14ac:dyDescent="0.3">
      <c r="A863" s="1" t="s">
        <v>967</v>
      </c>
      <c r="B863">
        <v>0.10434460525925331</v>
      </c>
      <c r="C863">
        <v>2.0703294694296291E-2</v>
      </c>
      <c r="D863">
        <v>2.3809523809523829E-2</v>
      </c>
      <c r="E863">
        <v>57.712101690741882</v>
      </c>
      <c r="F863">
        <v>1.818181818181808E-2</v>
      </c>
      <c r="G863">
        <v>0.4</v>
      </c>
      <c r="H863">
        <v>8.0908342648133624E-2</v>
      </c>
      <c r="I863">
        <v>1.0967770075539349</v>
      </c>
      <c r="J863">
        <v>-2.514506769825919E-2</v>
      </c>
      <c r="K863">
        <v>1.002004008016022E-2</v>
      </c>
      <c r="L863">
        <v>0</v>
      </c>
      <c r="M863">
        <v>44096380.320069999</v>
      </c>
      <c r="N863">
        <v>0</v>
      </c>
      <c r="O863" t="b">
        <v>0</v>
      </c>
    </row>
    <row r="864" spans="1:15" x14ac:dyDescent="0.3">
      <c r="A864" s="1" t="s">
        <v>968</v>
      </c>
      <c r="B864">
        <v>4.0628346980511161</v>
      </c>
      <c r="C864">
        <v>2.9266926221373842E-2</v>
      </c>
      <c r="D864">
        <v>3.2632185564039767E-2</v>
      </c>
      <c r="E864">
        <v>51.464617626053432</v>
      </c>
      <c r="F864">
        <v>-3.1600976630624333E-2</v>
      </c>
      <c r="G864">
        <v>0.4</v>
      </c>
      <c r="H864">
        <v>-0.19017222738527431</v>
      </c>
      <c r="I864">
        <v>0.2447888144978691</v>
      </c>
      <c r="J864">
        <v>-2.1360592174832549E-2</v>
      </c>
      <c r="K864">
        <v>-1.797655856762836E-3</v>
      </c>
      <c r="L864">
        <v>0</v>
      </c>
      <c r="M864">
        <v>323910499.5</v>
      </c>
      <c r="N864">
        <v>0</v>
      </c>
      <c r="O864" t="b">
        <v>1</v>
      </c>
    </row>
    <row r="865" spans="1:15" x14ac:dyDescent="0.3">
      <c r="A865" s="1" t="s">
        <v>969</v>
      </c>
      <c r="B865">
        <v>9.9710548546911113</v>
      </c>
      <c r="C865">
        <v>1.853176803485743E-2</v>
      </c>
      <c r="D865">
        <v>1.3825801223673689E-2</v>
      </c>
      <c r="E865">
        <v>43.886788445354647</v>
      </c>
      <c r="F865">
        <v>-2.549938329852874E-2</v>
      </c>
      <c r="G865">
        <v>0.4</v>
      </c>
      <c r="H865">
        <v>-0.18311872413933711</v>
      </c>
      <c r="I865">
        <v>0.4742689067974154</v>
      </c>
      <c r="J865">
        <v>-3.9858098317594237E-2</v>
      </c>
      <c r="K865">
        <v>2.4369159226744759E-3</v>
      </c>
      <c r="L865">
        <v>0</v>
      </c>
      <c r="M865">
        <v>1408674114.5780001</v>
      </c>
      <c r="N865">
        <v>0</v>
      </c>
      <c r="O865" t="b">
        <v>1</v>
      </c>
    </row>
    <row r="866" spans="1:15" x14ac:dyDescent="0.3">
      <c r="A866" s="1" t="s">
        <v>970</v>
      </c>
      <c r="B866">
        <v>2.0377771933203879</v>
      </c>
      <c r="C866">
        <v>1.5624849088862721E-2</v>
      </c>
      <c r="D866">
        <v>1.4629770202194581E-2</v>
      </c>
      <c r="E866">
        <v>47.728162083170943</v>
      </c>
      <c r="F866">
        <v>1.8142784652016131E-2</v>
      </c>
      <c r="G866">
        <v>0.2</v>
      </c>
      <c r="H866">
        <v>-0.1665989669010603</v>
      </c>
      <c r="I866">
        <v>7.0256556459012784E-2</v>
      </c>
      <c r="J866">
        <v>-2.9360543002589942E-2</v>
      </c>
      <c r="K866">
        <v>1.0647448564454541E-2</v>
      </c>
      <c r="L866">
        <v>0</v>
      </c>
      <c r="M866">
        <v>119334485.119</v>
      </c>
      <c r="N866">
        <v>0</v>
      </c>
      <c r="O866" t="b">
        <v>1</v>
      </c>
    </row>
    <row r="867" spans="1:15" x14ac:dyDescent="0.3">
      <c r="A867" s="1" t="s">
        <v>971</v>
      </c>
      <c r="B867">
        <v>1.1495457086181069</v>
      </c>
      <c r="C867">
        <v>1.7360044770645209E-2</v>
      </c>
      <c r="D867">
        <v>1.056662926489676E-2</v>
      </c>
      <c r="E867">
        <v>56.805950829370381</v>
      </c>
      <c r="F867">
        <v>-4.150756685951551E-3</v>
      </c>
      <c r="G867">
        <v>0.8</v>
      </c>
      <c r="H867">
        <v>7.6240694983094964E-2</v>
      </c>
      <c r="I867">
        <v>1.546105904419137</v>
      </c>
      <c r="J867">
        <v>-6.3593815884048777E-3</v>
      </c>
      <c r="K867">
        <v>4.4720894780492237E-4</v>
      </c>
      <c r="L867">
        <v>0</v>
      </c>
      <c r="M867">
        <v>134010623.65880001</v>
      </c>
      <c r="N867">
        <v>0</v>
      </c>
      <c r="O867" t="b">
        <v>1</v>
      </c>
    </row>
    <row r="868" spans="1:15" x14ac:dyDescent="0.3">
      <c r="A868" s="1" t="s">
        <v>972</v>
      </c>
      <c r="B868">
        <v>4.9056974592446636</v>
      </c>
      <c r="C868">
        <v>2.805339657599739E-2</v>
      </c>
      <c r="D868">
        <v>2.6133699319494601E-2</v>
      </c>
      <c r="E868">
        <v>42.359032979002038</v>
      </c>
      <c r="F868">
        <v>-8.9543780107678161E-3</v>
      </c>
      <c r="G868">
        <v>0.4</v>
      </c>
      <c r="H868">
        <v>-0.25409824072827591</v>
      </c>
      <c r="I868">
        <v>0.86943646354579185</v>
      </c>
      <c r="J868">
        <v>-2.682397462296171E-2</v>
      </c>
      <c r="K868">
        <v>3.6157024793388448E-3</v>
      </c>
      <c r="L868">
        <v>0</v>
      </c>
      <c r="M868">
        <v>112086805</v>
      </c>
      <c r="N868">
        <v>0</v>
      </c>
      <c r="O868" t="b">
        <v>1</v>
      </c>
    </row>
    <row r="869" spans="1:15" x14ac:dyDescent="0.3">
      <c r="A869" s="1" t="s">
        <v>973</v>
      </c>
      <c r="B869">
        <v>6.5233682008531844</v>
      </c>
      <c r="C869">
        <v>2.2776566916497099E-2</v>
      </c>
      <c r="D869">
        <v>2.0736225022433191E-2</v>
      </c>
      <c r="E869">
        <v>48.023528261632009</v>
      </c>
      <c r="F869">
        <v>-9.7467032701071821E-3</v>
      </c>
      <c r="G869">
        <v>0.2</v>
      </c>
      <c r="H869">
        <v>3.0102334824488139E-2</v>
      </c>
      <c r="I869">
        <v>0.60945005906598548</v>
      </c>
      <c r="J869">
        <v>-6.4209841893229869E-2</v>
      </c>
      <c r="K869">
        <v>1.0992153000603629E-2</v>
      </c>
      <c r="L869">
        <v>0</v>
      </c>
      <c r="M869">
        <v>382383851.51800001</v>
      </c>
      <c r="N869">
        <v>0</v>
      </c>
      <c r="O869" t="b">
        <v>1</v>
      </c>
    </row>
    <row r="870" spans="1:15" x14ac:dyDescent="0.3">
      <c r="A870" s="1" t="s">
        <v>974</v>
      </c>
      <c r="B870">
        <v>1.662324401755169</v>
      </c>
      <c r="C870">
        <v>2.6315259266406141E-2</v>
      </c>
      <c r="D870">
        <v>4.2245003925939023E-2</v>
      </c>
      <c r="E870">
        <v>49.982095443931492</v>
      </c>
      <c r="F870">
        <v>3.2048098287805533E-2</v>
      </c>
      <c r="G870">
        <v>0.2</v>
      </c>
      <c r="H870">
        <v>-0.2212503942487633</v>
      </c>
      <c r="I870">
        <v>0.73941621521177436</v>
      </c>
      <c r="J870">
        <v>-2.2044013716550511E-2</v>
      </c>
      <c r="K870">
        <v>3.8128497358236313E-2</v>
      </c>
      <c r="L870">
        <v>0</v>
      </c>
      <c r="M870">
        <v>132112400.54185</v>
      </c>
      <c r="N870">
        <v>0</v>
      </c>
      <c r="O870" t="b">
        <v>1</v>
      </c>
    </row>
    <row r="871" spans="1:15" x14ac:dyDescent="0.3">
      <c r="A871" s="1" t="s">
        <v>975</v>
      </c>
      <c r="B871">
        <v>5.0932500376396721</v>
      </c>
      <c r="C871">
        <v>3.6440223493165003E-2</v>
      </c>
      <c r="D871">
        <v>1.8101166201616951E-2</v>
      </c>
      <c r="E871">
        <v>43.773222098378277</v>
      </c>
      <c r="F871">
        <v>-3.2733564013840748E-2</v>
      </c>
      <c r="G871">
        <v>0.4</v>
      </c>
      <c r="H871">
        <v>-6.9726283035686343E-2</v>
      </c>
      <c r="I871">
        <v>0.38291568160332101</v>
      </c>
      <c r="J871">
        <v>-8.3054516827396174E-2</v>
      </c>
      <c r="K871">
        <v>8.296061174433822E-3</v>
      </c>
      <c r="L871">
        <v>0</v>
      </c>
      <c r="M871">
        <v>92059076.5</v>
      </c>
      <c r="N871">
        <v>0</v>
      </c>
      <c r="O871" t="b">
        <v>0</v>
      </c>
    </row>
    <row r="872" spans="1:15" x14ac:dyDescent="0.3">
      <c r="A872" s="1" t="s">
        <v>976</v>
      </c>
      <c r="B872">
        <v>0.29372693619407497</v>
      </c>
      <c r="C872">
        <v>3.1057238220486699E-3</v>
      </c>
      <c r="D872">
        <v>4.6206225680933601E-3</v>
      </c>
      <c r="E872">
        <v>53.491132811530321</v>
      </c>
      <c r="F872">
        <v>3.0044743654598078E-3</v>
      </c>
      <c r="G872">
        <v>0.2</v>
      </c>
      <c r="H872">
        <v>-8.1578932508079821E-2</v>
      </c>
      <c r="I872">
        <v>1.0350839347161189E-2</v>
      </c>
      <c r="J872">
        <v>-4.2063479528930969E-3</v>
      </c>
      <c r="K872">
        <v>4.3241498245703003E-3</v>
      </c>
      <c r="L872">
        <v>0</v>
      </c>
      <c r="M872">
        <v>245857961.42590001</v>
      </c>
      <c r="N872">
        <v>0</v>
      </c>
      <c r="O872" t="b">
        <v>1</v>
      </c>
    </row>
    <row r="873" spans="1:15" x14ac:dyDescent="0.3">
      <c r="A873" s="1" t="s">
        <v>977</v>
      </c>
      <c r="B873">
        <v>0.4628319481594903</v>
      </c>
      <c r="C873">
        <v>3.9189834729846773E-2</v>
      </c>
      <c r="D873">
        <v>4.4877222692633459E-2</v>
      </c>
      <c r="E873">
        <v>46.348576616501617</v>
      </c>
      <c r="F873">
        <v>-8.5205267234701787E-2</v>
      </c>
      <c r="G873">
        <v>0.4</v>
      </c>
      <c r="H873">
        <v>-0.13635104401304801</v>
      </c>
      <c r="I873">
        <v>2.2015474849451708</v>
      </c>
      <c r="J873">
        <v>-6.8611987381703377E-2</v>
      </c>
      <c r="K873">
        <v>3.234265734265751E-2</v>
      </c>
      <c r="L873">
        <v>0</v>
      </c>
      <c r="M873">
        <v>64790953</v>
      </c>
      <c r="N873">
        <v>0</v>
      </c>
      <c r="O873" t="b">
        <v>0</v>
      </c>
    </row>
    <row r="874" spans="1:15" x14ac:dyDescent="0.3">
      <c r="A874" s="1" t="s">
        <v>978</v>
      </c>
      <c r="B874">
        <v>4.9664684090381366</v>
      </c>
      <c r="C874">
        <v>1.6082862677217459E-2</v>
      </c>
      <c r="D874">
        <v>1.7101407036803181E-2</v>
      </c>
      <c r="E874">
        <v>57.078873704766863</v>
      </c>
      <c r="F874">
        <v>4.44457221711132E-2</v>
      </c>
      <c r="G874">
        <v>0.6</v>
      </c>
      <c r="H874">
        <v>-4.1818178032871078E-2</v>
      </c>
      <c r="I874">
        <v>5.0366226914955001E-2</v>
      </c>
      <c r="J874">
        <v>-2.2487811024842759E-3</v>
      </c>
      <c r="K874">
        <v>-8.3801413299511296E-4</v>
      </c>
      <c r="L874">
        <v>0</v>
      </c>
      <c r="M874">
        <v>931571427.20499992</v>
      </c>
      <c r="N874">
        <v>0</v>
      </c>
      <c r="O874" t="b">
        <v>1</v>
      </c>
    </row>
    <row r="875" spans="1:15" x14ac:dyDescent="0.3">
      <c r="A875" s="1" t="s">
        <v>979</v>
      </c>
      <c r="B875">
        <v>0.85738987696014501</v>
      </c>
      <c r="C875">
        <v>1.404090936121043E-2</v>
      </c>
      <c r="D875">
        <v>1.1163751950831659E-2</v>
      </c>
      <c r="E875">
        <v>44.303184772066942</v>
      </c>
      <c r="F875">
        <v>-4.4667609529590702E-2</v>
      </c>
      <c r="G875">
        <v>0.6</v>
      </c>
      <c r="H875">
        <v>-0.1316889007358352</v>
      </c>
      <c r="I875">
        <v>1.0832361329954481</v>
      </c>
      <c r="J875">
        <v>-4.2891715072993497E-2</v>
      </c>
      <c r="K875">
        <v>7.4988615589712806E-3</v>
      </c>
      <c r="L875">
        <v>0</v>
      </c>
      <c r="M875">
        <v>131697440.5774</v>
      </c>
      <c r="N875">
        <v>0</v>
      </c>
      <c r="O875" t="b">
        <v>1</v>
      </c>
    </row>
    <row r="876" spans="1:15" x14ac:dyDescent="0.3">
      <c r="A876" s="1" t="s">
        <v>980</v>
      </c>
      <c r="B876">
        <v>2.35953439579739</v>
      </c>
      <c r="C876">
        <v>3.4954770501794602E-2</v>
      </c>
      <c r="D876">
        <v>2.901374023184328E-2</v>
      </c>
      <c r="E876">
        <v>72.648888206144164</v>
      </c>
      <c r="F876">
        <v>0.23646351560267581</v>
      </c>
      <c r="G876">
        <v>0.8</v>
      </c>
      <c r="H876">
        <v>1.8000837036416889E-2</v>
      </c>
      <c r="I876">
        <v>2.0391630355231571</v>
      </c>
      <c r="J876">
        <v>0</v>
      </c>
      <c r="K876">
        <v>1.5705994850937492E-2</v>
      </c>
      <c r="L876">
        <v>0</v>
      </c>
      <c r="M876">
        <v>501237250.39244998</v>
      </c>
      <c r="N876">
        <v>0</v>
      </c>
      <c r="O876" t="b">
        <v>1</v>
      </c>
    </row>
    <row r="877" spans="1:15" x14ac:dyDescent="0.3">
      <c r="A877" s="1" t="s">
        <v>981</v>
      </c>
      <c r="B877">
        <v>18.945600278750259</v>
      </c>
      <c r="C877">
        <v>2.3319814479798459E-2</v>
      </c>
      <c r="D877">
        <v>2.7043727113271999E-2</v>
      </c>
      <c r="E877">
        <v>44.824003585049873</v>
      </c>
      <c r="F877">
        <v>-5.2959875596981787E-2</v>
      </c>
      <c r="G877">
        <v>0.4</v>
      </c>
      <c r="H877">
        <v>7.0472314565305186E-2</v>
      </c>
      <c r="I877">
        <v>-6.0590421315872812E-2</v>
      </c>
      <c r="J877">
        <v>-8.4813256506874435E-2</v>
      </c>
      <c r="K877">
        <v>2.2754453326619069E-2</v>
      </c>
      <c r="L877">
        <v>0</v>
      </c>
      <c r="M877">
        <v>514852036.72350001</v>
      </c>
      <c r="N877">
        <v>0</v>
      </c>
      <c r="O877" t="b">
        <v>1</v>
      </c>
    </row>
    <row r="878" spans="1:15" x14ac:dyDescent="0.3">
      <c r="A878" s="1" t="s">
        <v>982</v>
      </c>
      <c r="B878">
        <v>8.8867485393970949</v>
      </c>
      <c r="C878">
        <v>1.8554454049748089E-2</v>
      </c>
      <c r="D878">
        <v>2.6896054952970538E-2</v>
      </c>
      <c r="E878">
        <v>45.888516888361437</v>
      </c>
      <c r="F878">
        <v>-8.2227918977234582E-3</v>
      </c>
      <c r="G878">
        <v>0.2</v>
      </c>
      <c r="H878">
        <v>-0.1232811150294679</v>
      </c>
      <c r="I878">
        <v>0.32088572137008542</v>
      </c>
      <c r="J878">
        <v>-3.3251989689743633E-2</v>
      </c>
      <c r="K878">
        <v>-1.311709157444252E-2</v>
      </c>
      <c r="L878">
        <v>0</v>
      </c>
      <c r="M878">
        <v>332867111.78049999</v>
      </c>
      <c r="N878">
        <v>0</v>
      </c>
      <c r="O878" t="b">
        <v>1</v>
      </c>
    </row>
    <row r="879" spans="1:15" x14ac:dyDescent="0.3">
      <c r="A879" s="1" t="s">
        <v>983</v>
      </c>
      <c r="B879">
        <v>17.895978377460111</v>
      </c>
      <c r="C879">
        <v>4.187075262034138E-2</v>
      </c>
      <c r="D879">
        <v>4.1945672773215398E-2</v>
      </c>
      <c r="E879">
        <v>72.661609611193441</v>
      </c>
      <c r="F879">
        <v>0.14314370536788901</v>
      </c>
      <c r="G879">
        <v>0.6</v>
      </c>
      <c r="H879">
        <v>0.1155474306959539</v>
      </c>
      <c r="I879">
        <v>1.642016148577659</v>
      </c>
      <c r="J879">
        <v>0</v>
      </c>
      <c r="K879">
        <v>3.2241704100854918E-2</v>
      </c>
      <c r="L879">
        <v>0</v>
      </c>
      <c r="M879">
        <v>446507406</v>
      </c>
      <c r="N879">
        <v>0</v>
      </c>
      <c r="O879" t="b">
        <v>1</v>
      </c>
    </row>
    <row r="880" spans="1:15" x14ac:dyDescent="0.3">
      <c r="A880" s="1" t="s">
        <v>984</v>
      </c>
      <c r="B880">
        <v>23.031600794735581</v>
      </c>
      <c r="C880">
        <v>4.1688418909145437E-2</v>
      </c>
      <c r="D880">
        <v>1.663438738755035E-2</v>
      </c>
      <c r="E880">
        <v>54.03187680752746</v>
      </c>
      <c r="F880">
        <v>0.1141203516979916</v>
      </c>
      <c r="G880">
        <v>0.2</v>
      </c>
      <c r="H880">
        <v>0.1156293737097976</v>
      </c>
      <c r="I880">
        <v>0.44776711412829162</v>
      </c>
      <c r="J880">
        <v>-8.0794635875081067E-2</v>
      </c>
      <c r="K880">
        <v>-2.6177065280184042E-3</v>
      </c>
      <c r="L880">
        <v>0</v>
      </c>
      <c r="M880">
        <v>114079476.5</v>
      </c>
      <c r="N880">
        <v>0</v>
      </c>
      <c r="O880" t="b">
        <v>1</v>
      </c>
    </row>
    <row r="881" spans="1:15" x14ac:dyDescent="0.3">
      <c r="A881" s="1" t="s">
        <v>985</v>
      </c>
      <c r="B881">
        <v>1.1596488776336049</v>
      </c>
      <c r="C881">
        <v>2.171692181102065E-2</v>
      </c>
      <c r="D881">
        <v>2.0041799005213631E-2</v>
      </c>
      <c r="E881">
        <v>30.883223767913439</v>
      </c>
      <c r="F881">
        <v>-4.1956047071150297E-2</v>
      </c>
      <c r="G881">
        <v>0</v>
      </c>
      <c r="H881">
        <v>-0.19256851092334959</v>
      </c>
      <c r="I881">
        <v>6.4647754417592518E-2</v>
      </c>
      <c r="J881">
        <v>-6.3921689619386823E-2</v>
      </c>
      <c r="K881">
        <v>-4.0659201289157121E-3</v>
      </c>
      <c r="L881">
        <v>0</v>
      </c>
      <c r="M881">
        <v>495503940.14064997</v>
      </c>
      <c r="N881">
        <v>0</v>
      </c>
      <c r="O881" t="b">
        <v>1</v>
      </c>
    </row>
    <row r="882" spans="1:15" x14ac:dyDescent="0.3">
      <c r="A882" s="1" t="s">
        <v>986</v>
      </c>
      <c r="B882">
        <v>1.8282365107957781</v>
      </c>
      <c r="C882">
        <v>1.8276151216544159E-2</v>
      </c>
      <c r="D882">
        <v>1.5676669932222949E-2</v>
      </c>
      <c r="E882">
        <v>55.11757009677175</v>
      </c>
      <c r="F882">
        <v>8.7518766911963919E-2</v>
      </c>
      <c r="G882">
        <v>0.4</v>
      </c>
      <c r="H882">
        <v>3.6044229012484198E-2</v>
      </c>
      <c r="I882">
        <v>0.25782969885432078</v>
      </c>
      <c r="J882">
        <v>-4.3478260869565188E-2</v>
      </c>
      <c r="K882">
        <v>1.153874545088684E-2</v>
      </c>
      <c r="L882">
        <v>0</v>
      </c>
      <c r="M882">
        <v>614676418.11809993</v>
      </c>
      <c r="N882">
        <v>0</v>
      </c>
      <c r="O882" t="b">
        <v>1</v>
      </c>
    </row>
    <row r="883" spans="1:15" x14ac:dyDescent="0.3">
      <c r="A883" s="1" t="s">
        <v>987</v>
      </c>
      <c r="B883">
        <v>8.2589049737575415</v>
      </c>
      <c r="C883">
        <v>1.34694125085745E-2</v>
      </c>
      <c r="D883">
        <v>2.1547393828690701E-2</v>
      </c>
      <c r="E883">
        <v>64.662981690618722</v>
      </c>
      <c r="F883">
        <v>3.1531736138098232E-2</v>
      </c>
      <c r="G883">
        <v>0.6</v>
      </c>
      <c r="H883">
        <v>-8.1144242116757734E-2</v>
      </c>
      <c r="I883">
        <v>1.0288000400248749</v>
      </c>
      <c r="J883">
        <v>0</v>
      </c>
      <c r="K883">
        <v>1.8993536979148521E-2</v>
      </c>
      <c r="L883">
        <v>0</v>
      </c>
      <c r="M883">
        <v>463979291.671</v>
      </c>
      <c r="N883">
        <v>0</v>
      </c>
      <c r="O883" t="b">
        <v>1</v>
      </c>
    </row>
    <row r="884" spans="1:15" x14ac:dyDescent="0.3">
      <c r="A884" s="1" t="s">
        <v>988</v>
      </c>
      <c r="B884">
        <v>17.739762451740582</v>
      </c>
      <c r="C884">
        <v>3.1635777889862833E-2</v>
      </c>
      <c r="D884">
        <v>3.418635755684344E-2</v>
      </c>
      <c r="E884">
        <v>44.3168912643524</v>
      </c>
      <c r="F884">
        <v>-6.6101525547931583E-2</v>
      </c>
      <c r="G884">
        <v>0.6</v>
      </c>
      <c r="H884">
        <v>6.7981175556979273E-2</v>
      </c>
      <c r="I884">
        <v>1.2351297806324439</v>
      </c>
      <c r="J884">
        <v>-9.3356400265161898E-2</v>
      </c>
      <c r="K884">
        <v>3.0638876635788789E-2</v>
      </c>
      <c r="L884">
        <v>0</v>
      </c>
      <c r="M884">
        <v>124379433</v>
      </c>
      <c r="N884">
        <v>0</v>
      </c>
      <c r="O884" t="b">
        <v>1</v>
      </c>
    </row>
    <row r="885" spans="1:15" x14ac:dyDescent="0.3">
      <c r="A885" s="1" t="s">
        <v>989</v>
      </c>
      <c r="B885">
        <v>77.605020685530135</v>
      </c>
      <c r="C885">
        <v>3.9378819364159552E-2</v>
      </c>
      <c r="D885">
        <v>5.961242788205387E-2</v>
      </c>
      <c r="E885">
        <v>38.766543025119383</v>
      </c>
      <c r="F885">
        <v>-5.7986462973939279E-2</v>
      </c>
      <c r="G885">
        <v>0.4</v>
      </c>
      <c r="H885">
        <v>-0.1157658460177734</v>
      </c>
      <c r="I885">
        <v>1.45422541129247</v>
      </c>
      <c r="J885">
        <v>-7.8908747592962958E-2</v>
      </c>
      <c r="K885">
        <v>-5.0012533261347469E-2</v>
      </c>
      <c r="L885">
        <v>0</v>
      </c>
      <c r="M885">
        <v>811784584</v>
      </c>
      <c r="N885">
        <v>1</v>
      </c>
      <c r="O885" t="b">
        <v>1</v>
      </c>
    </row>
    <row r="886" spans="1:15" x14ac:dyDescent="0.3">
      <c r="A886" s="1" t="s">
        <v>990</v>
      </c>
      <c r="B886">
        <v>1.4731968153235619</v>
      </c>
      <c r="C886">
        <v>1.84564872879424E-2</v>
      </c>
      <c r="D886">
        <v>2.8438987722375471E-2</v>
      </c>
      <c r="E886">
        <v>61.306081797076857</v>
      </c>
      <c r="F886">
        <v>3.4205752785695598E-2</v>
      </c>
      <c r="G886">
        <v>0.6</v>
      </c>
      <c r="H886">
        <v>-5.3905991435054777E-2</v>
      </c>
      <c r="I886">
        <v>0.87394802275411987</v>
      </c>
      <c r="J886">
        <v>-4.8622366288493257E-3</v>
      </c>
      <c r="K886">
        <v>2.5700334104343359E-2</v>
      </c>
      <c r="L886">
        <v>0</v>
      </c>
      <c r="M886">
        <v>250114055.68425</v>
      </c>
      <c r="N886">
        <v>0</v>
      </c>
      <c r="O886" t="b">
        <v>1</v>
      </c>
    </row>
    <row r="887" spans="1:15" x14ac:dyDescent="0.3">
      <c r="A887" s="1" t="s">
        <v>991</v>
      </c>
      <c r="B887">
        <v>17.02358142215888</v>
      </c>
      <c r="C887">
        <v>2.6206252189283991E-2</v>
      </c>
      <c r="D887">
        <v>2.0857450738916219E-2</v>
      </c>
      <c r="E887">
        <v>50.50199466721751</v>
      </c>
      <c r="F887">
        <v>2.9077458039271638E-2</v>
      </c>
      <c r="G887">
        <v>0.4</v>
      </c>
      <c r="H887">
        <v>-0.15247683226730749</v>
      </c>
      <c r="I887">
        <v>1.3916645261156859</v>
      </c>
      <c r="J887">
        <v>-3.4584638065840223E-2</v>
      </c>
      <c r="K887">
        <v>-1.0397227406025E-2</v>
      </c>
      <c r="L887">
        <v>0</v>
      </c>
      <c r="M887">
        <v>8730558389.4155006</v>
      </c>
      <c r="N887">
        <v>0</v>
      </c>
      <c r="O887" t="b">
        <v>1</v>
      </c>
    </row>
    <row r="888" spans="1:15" x14ac:dyDescent="0.3">
      <c r="A888" s="1" t="s">
        <v>992</v>
      </c>
      <c r="B888">
        <v>0.57228600117302486</v>
      </c>
      <c r="C888">
        <v>1.6286348535047231E-2</v>
      </c>
      <c r="D888">
        <v>1.408975781894763E-2</v>
      </c>
      <c r="E888">
        <v>65.905535692161251</v>
      </c>
      <c r="F888">
        <v>6.2259103069877142E-2</v>
      </c>
      <c r="G888">
        <v>0.8</v>
      </c>
      <c r="H888">
        <v>0.1059627150422532</v>
      </c>
      <c r="I888">
        <v>0.6888623043344817</v>
      </c>
      <c r="J888">
        <v>0</v>
      </c>
      <c r="K888">
        <v>7.6681310866149044E-3</v>
      </c>
      <c r="L888">
        <v>0</v>
      </c>
      <c r="M888">
        <v>56054288.176899999</v>
      </c>
      <c r="N888">
        <v>0</v>
      </c>
      <c r="O888" t="b">
        <v>0</v>
      </c>
    </row>
    <row r="889" spans="1:15" x14ac:dyDescent="0.3">
      <c r="A889" s="1" t="s">
        <v>993</v>
      </c>
      <c r="B889">
        <v>0.13481244119196689</v>
      </c>
      <c r="C889">
        <v>1.8467457697529721E-2</v>
      </c>
      <c r="D889">
        <v>1.232876712328765E-2</v>
      </c>
      <c r="E889">
        <v>65.457041276087182</v>
      </c>
      <c r="F889">
        <v>8.7928464977645282E-2</v>
      </c>
      <c r="G889">
        <v>0.6</v>
      </c>
      <c r="H889">
        <v>6.2643398335368028E-2</v>
      </c>
      <c r="I889">
        <v>1.2034806617351681</v>
      </c>
      <c r="J889">
        <v>-6.8027210884353817E-3</v>
      </c>
      <c r="K889">
        <v>5.5096418732782926E-3</v>
      </c>
      <c r="L889">
        <v>0</v>
      </c>
      <c r="M889">
        <v>12583184.082450001</v>
      </c>
      <c r="N889">
        <v>0</v>
      </c>
      <c r="O889" t="b">
        <v>0</v>
      </c>
    </row>
    <row r="890" spans="1:15" x14ac:dyDescent="0.3">
      <c r="A890" s="1" t="s">
        <v>994</v>
      </c>
      <c r="B890">
        <v>1.134648595859058</v>
      </c>
      <c r="C890">
        <v>2.2377140949815459E-2</v>
      </c>
      <c r="D890">
        <v>4.1486460102118698E-2</v>
      </c>
      <c r="E890">
        <v>65.381483781657721</v>
      </c>
      <c r="F890">
        <v>3.8829839542392497E-2</v>
      </c>
      <c r="G890">
        <v>0.6</v>
      </c>
      <c r="H890">
        <v>4.5130726972195737E-2</v>
      </c>
      <c r="I890">
        <v>0.97172162401473849</v>
      </c>
      <c r="J890">
        <v>0</v>
      </c>
      <c r="K890">
        <v>3.6720732288278102E-2</v>
      </c>
      <c r="L890">
        <v>0</v>
      </c>
      <c r="M890">
        <v>60171128.074199997</v>
      </c>
      <c r="N890">
        <v>0</v>
      </c>
      <c r="O890" t="b">
        <v>0</v>
      </c>
    </row>
    <row r="891" spans="1:15" x14ac:dyDescent="0.3">
      <c r="A891" s="1" t="s">
        <v>995</v>
      </c>
      <c r="B891">
        <v>2.714116437942347</v>
      </c>
      <c r="C891">
        <v>1.07622743268607E-2</v>
      </c>
      <c r="D891">
        <v>9.8497945976811305E-3</v>
      </c>
      <c r="E891">
        <v>59.954747164002399</v>
      </c>
      <c r="F891">
        <v>6.8108686452519329E-3</v>
      </c>
      <c r="G891">
        <v>0.6</v>
      </c>
      <c r="H891">
        <v>0.10651314493753079</v>
      </c>
      <c r="I891">
        <v>1.038354676884564</v>
      </c>
      <c r="J891">
        <v>0</v>
      </c>
      <c r="K891">
        <v>5.0493980177028766E-3</v>
      </c>
      <c r="L891">
        <v>0</v>
      </c>
      <c r="M891">
        <v>20488296.925500002</v>
      </c>
      <c r="N891">
        <v>0</v>
      </c>
      <c r="O891" t="b">
        <v>0</v>
      </c>
    </row>
    <row r="892" spans="1:15" x14ac:dyDescent="0.3">
      <c r="A892" s="1" t="s">
        <v>996</v>
      </c>
      <c r="B892">
        <v>5.8547642509919244</v>
      </c>
      <c r="C892">
        <v>1.404953470528846E-2</v>
      </c>
      <c r="D892">
        <v>1.0021045154695049E-2</v>
      </c>
      <c r="E892">
        <v>57.849301905486918</v>
      </c>
      <c r="F892">
        <v>-1.8897660426526739E-3</v>
      </c>
      <c r="G892">
        <v>0.8</v>
      </c>
      <c r="H892">
        <v>6.2376999600172803E-2</v>
      </c>
      <c r="I892">
        <v>1.2864461705789709</v>
      </c>
      <c r="J892">
        <v>-1.294147815646185E-3</v>
      </c>
      <c r="K892">
        <v>7.4445322312222117E-4</v>
      </c>
      <c r="L892">
        <v>0</v>
      </c>
      <c r="M892">
        <v>118806801.046</v>
      </c>
      <c r="N892">
        <v>0</v>
      </c>
      <c r="O892" t="b">
        <v>1</v>
      </c>
    </row>
    <row r="893" spans="1:15" x14ac:dyDescent="0.3">
      <c r="A893" s="1" t="s">
        <v>997</v>
      </c>
      <c r="B893">
        <v>1.094022755962816</v>
      </c>
      <c r="C893">
        <v>2.940921386996817E-2</v>
      </c>
      <c r="D893">
        <v>4.7043010752688172E-2</v>
      </c>
      <c r="E893">
        <v>70.422926644383054</v>
      </c>
      <c r="F893">
        <v>0.13242009132420091</v>
      </c>
      <c r="G893">
        <v>0.6</v>
      </c>
      <c r="H893">
        <v>1.322816666280007E-2</v>
      </c>
      <c r="I893">
        <v>1.114552286128677</v>
      </c>
      <c r="J893">
        <v>0</v>
      </c>
      <c r="K893">
        <v>3.6500417943716952E-2</v>
      </c>
      <c r="L893">
        <v>0</v>
      </c>
      <c r="M893">
        <v>157001568</v>
      </c>
      <c r="N893">
        <v>0</v>
      </c>
      <c r="O893" t="b">
        <v>1</v>
      </c>
    </row>
    <row r="894" spans="1:15" x14ac:dyDescent="0.3">
      <c r="A894" s="1" t="s">
        <v>998</v>
      </c>
      <c r="B894">
        <v>1.31962314547061</v>
      </c>
      <c r="C894">
        <v>9.3954785264153146E-3</v>
      </c>
      <c r="D894">
        <v>1.4652588410358059E-2</v>
      </c>
      <c r="E894">
        <v>61.07800202996868</v>
      </c>
      <c r="F894">
        <v>2.3322064523649821E-2</v>
      </c>
      <c r="G894">
        <v>0.2</v>
      </c>
      <c r="H894">
        <v>-4.1595037835006572E-2</v>
      </c>
      <c r="I894">
        <v>0.54402073786575866</v>
      </c>
      <c r="J894">
        <v>0</v>
      </c>
      <c r="K894">
        <v>1.312087943794471E-2</v>
      </c>
      <c r="L894">
        <v>0</v>
      </c>
      <c r="M894">
        <v>30917678.622499999</v>
      </c>
      <c r="N894">
        <v>0</v>
      </c>
      <c r="O894" t="b">
        <v>0</v>
      </c>
    </row>
    <row r="895" spans="1:15" x14ac:dyDescent="0.3">
      <c r="A895" s="1" t="s">
        <v>999</v>
      </c>
      <c r="B895">
        <v>3.2658264106624841</v>
      </c>
      <c r="C895">
        <v>2.9237479056960461E-2</v>
      </c>
      <c r="D895">
        <v>5.0223813786929271E-2</v>
      </c>
      <c r="E895">
        <v>48.806825137729241</v>
      </c>
      <c r="F895">
        <v>3.3493708364174653E-2</v>
      </c>
      <c r="G895">
        <v>0.2</v>
      </c>
      <c r="H895">
        <v>-0.20171377298108689</v>
      </c>
      <c r="I895">
        <v>0.92764324790575003</v>
      </c>
      <c r="J895">
        <v>-3.6238136324417643E-2</v>
      </c>
      <c r="K895">
        <v>4.8235735735735703E-2</v>
      </c>
      <c r="L895">
        <v>0</v>
      </c>
      <c r="M895">
        <v>83289839</v>
      </c>
      <c r="N895">
        <v>0</v>
      </c>
      <c r="O895" t="b">
        <v>0</v>
      </c>
    </row>
    <row r="896" spans="1:15" x14ac:dyDescent="0.3">
      <c r="A896" s="1" t="s">
        <v>1000</v>
      </c>
      <c r="B896">
        <v>0.48428571428571487</v>
      </c>
      <c r="C896">
        <v>3.2307252454016999E-2</v>
      </c>
      <c r="D896">
        <v>4.4696464309539691E-2</v>
      </c>
      <c r="E896">
        <v>8.2616179001721264</v>
      </c>
      <c r="H896">
        <v>0</v>
      </c>
      <c r="I896">
        <v>1</v>
      </c>
      <c r="J896">
        <v>0</v>
      </c>
      <c r="K896">
        <v>3.308063404548589E-2</v>
      </c>
      <c r="O896" t="b">
        <v>0</v>
      </c>
    </row>
    <row r="897" spans="1:15" x14ac:dyDescent="0.3">
      <c r="A897" s="1" t="s">
        <v>1001</v>
      </c>
      <c r="B897">
        <v>4.4468290315613821</v>
      </c>
      <c r="C897">
        <v>3.154674398099732E-2</v>
      </c>
      <c r="D897">
        <v>9.151532349602727E-2</v>
      </c>
      <c r="E897">
        <v>76.31969358232692</v>
      </c>
      <c r="F897">
        <v>0.1445274439753168</v>
      </c>
      <c r="G897">
        <v>1</v>
      </c>
      <c r="H897">
        <v>-1.6652401423438861E-2</v>
      </c>
      <c r="I897">
        <v>1.022970025761297</v>
      </c>
      <c r="J897">
        <v>0</v>
      </c>
      <c r="K897">
        <v>9.2713178294573595E-2</v>
      </c>
      <c r="L897">
        <v>0</v>
      </c>
      <c r="M897">
        <v>103204692</v>
      </c>
      <c r="N897">
        <v>0</v>
      </c>
      <c r="O897" t="b">
        <v>1</v>
      </c>
    </row>
    <row r="898" spans="1:15" x14ac:dyDescent="0.3">
      <c r="A898" s="1" t="s">
        <v>1002</v>
      </c>
      <c r="B898">
        <v>2.5896698924737512E-2</v>
      </c>
      <c r="C898">
        <v>2.5973815182012909E-4</v>
      </c>
      <c r="D898">
        <v>3.9918518080179658E-4</v>
      </c>
      <c r="E898">
        <v>94.691521761886221</v>
      </c>
      <c r="F898">
        <v>3.389479129242146E-3</v>
      </c>
      <c r="G898">
        <v>0.8</v>
      </c>
      <c r="H898">
        <v>-7.9867312085428369E-2</v>
      </c>
      <c r="I898">
        <v>4.6968535963378523E-3</v>
      </c>
      <c r="J898">
        <v>0</v>
      </c>
      <c r="K898">
        <v>2.989767570653612E-4</v>
      </c>
      <c r="L898">
        <v>0</v>
      </c>
      <c r="M898">
        <v>118622110.2397</v>
      </c>
      <c r="N898">
        <v>0</v>
      </c>
      <c r="O898" t="b">
        <v>1</v>
      </c>
    </row>
    <row r="899" spans="1:15" x14ac:dyDescent="0.3">
      <c r="A899" s="1" t="s">
        <v>1003</v>
      </c>
      <c r="B899">
        <v>1.2909218442243651</v>
      </c>
      <c r="C899">
        <v>2.021417746686404E-2</v>
      </c>
      <c r="D899">
        <v>1.6172321028714871E-2</v>
      </c>
      <c r="E899">
        <v>44.13569056926643</v>
      </c>
      <c r="F899">
        <v>0</v>
      </c>
      <c r="G899">
        <v>0.4</v>
      </c>
      <c r="H899">
        <v>-0.1065197583765163</v>
      </c>
      <c r="I899">
        <v>-0.31858576969393337</v>
      </c>
      <c r="J899">
        <v>-5.6484854931787343E-2</v>
      </c>
      <c r="K899">
        <v>1.307626047187482E-2</v>
      </c>
      <c r="L899">
        <v>0</v>
      </c>
      <c r="M899">
        <v>154926583.55540001</v>
      </c>
      <c r="N899">
        <v>0</v>
      </c>
      <c r="O899" t="b">
        <v>1</v>
      </c>
    </row>
    <row r="900" spans="1:15" x14ac:dyDescent="0.3">
      <c r="A900" s="1" t="s">
        <v>1004</v>
      </c>
      <c r="B900">
        <v>33.960954435430942</v>
      </c>
      <c r="C900">
        <v>1.6297842101302421E-2</v>
      </c>
      <c r="D900">
        <v>2.233451868488363E-2</v>
      </c>
      <c r="E900">
        <v>63.095481103391577</v>
      </c>
      <c r="F900">
        <v>1.132773256067909E-2</v>
      </c>
      <c r="G900">
        <v>0.8</v>
      </c>
      <c r="H900">
        <v>1.6379032599674621E-2</v>
      </c>
      <c r="I900">
        <v>5.6608945332939933E-2</v>
      </c>
      <c r="J900">
        <v>-3.891180786936288E-3</v>
      </c>
      <c r="K900">
        <v>7.4990571784978588E-3</v>
      </c>
      <c r="L900">
        <v>0</v>
      </c>
      <c r="M900">
        <v>88200832</v>
      </c>
      <c r="N900">
        <v>1</v>
      </c>
      <c r="O900" t="b">
        <v>0</v>
      </c>
    </row>
    <row r="901" spans="1:15" x14ac:dyDescent="0.3">
      <c r="A901" s="1" t="s">
        <v>1005</v>
      </c>
      <c r="B901">
        <v>6.1153948049210989</v>
      </c>
      <c r="C901">
        <v>3.6462364235926373E-2</v>
      </c>
      <c r="D901">
        <v>3.3001824491110061E-2</v>
      </c>
      <c r="E901">
        <v>70.021594078797818</v>
      </c>
      <c r="F901">
        <v>5.8131025084540378E-2</v>
      </c>
      <c r="G901">
        <v>0.6</v>
      </c>
      <c r="H901">
        <v>0.1811499994252147</v>
      </c>
      <c r="I901">
        <v>2.662377780445341</v>
      </c>
      <c r="J901">
        <v>0</v>
      </c>
      <c r="K901">
        <v>1.6281789481976009E-2</v>
      </c>
      <c r="L901">
        <v>0</v>
      </c>
      <c r="M901">
        <v>105329492.81640001</v>
      </c>
      <c r="N901">
        <v>0</v>
      </c>
      <c r="O901" t="b">
        <v>1</v>
      </c>
    </row>
    <row r="902" spans="1:15" x14ac:dyDescent="0.3">
      <c r="A902" s="1" t="s">
        <v>1006</v>
      </c>
      <c r="B902">
        <v>4.5588819273009449</v>
      </c>
      <c r="C902">
        <v>2.6134234080869428E-2</v>
      </c>
      <c r="D902">
        <v>2.5630442384531181E-2</v>
      </c>
      <c r="E902">
        <v>63.003184371640792</v>
      </c>
      <c r="F902">
        <v>4.0153362709964391E-2</v>
      </c>
      <c r="G902">
        <v>0.6</v>
      </c>
      <c r="H902">
        <v>-8.8704953722930538E-2</v>
      </c>
      <c r="I902">
        <v>-0.4563361501814413</v>
      </c>
      <c r="J902">
        <v>0</v>
      </c>
      <c r="K902">
        <v>1.1838747099768071E-2</v>
      </c>
      <c r="L902">
        <v>0</v>
      </c>
      <c r="M902">
        <v>105349277.575</v>
      </c>
      <c r="N902">
        <v>0</v>
      </c>
      <c r="O902" t="b">
        <v>1</v>
      </c>
    </row>
    <row r="903" spans="1:15" x14ac:dyDescent="0.3">
      <c r="A903" s="1" t="s">
        <v>1007</v>
      </c>
      <c r="B903">
        <v>2.508029002093044</v>
      </c>
      <c r="C903">
        <v>2.2228387858663871E-2</v>
      </c>
      <c r="D903">
        <v>3.1995036780997958E-2</v>
      </c>
      <c r="E903">
        <v>63.076129544801688</v>
      </c>
      <c r="F903">
        <v>4.9757168642191152E-2</v>
      </c>
      <c r="G903">
        <v>0.6</v>
      </c>
      <c r="H903">
        <v>0.1290485859808336</v>
      </c>
      <c r="I903">
        <v>0.79356957373669368</v>
      </c>
      <c r="J903">
        <v>-5.8154903515728051E-3</v>
      </c>
      <c r="K903">
        <v>2.6100400145507411E-2</v>
      </c>
      <c r="L903">
        <v>0</v>
      </c>
      <c r="M903">
        <v>66899746.085899986</v>
      </c>
      <c r="N903">
        <v>0</v>
      </c>
      <c r="O903" t="b">
        <v>0</v>
      </c>
    </row>
    <row r="904" spans="1:15" x14ac:dyDescent="0.3">
      <c r="A904" s="1" t="s">
        <v>1008</v>
      </c>
      <c r="B904">
        <v>13.50097354860309</v>
      </c>
      <c r="C904">
        <v>2.1683260202206862E-2</v>
      </c>
      <c r="D904">
        <v>3.055834383958745E-2</v>
      </c>
      <c r="E904">
        <v>55.887271663415561</v>
      </c>
      <c r="F904">
        <v>1.2113271769997439E-2</v>
      </c>
      <c r="G904">
        <v>0.6</v>
      </c>
      <c r="H904">
        <v>-7.4833288118980129E-2</v>
      </c>
      <c r="I904">
        <v>0.48694575716703298</v>
      </c>
      <c r="J904">
        <v>-1.5378349080507061E-3</v>
      </c>
      <c r="K904">
        <v>1.862712859851556E-2</v>
      </c>
      <c r="L904">
        <v>0</v>
      </c>
      <c r="M904">
        <v>218036624.97299999</v>
      </c>
      <c r="N904">
        <v>0</v>
      </c>
      <c r="O904" t="b">
        <v>1</v>
      </c>
    </row>
    <row r="905" spans="1:15" x14ac:dyDescent="0.3">
      <c r="A905" s="1" t="s">
        <v>1009</v>
      </c>
      <c r="B905">
        <v>2.854155099186813</v>
      </c>
      <c r="C905">
        <v>1.5855007883670409E-2</v>
      </c>
      <c r="D905">
        <v>1.111012354457382E-2</v>
      </c>
      <c r="E905">
        <v>43.662206619342257</v>
      </c>
      <c r="F905">
        <v>1.5777000338562219E-2</v>
      </c>
      <c r="G905">
        <v>0</v>
      </c>
      <c r="H905">
        <v>-0.15092848413666371</v>
      </c>
      <c r="I905">
        <v>-5.8666197110314499E-3</v>
      </c>
      <c r="J905">
        <v>-1.6687514680096879E-2</v>
      </c>
      <c r="K905">
        <v>-1.818746395776949E-3</v>
      </c>
      <c r="L905">
        <v>0</v>
      </c>
      <c r="M905">
        <v>475485291.8355</v>
      </c>
      <c r="N905">
        <v>0</v>
      </c>
      <c r="O905" t="b">
        <v>1</v>
      </c>
    </row>
    <row r="906" spans="1:15" x14ac:dyDescent="0.3">
      <c r="A906" s="1" t="s">
        <v>1010</v>
      </c>
      <c r="B906">
        <v>3.50402241220538</v>
      </c>
      <c r="C906">
        <v>2.1246800947158501E-2</v>
      </c>
      <c r="D906">
        <v>2.0040019403347119E-2</v>
      </c>
      <c r="E906">
        <v>47.671845881026599</v>
      </c>
      <c r="F906">
        <v>-7.7433561763343706E-3</v>
      </c>
      <c r="G906">
        <v>0.4</v>
      </c>
      <c r="H906">
        <v>9.3973204670318297E-4</v>
      </c>
      <c r="I906">
        <v>0.69624684898905498</v>
      </c>
      <c r="J906">
        <v>-4.2926699048846162E-2</v>
      </c>
      <c r="K906">
        <v>3.4498913923077801E-3</v>
      </c>
      <c r="L906">
        <v>0</v>
      </c>
      <c r="M906">
        <v>468746921.73450011</v>
      </c>
      <c r="N906">
        <v>0</v>
      </c>
      <c r="O906" t="b">
        <v>1</v>
      </c>
    </row>
    <row r="907" spans="1:15" x14ac:dyDescent="0.3">
      <c r="A907" s="1" t="s">
        <v>1011</v>
      </c>
      <c r="B907">
        <v>2.9182703517936979</v>
      </c>
      <c r="C907">
        <v>3.8327690462223507E-2</v>
      </c>
      <c r="D907">
        <v>6.5931179406356663E-2</v>
      </c>
      <c r="E907">
        <v>50.708517660507617</v>
      </c>
      <c r="F907">
        <v>-6.7831985390033323E-3</v>
      </c>
      <c r="G907">
        <v>0.6</v>
      </c>
      <c r="H907">
        <v>-0.20532079096021549</v>
      </c>
      <c r="I907">
        <v>0.60063592384703124</v>
      </c>
      <c r="J907">
        <v>-2.8206764518187492E-2</v>
      </c>
      <c r="K907">
        <v>6.1776600195230902E-2</v>
      </c>
      <c r="L907">
        <v>0</v>
      </c>
      <c r="M907">
        <v>74961129</v>
      </c>
      <c r="N907">
        <v>0</v>
      </c>
      <c r="O907" t="b">
        <v>0</v>
      </c>
    </row>
    <row r="908" spans="1:15" x14ac:dyDescent="0.3">
      <c r="A908" s="1" t="s">
        <v>1012</v>
      </c>
      <c r="B908">
        <v>7.3156772969880617</v>
      </c>
      <c r="C908">
        <v>4.5895089692522352E-2</v>
      </c>
      <c r="D908">
        <v>2.9548306148055078E-2</v>
      </c>
      <c r="E908">
        <v>47.599026758560903</v>
      </c>
      <c r="F908">
        <v>-4.0972264003369292E-2</v>
      </c>
      <c r="G908">
        <v>0.8</v>
      </c>
      <c r="H908">
        <v>-9.2556223662524972E-2</v>
      </c>
      <c r="I908">
        <v>0.53369923375590855</v>
      </c>
      <c r="J908">
        <v>-3.4992129797796312E-2</v>
      </c>
      <c r="K908">
        <v>-1.9137283859454679E-2</v>
      </c>
      <c r="L908">
        <v>0</v>
      </c>
      <c r="M908">
        <v>184715623.25</v>
      </c>
      <c r="N908">
        <v>0</v>
      </c>
      <c r="O908" t="b">
        <v>1</v>
      </c>
    </row>
    <row r="909" spans="1:15" x14ac:dyDescent="0.3">
      <c r="A909" s="1" t="s">
        <v>1013</v>
      </c>
      <c r="B909">
        <v>1.310144833647138</v>
      </c>
      <c r="C909">
        <v>1.7738218706297559E-2</v>
      </c>
      <c r="D909">
        <v>1.5028432168968309E-2</v>
      </c>
      <c r="E909">
        <v>58.500452472976669</v>
      </c>
      <c r="F909">
        <v>5.4690846779951403E-2</v>
      </c>
      <c r="G909">
        <v>0.6</v>
      </c>
      <c r="H909">
        <v>9.4001960594875547E-2</v>
      </c>
      <c r="I909">
        <v>-0.27566769961119919</v>
      </c>
      <c r="J909">
        <v>-2.7518104015799901E-2</v>
      </c>
      <c r="K909">
        <v>3.9418241130897416E-3</v>
      </c>
      <c r="L909">
        <v>0</v>
      </c>
      <c r="M909">
        <v>317022013</v>
      </c>
      <c r="N909">
        <v>0</v>
      </c>
      <c r="O909" t="b">
        <v>1</v>
      </c>
    </row>
    <row r="910" spans="1:15" x14ac:dyDescent="0.3">
      <c r="A910" s="1" t="s">
        <v>1014</v>
      </c>
      <c r="B910">
        <v>0.83106727047044759</v>
      </c>
      <c r="C910">
        <v>1.4419439343846249E-2</v>
      </c>
      <c r="D910">
        <v>1.3460524124146301E-2</v>
      </c>
      <c r="E910">
        <v>47.221615849433711</v>
      </c>
      <c r="F910">
        <v>1.9808654940131509E-2</v>
      </c>
      <c r="G910">
        <v>0.6</v>
      </c>
      <c r="H910">
        <v>-0.14086554214782299</v>
      </c>
      <c r="I910">
        <v>-0.18525623240937131</v>
      </c>
      <c r="J910">
        <v>-7.6088509929043147E-3</v>
      </c>
      <c r="K910">
        <v>8.7652972639951088E-3</v>
      </c>
      <c r="L910">
        <v>0</v>
      </c>
      <c r="M910">
        <v>463597615.14050001</v>
      </c>
      <c r="N910">
        <v>0</v>
      </c>
      <c r="O910" t="b">
        <v>1</v>
      </c>
    </row>
    <row r="911" spans="1:15" x14ac:dyDescent="0.3">
      <c r="A911" s="1" t="s">
        <v>1015</v>
      </c>
      <c r="B911">
        <v>1.228774155712637</v>
      </c>
      <c r="C911">
        <v>1.177482996389894E-2</v>
      </c>
      <c r="D911">
        <v>1.9941354593890171E-2</v>
      </c>
      <c r="E911">
        <v>66.553820250555177</v>
      </c>
      <c r="F911">
        <v>5.1500935061585151E-2</v>
      </c>
      <c r="G911">
        <v>0.6</v>
      </c>
      <c r="H911">
        <v>5.5634622056038099E-2</v>
      </c>
      <c r="I911">
        <v>0.84122517124368934</v>
      </c>
      <c r="J911">
        <v>0</v>
      </c>
      <c r="K911">
        <v>1.731331643595246E-2</v>
      </c>
      <c r="L911">
        <v>0</v>
      </c>
      <c r="M911">
        <v>72090446.762699991</v>
      </c>
      <c r="N911">
        <v>0</v>
      </c>
      <c r="O911" t="b">
        <v>0</v>
      </c>
    </row>
    <row r="912" spans="1:15" x14ac:dyDescent="0.3">
      <c r="A912" s="1" t="s">
        <v>1016</v>
      </c>
      <c r="B912">
        <v>10.383850004038409</v>
      </c>
      <c r="C912">
        <v>6.3837759769079142E-2</v>
      </c>
      <c r="D912">
        <v>0.1024837083487027</v>
      </c>
      <c r="E912">
        <v>57.907338595123321</v>
      </c>
      <c r="F912">
        <v>1.827970451984462E-2</v>
      </c>
      <c r="G912">
        <v>0.6</v>
      </c>
      <c r="H912">
        <v>4.6517181443449837E-2</v>
      </c>
      <c r="I912">
        <v>2.7967639471308732</v>
      </c>
      <c r="J912">
        <v>-1.289371891692759E-3</v>
      </c>
      <c r="K912">
        <v>6.3484798953906463E-2</v>
      </c>
      <c r="L912">
        <v>0</v>
      </c>
      <c r="M912">
        <v>105438053</v>
      </c>
      <c r="N912">
        <v>1</v>
      </c>
      <c r="O912" t="b">
        <v>1</v>
      </c>
    </row>
    <row r="913" spans="1:15" x14ac:dyDescent="0.3">
      <c r="A913" s="1" t="s">
        <v>1017</v>
      </c>
      <c r="B913">
        <v>6.1199436918436039</v>
      </c>
      <c r="C913">
        <v>2.5608709099308319E-2</v>
      </c>
      <c r="D913">
        <v>3.399043430594316E-2</v>
      </c>
      <c r="E913">
        <v>74.335939728881073</v>
      </c>
      <c r="F913">
        <v>0.1714542014293978</v>
      </c>
      <c r="G913">
        <v>0.6</v>
      </c>
      <c r="H913">
        <v>0.14071732251463789</v>
      </c>
      <c r="I913">
        <v>1.267227606059623</v>
      </c>
      <c r="J913">
        <v>0</v>
      </c>
      <c r="K913">
        <v>2.034899856113892E-2</v>
      </c>
      <c r="L913">
        <v>0</v>
      </c>
      <c r="M913">
        <v>27610051.227000002</v>
      </c>
      <c r="N913">
        <v>1</v>
      </c>
      <c r="O913" t="b">
        <v>0</v>
      </c>
    </row>
    <row r="914" spans="1:15" x14ac:dyDescent="0.3">
      <c r="A914" s="1" t="s">
        <v>1018</v>
      </c>
      <c r="B914">
        <v>5.3781826280917864</v>
      </c>
      <c r="C914">
        <v>3.3504750984872829E-2</v>
      </c>
      <c r="D914">
        <v>3.2083229504111493E-2</v>
      </c>
      <c r="E914">
        <v>60.665284871161539</v>
      </c>
      <c r="F914">
        <v>0.1392476933995741</v>
      </c>
      <c r="G914">
        <v>1</v>
      </c>
      <c r="H914">
        <v>-8.5090149287001107E-2</v>
      </c>
      <c r="I914">
        <v>0.40181510370706919</v>
      </c>
      <c r="J914">
        <v>0</v>
      </c>
      <c r="K914">
        <v>2.320244773074975E-2</v>
      </c>
      <c r="L914">
        <v>0</v>
      </c>
      <c r="M914">
        <v>221493234</v>
      </c>
      <c r="N914">
        <v>0</v>
      </c>
      <c r="O914" t="b">
        <v>1</v>
      </c>
    </row>
    <row r="915" spans="1:15" x14ac:dyDescent="0.3">
      <c r="A915" s="1" t="s">
        <v>1019</v>
      </c>
      <c r="B915">
        <v>4.8564425525361052</v>
      </c>
      <c r="C915">
        <v>2.2491652321375798E-2</v>
      </c>
      <c r="D915">
        <v>2.7079223052769091E-2</v>
      </c>
      <c r="E915">
        <v>51.103996578580862</v>
      </c>
      <c r="F915">
        <v>6.2775253407900689E-3</v>
      </c>
      <c r="G915">
        <v>0.4</v>
      </c>
      <c r="H915">
        <v>-0.19893590384694759</v>
      </c>
      <c r="I915">
        <v>0.1816674271775465</v>
      </c>
      <c r="J915">
        <v>-8.2036489242471866E-3</v>
      </c>
      <c r="K915">
        <v>6.1837414664833723E-3</v>
      </c>
      <c r="L915">
        <v>0</v>
      </c>
      <c r="M915">
        <v>62484964.593000002</v>
      </c>
      <c r="N915">
        <v>0</v>
      </c>
      <c r="O915" t="b">
        <v>0</v>
      </c>
    </row>
    <row r="916" spans="1:15" x14ac:dyDescent="0.3">
      <c r="A916" s="1" t="s">
        <v>1020</v>
      </c>
      <c r="B916">
        <v>0.72793787979306068</v>
      </c>
      <c r="C916">
        <v>3.0908475920457409E-2</v>
      </c>
      <c r="D916">
        <v>2.063146989138654E-2</v>
      </c>
      <c r="E916">
        <v>35.500789373692292</v>
      </c>
      <c r="F916">
        <v>-7.4244699334124697E-2</v>
      </c>
      <c r="G916">
        <v>0.6</v>
      </c>
      <c r="H916">
        <v>-0.28659036669431032</v>
      </c>
      <c r="I916">
        <v>1.343817521347634</v>
      </c>
      <c r="J916">
        <v>-7.9929992889902879E-2</v>
      </c>
      <c r="K916">
        <v>-2.520022531966148E-3</v>
      </c>
      <c r="L916">
        <v>0</v>
      </c>
      <c r="M916">
        <v>147487434.3265</v>
      </c>
      <c r="N916">
        <v>0</v>
      </c>
      <c r="O916" t="b">
        <v>1</v>
      </c>
    </row>
    <row r="917" spans="1:15" x14ac:dyDescent="0.3">
      <c r="A917" s="1" t="s">
        <v>1021</v>
      </c>
      <c r="B917">
        <v>4.1464141680908444</v>
      </c>
      <c r="C917">
        <v>7.1452941032066938E-2</v>
      </c>
      <c r="D917">
        <v>4.4718249181457968E-2</v>
      </c>
      <c r="E917">
        <v>45.112594228980107</v>
      </c>
      <c r="F917">
        <v>-9.5824244312870177E-2</v>
      </c>
      <c r="G917">
        <v>0.4</v>
      </c>
      <c r="H917">
        <v>-8.0786970004584919E-3</v>
      </c>
      <c r="I917">
        <v>1.726466621307071</v>
      </c>
      <c r="J917">
        <v>-8.6860739575137624E-2</v>
      </c>
      <c r="K917">
        <v>-2.9923102641257079E-2</v>
      </c>
      <c r="L917">
        <v>0</v>
      </c>
      <c r="M917">
        <v>286004437.5</v>
      </c>
      <c r="N917">
        <v>0</v>
      </c>
      <c r="O917" t="b">
        <v>1</v>
      </c>
    </row>
    <row r="918" spans="1:15" x14ac:dyDescent="0.3">
      <c r="A918" s="1" t="s">
        <v>1022</v>
      </c>
      <c r="B918">
        <v>5.2229551521579687</v>
      </c>
      <c r="C918">
        <v>2.743926928938863E-2</v>
      </c>
      <c r="D918">
        <v>2.5611255292992761E-2</v>
      </c>
      <c r="E918">
        <v>49.648355200167572</v>
      </c>
      <c r="F918">
        <v>-2.0863982880834461E-2</v>
      </c>
      <c r="G918">
        <v>0.8</v>
      </c>
      <c r="H918">
        <v>1.298849575507445E-2</v>
      </c>
      <c r="I918">
        <v>0.75575737336637638</v>
      </c>
      <c r="J918">
        <v>-3.9306731807766337E-2</v>
      </c>
      <c r="K918">
        <v>2.9876856764974309E-3</v>
      </c>
      <c r="L918">
        <v>0</v>
      </c>
      <c r="M918">
        <v>356361058.75950003</v>
      </c>
      <c r="N918">
        <v>0</v>
      </c>
      <c r="O918" t="b">
        <v>1</v>
      </c>
    </row>
    <row r="919" spans="1:15" x14ac:dyDescent="0.3">
      <c r="A919" s="1" t="s">
        <v>1023</v>
      </c>
      <c r="B919">
        <v>0.85586002830217422</v>
      </c>
      <c r="C919">
        <v>1.582309307575018E-2</v>
      </c>
      <c r="D919">
        <v>1.196724675675215E-2</v>
      </c>
      <c r="E919">
        <v>65.163689893083259</v>
      </c>
      <c r="F919">
        <v>6.5081265432949786E-2</v>
      </c>
      <c r="G919">
        <v>0.2</v>
      </c>
      <c r="H919">
        <v>7.8256960227854167E-2</v>
      </c>
      <c r="I919">
        <v>0.21004641458764711</v>
      </c>
      <c r="J919">
        <v>-1.306442990002799E-2</v>
      </c>
      <c r="K919">
        <v>-9.0693481890846694E-4</v>
      </c>
      <c r="L919">
        <v>0</v>
      </c>
      <c r="M919">
        <v>74184109.610750005</v>
      </c>
      <c r="N919">
        <v>0</v>
      </c>
      <c r="O919" t="b">
        <v>0</v>
      </c>
    </row>
    <row r="920" spans="1:15" x14ac:dyDescent="0.3">
      <c r="A920" s="1" t="s">
        <v>1024</v>
      </c>
      <c r="B920">
        <v>37.382495322347843</v>
      </c>
      <c r="C920">
        <v>3.8248166064894597E-2</v>
      </c>
      <c r="D920">
        <v>2.6864013211004761E-2</v>
      </c>
      <c r="E920">
        <v>56.58848135361449</v>
      </c>
      <c r="F920">
        <v>2.7763499308990358E-3</v>
      </c>
      <c r="G920">
        <v>0.6</v>
      </c>
      <c r="H920">
        <v>8.3217119036422038E-2</v>
      </c>
      <c r="I920">
        <v>2.598535812732981</v>
      </c>
      <c r="J920">
        <v>-4.63582026623377E-3</v>
      </c>
      <c r="K920">
        <v>1.6688442190146091E-2</v>
      </c>
      <c r="L920">
        <v>0</v>
      </c>
      <c r="M920">
        <v>458234208.00999999</v>
      </c>
      <c r="N920">
        <v>0</v>
      </c>
      <c r="O920" t="b">
        <v>1</v>
      </c>
    </row>
    <row r="921" spans="1:15" x14ac:dyDescent="0.3">
      <c r="A921" s="1" t="s">
        <v>1025</v>
      </c>
      <c r="B921">
        <v>2.648819182644556</v>
      </c>
      <c r="C921">
        <v>2.7365898282045609E-2</v>
      </c>
      <c r="D921">
        <v>1.741453642681725E-2</v>
      </c>
      <c r="E921">
        <v>53.871354917240282</v>
      </c>
      <c r="F921">
        <v>0.12530285485753609</v>
      </c>
      <c r="G921">
        <v>0.2</v>
      </c>
      <c r="H921">
        <v>8.4173690962677905E-2</v>
      </c>
      <c r="I921">
        <v>0.45330028946219669</v>
      </c>
      <c r="J921">
        <v>-7.6096978952894578E-2</v>
      </c>
      <c r="K921">
        <v>7.5341759924387741E-3</v>
      </c>
      <c r="L921">
        <v>0</v>
      </c>
      <c r="M921">
        <v>1108181279.8729</v>
      </c>
      <c r="N921">
        <v>0</v>
      </c>
      <c r="O921" t="b">
        <v>1</v>
      </c>
    </row>
    <row r="922" spans="1:15" x14ac:dyDescent="0.3">
      <c r="A922" s="1" t="s">
        <v>1026</v>
      </c>
      <c r="B922">
        <v>1.3851304615260589</v>
      </c>
      <c r="C922">
        <v>4.7713760300587632E-2</v>
      </c>
      <c r="D922">
        <v>3.9441956596624167E-2</v>
      </c>
      <c r="E922">
        <v>65.028673965513917</v>
      </c>
      <c r="F922">
        <v>0.1724555735056543</v>
      </c>
      <c r="G922">
        <v>1</v>
      </c>
      <c r="H922">
        <v>5.4771178194599909E-2</v>
      </c>
      <c r="I922">
        <v>1.4502655546750149</v>
      </c>
      <c r="J922">
        <v>0</v>
      </c>
      <c r="K922">
        <v>2.7974504249291821E-2</v>
      </c>
      <c r="L922">
        <v>0</v>
      </c>
      <c r="M922">
        <v>259618007</v>
      </c>
      <c r="N922">
        <v>0</v>
      </c>
      <c r="O922" t="b">
        <v>1</v>
      </c>
    </row>
    <row r="923" spans="1:15" x14ac:dyDescent="0.3">
      <c r="A923" s="1" t="s">
        <v>1027</v>
      </c>
      <c r="B923">
        <v>5.2763965302499312</v>
      </c>
      <c r="C923">
        <v>5.7101695609472918E-2</v>
      </c>
      <c r="D923">
        <v>4.2715914440470237E-2</v>
      </c>
      <c r="E923">
        <v>54.054347044813603</v>
      </c>
      <c r="F923">
        <v>-8.152378090014345E-3</v>
      </c>
      <c r="G923">
        <v>0.4</v>
      </c>
      <c r="H923">
        <v>0.15937294040503319</v>
      </c>
      <c r="I923">
        <v>2.5332605789832252</v>
      </c>
      <c r="J923">
        <v>-7.7146252796420622E-2</v>
      </c>
      <c r="K923">
        <v>4.0157098296750959E-2</v>
      </c>
      <c r="L923">
        <v>0</v>
      </c>
      <c r="M923">
        <v>1293234620.8325</v>
      </c>
      <c r="N923">
        <v>0</v>
      </c>
      <c r="O923" t="b">
        <v>1</v>
      </c>
    </row>
    <row r="924" spans="1:15" x14ac:dyDescent="0.3">
      <c r="A924" s="1" t="s">
        <v>1028</v>
      </c>
      <c r="B924">
        <v>3.8386081771971279</v>
      </c>
      <c r="C924">
        <v>2.136001434086655E-2</v>
      </c>
      <c r="D924">
        <v>1.9809693394914039E-2</v>
      </c>
      <c r="E924">
        <v>72.9135682384116</v>
      </c>
      <c r="F924">
        <v>8.8821569221448016E-2</v>
      </c>
      <c r="G924">
        <v>1</v>
      </c>
      <c r="H924">
        <v>0.14326253086826871</v>
      </c>
      <c r="I924">
        <v>1.1797157000173171</v>
      </c>
      <c r="J924">
        <v>0</v>
      </c>
      <c r="K924">
        <v>4.9208745736173398E-3</v>
      </c>
      <c r="L924">
        <v>0</v>
      </c>
      <c r="M924">
        <v>793434685.61299992</v>
      </c>
      <c r="N924">
        <v>0</v>
      </c>
      <c r="O924" t="b">
        <v>1</v>
      </c>
    </row>
    <row r="925" spans="1:15" x14ac:dyDescent="0.3">
      <c r="A925" s="1" t="s">
        <v>1029</v>
      </c>
      <c r="B925">
        <v>10.86548378166122</v>
      </c>
      <c r="C925">
        <v>2.0268513257724569E-2</v>
      </c>
      <c r="D925">
        <v>2.1032426311891721E-2</v>
      </c>
      <c r="E925">
        <v>35.784835226304963</v>
      </c>
      <c r="F925">
        <v>-6.4243708553783363E-2</v>
      </c>
      <c r="G925">
        <v>0.4</v>
      </c>
      <c r="H925">
        <v>-0.10835069498822041</v>
      </c>
      <c r="I925">
        <v>0.26888079478909838</v>
      </c>
      <c r="J925">
        <v>-7.6156189898460735E-2</v>
      </c>
      <c r="K925">
        <v>1.8052329329802941E-3</v>
      </c>
      <c r="L925">
        <v>0</v>
      </c>
      <c r="M925">
        <v>317275301.21799988</v>
      </c>
      <c r="N925">
        <v>0</v>
      </c>
      <c r="O925" t="b">
        <v>1</v>
      </c>
    </row>
    <row r="926" spans="1:15" x14ac:dyDescent="0.3">
      <c r="A926" s="1" t="s">
        <v>1030</v>
      </c>
      <c r="B926">
        <v>9.9702670022727276</v>
      </c>
      <c r="C926">
        <v>2.0881452242596871E-2</v>
      </c>
      <c r="D926">
        <v>3.5399082664879442E-2</v>
      </c>
      <c r="E926">
        <v>40.800492651284337</v>
      </c>
      <c r="F926">
        <v>-5.2460285172800318E-2</v>
      </c>
      <c r="G926">
        <v>0.8</v>
      </c>
      <c r="H926">
        <v>-0.12999299470758821</v>
      </c>
      <c r="I926">
        <v>0.81498325120261306</v>
      </c>
      <c r="J926">
        <v>-6.1987375816023982E-2</v>
      </c>
      <c r="K926">
        <v>-2.735791403544496E-2</v>
      </c>
      <c r="L926">
        <v>0</v>
      </c>
      <c r="M926">
        <v>9254856327.3360004</v>
      </c>
      <c r="N926">
        <v>0</v>
      </c>
      <c r="O926" t="b">
        <v>1</v>
      </c>
    </row>
    <row r="927" spans="1:15" x14ac:dyDescent="0.3">
      <c r="A927" s="1" t="s">
        <v>1031</v>
      </c>
      <c r="B927">
        <v>6.7661895664766902</v>
      </c>
      <c r="C927">
        <v>1.8311744428894969E-2</v>
      </c>
      <c r="D927">
        <v>1.7477672530446471E-2</v>
      </c>
      <c r="E927">
        <v>31.481497400952239</v>
      </c>
      <c r="F927">
        <v>-5.9061404201246281E-2</v>
      </c>
      <c r="G927">
        <v>0.2</v>
      </c>
      <c r="H927">
        <v>-0.35243381578409683</v>
      </c>
      <c r="I927">
        <v>0.31034478051225167</v>
      </c>
      <c r="J927">
        <v>-5.4188957432103828E-2</v>
      </c>
      <c r="K927">
        <v>-1.61578825067954E-3</v>
      </c>
      <c r="L927">
        <v>0</v>
      </c>
      <c r="M927">
        <v>378470184.60799998</v>
      </c>
      <c r="N927">
        <v>0</v>
      </c>
      <c r="O927" t="b">
        <v>1</v>
      </c>
    </row>
    <row r="928" spans="1:15" x14ac:dyDescent="0.3">
      <c r="A928" s="1" t="s">
        <v>1032</v>
      </c>
      <c r="B928">
        <v>14.279560480818621</v>
      </c>
      <c r="C928">
        <v>7.7337307630083493E-2</v>
      </c>
      <c r="D928">
        <v>4.8039428076256517E-2</v>
      </c>
      <c r="E928">
        <v>39.041975310401511</v>
      </c>
      <c r="F928">
        <v>-0.22705961152042881</v>
      </c>
      <c r="G928">
        <v>0.4</v>
      </c>
      <c r="H928">
        <v>-0.23756746399431619</v>
      </c>
      <c r="I928">
        <v>2.509470078127447</v>
      </c>
      <c r="J928">
        <v>-0.2019018802679923</v>
      </c>
      <c r="K928">
        <v>-2.3017090851367938E-2</v>
      </c>
      <c r="L928">
        <v>0</v>
      </c>
      <c r="M928">
        <v>4505172623.5</v>
      </c>
      <c r="N928">
        <v>0</v>
      </c>
      <c r="O928" t="b">
        <v>1</v>
      </c>
    </row>
    <row r="929" spans="1:15" x14ac:dyDescent="0.3">
      <c r="A929" s="1" t="s">
        <v>1033</v>
      </c>
      <c r="B929">
        <v>0.97572753721098404</v>
      </c>
      <c r="C929">
        <v>2.1733400538831101E-2</v>
      </c>
      <c r="D929">
        <v>4.022247317647961E-2</v>
      </c>
      <c r="E929">
        <v>71.091153246063413</v>
      </c>
      <c r="F929">
        <v>0.1449582135761884</v>
      </c>
      <c r="G929">
        <v>0.4</v>
      </c>
      <c r="H929">
        <v>0.20142438974173479</v>
      </c>
      <c r="I929">
        <v>1.4695912180976181</v>
      </c>
      <c r="J929">
        <v>0</v>
      </c>
      <c r="K929">
        <v>3.974126491165908E-2</v>
      </c>
      <c r="L929">
        <v>0</v>
      </c>
      <c r="M929">
        <v>46496469.181699999</v>
      </c>
      <c r="N929">
        <v>0</v>
      </c>
      <c r="O929" t="b">
        <v>0</v>
      </c>
    </row>
    <row r="930" spans="1:15" x14ac:dyDescent="0.3">
      <c r="A930" s="1" t="s">
        <v>1034</v>
      </c>
      <c r="B930">
        <v>3.8899752028208918</v>
      </c>
      <c r="C930">
        <v>1.9144897792273539E-2</v>
      </c>
      <c r="D930">
        <v>4.482100144695008E-2</v>
      </c>
      <c r="E930">
        <v>77.261423870015449</v>
      </c>
      <c r="F930">
        <v>9.5495864649492779E-2</v>
      </c>
      <c r="G930">
        <v>0.6</v>
      </c>
      <c r="H930">
        <v>-1.9241489838957139E-3</v>
      </c>
      <c r="I930">
        <v>0.70128438586922615</v>
      </c>
      <c r="J930">
        <v>0</v>
      </c>
      <c r="K930">
        <v>3.5110599407012E-2</v>
      </c>
      <c r="L930">
        <v>0</v>
      </c>
      <c r="M930">
        <v>196592460.61500001</v>
      </c>
      <c r="N930">
        <v>0</v>
      </c>
      <c r="O930" t="b">
        <v>1</v>
      </c>
    </row>
    <row r="931" spans="1:15" x14ac:dyDescent="0.3">
      <c r="A931" s="1" t="s">
        <v>1035</v>
      </c>
      <c r="B931">
        <v>0.75479971285897796</v>
      </c>
      <c r="C931">
        <v>2.245619026657001E-2</v>
      </c>
      <c r="D931">
        <v>2.040634176382921E-2</v>
      </c>
      <c r="E931">
        <v>55.9466133516881</v>
      </c>
      <c r="F931">
        <v>1.501132417333517E-2</v>
      </c>
      <c r="G931">
        <v>0.4</v>
      </c>
      <c r="H931">
        <v>-0.15755932604686981</v>
      </c>
      <c r="I931">
        <v>0.95394935371395018</v>
      </c>
      <c r="J931">
        <v>-2.0566526506575419E-2</v>
      </c>
      <c r="K931">
        <v>-6.1736973291663944E-3</v>
      </c>
      <c r="L931">
        <v>0</v>
      </c>
      <c r="M931">
        <v>125658023.3144</v>
      </c>
      <c r="N931">
        <v>0</v>
      </c>
      <c r="O931" t="b">
        <v>1</v>
      </c>
    </row>
    <row r="932" spans="1:15" x14ac:dyDescent="0.3">
      <c r="A932" s="1" t="s">
        <v>1036</v>
      </c>
      <c r="B932">
        <v>38.818795518847921</v>
      </c>
      <c r="C932">
        <v>2.7612330987550539E-2</v>
      </c>
      <c r="D932">
        <v>4.2059963723014633E-2</v>
      </c>
      <c r="E932">
        <v>47.622937910199738</v>
      </c>
      <c r="F932">
        <v>-1.865179362963065E-2</v>
      </c>
      <c r="G932">
        <v>0.2</v>
      </c>
      <c r="H932">
        <v>4.9888920748591997E-2</v>
      </c>
      <c r="I932">
        <v>0.74625566302621948</v>
      </c>
      <c r="J932">
        <v>-6.6513060915525779E-2</v>
      </c>
      <c r="K932">
        <v>2.5105365241866021E-2</v>
      </c>
      <c r="L932">
        <v>0</v>
      </c>
      <c r="M932">
        <v>184519057</v>
      </c>
      <c r="N932">
        <v>0</v>
      </c>
      <c r="O932" t="b">
        <v>1</v>
      </c>
    </row>
    <row r="933" spans="1:15" x14ac:dyDescent="0.3">
      <c r="A933" s="1" t="s">
        <v>1037</v>
      </c>
      <c r="B933">
        <v>7.0003649801480039</v>
      </c>
      <c r="C933">
        <v>3.7589888740525178E-2</v>
      </c>
      <c r="D933">
        <v>2.4754336036084339E-2</v>
      </c>
      <c r="E933">
        <v>67.769803935401939</v>
      </c>
      <c r="F933">
        <v>4.3773119605425397E-2</v>
      </c>
      <c r="G933">
        <v>0.6</v>
      </c>
      <c r="H933">
        <v>0.1908782758969739</v>
      </c>
      <c r="I933">
        <v>2.255727155118731</v>
      </c>
      <c r="J933">
        <v>-9.8362398979159327E-3</v>
      </c>
      <c r="K933">
        <v>-9.8362398979159327E-3</v>
      </c>
      <c r="L933">
        <v>0</v>
      </c>
      <c r="M933">
        <v>91858434</v>
      </c>
      <c r="N933">
        <v>0</v>
      </c>
      <c r="O933" t="b">
        <v>0</v>
      </c>
    </row>
    <row r="934" spans="1:15" x14ac:dyDescent="0.3">
      <c r="A934" s="1" t="s">
        <v>1038</v>
      </c>
      <c r="B934">
        <v>3.7446754786590009</v>
      </c>
      <c r="C934">
        <v>1.4671826001978619E-2</v>
      </c>
      <c r="D934">
        <v>1.547237970606782E-2</v>
      </c>
      <c r="E934">
        <v>63.194023893250531</v>
      </c>
      <c r="F934">
        <v>1.3066758753180309E-2</v>
      </c>
      <c r="G934">
        <v>1</v>
      </c>
      <c r="H934">
        <v>-0.1563792816514824</v>
      </c>
      <c r="I934">
        <v>1.079609209268628</v>
      </c>
      <c r="J934">
        <v>0</v>
      </c>
      <c r="K934">
        <v>9.5484840693789153E-3</v>
      </c>
      <c r="L934">
        <v>0</v>
      </c>
      <c r="M934">
        <v>193028861.91499999</v>
      </c>
      <c r="N934">
        <v>0</v>
      </c>
      <c r="O934" t="b">
        <v>1</v>
      </c>
    </row>
    <row r="935" spans="1:15" x14ac:dyDescent="0.3">
      <c r="A935" s="1" t="s">
        <v>1039</v>
      </c>
      <c r="B935">
        <v>8.4907021864439667</v>
      </c>
      <c r="C935">
        <v>3.7109712353339007E-2</v>
      </c>
      <c r="D935">
        <v>5.0699300699300669E-2</v>
      </c>
      <c r="E935">
        <v>72.139989796795803</v>
      </c>
      <c r="F935">
        <v>0.13819520445726791</v>
      </c>
      <c r="G935">
        <v>0.8</v>
      </c>
      <c r="H935">
        <v>0.13126516989111081</v>
      </c>
      <c r="I935">
        <v>2.161832690079228</v>
      </c>
      <c r="J935">
        <v>0</v>
      </c>
      <c r="K935">
        <v>3.8206733823396011E-2</v>
      </c>
      <c r="L935">
        <v>0</v>
      </c>
      <c r="M935">
        <v>139698288.5</v>
      </c>
      <c r="N935">
        <v>0</v>
      </c>
      <c r="O935" t="b">
        <v>1</v>
      </c>
    </row>
    <row r="936" spans="1:15" x14ac:dyDescent="0.3">
      <c r="A936" s="1" t="s">
        <v>1040</v>
      </c>
      <c r="B936">
        <v>13.5123560055334</v>
      </c>
      <c r="C936">
        <v>5.126025123209297E-2</v>
      </c>
      <c r="D936">
        <v>5.3732317158757523E-2</v>
      </c>
      <c r="E936">
        <v>66.09918547926776</v>
      </c>
      <c r="F936">
        <v>4.1094321440137797E-2</v>
      </c>
      <c r="G936">
        <v>0.8</v>
      </c>
      <c r="H936">
        <v>0.2557435846505034</v>
      </c>
      <c r="I936">
        <v>3.0915048708922348</v>
      </c>
      <c r="J936">
        <v>0</v>
      </c>
      <c r="K936">
        <v>4.4725306953923287E-2</v>
      </c>
      <c r="L936">
        <v>0</v>
      </c>
      <c r="M936">
        <v>2356986910.2919502</v>
      </c>
      <c r="N936">
        <v>0</v>
      </c>
      <c r="O936" t="b">
        <v>1</v>
      </c>
    </row>
    <row r="937" spans="1:15" x14ac:dyDescent="0.3">
      <c r="A937" s="1" t="s">
        <v>1041</v>
      </c>
      <c r="B937">
        <v>0.1990134006330353</v>
      </c>
      <c r="C937">
        <v>1.8704442770424089E-3</v>
      </c>
      <c r="D937">
        <v>2.0582900215227028E-3</v>
      </c>
      <c r="E937">
        <v>55.213160064855522</v>
      </c>
      <c r="F937">
        <v>-1.127702963039656E-4</v>
      </c>
      <c r="G937">
        <v>0.4</v>
      </c>
      <c r="H937">
        <v>-7.4429978055647758E-2</v>
      </c>
      <c r="I937">
        <v>-8.1616930627939933E-3</v>
      </c>
      <c r="J937">
        <v>-2.624696519464953E-3</v>
      </c>
      <c r="K937">
        <v>1.685181698361848E-3</v>
      </c>
      <c r="L937">
        <v>0</v>
      </c>
      <c r="M937">
        <v>487959400.70249999</v>
      </c>
      <c r="N937">
        <v>0</v>
      </c>
      <c r="O937" t="b">
        <v>1</v>
      </c>
    </row>
    <row r="938" spans="1:15" x14ac:dyDescent="0.3">
      <c r="A938" s="1" t="s">
        <v>1042</v>
      </c>
      <c r="B938">
        <v>0.34185705940742539</v>
      </c>
      <c r="C938">
        <v>2.1568268732329681E-2</v>
      </c>
      <c r="D938">
        <v>2.0189274447949549E-2</v>
      </c>
      <c r="E938">
        <v>54.877879963469127</v>
      </c>
      <c r="F938">
        <v>4.2077580539118919E-2</v>
      </c>
      <c r="G938">
        <v>0.6</v>
      </c>
      <c r="H938">
        <v>-4.0829559041119678E-2</v>
      </c>
      <c r="I938">
        <v>1.066174296298978</v>
      </c>
      <c r="J938">
        <v>-2.641277641277651E-2</v>
      </c>
      <c r="K938">
        <v>1.5374759769378519E-2</v>
      </c>
      <c r="L938">
        <v>0</v>
      </c>
      <c r="M938">
        <v>50056394.5</v>
      </c>
      <c r="N938">
        <v>0</v>
      </c>
      <c r="O938" t="b">
        <v>0</v>
      </c>
    </row>
    <row r="939" spans="1:15" x14ac:dyDescent="0.3">
      <c r="A939" s="1" t="s">
        <v>1043</v>
      </c>
      <c r="B939">
        <v>11.683196891228331</v>
      </c>
      <c r="C939">
        <v>3.0318718479569878E-2</v>
      </c>
      <c r="D939">
        <v>2.484520405038592E-2</v>
      </c>
      <c r="E939">
        <v>54.148733985103789</v>
      </c>
      <c r="F939">
        <v>7.8669361385279357E-2</v>
      </c>
      <c r="G939">
        <v>0.2</v>
      </c>
      <c r="H939">
        <v>-3.9642697793068227E-2</v>
      </c>
      <c r="I939">
        <v>-0.1821971951444335</v>
      </c>
      <c r="J939">
        <v>-3.0227226398427679E-2</v>
      </c>
      <c r="K939">
        <v>-2.4566717146222721E-3</v>
      </c>
      <c r="L939">
        <v>0</v>
      </c>
      <c r="M939">
        <v>108031132.05</v>
      </c>
      <c r="N939">
        <v>0</v>
      </c>
      <c r="O939" t="b">
        <v>1</v>
      </c>
    </row>
    <row r="940" spans="1:15" x14ac:dyDescent="0.3">
      <c r="A940" s="1" t="s">
        <v>1044</v>
      </c>
      <c r="B940">
        <v>8.1576796549199369</v>
      </c>
      <c r="C940">
        <v>8.7164009562132022E-2</v>
      </c>
      <c r="D940">
        <v>5.2249171920076942E-2</v>
      </c>
      <c r="E940">
        <v>45.295852932788989</v>
      </c>
      <c r="F940">
        <v>-0.1487949067758072</v>
      </c>
      <c r="G940">
        <v>0.4</v>
      </c>
      <c r="H940">
        <v>2.6487909207613208E-2</v>
      </c>
      <c r="I940">
        <v>2.3874856984392889</v>
      </c>
      <c r="J940">
        <v>-8.9591439688715857E-2</v>
      </c>
      <c r="K940">
        <v>-2.925007779276001E-2</v>
      </c>
      <c r="L940">
        <v>0</v>
      </c>
      <c r="M940">
        <v>534089527.5</v>
      </c>
      <c r="N940">
        <v>0</v>
      </c>
      <c r="O940" t="b">
        <v>1</v>
      </c>
    </row>
    <row r="941" spans="1:15" x14ac:dyDescent="0.3">
      <c r="A941" s="1" t="s">
        <v>1045</v>
      </c>
      <c r="B941">
        <v>4.5279321437546303</v>
      </c>
      <c r="C941">
        <v>2.909421155146585E-2</v>
      </c>
      <c r="D941">
        <v>3.2834286448628063E-2</v>
      </c>
      <c r="E941">
        <v>65.183758867839686</v>
      </c>
      <c r="F941">
        <v>3.7395013998133393E-2</v>
      </c>
      <c r="G941">
        <v>0.8</v>
      </c>
      <c r="H941">
        <v>3.6266077100311087E-2</v>
      </c>
      <c r="I941">
        <v>0.75941070701824864</v>
      </c>
      <c r="J941">
        <v>0</v>
      </c>
      <c r="K941">
        <v>3.9349761321119106E-3</v>
      </c>
      <c r="L941">
        <v>0</v>
      </c>
      <c r="M941">
        <v>128119450</v>
      </c>
      <c r="N941">
        <v>0</v>
      </c>
      <c r="O941" t="b">
        <v>1</v>
      </c>
    </row>
    <row r="942" spans="1:15" x14ac:dyDescent="0.3">
      <c r="A942" s="1" t="s">
        <v>1046</v>
      </c>
      <c r="B942">
        <v>0.66009255643755593</v>
      </c>
      <c r="C942">
        <v>3.4308344929186899E-2</v>
      </c>
      <c r="D942">
        <v>4.3659043659043648E-2</v>
      </c>
      <c r="E942">
        <v>49.629039064493377</v>
      </c>
      <c r="F942">
        <v>1.050420168067223E-2</v>
      </c>
      <c r="G942">
        <v>0.6</v>
      </c>
      <c r="H942">
        <v>-0.23585231921038799</v>
      </c>
      <c r="I942">
        <v>1.407455275350272</v>
      </c>
      <c r="J942">
        <v>0</v>
      </c>
      <c r="K942">
        <v>2.7777777777777679E-2</v>
      </c>
      <c r="L942">
        <v>0</v>
      </c>
      <c r="M942">
        <v>278955720</v>
      </c>
      <c r="N942">
        <v>0</v>
      </c>
      <c r="O942" t="b">
        <v>1</v>
      </c>
    </row>
    <row r="943" spans="1:15" x14ac:dyDescent="0.3">
      <c r="A943" s="1" t="s">
        <v>1047</v>
      </c>
      <c r="B943">
        <v>1.5376061898082769</v>
      </c>
      <c r="C943">
        <v>1.6727656547087431E-2</v>
      </c>
      <c r="D943">
        <v>2.0452567449956591E-2</v>
      </c>
      <c r="E943">
        <v>64.738832123721011</v>
      </c>
      <c r="F943">
        <v>4.982560012060655E-2</v>
      </c>
      <c r="G943">
        <v>0.8</v>
      </c>
      <c r="H943">
        <v>-0.10003933620155971</v>
      </c>
      <c r="I943">
        <v>0.61727044231793238</v>
      </c>
      <c r="J943">
        <v>0</v>
      </c>
      <c r="K943">
        <v>1.3227513227513249E-2</v>
      </c>
      <c r="L943">
        <v>0</v>
      </c>
      <c r="M943">
        <v>243085110.17750001</v>
      </c>
      <c r="N943">
        <v>0</v>
      </c>
      <c r="O943" t="b">
        <v>1</v>
      </c>
    </row>
    <row r="944" spans="1:15" x14ac:dyDescent="0.3">
      <c r="A944" s="1" t="s">
        <v>1048</v>
      </c>
      <c r="B944">
        <v>4.3376363676139267</v>
      </c>
      <c r="C944">
        <v>1.8418838079040031E-2</v>
      </c>
      <c r="D944">
        <v>1.7180467091295209E-2</v>
      </c>
      <c r="E944">
        <v>53.854490761157869</v>
      </c>
      <c r="F944">
        <v>6.5995315358444717E-3</v>
      </c>
      <c r="G944">
        <v>0.4</v>
      </c>
      <c r="H944">
        <v>-1.6621864219855179E-2</v>
      </c>
      <c r="I944">
        <v>0.81100963093714529</v>
      </c>
      <c r="J944">
        <v>-1.0923935640757439E-2</v>
      </c>
      <c r="K944">
        <v>1.2337187808967091E-2</v>
      </c>
      <c r="L944">
        <v>0</v>
      </c>
      <c r="M944">
        <v>67035142.780000001</v>
      </c>
      <c r="N944">
        <v>1</v>
      </c>
      <c r="O944" t="b">
        <v>0</v>
      </c>
    </row>
    <row r="945" spans="1:15" x14ac:dyDescent="0.3">
      <c r="A945" s="1" t="s">
        <v>1049</v>
      </c>
      <c r="B945">
        <v>1.776919298923014</v>
      </c>
      <c r="C945">
        <v>2.2013479984080861E-2</v>
      </c>
      <c r="D945">
        <v>2.8055143979900811E-2</v>
      </c>
      <c r="E945">
        <v>43.091457034189119</v>
      </c>
      <c r="F945">
        <v>-3.4796292221892733E-2</v>
      </c>
      <c r="G945">
        <v>0.2</v>
      </c>
      <c r="H945">
        <v>0.10994331582641451</v>
      </c>
      <c r="I945">
        <v>0.58229141446844546</v>
      </c>
      <c r="J945">
        <v>-5.8175895157375979E-2</v>
      </c>
      <c r="K945">
        <v>2.046760707251272E-2</v>
      </c>
      <c r="L945">
        <v>0</v>
      </c>
      <c r="M945">
        <v>744475142.18355</v>
      </c>
      <c r="N945">
        <v>0</v>
      </c>
      <c r="O945" t="b">
        <v>1</v>
      </c>
    </row>
    <row r="946" spans="1:15" x14ac:dyDescent="0.3">
      <c r="A946" s="1" t="s">
        <v>1050</v>
      </c>
      <c r="B946">
        <v>3.3435391270246799</v>
      </c>
      <c r="C946">
        <v>3.5490542091117121E-2</v>
      </c>
      <c r="D946">
        <v>3.8029154234242288E-2</v>
      </c>
      <c r="E946">
        <v>62.301944137651432</v>
      </c>
      <c r="F946">
        <v>7.2675103755700299E-2</v>
      </c>
      <c r="G946">
        <v>0.6</v>
      </c>
      <c r="H946">
        <v>8.2083770821081287E-2</v>
      </c>
      <c r="I946">
        <v>1.0555674701950171</v>
      </c>
      <c r="J946">
        <v>0</v>
      </c>
      <c r="K946">
        <v>3.2939297124598981E-3</v>
      </c>
      <c r="L946">
        <v>0</v>
      </c>
      <c r="M946">
        <v>639075029.6479001</v>
      </c>
      <c r="N946">
        <v>0</v>
      </c>
      <c r="O946" t="b">
        <v>1</v>
      </c>
    </row>
    <row r="947" spans="1:15" x14ac:dyDescent="0.3">
      <c r="A947" s="1" t="s">
        <v>1051</v>
      </c>
      <c r="B947">
        <v>8.5473532378944075</v>
      </c>
      <c r="C947">
        <v>4.0041943398737033E-2</v>
      </c>
      <c r="D947">
        <v>4.8510259533402128E-2</v>
      </c>
      <c r="E947">
        <v>54.668485428046182</v>
      </c>
      <c r="F947">
        <v>-0.1125431339126096</v>
      </c>
      <c r="G947">
        <v>0.6</v>
      </c>
      <c r="H947">
        <v>-4.3528152955724167E-2</v>
      </c>
      <c r="I947">
        <v>2.184982541435073</v>
      </c>
      <c r="J947">
        <v>-9.1466269419025248E-2</v>
      </c>
      <c r="K947">
        <v>2.1681903029722841E-2</v>
      </c>
      <c r="L947">
        <v>0</v>
      </c>
      <c r="M947">
        <v>471253740</v>
      </c>
      <c r="N947">
        <v>0</v>
      </c>
      <c r="O947" t="b">
        <v>1</v>
      </c>
    </row>
    <row r="948" spans="1:15" x14ac:dyDescent="0.3">
      <c r="A948" s="1" t="s">
        <v>1052</v>
      </c>
      <c r="B948">
        <v>19.136244376298151</v>
      </c>
      <c r="C948">
        <v>2.4939131333160631E-2</v>
      </c>
      <c r="D948">
        <v>2.9842907373474881E-2</v>
      </c>
      <c r="E948">
        <v>52.901235464684262</v>
      </c>
      <c r="F948">
        <v>-1.0925580759840851E-2</v>
      </c>
      <c r="G948">
        <v>0.6</v>
      </c>
      <c r="H948">
        <v>-0.1079002097740103</v>
      </c>
      <c r="I948">
        <v>0.50768140885362567</v>
      </c>
      <c r="J948">
        <v>-2.0832190168227131E-2</v>
      </c>
      <c r="K948">
        <v>2.7789721272323709E-2</v>
      </c>
      <c r="L948">
        <v>0</v>
      </c>
      <c r="M948">
        <v>35919569.800999999</v>
      </c>
      <c r="N948">
        <v>0</v>
      </c>
      <c r="O948" t="b">
        <v>0</v>
      </c>
    </row>
    <row r="949" spans="1:15" x14ac:dyDescent="0.3">
      <c r="A949" s="1" t="s">
        <v>1053</v>
      </c>
      <c r="B949">
        <v>1.3952548578681589</v>
      </c>
      <c r="C949">
        <v>1.712395673852701E-2</v>
      </c>
      <c r="D949">
        <v>1.0851782713976519E-2</v>
      </c>
      <c r="E949">
        <v>52.33155146216825</v>
      </c>
      <c r="F949">
        <v>3.2736393952107028E-2</v>
      </c>
      <c r="G949">
        <v>0.4</v>
      </c>
      <c r="H949">
        <v>-0.1131187563274587</v>
      </c>
      <c r="I949">
        <v>2.272380129376167E-2</v>
      </c>
      <c r="J949">
        <v>-6.5413906033199298E-3</v>
      </c>
      <c r="K949">
        <v>1.58695817855059E-3</v>
      </c>
      <c r="L949">
        <v>0</v>
      </c>
      <c r="M949">
        <v>44904711.278200001</v>
      </c>
      <c r="N949">
        <v>0</v>
      </c>
      <c r="O949" t="b">
        <v>0</v>
      </c>
    </row>
    <row r="950" spans="1:15" x14ac:dyDescent="0.3">
      <c r="A950" s="1" t="s">
        <v>1054</v>
      </c>
      <c r="B950">
        <v>3.7094926463673028</v>
      </c>
      <c r="C950">
        <v>4.0011785636579693E-2</v>
      </c>
      <c r="D950">
        <v>4.9832811994391157E-2</v>
      </c>
      <c r="E950">
        <v>26.172790153673631</v>
      </c>
      <c r="F950">
        <v>-0.17228387511494819</v>
      </c>
      <c r="G950">
        <v>0</v>
      </c>
      <c r="H950">
        <v>-0.21109904539576879</v>
      </c>
      <c r="I950">
        <v>0.52914948568156894</v>
      </c>
      <c r="J950">
        <v>-0.19904967602591789</v>
      </c>
      <c r="K950">
        <v>-4.1360769310309187E-2</v>
      </c>
      <c r="L950">
        <v>0</v>
      </c>
      <c r="M950">
        <v>3761425312</v>
      </c>
      <c r="N950">
        <v>0</v>
      </c>
      <c r="O950" t="b">
        <v>1</v>
      </c>
    </row>
    <row r="951" spans="1:15" x14ac:dyDescent="0.3">
      <c r="A951" s="1" t="s">
        <v>1055</v>
      </c>
      <c r="B951">
        <v>0.94227292831805065</v>
      </c>
      <c r="C951">
        <v>1.262423537403605E-2</v>
      </c>
      <c r="D951">
        <v>1.138799571275448E-2</v>
      </c>
      <c r="E951">
        <v>46.046451479780593</v>
      </c>
      <c r="F951">
        <v>-2.1023596951322721E-2</v>
      </c>
      <c r="G951">
        <v>0</v>
      </c>
      <c r="H951">
        <v>1.9950169091769519E-2</v>
      </c>
      <c r="I951">
        <v>-0.2771654595967909</v>
      </c>
      <c r="J951">
        <v>-3.0551146739539851E-2</v>
      </c>
      <c r="K951">
        <v>-3.3382294031245601E-3</v>
      </c>
      <c r="L951">
        <v>0</v>
      </c>
      <c r="M951">
        <v>47257786.336599998</v>
      </c>
      <c r="N951">
        <v>0</v>
      </c>
      <c r="O951" t="b">
        <v>0</v>
      </c>
    </row>
    <row r="952" spans="1:15" x14ac:dyDescent="0.3">
      <c r="A952" s="1" t="s">
        <v>1056</v>
      </c>
      <c r="B952">
        <v>0.77469738954695222</v>
      </c>
      <c r="C952">
        <v>1.8744190407620431E-2</v>
      </c>
      <c r="D952">
        <v>7.0166948947495561E-3</v>
      </c>
      <c r="E952">
        <v>37.530193649108263</v>
      </c>
      <c r="F952">
        <v>-5.4666056724611223E-2</v>
      </c>
      <c r="G952">
        <v>0.6</v>
      </c>
      <c r="H952">
        <v>-4.4377437089300933E-2</v>
      </c>
      <c r="I952">
        <v>0.41335339155619483</v>
      </c>
      <c r="J952">
        <v>-6.3448900974393929E-2</v>
      </c>
      <c r="K952">
        <v>-2.654440154440163E-3</v>
      </c>
      <c r="L952">
        <v>0</v>
      </c>
      <c r="M952">
        <v>161258015.63749999</v>
      </c>
      <c r="N952">
        <v>0</v>
      </c>
      <c r="O952" t="b">
        <v>1</v>
      </c>
    </row>
    <row r="953" spans="1:15" x14ac:dyDescent="0.3">
      <c r="A953" s="1" t="s">
        <v>1057</v>
      </c>
      <c r="B953">
        <v>4.353247383610543</v>
      </c>
      <c r="C953">
        <v>4.0285465330469582E-2</v>
      </c>
      <c r="D953">
        <v>2.8410142513418411E-2</v>
      </c>
      <c r="E953">
        <v>40.660455327290279</v>
      </c>
      <c r="F953">
        <v>-0.15564932020628219</v>
      </c>
      <c r="G953">
        <v>0.6</v>
      </c>
      <c r="H953">
        <v>-0.17766915104863501</v>
      </c>
      <c r="I953">
        <v>1.087791583544276</v>
      </c>
      <c r="J953">
        <v>-0.18983355825461079</v>
      </c>
      <c r="K953">
        <v>1.1703024061417541E-2</v>
      </c>
      <c r="L953">
        <v>0</v>
      </c>
      <c r="M953">
        <v>74381243</v>
      </c>
      <c r="N953">
        <v>0</v>
      </c>
      <c r="O953" t="b">
        <v>0</v>
      </c>
    </row>
    <row r="954" spans="1:15" x14ac:dyDescent="0.3">
      <c r="A954" s="1" t="s">
        <v>1058</v>
      </c>
      <c r="B954">
        <v>0.27896931625071691</v>
      </c>
      <c r="C954">
        <v>5.5461096670122653E-2</v>
      </c>
      <c r="D954">
        <v>2.783300198807168E-2</v>
      </c>
      <c r="E954">
        <v>32.032827510026237</v>
      </c>
      <c r="F954">
        <v>-0.25037257824143072</v>
      </c>
      <c r="G954">
        <v>0.6</v>
      </c>
      <c r="H954">
        <v>-9.1074213021475878E-2</v>
      </c>
      <c r="I954">
        <v>1.95007570143263</v>
      </c>
      <c r="J954">
        <v>-0.24132730015082951</v>
      </c>
      <c r="K954">
        <v>0</v>
      </c>
      <c r="L954">
        <v>0</v>
      </c>
      <c r="M954">
        <v>237199780.5</v>
      </c>
      <c r="N954">
        <v>0</v>
      </c>
      <c r="O954" t="b">
        <v>1</v>
      </c>
    </row>
    <row r="955" spans="1:15" x14ac:dyDescent="0.3">
      <c r="A955" s="1" t="s">
        <v>1059</v>
      </c>
      <c r="B955">
        <v>1.737857584924712</v>
      </c>
      <c r="C955">
        <v>2.6590554299740679E-2</v>
      </c>
      <c r="D955">
        <v>4.2863569179358782E-2</v>
      </c>
      <c r="E955">
        <v>55.188313012260011</v>
      </c>
      <c r="F955">
        <v>8.8981419923720217E-2</v>
      </c>
      <c r="G955">
        <v>0.6</v>
      </c>
      <c r="H955">
        <v>-0.1310866648005351</v>
      </c>
      <c r="I955">
        <v>0.94254518615095195</v>
      </c>
      <c r="J955">
        <v>-1.062273693670956E-3</v>
      </c>
      <c r="K955">
        <v>3.8844488526904142E-2</v>
      </c>
      <c r="L955">
        <v>0</v>
      </c>
      <c r="M955">
        <v>893419699.32455003</v>
      </c>
      <c r="N955">
        <v>0</v>
      </c>
      <c r="O955" t="b">
        <v>1</v>
      </c>
    </row>
    <row r="956" spans="1:15" x14ac:dyDescent="0.3">
      <c r="A956" s="1" t="s">
        <v>1060</v>
      </c>
      <c r="B956">
        <v>0.30493053748189969</v>
      </c>
      <c r="C956">
        <v>1.404594935313571E-2</v>
      </c>
      <c r="D956">
        <v>1.116561873834036E-2</v>
      </c>
      <c r="E956">
        <v>56.377446981574927</v>
      </c>
      <c r="F956">
        <v>3.1800726221934861E-2</v>
      </c>
      <c r="G956">
        <v>0.4</v>
      </c>
      <c r="H956">
        <v>-1.059422332940181E-3</v>
      </c>
      <c r="I956">
        <v>0.36554197261397819</v>
      </c>
      <c r="J956">
        <v>-2.1415756876391741E-2</v>
      </c>
      <c r="K956">
        <v>4.4881434355117378E-3</v>
      </c>
      <c r="L956">
        <v>0</v>
      </c>
      <c r="M956">
        <v>145369022.24744999</v>
      </c>
      <c r="N956">
        <v>0</v>
      </c>
      <c r="O956" t="b">
        <v>1</v>
      </c>
    </row>
    <row r="957" spans="1:15" x14ac:dyDescent="0.3">
      <c r="A957" s="1" t="s">
        <v>1061</v>
      </c>
      <c r="B957">
        <v>0.15766645894304851</v>
      </c>
      <c r="C957">
        <v>1.9417051593971502E-2</v>
      </c>
      <c r="D957">
        <v>4.5566502463054208E-2</v>
      </c>
      <c r="E957">
        <v>73.149272157034972</v>
      </c>
      <c r="F957">
        <v>0.12777777777777749</v>
      </c>
      <c r="G957">
        <v>0.4</v>
      </c>
      <c r="H957">
        <v>3.5580434328913647E-2</v>
      </c>
      <c r="I957">
        <v>1.2893497172467541</v>
      </c>
      <c r="J957">
        <v>0</v>
      </c>
      <c r="K957">
        <v>4.3701799485861059E-2</v>
      </c>
      <c r="L957">
        <v>0</v>
      </c>
      <c r="M957">
        <v>3372374</v>
      </c>
      <c r="N957">
        <v>0</v>
      </c>
      <c r="O957" t="b">
        <v>0</v>
      </c>
    </row>
    <row r="958" spans="1:15" x14ac:dyDescent="0.3">
      <c r="A958" s="1" t="s">
        <v>1062</v>
      </c>
      <c r="B958">
        <v>0.61859680589221921</v>
      </c>
      <c r="C958">
        <v>1.558963724526762E-2</v>
      </c>
      <c r="D958">
        <v>1.6633064516129129E-2</v>
      </c>
      <c r="E958">
        <v>39.92573488121937</v>
      </c>
      <c r="F958">
        <v>-2.0730503455083982E-2</v>
      </c>
      <c r="G958">
        <v>0.2</v>
      </c>
      <c r="H958">
        <v>-0.18368417883361679</v>
      </c>
      <c r="I958">
        <v>0.35308934655462271</v>
      </c>
      <c r="J958">
        <v>-4.1777348466553899E-2</v>
      </c>
      <c r="K958">
        <v>9.9261898701958895E-3</v>
      </c>
      <c r="L958">
        <v>0</v>
      </c>
      <c r="M958">
        <v>48849518.536250003</v>
      </c>
      <c r="N958">
        <v>0</v>
      </c>
      <c r="O958" t="b">
        <v>0</v>
      </c>
    </row>
    <row r="959" spans="1:15" x14ac:dyDescent="0.3">
      <c r="A959" s="1" t="s">
        <v>1063</v>
      </c>
      <c r="B959">
        <v>1.058128322009213</v>
      </c>
      <c r="C959">
        <v>1.0201383691423521E-2</v>
      </c>
      <c r="D959">
        <v>1.466391577648375E-2</v>
      </c>
      <c r="E959">
        <v>55.760513454488667</v>
      </c>
      <c r="F959">
        <v>2.1026105445525189E-2</v>
      </c>
      <c r="G959">
        <v>0.4</v>
      </c>
      <c r="H959">
        <v>-9.40822145248848E-2</v>
      </c>
      <c r="I959">
        <v>0.30393644745359127</v>
      </c>
      <c r="J959">
        <v>-6.9506941120153209E-3</v>
      </c>
      <c r="K959">
        <v>1.241557021824868E-2</v>
      </c>
      <c r="L959">
        <v>0</v>
      </c>
      <c r="M959">
        <v>65456963.549199998</v>
      </c>
      <c r="N959">
        <v>0</v>
      </c>
      <c r="O959" t="b">
        <v>0</v>
      </c>
    </row>
    <row r="960" spans="1:15" x14ac:dyDescent="0.3">
      <c r="A960" s="1" t="s">
        <v>1064</v>
      </c>
      <c r="B960">
        <v>10.100742411474741</v>
      </c>
      <c r="C960">
        <v>1.824598917871037E-2</v>
      </c>
      <c r="D960">
        <v>2.1770742448793089E-2</v>
      </c>
      <c r="E960">
        <v>43.893819871610233</v>
      </c>
      <c r="F960">
        <v>-9.5362996652454957E-3</v>
      </c>
      <c r="G960">
        <v>0.4</v>
      </c>
      <c r="H960">
        <v>-0.106731277942271</v>
      </c>
      <c r="I960">
        <v>0.17630559403293569</v>
      </c>
      <c r="J960">
        <v>-2.5580863197915971E-2</v>
      </c>
      <c r="K960">
        <v>8.5903452899764865E-3</v>
      </c>
      <c r="L960">
        <v>0</v>
      </c>
      <c r="M960">
        <v>416410107.07999998</v>
      </c>
      <c r="N960">
        <v>0</v>
      </c>
      <c r="O960" t="b">
        <v>1</v>
      </c>
    </row>
    <row r="961" spans="1:15" x14ac:dyDescent="0.3">
      <c r="A961" s="1" t="s">
        <v>1065</v>
      </c>
      <c r="B961">
        <v>0.18421242019924741</v>
      </c>
      <c r="C961">
        <v>2.9616144726567109E-2</v>
      </c>
      <c r="D961">
        <v>2.0900321543408339E-2</v>
      </c>
      <c r="E961">
        <v>49.830358271679998</v>
      </c>
      <c r="F961">
        <v>-0.1076040172166428</v>
      </c>
      <c r="G961">
        <v>0.6</v>
      </c>
      <c r="H961">
        <v>0.122391732563168</v>
      </c>
      <c r="I961">
        <v>0.80566856880040538</v>
      </c>
      <c r="J961">
        <v>-0.113960113960114</v>
      </c>
      <c r="K961">
        <v>6.4724919093850364E-3</v>
      </c>
      <c r="L961">
        <v>0</v>
      </c>
      <c r="M961">
        <v>96132610.713455006</v>
      </c>
      <c r="N961">
        <v>0</v>
      </c>
      <c r="O961" t="b">
        <v>1</v>
      </c>
    </row>
    <row r="962" spans="1:15" x14ac:dyDescent="0.3">
      <c r="A962" s="1" t="s">
        <v>1066</v>
      </c>
      <c r="B962">
        <v>4.2233725328032898</v>
      </c>
      <c r="C962">
        <v>2.4739751937785801E-2</v>
      </c>
      <c r="D962">
        <v>1.88738928722057E-2</v>
      </c>
      <c r="E962">
        <v>51.531971546641962</v>
      </c>
      <c r="F962">
        <v>-1.470622186309589E-2</v>
      </c>
      <c r="G962">
        <v>0.6</v>
      </c>
      <c r="H962">
        <v>-0.16517036388102779</v>
      </c>
      <c r="I962">
        <v>1.0254177612748689</v>
      </c>
      <c r="J962">
        <v>-1.2129068098699181E-2</v>
      </c>
      <c r="K962">
        <v>-1.5791135909043459E-3</v>
      </c>
      <c r="L962">
        <v>0</v>
      </c>
      <c r="M962">
        <v>1340145644</v>
      </c>
      <c r="N962">
        <v>0</v>
      </c>
      <c r="O962" t="b">
        <v>1</v>
      </c>
    </row>
    <row r="963" spans="1:15" x14ac:dyDescent="0.3">
      <c r="A963" s="1" t="s">
        <v>1067</v>
      </c>
      <c r="B963">
        <v>6.8697573365352218</v>
      </c>
      <c r="C963">
        <v>4.0852505569310311E-2</v>
      </c>
      <c r="D963">
        <v>4.0497145575642261E-2</v>
      </c>
      <c r="E963">
        <v>52.161453053729367</v>
      </c>
      <c r="F963">
        <v>8.6372360844528817E-3</v>
      </c>
      <c r="G963">
        <v>0.8</v>
      </c>
      <c r="H963">
        <v>2.555214415450521E-2</v>
      </c>
      <c r="I963">
        <v>1.6137817571110169</v>
      </c>
      <c r="J963">
        <v>-7.8470706236356547E-3</v>
      </c>
      <c r="K963">
        <v>8.4557721139431052E-3</v>
      </c>
      <c r="L963">
        <v>0</v>
      </c>
      <c r="M963">
        <v>339242399.98450011</v>
      </c>
      <c r="N963">
        <v>0</v>
      </c>
      <c r="O963" t="b">
        <v>1</v>
      </c>
    </row>
    <row r="964" spans="1:15" x14ac:dyDescent="0.3">
      <c r="A964" s="1" t="s">
        <v>1068</v>
      </c>
      <c r="B964">
        <v>4.105229980992485</v>
      </c>
      <c r="C964">
        <v>1.395102963703013E-2</v>
      </c>
      <c r="D964">
        <v>2.1307687079453679E-2</v>
      </c>
      <c r="E964">
        <v>59.558363058395322</v>
      </c>
      <c r="F964">
        <v>2.5582043775268289E-2</v>
      </c>
      <c r="G964">
        <v>0.4</v>
      </c>
      <c r="H964">
        <v>5.1395641408459231E-2</v>
      </c>
      <c r="I964">
        <v>0.47101845929326241</v>
      </c>
      <c r="J964">
        <v>-2.947853488293295E-3</v>
      </c>
      <c r="K964">
        <v>1.6336821745587701E-2</v>
      </c>
      <c r="L964">
        <v>0</v>
      </c>
      <c r="M964">
        <v>334817478.99449998</v>
      </c>
      <c r="N964">
        <v>0</v>
      </c>
      <c r="O964" t="b">
        <v>1</v>
      </c>
    </row>
    <row r="965" spans="1:15" x14ac:dyDescent="0.3">
      <c r="A965" s="1" t="s">
        <v>1069</v>
      </c>
      <c r="B965">
        <v>3.1363164523157478</v>
      </c>
      <c r="C965">
        <v>2.6397748104669209E-2</v>
      </c>
      <c r="D965">
        <v>2.0856830233145308E-2</v>
      </c>
      <c r="E965">
        <v>63.286065719101387</v>
      </c>
      <c r="F965">
        <v>6.1239437626168007E-2</v>
      </c>
      <c r="G965">
        <v>0.8</v>
      </c>
      <c r="H965">
        <v>-8.9708342907441854E-2</v>
      </c>
      <c r="I965">
        <v>1.3802393183798389</v>
      </c>
      <c r="J965">
        <v>0</v>
      </c>
      <c r="K965">
        <v>1.7818898312344619E-2</v>
      </c>
      <c r="L965">
        <v>0</v>
      </c>
      <c r="M965">
        <v>197012211.30700001</v>
      </c>
      <c r="N965">
        <v>0</v>
      </c>
      <c r="O965" t="b">
        <v>1</v>
      </c>
    </row>
    <row r="966" spans="1:15" x14ac:dyDescent="0.3">
      <c r="A966" s="1" t="s">
        <v>1070</v>
      </c>
      <c r="B966">
        <v>3.3878575254752259</v>
      </c>
      <c r="C966">
        <v>2.489790200246363E-2</v>
      </c>
      <c r="D966">
        <v>7.3491585213493046E-3</v>
      </c>
      <c r="E966">
        <v>42.976282326799399</v>
      </c>
      <c r="F966">
        <v>-2.624912335942986E-2</v>
      </c>
      <c r="G966">
        <v>0.2</v>
      </c>
      <c r="H966">
        <v>-0.1185581562687499</v>
      </c>
      <c r="I966">
        <v>0.80488326632387108</v>
      </c>
      <c r="J966">
        <v>-5.7419350369564907E-2</v>
      </c>
      <c r="K966">
        <v>-5.0453348932436581E-3</v>
      </c>
      <c r="L966">
        <v>0</v>
      </c>
      <c r="M966">
        <v>101879635.0165</v>
      </c>
      <c r="N966">
        <v>1</v>
      </c>
      <c r="O966" t="b">
        <v>1</v>
      </c>
    </row>
    <row r="967" spans="1:15" x14ac:dyDescent="0.3">
      <c r="A967" s="1" t="s">
        <v>1071</v>
      </c>
      <c r="B967">
        <v>2.0553359834944929</v>
      </c>
      <c r="C967">
        <v>4.2917853069419358E-2</v>
      </c>
      <c r="D967">
        <v>2.171643349342256E-2</v>
      </c>
      <c r="E967">
        <v>23.09054247890424</v>
      </c>
      <c r="F967">
        <v>-0.33853591160221003</v>
      </c>
      <c r="G967">
        <v>0.6</v>
      </c>
      <c r="H967">
        <v>-0.29892339692842829</v>
      </c>
      <c r="I967">
        <v>0.44290740961269981</v>
      </c>
      <c r="J967">
        <v>-0.30138584974471178</v>
      </c>
      <c r="K967">
        <v>1.3974168960406709E-2</v>
      </c>
      <c r="L967">
        <v>0</v>
      </c>
      <c r="M967">
        <v>169648455.5</v>
      </c>
      <c r="N967">
        <v>1</v>
      </c>
      <c r="O967" t="b">
        <v>1</v>
      </c>
    </row>
    <row r="968" spans="1:15" x14ac:dyDescent="0.3">
      <c r="A968" s="1" t="s">
        <v>1072</v>
      </c>
      <c r="B968">
        <v>1.323186610050723</v>
      </c>
      <c r="C968">
        <v>2.242689169577497E-2</v>
      </c>
      <c r="D968">
        <v>1.9830508474576299E-2</v>
      </c>
      <c r="E968">
        <v>53.910822184618581</v>
      </c>
      <c r="F968">
        <v>1.0179843909059461E-3</v>
      </c>
      <c r="G968">
        <v>0.4</v>
      </c>
      <c r="H968">
        <v>-4.5121217292757674E-3</v>
      </c>
      <c r="I968">
        <v>0.86357911193059489</v>
      </c>
      <c r="J968">
        <v>-2.2207490884985189E-2</v>
      </c>
      <c r="K968">
        <v>5.7961131946813182E-3</v>
      </c>
      <c r="L968">
        <v>0</v>
      </c>
      <c r="M968">
        <v>115930804.1648</v>
      </c>
      <c r="N968">
        <v>0</v>
      </c>
      <c r="O968" t="b">
        <v>1</v>
      </c>
    </row>
    <row r="969" spans="1:15" x14ac:dyDescent="0.3">
      <c r="A969" s="1" t="s">
        <v>1073</v>
      </c>
      <c r="B969">
        <v>7.3922824490373591</v>
      </c>
      <c r="C969">
        <v>3.1708842487184648E-2</v>
      </c>
      <c r="D969">
        <v>3.2321022605413273E-2</v>
      </c>
      <c r="E969">
        <v>61.493206113819149</v>
      </c>
      <c r="F969">
        <v>0.12824856022842759</v>
      </c>
      <c r="G969">
        <v>0.4</v>
      </c>
      <c r="H969">
        <v>0.21688678233102801</v>
      </c>
      <c r="I969">
        <v>1.038867668312095</v>
      </c>
      <c r="J969">
        <v>-4.6698016765487682E-2</v>
      </c>
      <c r="K969">
        <v>-1.0189784740797349E-2</v>
      </c>
      <c r="L969">
        <v>0</v>
      </c>
      <c r="M969">
        <v>201652424</v>
      </c>
      <c r="N969">
        <v>0</v>
      </c>
      <c r="O969" t="b">
        <v>1</v>
      </c>
    </row>
    <row r="970" spans="1:15" x14ac:dyDescent="0.3">
      <c r="A970" s="1" t="s">
        <v>1074</v>
      </c>
      <c r="B970">
        <v>2.7706998587985958</v>
      </c>
      <c r="C970">
        <v>2.0251729432134349E-2</v>
      </c>
      <c r="D970">
        <v>4.077828861292427E-2</v>
      </c>
      <c r="E970">
        <v>72.423729452473935</v>
      </c>
      <c r="F970">
        <v>6.3963977976171815E-2</v>
      </c>
      <c r="G970">
        <v>0.8</v>
      </c>
      <c r="H970">
        <v>3.188188982088825E-2</v>
      </c>
      <c r="I970">
        <v>1.0647740915261981</v>
      </c>
      <c r="J970">
        <v>0</v>
      </c>
      <c r="K970">
        <v>3.1492204228112941E-2</v>
      </c>
      <c r="L970">
        <v>0</v>
      </c>
      <c r="M970">
        <v>135766900.37200001</v>
      </c>
      <c r="N970">
        <v>0</v>
      </c>
      <c r="O970" t="b">
        <v>1</v>
      </c>
    </row>
    <row r="971" spans="1:15" x14ac:dyDescent="0.3">
      <c r="A971" s="1" t="s">
        <v>1075</v>
      </c>
      <c r="B971">
        <v>1.286730181330515</v>
      </c>
      <c r="C971">
        <v>5.7188008059134023E-2</v>
      </c>
      <c r="D971">
        <v>4.2222222222222189E-2</v>
      </c>
      <c r="E971">
        <v>62.902048487344253</v>
      </c>
      <c r="F971">
        <v>0</v>
      </c>
      <c r="G971">
        <v>0.8</v>
      </c>
      <c r="H971">
        <v>0</v>
      </c>
      <c r="I971">
        <v>1</v>
      </c>
      <c r="J971">
        <v>-1.6608391608391559E-2</v>
      </c>
      <c r="K971">
        <v>-1.6608391608391559E-2</v>
      </c>
      <c r="O971" t="b">
        <v>0</v>
      </c>
    </row>
    <row r="972" spans="1:15" x14ac:dyDescent="0.3">
      <c r="A972" s="1" t="s">
        <v>1076</v>
      </c>
      <c r="B972">
        <v>0.53776617738844312</v>
      </c>
      <c r="C972">
        <v>3.2220861437294371E-2</v>
      </c>
      <c r="D972">
        <v>2.3067705212702311E-2</v>
      </c>
      <c r="E972">
        <v>53.352578047555753</v>
      </c>
      <c r="F972">
        <v>4.182272159800271E-2</v>
      </c>
      <c r="G972">
        <v>0.6</v>
      </c>
      <c r="H972">
        <v>2.828166348584896E-2</v>
      </c>
      <c r="I972">
        <v>1.486785953177606</v>
      </c>
      <c r="J972">
        <v>-5.439093484419244E-2</v>
      </c>
      <c r="K972">
        <v>5.9952038369304184E-4</v>
      </c>
      <c r="L972">
        <v>0</v>
      </c>
      <c r="M972">
        <v>597651815.5</v>
      </c>
      <c r="N972">
        <v>0</v>
      </c>
      <c r="O972" t="b">
        <v>1</v>
      </c>
    </row>
    <row r="973" spans="1:15" x14ac:dyDescent="0.3">
      <c r="A973" s="1" t="s">
        <v>1077</v>
      </c>
      <c r="B973">
        <v>4.1229723404775536</v>
      </c>
      <c r="C973">
        <v>2.5175074740966429E-2</v>
      </c>
      <c r="D973">
        <v>4.2717924920010628E-2</v>
      </c>
      <c r="E973">
        <v>67.789731867150806</v>
      </c>
      <c r="F973">
        <v>0.15190434323896601</v>
      </c>
      <c r="G973">
        <v>0.2</v>
      </c>
      <c r="H973">
        <v>8.9561468015136508E-2</v>
      </c>
      <c r="I973">
        <v>1.197111843932763</v>
      </c>
      <c r="J973">
        <v>-2.3027718550107101E-3</v>
      </c>
      <c r="K973">
        <v>3.9142655913910078E-2</v>
      </c>
      <c r="L973">
        <v>0</v>
      </c>
      <c r="M973">
        <v>241360089.56600001</v>
      </c>
      <c r="N973">
        <v>0</v>
      </c>
      <c r="O973" t="b">
        <v>1</v>
      </c>
    </row>
    <row r="974" spans="1:15" x14ac:dyDescent="0.3">
      <c r="A974" s="1" t="s">
        <v>1078</v>
      </c>
      <c r="B974">
        <v>4.4026278387976729</v>
      </c>
      <c r="C974">
        <v>4.1636351794946777E-2</v>
      </c>
      <c r="D974">
        <v>2.2035180631738208E-2</v>
      </c>
      <c r="E974">
        <v>54.628210506237089</v>
      </c>
      <c r="F974">
        <v>0.13723381372338131</v>
      </c>
      <c r="G974">
        <v>0.4</v>
      </c>
      <c r="H974">
        <v>0.1164371941900556</v>
      </c>
      <c r="I974">
        <v>0.84658979763115028</v>
      </c>
      <c r="J974">
        <v>-3.7502275623520931E-2</v>
      </c>
      <c r="K974">
        <v>6.1851746122369988E-3</v>
      </c>
      <c r="L974">
        <v>0</v>
      </c>
      <c r="M974">
        <v>36916494</v>
      </c>
      <c r="N974">
        <v>0</v>
      </c>
      <c r="O974" t="b">
        <v>0</v>
      </c>
    </row>
    <row r="975" spans="1:15" x14ac:dyDescent="0.3">
      <c r="A975" s="1" t="s">
        <v>1079</v>
      </c>
      <c r="B975">
        <v>6.3633371390459263</v>
      </c>
      <c r="C975">
        <v>3.4624753177962382E-2</v>
      </c>
      <c r="D975">
        <v>1.8718032430079429E-2</v>
      </c>
      <c r="E975">
        <v>49.002130093140543</v>
      </c>
      <c r="F975">
        <v>-7.6663367480744871E-2</v>
      </c>
      <c r="G975">
        <v>0.4</v>
      </c>
      <c r="H975">
        <v>3.2367748245635572E-3</v>
      </c>
      <c r="I975">
        <v>1.8020660389199841</v>
      </c>
      <c r="J975">
        <v>-5.1648958403211709E-2</v>
      </c>
      <c r="K975">
        <v>-6.433475698761959E-3</v>
      </c>
      <c r="L975">
        <v>0</v>
      </c>
      <c r="M975">
        <v>29915350482.949001</v>
      </c>
      <c r="N975">
        <v>0</v>
      </c>
      <c r="O975" t="b">
        <v>1</v>
      </c>
    </row>
    <row r="976" spans="1:15" x14ac:dyDescent="0.3">
      <c r="A976" s="1" t="s">
        <v>1080</v>
      </c>
      <c r="B976">
        <v>6.089711803977691</v>
      </c>
      <c r="C976">
        <v>7.0376884363546638E-2</v>
      </c>
      <c r="D976">
        <v>3.7443661157979827E-2</v>
      </c>
      <c r="E976">
        <v>47.558403503617903</v>
      </c>
      <c r="F976">
        <v>-0.1625048393341075</v>
      </c>
      <c r="G976">
        <v>0.4</v>
      </c>
      <c r="H976">
        <v>1.125991754864345E-2</v>
      </c>
      <c r="I976">
        <v>3.5719795812513371</v>
      </c>
      <c r="J976">
        <v>-0.11451084731887019</v>
      </c>
      <c r="K976">
        <v>-1.334093500570133E-2</v>
      </c>
      <c r="L976">
        <v>0</v>
      </c>
      <c r="M976">
        <v>1039758817.5</v>
      </c>
      <c r="N976">
        <v>0</v>
      </c>
      <c r="O976" t="b">
        <v>1</v>
      </c>
    </row>
    <row r="977" spans="1:15" x14ac:dyDescent="0.3">
      <c r="A977" s="1" t="s">
        <v>1081</v>
      </c>
      <c r="B977">
        <v>13.402195213174441</v>
      </c>
      <c r="C977">
        <v>4.0026865015603257E-2</v>
      </c>
      <c r="D977">
        <v>2.792461846310075E-2</v>
      </c>
      <c r="E977">
        <v>60.580976628325431</v>
      </c>
      <c r="F977">
        <v>5.2560435069629818E-2</v>
      </c>
      <c r="G977">
        <v>0.6</v>
      </c>
      <c r="H977">
        <v>8.2414175369173573E-2</v>
      </c>
      <c r="I977">
        <v>2.9531774015890999</v>
      </c>
      <c r="J977">
        <v>-5.3766634980988437E-3</v>
      </c>
      <c r="K977">
        <v>-5.3766634980988437E-3</v>
      </c>
      <c r="L977">
        <v>0</v>
      </c>
      <c r="M977">
        <v>64673543.5</v>
      </c>
      <c r="N977">
        <v>0</v>
      </c>
      <c r="O977" t="b">
        <v>0</v>
      </c>
    </row>
    <row r="978" spans="1:15" x14ac:dyDescent="0.3">
      <c r="A978" s="1" t="s">
        <v>1082</v>
      </c>
      <c r="B978">
        <v>1.648789309561786</v>
      </c>
      <c r="C978">
        <v>3.3614460949271903E-2</v>
      </c>
      <c r="D978">
        <v>6.4016309887869535E-2</v>
      </c>
      <c r="E978">
        <v>51.220772920441348</v>
      </c>
      <c r="F978">
        <v>6.7696996081845873E-2</v>
      </c>
      <c r="G978">
        <v>0.4</v>
      </c>
      <c r="H978">
        <v>-8.7647377273472118E-2</v>
      </c>
      <c r="I978">
        <v>1.306476462077421</v>
      </c>
      <c r="J978">
        <v>-2.4074810982888991E-2</v>
      </c>
      <c r="K978">
        <v>5.8024158757549633E-2</v>
      </c>
      <c r="L978">
        <v>0</v>
      </c>
      <c r="M978">
        <v>655323088.18935001</v>
      </c>
      <c r="N978">
        <v>0</v>
      </c>
      <c r="O978" t="b">
        <v>1</v>
      </c>
    </row>
    <row r="979" spans="1:15" x14ac:dyDescent="0.3">
      <c r="A979" s="1" t="s">
        <v>1083</v>
      </c>
      <c r="B979">
        <v>154.34631513477609</v>
      </c>
      <c r="C979">
        <v>2.0567524673593671E-2</v>
      </c>
      <c r="D979">
        <v>2.7545283614747149E-2</v>
      </c>
      <c r="E979">
        <v>52.657978456417908</v>
      </c>
      <c r="F979">
        <v>2.283826349598805E-2</v>
      </c>
      <c r="G979">
        <v>0.4</v>
      </c>
      <c r="H979">
        <v>-0.19625590027671561</v>
      </c>
      <c r="I979">
        <v>0.4586072121962021</v>
      </c>
      <c r="J979">
        <v>-2.2794690224001268E-2</v>
      </c>
      <c r="K979">
        <v>2.5426704872313129E-2</v>
      </c>
      <c r="L979">
        <v>0</v>
      </c>
      <c r="M979">
        <v>155670268.5</v>
      </c>
      <c r="N979">
        <v>2</v>
      </c>
      <c r="O979" t="b">
        <v>1</v>
      </c>
    </row>
    <row r="980" spans="1:15" x14ac:dyDescent="0.3">
      <c r="A980" s="1" t="s">
        <v>1084</v>
      </c>
      <c r="B980">
        <v>2.2707795566962758</v>
      </c>
      <c r="C980">
        <v>1.7309090301823891E-2</v>
      </c>
      <c r="D980">
        <v>8.9183626800822275E-3</v>
      </c>
      <c r="E980">
        <v>54.214994212137611</v>
      </c>
      <c r="F980">
        <v>3.1367924528301838E-2</v>
      </c>
      <c r="G980">
        <v>0.4</v>
      </c>
      <c r="H980">
        <v>-1.887995628601883E-2</v>
      </c>
      <c r="I980">
        <v>0.36802275610023938</v>
      </c>
      <c r="J980">
        <v>-1.8920131618306971E-2</v>
      </c>
      <c r="K980">
        <v>1.37394092054044E-3</v>
      </c>
      <c r="L980">
        <v>0</v>
      </c>
      <c r="M980">
        <v>182140737.5</v>
      </c>
      <c r="N980">
        <v>0</v>
      </c>
      <c r="O980" t="b">
        <v>1</v>
      </c>
    </row>
    <row r="981" spans="1:15" x14ac:dyDescent="0.3">
      <c r="A981" s="1" t="s">
        <v>1085</v>
      </c>
      <c r="B981">
        <v>3.6309063840591431</v>
      </c>
      <c r="C981">
        <v>3.3413761414062881E-2</v>
      </c>
      <c r="D981">
        <v>2.922744213868312E-2</v>
      </c>
      <c r="E981">
        <v>57.167963577225521</v>
      </c>
      <c r="F981">
        <v>-3.080655375092534E-2</v>
      </c>
      <c r="G981">
        <v>0.6</v>
      </c>
      <c r="H981">
        <v>8.4111730583568578E-2</v>
      </c>
      <c r="I981">
        <v>1.7688823886177401</v>
      </c>
      <c r="J981">
        <v>-2.3235955056179699E-2</v>
      </c>
      <c r="K981">
        <v>1.3495868231080619E-2</v>
      </c>
      <c r="L981">
        <v>0</v>
      </c>
      <c r="M981">
        <v>135331861.16534999</v>
      </c>
      <c r="N981">
        <v>0</v>
      </c>
      <c r="O981" t="b">
        <v>1</v>
      </c>
    </row>
    <row r="982" spans="1:15" x14ac:dyDescent="0.3">
      <c r="A982" s="1" t="s">
        <v>1086</v>
      </c>
      <c r="B982">
        <v>0.30856447012669208</v>
      </c>
      <c r="C982">
        <v>1.8554688522350701E-2</v>
      </c>
      <c r="D982">
        <v>2.2248947684906858E-2</v>
      </c>
      <c r="E982">
        <v>60.899768686160463</v>
      </c>
      <c r="F982">
        <v>2.7812113720642628E-2</v>
      </c>
      <c r="G982">
        <v>0.6</v>
      </c>
      <c r="H982">
        <v>0.10326708403574859</v>
      </c>
      <c r="I982">
        <v>0.96186314343911983</v>
      </c>
      <c r="J982">
        <v>-1.6558249556475561E-2</v>
      </c>
      <c r="K982">
        <v>1.837109614206978E-2</v>
      </c>
      <c r="L982">
        <v>0</v>
      </c>
      <c r="M982">
        <v>45946136.007400014</v>
      </c>
      <c r="N982">
        <v>0</v>
      </c>
      <c r="O982" t="b">
        <v>0</v>
      </c>
    </row>
    <row r="983" spans="1:15" x14ac:dyDescent="0.3">
      <c r="A983" s="1" t="s">
        <v>1087</v>
      </c>
      <c r="B983">
        <v>0.60341046622329475</v>
      </c>
      <c r="C983">
        <v>2.0440733950653621E-2</v>
      </c>
      <c r="D983">
        <v>1.1856368563685561E-2</v>
      </c>
      <c r="E983">
        <v>50.565163266506808</v>
      </c>
      <c r="F983">
        <v>-2.6385224274406371E-2</v>
      </c>
      <c r="G983">
        <v>0.8</v>
      </c>
      <c r="H983">
        <v>-0.1283278722875229</v>
      </c>
      <c r="I983">
        <v>0.9665292462517604</v>
      </c>
      <c r="J983">
        <v>-2.6706231454005861E-2</v>
      </c>
      <c r="K983">
        <v>2.7173913043476721E-3</v>
      </c>
      <c r="L983">
        <v>0</v>
      </c>
      <c r="M983">
        <v>21289998.362</v>
      </c>
      <c r="N983">
        <v>0</v>
      </c>
      <c r="O983" t="b">
        <v>0</v>
      </c>
    </row>
    <row r="984" spans="1:15" x14ac:dyDescent="0.3">
      <c r="A984" s="1" t="s">
        <v>1088</v>
      </c>
      <c r="B984">
        <v>0.53074486727023529</v>
      </c>
      <c r="C984">
        <v>2.0319481901616969E-2</v>
      </c>
      <c r="D984">
        <v>1.493108728943341E-2</v>
      </c>
      <c r="E984">
        <v>52.549111054081777</v>
      </c>
      <c r="F984">
        <v>-2.537313432835819E-2</v>
      </c>
      <c r="G984">
        <v>0.8</v>
      </c>
      <c r="H984">
        <v>-0.15804846638033249</v>
      </c>
      <c r="I984">
        <v>0.80975552423533548</v>
      </c>
      <c r="J984">
        <v>-2.646291464778228E-2</v>
      </c>
      <c r="K984">
        <v>6.5510597302504969E-3</v>
      </c>
      <c r="L984">
        <v>0</v>
      </c>
      <c r="M984">
        <v>83648445.393649995</v>
      </c>
      <c r="N984">
        <v>0</v>
      </c>
      <c r="O984" t="b">
        <v>0</v>
      </c>
    </row>
    <row r="985" spans="1:15" x14ac:dyDescent="0.3">
      <c r="A985" s="1" t="s">
        <v>1089</v>
      </c>
      <c r="B985">
        <v>6.8055165063793872</v>
      </c>
      <c r="C985">
        <v>2.9489195365193639E-2</v>
      </c>
      <c r="D985">
        <v>3.0895224889505139E-2</v>
      </c>
      <c r="E985">
        <v>70.327848095540318</v>
      </c>
      <c r="F985">
        <v>0.1300668893045667</v>
      </c>
      <c r="G985">
        <v>0.6</v>
      </c>
      <c r="H985">
        <v>8.6254526888706971E-3</v>
      </c>
      <c r="I985">
        <v>1.7224031358959331</v>
      </c>
      <c r="J985">
        <v>0</v>
      </c>
      <c r="K985">
        <v>1.6490776793107731E-2</v>
      </c>
      <c r="L985">
        <v>0</v>
      </c>
      <c r="M985">
        <v>530825260.80500001</v>
      </c>
      <c r="N985">
        <v>0</v>
      </c>
      <c r="O985" t="b">
        <v>1</v>
      </c>
    </row>
    <row r="986" spans="1:15" x14ac:dyDescent="0.3">
      <c r="A986" s="1" t="s">
        <v>1090</v>
      </c>
      <c r="B986">
        <v>5.2590276799503446</v>
      </c>
      <c r="C986">
        <v>5.8832393779509412E-2</v>
      </c>
      <c r="D986">
        <v>7.3162546146101418E-2</v>
      </c>
      <c r="E986">
        <v>47.96601076574396</v>
      </c>
      <c r="F986">
        <v>-0.16792329889230209</v>
      </c>
      <c r="G986">
        <v>0.4</v>
      </c>
      <c r="H986">
        <v>0.12537581714684751</v>
      </c>
      <c r="I986">
        <v>2.332333415288447</v>
      </c>
      <c r="J986">
        <v>-0.15534347538505139</v>
      </c>
      <c r="K986">
        <v>9.1442763603521993E-3</v>
      </c>
      <c r="L986">
        <v>0</v>
      </c>
      <c r="M986">
        <v>119132520</v>
      </c>
      <c r="N986">
        <v>0</v>
      </c>
      <c r="O986" t="b">
        <v>1</v>
      </c>
    </row>
    <row r="987" spans="1:15" x14ac:dyDescent="0.3">
      <c r="A987" s="1" t="s">
        <v>1091</v>
      </c>
      <c r="B987">
        <v>1.2177167195457561</v>
      </c>
      <c r="C987">
        <v>1.803324812510931E-2</v>
      </c>
      <c r="D987">
        <v>3.7370679825016052E-2</v>
      </c>
      <c r="E987">
        <v>77.504200833724866</v>
      </c>
      <c r="F987">
        <v>8.1642754283645758E-2</v>
      </c>
      <c r="G987">
        <v>0.8</v>
      </c>
      <c r="H987">
        <v>0.116009004241084</v>
      </c>
      <c r="I987">
        <v>-4.6152575311972061E-2</v>
      </c>
      <c r="J987">
        <v>0</v>
      </c>
      <c r="K987">
        <v>3.4377010508256589E-2</v>
      </c>
      <c r="L987">
        <v>0</v>
      </c>
      <c r="M987">
        <v>83226123.598049998</v>
      </c>
      <c r="N987">
        <v>0</v>
      </c>
      <c r="O987" t="b">
        <v>0</v>
      </c>
    </row>
    <row r="988" spans="1:15" x14ac:dyDescent="0.3">
      <c r="A988" s="1" t="s">
        <v>1092</v>
      </c>
      <c r="B988">
        <v>0.79183563947846025</v>
      </c>
      <c r="C988">
        <v>1.409637440546989E-2</v>
      </c>
      <c r="D988">
        <v>1.641179926299113E-2</v>
      </c>
      <c r="E988">
        <v>44.052484719100342</v>
      </c>
      <c r="F988">
        <v>9.9152306212526575E-3</v>
      </c>
      <c r="G988">
        <v>0.4</v>
      </c>
      <c r="H988">
        <v>-0.14811235407369719</v>
      </c>
      <c r="I988">
        <v>0.32845528502850307</v>
      </c>
      <c r="J988">
        <v>-3.0951986640720849E-2</v>
      </c>
      <c r="K988">
        <v>-6.6613969658547711E-3</v>
      </c>
      <c r="L988">
        <v>0</v>
      </c>
      <c r="M988">
        <v>289474155.32609999</v>
      </c>
      <c r="N988">
        <v>0</v>
      </c>
      <c r="O988" t="b">
        <v>1</v>
      </c>
    </row>
    <row r="989" spans="1:15" x14ac:dyDescent="0.3">
      <c r="A989" s="1" t="s">
        <v>1093</v>
      </c>
      <c r="B989">
        <v>0.23724150135153391</v>
      </c>
      <c r="C989">
        <v>1.8260583539988759E-2</v>
      </c>
      <c r="D989">
        <v>8.9670566502463248E-3</v>
      </c>
      <c r="E989">
        <v>65.16206237677379</v>
      </c>
      <c r="F989">
        <v>0.1076157105467319</v>
      </c>
      <c r="G989">
        <v>0.8</v>
      </c>
      <c r="H989">
        <v>-9.1630388807304217E-2</v>
      </c>
      <c r="I989">
        <v>0.83669389756612211</v>
      </c>
      <c r="J989">
        <v>-7.4183862908832046E-3</v>
      </c>
      <c r="K989">
        <v>2.9953988203688109E-3</v>
      </c>
      <c r="L989">
        <v>0</v>
      </c>
      <c r="M989">
        <v>43296039.363849998</v>
      </c>
      <c r="N989">
        <v>0</v>
      </c>
      <c r="O989" t="b">
        <v>0</v>
      </c>
    </row>
    <row r="990" spans="1:15" x14ac:dyDescent="0.3">
      <c r="A990" s="1" t="s">
        <v>1094</v>
      </c>
      <c r="B990">
        <v>3.8214926733881409</v>
      </c>
      <c r="C990">
        <v>3.3541284194254048E-2</v>
      </c>
      <c r="D990">
        <v>4.8378886021731883E-2</v>
      </c>
      <c r="E990">
        <v>56.026274309651001</v>
      </c>
      <c r="F990">
        <v>0.11792064052749331</v>
      </c>
      <c r="G990">
        <v>0.4</v>
      </c>
      <c r="H990">
        <v>-0.25653988953514939</v>
      </c>
      <c r="I990">
        <v>1.0341617171555859</v>
      </c>
      <c r="J990">
        <v>0</v>
      </c>
      <c r="K990">
        <v>3.724406653132184E-2</v>
      </c>
      <c r="L990">
        <v>0</v>
      </c>
      <c r="M990">
        <v>134050936.91</v>
      </c>
      <c r="N990">
        <v>0</v>
      </c>
      <c r="O990" t="b">
        <v>1</v>
      </c>
    </row>
    <row r="991" spans="1:15" x14ac:dyDescent="0.3">
      <c r="A991" s="1" t="s">
        <v>1095</v>
      </c>
      <c r="B991">
        <v>5.1578526157127396</v>
      </c>
      <c r="C991">
        <v>3.2831443566321908E-2</v>
      </c>
      <c r="D991">
        <v>6.5473803476744266E-2</v>
      </c>
      <c r="E991">
        <v>68.479772743843824</v>
      </c>
      <c r="F991">
        <v>0.14425037874373611</v>
      </c>
      <c r="G991">
        <v>0.6</v>
      </c>
      <c r="H991">
        <v>1.474195482010086E-2</v>
      </c>
      <c r="I991">
        <v>0.84870281425513017</v>
      </c>
      <c r="J991">
        <v>0</v>
      </c>
      <c r="K991">
        <v>5.6624204678441308E-2</v>
      </c>
      <c r="L991">
        <v>0</v>
      </c>
      <c r="M991">
        <v>270389257.09649998</v>
      </c>
      <c r="N991">
        <v>0</v>
      </c>
      <c r="O991" t="b">
        <v>1</v>
      </c>
    </row>
    <row r="992" spans="1:15" x14ac:dyDescent="0.3">
      <c r="A992" s="1" t="s">
        <v>1096</v>
      </c>
      <c r="B992">
        <v>3.927095394290935</v>
      </c>
      <c r="C992">
        <v>1.139894284206429E-2</v>
      </c>
      <c r="D992">
        <v>9.9328329182557708E-3</v>
      </c>
      <c r="E992">
        <v>59.193421887052693</v>
      </c>
      <c r="F992">
        <v>4.5955828750388061E-3</v>
      </c>
      <c r="G992">
        <v>0.6</v>
      </c>
      <c r="H992">
        <v>9.0628566792690449E-2</v>
      </c>
      <c r="I992">
        <v>1.062546593422188</v>
      </c>
      <c r="J992">
        <v>0</v>
      </c>
      <c r="K992">
        <v>4.2149078316835453E-3</v>
      </c>
      <c r="L992">
        <v>0</v>
      </c>
      <c r="M992">
        <v>88168705.898999989</v>
      </c>
      <c r="N992">
        <v>0</v>
      </c>
      <c r="O992" t="b">
        <v>0</v>
      </c>
    </row>
    <row r="993" spans="1:15" x14ac:dyDescent="0.3">
      <c r="A993" s="1" t="s">
        <v>1097</v>
      </c>
      <c r="B993">
        <v>0.68016426819406728</v>
      </c>
      <c r="C993">
        <v>1.6017093368736701E-2</v>
      </c>
      <c r="D993">
        <v>1.072415100471223E-2</v>
      </c>
      <c r="E993">
        <v>33.976142165451591</v>
      </c>
      <c r="F993">
        <v>-4.0063566410170608E-2</v>
      </c>
      <c r="G993">
        <v>0.2</v>
      </c>
      <c r="H993">
        <v>-9.7123661852043977E-2</v>
      </c>
      <c r="I993">
        <v>0.23130124961462509</v>
      </c>
      <c r="J993">
        <v>-6.3128911912068819E-2</v>
      </c>
      <c r="K993">
        <v>-4.1788706730983014E-3</v>
      </c>
      <c r="L993">
        <v>0</v>
      </c>
      <c r="M993">
        <v>46109450.305799998</v>
      </c>
      <c r="N993">
        <v>0</v>
      </c>
      <c r="O993" t="b">
        <v>0</v>
      </c>
    </row>
    <row r="994" spans="1:15" x14ac:dyDescent="0.3">
      <c r="A994" s="1" t="s">
        <v>1098</v>
      </c>
      <c r="B994">
        <v>0.7950532127559643</v>
      </c>
      <c r="C994">
        <v>1.8146928073495029E-2</v>
      </c>
      <c r="D994">
        <v>2.631014333972418E-2</v>
      </c>
      <c r="E994">
        <v>50.924700460998388</v>
      </c>
      <c r="F994">
        <v>1.252365952470647E-2</v>
      </c>
      <c r="G994">
        <v>0.2</v>
      </c>
      <c r="H994">
        <v>1.8746517208361461E-2</v>
      </c>
      <c r="I994">
        <v>4.5527716383891713E-2</v>
      </c>
      <c r="J994">
        <v>-3.3681744895686212E-2</v>
      </c>
      <c r="K994">
        <v>-1.70201881958062E-2</v>
      </c>
      <c r="L994">
        <v>0</v>
      </c>
      <c r="M994">
        <v>78875527.435499996</v>
      </c>
      <c r="N994">
        <v>0</v>
      </c>
      <c r="O994" t="b">
        <v>0</v>
      </c>
    </row>
    <row r="995" spans="1:15" x14ac:dyDescent="0.3">
      <c r="A995" s="1" t="s">
        <v>1099</v>
      </c>
      <c r="B995">
        <v>1.511426949786596</v>
      </c>
      <c r="C995">
        <v>2.0485591620853831E-2</v>
      </c>
      <c r="D995">
        <v>2.507454594741115E-2</v>
      </c>
      <c r="E995">
        <v>59.254398833591218</v>
      </c>
      <c r="F995">
        <v>8.6597938144329811E-2</v>
      </c>
      <c r="G995">
        <v>0.6</v>
      </c>
      <c r="H995">
        <v>-2.544487429021193E-2</v>
      </c>
      <c r="I995">
        <v>0.34873756706651099</v>
      </c>
      <c r="J995">
        <v>-3.3534189153785698E-2</v>
      </c>
      <c r="K995">
        <v>-1.5741728922091691E-2</v>
      </c>
      <c r="L995">
        <v>0</v>
      </c>
      <c r="M995">
        <v>286211596.89139998</v>
      </c>
      <c r="N995">
        <v>0</v>
      </c>
      <c r="O995" t="b">
        <v>1</v>
      </c>
    </row>
    <row r="996" spans="1:15" x14ac:dyDescent="0.3">
      <c r="A996" s="1" t="s">
        <v>1100</v>
      </c>
      <c r="B996">
        <v>10.389871758186271</v>
      </c>
      <c r="C996">
        <v>0.10327904332193109</v>
      </c>
      <c r="D996">
        <v>6.2157057654075552E-2</v>
      </c>
      <c r="E996">
        <v>47.531549984792498</v>
      </c>
      <c r="F996">
        <v>-9.7919655667144889E-2</v>
      </c>
      <c r="G996">
        <v>0.2</v>
      </c>
      <c r="H996">
        <v>7.6318835923769188E-2</v>
      </c>
      <c r="I996">
        <v>3.6990989975354038</v>
      </c>
      <c r="J996">
        <v>-9.8969995521719811E-2</v>
      </c>
      <c r="K996">
        <v>-3.2040796690079983E-2</v>
      </c>
      <c r="L996">
        <v>0</v>
      </c>
      <c r="M996">
        <v>850956112</v>
      </c>
      <c r="N996">
        <v>0</v>
      </c>
      <c r="O996" t="b">
        <v>1</v>
      </c>
    </row>
    <row r="997" spans="1:15" x14ac:dyDescent="0.3">
      <c r="A997" s="1" t="s">
        <v>1101</v>
      </c>
      <c r="B997">
        <v>2.807525532532964</v>
      </c>
      <c r="C997">
        <v>3.1250284200055253E-2</v>
      </c>
      <c r="D997">
        <v>3.4951024042742661E-2</v>
      </c>
      <c r="E997">
        <v>66.338978627540058</v>
      </c>
      <c r="F997">
        <v>4.7880095643552778E-2</v>
      </c>
      <c r="G997">
        <v>0.6</v>
      </c>
      <c r="H997">
        <v>-5.8478705431823368E-2</v>
      </c>
      <c r="I997">
        <v>1.2700961093799561</v>
      </c>
      <c r="J997">
        <v>0</v>
      </c>
      <c r="K997">
        <v>2.335117894976646E-2</v>
      </c>
      <c r="L997">
        <v>0</v>
      </c>
      <c r="M997">
        <v>245681020.5</v>
      </c>
      <c r="N997">
        <v>0</v>
      </c>
      <c r="O997" t="b">
        <v>1</v>
      </c>
    </row>
    <row r="998" spans="1:15" x14ac:dyDescent="0.3">
      <c r="A998" s="1" t="s">
        <v>1102</v>
      </c>
      <c r="B998">
        <v>5.2985294808889796</v>
      </c>
      <c r="C998">
        <v>4.7114791756081978E-2</v>
      </c>
      <c r="D998">
        <v>3.9791926018139738E-2</v>
      </c>
      <c r="E998">
        <v>34.270222187368432</v>
      </c>
      <c r="F998">
        <v>-0.11119892515608951</v>
      </c>
      <c r="G998">
        <v>0.2</v>
      </c>
      <c r="H998">
        <v>-0.14534537924547461</v>
      </c>
      <c r="I998">
        <v>0.89601648052057237</v>
      </c>
      <c r="J998">
        <v>-0.12564142435080081</v>
      </c>
      <c r="K998">
        <v>-1.4114140440080639E-2</v>
      </c>
      <c r="L998">
        <v>0</v>
      </c>
      <c r="M998">
        <v>124940627.5</v>
      </c>
      <c r="N998">
        <v>0</v>
      </c>
      <c r="O998" t="b">
        <v>1</v>
      </c>
    </row>
    <row r="999" spans="1:15" x14ac:dyDescent="0.3">
      <c r="A999" s="1" t="s">
        <v>1103</v>
      </c>
      <c r="B999">
        <v>2.155861685024572</v>
      </c>
      <c r="C999">
        <v>2.8121830188876699E-2</v>
      </c>
      <c r="D999">
        <v>5.5670708243381717E-2</v>
      </c>
      <c r="E999">
        <v>61.650986800069226</v>
      </c>
      <c r="F999">
        <v>6.4338015810649907E-2</v>
      </c>
      <c r="G999">
        <v>0.6</v>
      </c>
      <c r="H999">
        <v>-3.299379319793682E-2</v>
      </c>
      <c r="I999">
        <v>0.1150318463273091</v>
      </c>
      <c r="J999">
        <v>0</v>
      </c>
      <c r="K999">
        <v>5.7071943190044612E-2</v>
      </c>
      <c r="L999">
        <v>0</v>
      </c>
      <c r="M999">
        <v>251436567.127</v>
      </c>
      <c r="N999">
        <v>0</v>
      </c>
      <c r="O999" t="b">
        <v>1</v>
      </c>
    </row>
    <row r="1000" spans="1:15" x14ac:dyDescent="0.3">
      <c r="A1000" s="1" t="s">
        <v>1104</v>
      </c>
      <c r="B1000">
        <v>1.6003334398649349</v>
      </c>
      <c r="C1000">
        <v>2.4233266855115791E-2</v>
      </c>
      <c r="D1000">
        <v>5.3953212283100703E-2</v>
      </c>
      <c r="E1000">
        <v>75.484419741519503</v>
      </c>
      <c r="F1000">
        <v>0.1222692581559008</v>
      </c>
      <c r="G1000">
        <v>0.6</v>
      </c>
      <c r="H1000">
        <v>6.0899226374624943E-2</v>
      </c>
      <c r="I1000">
        <v>1.4644764306810409</v>
      </c>
      <c r="J1000">
        <v>0</v>
      </c>
      <c r="K1000">
        <v>4.3586886955697228E-2</v>
      </c>
      <c r="L1000">
        <v>0</v>
      </c>
      <c r="M1000">
        <v>53402276.329350002</v>
      </c>
      <c r="N1000">
        <v>0</v>
      </c>
      <c r="O1000" t="b">
        <v>0</v>
      </c>
    </row>
    <row r="1001" spans="1:15" x14ac:dyDescent="0.3">
      <c r="A1001" s="1" t="s">
        <v>1105</v>
      </c>
      <c r="B1001">
        <v>0.70569874297785617</v>
      </c>
      <c r="C1001">
        <v>1.143154091967382E-2</v>
      </c>
      <c r="D1001">
        <v>1.494672182930909E-2</v>
      </c>
      <c r="E1001">
        <v>66.216469205458253</v>
      </c>
      <c r="F1001">
        <v>2.061310257944848E-2</v>
      </c>
      <c r="G1001">
        <v>0.6</v>
      </c>
      <c r="H1001">
        <v>-6.7672279692433598E-2</v>
      </c>
      <c r="I1001">
        <v>0.88998769703915748</v>
      </c>
      <c r="J1001">
        <v>0</v>
      </c>
      <c r="K1001">
        <v>1.210109108198276E-2</v>
      </c>
      <c r="L1001">
        <v>0</v>
      </c>
      <c r="M1001">
        <v>12263245.630999999</v>
      </c>
      <c r="N1001">
        <v>0</v>
      </c>
      <c r="O1001" t="b">
        <v>0</v>
      </c>
    </row>
    <row r="1002" spans="1:15" x14ac:dyDescent="0.3">
      <c r="A1002" s="1" t="s">
        <v>1106</v>
      </c>
      <c r="B1002">
        <v>2.2174579048256748</v>
      </c>
      <c r="C1002">
        <v>4.0244245096654717E-2</v>
      </c>
      <c r="D1002">
        <v>2.9401088929219679E-2</v>
      </c>
      <c r="E1002">
        <v>61.88316454808156</v>
      </c>
      <c r="F1002">
        <v>0.1351462711166049</v>
      </c>
      <c r="G1002">
        <v>0.2</v>
      </c>
      <c r="H1002">
        <v>5.5609997915825347E-2</v>
      </c>
      <c r="I1002">
        <v>2.4341734500817469</v>
      </c>
      <c r="J1002">
        <v>-3.5870516185476757E-2</v>
      </c>
      <c r="K1002">
        <v>-2.353793228317858E-3</v>
      </c>
      <c r="L1002">
        <v>0</v>
      </c>
      <c r="M1002">
        <v>424285322.5</v>
      </c>
      <c r="N1002">
        <v>0</v>
      </c>
      <c r="O1002" t="b">
        <v>1</v>
      </c>
    </row>
    <row r="1003" spans="1:15" x14ac:dyDescent="0.3">
      <c r="A1003" s="1" t="s">
        <v>1107</v>
      </c>
      <c r="B1003">
        <v>0.56429600764117083</v>
      </c>
      <c r="C1003">
        <v>2.441075099997711E-2</v>
      </c>
      <c r="D1003">
        <v>4.9007860118442478E-2</v>
      </c>
      <c r="E1003">
        <v>71.305263204301866</v>
      </c>
      <c r="F1003">
        <v>0.11299043327122441</v>
      </c>
      <c r="G1003">
        <v>0.8</v>
      </c>
      <c r="H1003">
        <v>7.4322695000562187E-3</v>
      </c>
      <c r="I1003">
        <v>1.2188165323044129</v>
      </c>
      <c r="J1003">
        <v>0</v>
      </c>
      <c r="K1003">
        <v>4.7744444394084207E-2</v>
      </c>
      <c r="L1003">
        <v>0</v>
      </c>
      <c r="M1003">
        <v>61024974.951750003</v>
      </c>
      <c r="N1003">
        <v>0</v>
      </c>
      <c r="O1003" t="b">
        <v>0</v>
      </c>
    </row>
    <row r="1004" spans="1:15" x14ac:dyDescent="0.3">
      <c r="A1004" s="1" t="s">
        <v>1108</v>
      </c>
      <c r="B1004">
        <v>13.09699252348743</v>
      </c>
      <c r="C1004">
        <v>4.0588175664706308E-2</v>
      </c>
      <c r="D1004">
        <v>2.3103384157679381E-2</v>
      </c>
      <c r="E1004">
        <v>43.621417155932583</v>
      </c>
      <c r="F1004">
        <v>-1.9805589307411831E-2</v>
      </c>
      <c r="G1004">
        <v>0.4</v>
      </c>
      <c r="H1004">
        <v>-4.5434430458846077E-2</v>
      </c>
      <c r="I1004">
        <v>0.92584840773148658</v>
      </c>
      <c r="J1004">
        <v>-0.14515060799533741</v>
      </c>
      <c r="K1004">
        <v>1.252000376541473E-2</v>
      </c>
      <c r="L1004">
        <v>0</v>
      </c>
      <c r="M1004">
        <v>88111203.5</v>
      </c>
      <c r="N1004">
        <v>0</v>
      </c>
      <c r="O1004" t="b">
        <v>0</v>
      </c>
    </row>
    <row r="1005" spans="1:15" x14ac:dyDescent="0.3">
      <c r="A1005" s="1" t="s">
        <v>1109</v>
      </c>
      <c r="B1005">
        <v>1.346529196574908</v>
      </c>
      <c r="C1005">
        <v>1.4500778023639129E-2</v>
      </c>
      <c r="D1005">
        <v>1.182651996411759E-2</v>
      </c>
      <c r="E1005">
        <v>60.453023837229757</v>
      </c>
      <c r="F1005">
        <v>4.1025219588732842E-3</v>
      </c>
      <c r="G1005">
        <v>0.8</v>
      </c>
      <c r="H1005">
        <v>9.4745473745741826E-2</v>
      </c>
      <c r="I1005">
        <v>1.3655027367101771</v>
      </c>
      <c r="J1005">
        <v>0</v>
      </c>
      <c r="K1005">
        <v>2.1552049765052321E-3</v>
      </c>
      <c r="L1005">
        <v>0</v>
      </c>
      <c r="M1005">
        <v>20413416.254700001</v>
      </c>
      <c r="N1005">
        <v>0</v>
      </c>
      <c r="O1005" t="b">
        <v>0</v>
      </c>
    </row>
    <row r="1006" spans="1:15" x14ac:dyDescent="0.3">
      <c r="A1006" s="1" t="s">
        <v>1110</v>
      </c>
      <c r="B1006">
        <v>1.893926764511642</v>
      </c>
      <c r="C1006">
        <v>3.8873702063046828E-2</v>
      </c>
      <c r="D1006">
        <v>4.5361247947454858E-2</v>
      </c>
      <c r="E1006">
        <v>69.335141898058538</v>
      </c>
      <c r="F1006">
        <v>0.3935926773455376</v>
      </c>
      <c r="G1006">
        <v>0.6</v>
      </c>
      <c r="H1006">
        <v>4.989479661117472E-2</v>
      </c>
      <c r="I1006">
        <v>0.90441325158445351</v>
      </c>
      <c r="J1006">
        <v>0</v>
      </c>
      <c r="K1006">
        <v>2.9803424223208589E-2</v>
      </c>
      <c r="L1006">
        <v>0</v>
      </c>
      <c r="M1006">
        <v>228318080</v>
      </c>
      <c r="N1006">
        <v>0</v>
      </c>
      <c r="O1006" t="b">
        <v>1</v>
      </c>
    </row>
    <row r="1007" spans="1:15" x14ac:dyDescent="0.3">
      <c r="A1007" s="1" t="s">
        <v>1111</v>
      </c>
      <c r="B1007">
        <v>7.01930646011263</v>
      </c>
      <c r="C1007">
        <v>4.1689769318243329E-2</v>
      </c>
      <c r="D1007">
        <v>5.2444022094197212E-2</v>
      </c>
      <c r="E1007">
        <v>74.254029822907881</v>
      </c>
      <c r="F1007">
        <v>0.1935209470475652</v>
      </c>
      <c r="G1007">
        <v>0.8</v>
      </c>
      <c r="H1007">
        <v>0.21057908081749249</v>
      </c>
      <c r="I1007">
        <v>2.8061829885515528</v>
      </c>
      <c r="J1007">
        <v>0</v>
      </c>
      <c r="K1007">
        <v>3.5422175757948482E-2</v>
      </c>
      <c r="L1007">
        <v>0</v>
      </c>
      <c r="M1007">
        <v>127490820.5</v>
      </c>
      <c r="N1007">
        <v>0</v>
      </c>
      <c r="O1007" t="b">
        <v>1</v>
      </c>
    </row>
    <row r="1008" spans="1:15" x14ac:dyDescent="0.3">
      <c r="A1008" s="1" t="s">
        <v>1112</v>
      </c>
      <c r="B1008">
        <v>0.72545485122239173</v>
      </c>
      <c r="C1008">
        <v>0.1036364073174845</v>
      </c>
      <c r="D1008">
        <v>0.1128571428571427</v>
      </c>
      <c r="E1008">
        <v>46.409253401985751</v>
      </c>
      <c r="F1008">
        <v>-0.1217063989962358</v>
      </c>
      <c r="G1008">
        <v>0.4</v>
      </c>
      <c r="H1008">
        <v>-5.9162986495296881E-2</v>
      </c>
      <c r="I1008">
        <v>3.9739995981945841</v>
      </c>
      <c r="J1008">
        <v>-0.25293489861259327</v>
      </c>
      <c r="K1008">
        <v>-5.5330634278002673E-2</v>
      </c>
      <c r="L1008">
        <v>0</v>
      </c>
      <c r="M1008">
        <v>79822251.599999994</v>
      </c>
      <c r="N1008">
        <v>0</v>
      </c>
      <c r="O1008" t="b">
        <v>0</v>
      </c>
    </row>
    <row r="1009" spans="1:15" x14ac:dyDescent="0.3">
      <c r="A1009" s="1" t="s">
        <v>1113</v>
      </c>
      <c r="B1009">
        <v>1.13729681759283</v>
      </c>
      <c r="C1009">
        <v>3.2272894937367493E-2</v>
      </c>
      <c r="D1009">
        <v>4.0720771850170118E-2</v>
      </c>
      <c r="E1009">
        <v>59.709859862041156</v>
      </c>
      <c r="F1009">
        <v>8.9672232529375284E-2</v>
      </c>
      <c r="G1009">
        <v>0.6</v>
      </c>
      <c r="H1009">
        <v>-2.774225568183258E-2</v>
      </c>
      <c r="I1009">
        <v>0.54895942957895394</v>
      </c>
      <c r="J1009">
        <v>0</v>
      </c>
      <c r="K1009">
        <v>1.556195965417873E-2</v>
      </c>
      <c r="L1009">
        <v>0</v>
      </c>
      <c r="M1009">
        <v>21985722.855799999</v>
      </c>
      <c r="N1009">
        <v>0</v>
      </c>
      <c r="O1009" t="b">
        <v>0</v>
      </c>
    </row>
    <row r="1010" spans="1:15" x14ac:dyDescent="0.3">
      <c r="A1010" s="1" t="s">
        <v>1114</v>
      </c>
      <c r="B1010">
        <v>2.699329844821801</v>
      </c>
      <c r="C1010">
        <v>2.386464366388296E-2</v>
      </c>
      <c r="D1010">
        <v>2.3958977986031239E-2</v>
      </c>
      <c r="E1010">
        <v>58.451395388136589</v>
      </c>
      <c r="F1010">
        <v>-1.0791996081998099E-2</v>
      </c>
      <c r="G1010">
        <v>0.8</v>
      </c>
      <c r="H1010">
        <v>0.1908417464107699</v>
      </c>
      <c r="I1010">
        <v>1.092038086326933</v>
      </c>
      <c r="J1010">
        <v>-1.0597898083547501E-3</v>
      </c>
      <c r="K1010">
        <v>1.7725391398236479E-2</v>
      </c>
      <c r="L1010">
        <v>0</v>
      </c>
      <c r="M1010">
        <v>40602534.515000001</v>
      </c>
      <c r="N1010">
        <v>0</v>
      </c>
      <c r="O1010" t="b">
        <v>0</v>
      </c>
    </row>
    <row r="1011" spans="1:15" x14ac:dyDescent="0.3">
      <c r="A1011" s="1" t="s">
        <v>1115</v>
      </c>
      <c r="B1011">
        <v>10.03324433550722</v>
      </c>
      <c r="C1011">
        <v>4.5109046476999683E-2</v>
      </c>
      <c r="D1011">
        <v>3.4708796791684267E-2</v>
      </c>
      <c r="E1011">
        <v>48.49102157861153</v>
      </c>
      <c r="F1011">
        <v>-7.3994046503882194E-2</v>
      </c>
      <c r="G1011">
        <v>1</v>
      </c>
      <c r="H1011">
        <v>-0.19046234898589839</v>
      </c>
      <c r="I1011">
        <v>1.3923693041098979</v>
      </c>
      <c r="J1011">
        <v>-5.5641179142943198E-2</v>
      </c>
      <c r="K1011">
        <v>6.6803653381368733E-3</v>
      </c>
      <c r="L1011">
        <v>0</v>
      </c>
      <c r="M1011">
        <v>2287384236.4889998</v>
      </c>
      <c r="N1011">
        <v>0</v>
      </c>
      <c r="O1011" t="b">
        <v>1</v>
      </c>
    </row>
    <row r="1012" spans="1:15" x14ac:dyDescent="0.3">
      <c r="A1012" s="1" t="s">
        <v>1116</v>
      </c>
      <c r="B1012">
        <v>0.77113289482496461</v>
      </c>
      <c r="C1012">
        <v>1.8853505752261291E-2</v>
      </c>
      <c r="D1012">
        <v>1.513888311618455E-2</v>
      </c>
      <c r="E1012">
        <v>51.921798265085677</v>
      </c>
      <c r="F1012">
        <v>6.0437850983401598E-2</v>
      </c>
      <c r="G1012">
        <v>0.4</v>
      </c>
      <c r="H1012">
        <v>3.4722880898528402E-2</v>
      </c>
      <c r="I1012">
        <v>-8.4797120765270684E-2</v>
      </c>
      <c r="J1012">
        <v>-5.4265842277828817E-2</v>
      </c>
      <c r="K1012">
        <v>7.8580862639960891E-3</v>
      </c>
      <c r="L1012">
        <v>0</v>
      </c>
      <c r="M1012">
        <v>49135682.309050001</v>
      </c>
      <c r="N1012">
        <v>0</v>
      </c>
      <c r="O1012" t="b">
        <v>0</v>
      </c>
    </row>
    <row r="1013" spans="1:15" x14ac:dyDescent="0.3">
      <c r="A1013" s="1" t="s">
        <v>1117</v>
      </c>
      <c r="B1013">
        <v>2.1094452117998008</v>
      </c>
      <c r="C1013">
        <v>2.2529586796964662E-2</v>
      </c>
      <c r="D1013">
        <v>2.104026487236996E-2</v>
      </c>
      <c r="E1013">
        <v>33.147818471637848</v>
      </c>
      <c r="F1013">
        <v>-4.5565749235473962E-2</v>
      </c>
      <c r="G1013">
        <v>0.2</v>
      </c>
      <c r="H1013">
        <v>-0.18410286576539561</v>
      </c>
      <c r="I1013">
        <v>-0.30426189768340117</v>
      </c>
      <c r="J1013">
        <v>-7.9351032448377601E-2</v>
      </c>
      <c r="K1013">
        <v>-6.5782493368701234E-3</v>
      </c>
      <c r="L1013">
        <v>0</v>
      </c>
      <c r="M1013">
        <v>459052832.47500002</v>
      </c>
      <c r="N1013">
        <v>0</v>
      </c>
      <c r="O1013" t="b">
        <v>1</v>
      </c>
    </row>
    <row r="1014" spans="1:15" x14ac:dyDescent="0.3">
      <c r="A1014" s="1" t="s">
        <v>1118</v>
      </c>
      <c r="B1014">
        <v>4.1159435201268986</v>
      </c>
      <c r="C1014">
        <v>3.1174541351725E-2</v>
      </c>
      <c r="D1014">
        <v>5.4881882010770329E-2</v>
      </c>
      <c r="E1014">
        <v>58.704296395587818</v>
      </c>
      <c r="F1014">
        <v>8.6193563248650795E-2</v>
      </c>
      <c r="G1014">
        <v>0.4</v>
      </c>
      <c r="H1014">
        <v>-5.4373214322248203E-2</v>
      </c>
      <c r="I1014">
        <v>1.5358421241902429</v>
      </c>
      <c r="J1014">
        <v>0</v>
      </c>
      <c r="K1014">
        <v>5.0851639605221211E-2</v>
      </c>
      <c r="L1014">
        <v>0</v>
      </c>
      <c r="M1014">
        <v>75776321.071500003</v>
      </c>
      <c r="N1014">
        <v>0</v>
      </c>
      <c r="O1014" t="b">
        <v>0</v>
      </c>
    </row>
    <row r="1015" spans="1:15" x14ac:dyDescent="0.3">
      <c r="A1015" s="1" t="s">
        <v>1119</v>
      </c>
      <c r="B1015">
        <v>0.70260253553533081</v>
      </c>
      <c r="C1015">
        <v>2.1180143176025189E-2</v>
      </c>
      <c r="D1015">
        <v>1.819267047903839E-2</v>
      </c>
      <c r="E1015">
        <v>42.340281019649552</v>
      </c>
      <c r="F1015">
        <v>-2.7187842743945811E-2</v>
      </c>
      <c r="G1015">
        <v>0.8</v>
      </c>
      <c r="H1015">
        <v>-8.5112804331726022E-2</v>
      </c>
      <c r="I1015">
        <v>1.090533006352185</v>
      </c>
      <c r="J1015">
        <v>-3.24766232478374E-2</v>
      </c>
      <c r="K1015">
        <v>6.602923371496372E-3</v>
      </c>
      <c r="L1015">
        <v>0</v>
      </c>
      <c r="M1015">
        <v>31256124.843400002</v>
      </c>
      <c r="N1015">
        <v>0</v>
      </c>
      <c r="O1015" t="b">
        <v>0</v>
      </c>
    </row>
    <row r="1016" spans="1:15" x14ac:dyDescent="0.3">
      <c r="A1016" s="1" t="s">
        <v>1120</v>
      </c>
      <c r="B1016">
        <v>0.34777307887637388</v>
      </c>
      <c r="C1016">
        <v>2.4625112682162321E-2</v>
      </c>
      <c r="D1016">
        <v>2.9335750246057699E-2</v>
      </c>
      <c r="E1016">
        <v>60.981249656979287</v>
      </c>
      <c r="F1016">
        <v>7.8752186499843502E-2</v>
      </c>
      <c r="G1016">
        <v>0.4</v>
      </c>
      <c r="H1016">
        <v>-2.0878644501275301E-2</v>
      </c>
      <c r="I1016">
        <v>0.75626841048107485</v>
      </c>
      <c r="J1016">
        <v>-8.8776913791651646E-3</v>
      </c>
      <c r="K1016">
        <v>-8.8776913791651646E-3</v>
      </c>
      <c r="L1016">
        <v>0</v>
      </c>
      <c r="M1016">
        <v>4162214.5923000001</v>
      </c>
      <c r="N1016">
        <v>0</v>
      </c>
      <c r="O1016" t="b">
        <v>0</v>
      </c>
    </row>
    <row r="1017" spans="1:15" x14ac:dyDescent="0.3">
      <c r="A1017" s="1" t="s">
        <v>1121</v>
      </c>
      <c r="B1017">
        <v>1.2688160810327951</v>
      </c>
      <c r="C1017">
        <v>1.450939451985462E-2</v>
      </c>
      <c r="D1017">
        <v>1.6619038307380721E-2</v>
      </c>
      <c r="E1017">
        <v>47.68392096479284</v>
      </c>
      <c r="F1017">
        <v>-2.2166983673318711E-2</v>
      </c>
      <c r="G1017">
        <v>0.4</v>
      </c>
      <c r="H1017">
        <v>-8.1660499918790722E-2</v>
      </c>
      <c r="I1017">
        <v>0.1823707915833099</v>
      </c>
      <c r="J1017">
        <v>-2.9905584084078951E-2</v>
      </c>
      <c r="K1017">
        <v>8.7275193704559051E-3</v>
      </c>
      <c r="L1017">
        <v>0</v>
      </c>
      <c r="M1017">
        <v>213781598.59784999</v>
      </c>
      <c r="N1017">
        <v>0</v>
      </c>
      <c r="O1017" t="b">
        <v>1</v>
      </c>
    </row>
    <row r="1018" spans="1:15" x14ac:dyDescent="0.3">
      <c r="A1018" s="1" t="s">
        <v>1122</v>
      </c>
      <c r="B1018">
        <v>1.2135977827085109</v>
      </c>
      <c r="C1018">
        <v>2.9349260286734079E-2</v>
      </c>
      <c r="D1018">
        <v>2.4483557516045858E-2</v>
      </c>
      <c r="E1018">
        <v>60.201539642909879</v>
      </c>
      <c r="F1018">
        <v>7.2329368197483923E-2</v>
      </c>
      <c r="G1018">
        <v>0.2</v>
      </c>
      <c r="H1018">
        <v>-3.5799331405370623E-2</v>
      </c>
      <c r="I1018">
        <v>0.64836875644238701</v>
      </c>
      <c r="J1018">
        <v>-1.559565102498961E-2</v>
      </c>
      <c r="K1018">
        <v>5.5517862744669522E-3</v>
      </c>
      <c r="L1018">
        <v>0</v>
      </c>
      <c r="M1018">
        <v>120708875.42730001</v>
      </c>
      <c r="N1018">
        <v>0</v>
      </c>
      <c r="O1018" t="b">
        <v>1</v>
      </c>
    </row>
    <row r="1019" spans="1:15" x14ac:dyDescent="0.3">
      <c r="A1019" s="1" t="s">
        <v>1123</v>
      </c>
      <c r="B1019">
        <v>0.61220328346534514</v>
      </c>
      <c r="C1019">
        <v>3.7701425248201477E-2</v>
      </c>
      <c r="D1019">
        <v>5.1871512852409631E-2</v>
      </c>
      <c r="E1019">
        <v>63.98186693184315</v>
      </c>
      <c r="F1019">
        <v>0.1106612039424635</v>
      </c>
      <c r="G1019">
        <v>0.6</v>
      </c>
      <c r="H1019">
        <v>-8.4596118571428125E-2</v>
      </c>
      <c r="I1019">
        <v>1.680032457591617</v>
      </c>
      <c r="J1019">
        <v>-6.6009629208191312E-3</v>
      </c>
      <c r="K1019">
        <v>-6.6009629208191312E-3</v>
      </c>
      <c r="L1019">
        <v>0</v>
      </c>
      <c r="M1019">
        <v>151320950.12810001</v>
      </c>
      <c r="N1019">
        <v>0</v>
      </c>
      <c r="O1019" t="b">
        <v>1</v>
      </c>
    </row>
    <row r="1020" spans="1:15" x14ac:dyDescent="0.3">
      <c r="A1020" s="1" t="s">
        <v>1124</v>
      </c>
      <c r="B1020">
        <v>0.94981193619675819</v>
      </c>
      <c r="C1020">
        <v>2.2749986495730731E-2</v>
      </c>
      <c r="D1020">
        <v>1.4610778443113761E-2</v>
      </c>
      <c r="E1020">
        <v>50.371790005400847</v>
      </c>
      <c r="F1020">
        <v>4.6055449413600069E-3</v>
      </c>
      <c r="G1020">
        <v>0.6</v>
      </c>
      <c r="H1020">
        <v>-0.1112464624603438</v>
      </c>
      <c r="I1020">
        <v>0.48651725970105458</v>
      </c>
      <c r="J1020">
        <v>-1.7947451367816839E-2</v>
      </c>
      <c r="K1020">
        <v>1.0651174049866711E-2</v>
      </c>
      <c r="L1020">
        <v>0</v>
      </c>
      <c r="M1020">
        <v>434534908.99730003</v>
      </c>
      <c r="N1020">
        <v>0</v>
      </c>
      <c r="O1020" t="b">
        <v>1</v>
      </c>
    </row>
    <row r="1021" spans="1:15" x14ac:dyDescent="0.3">
      <c r="A1021" s="1" t="s">
        <v>1125</v>
      </c>
      <c r="B1021">
        <v>0.28699778225067851</v>
      </c>
      <c r="C1021">
        <v>1.6306692173334001E-2</v>
      </c>
      <c r="D1021">
        <v>1.6477272727272878E-2</v>
      </c>
      <c r="E1021">
        <v>63.081227612383117</v>
      </c>
      <c r="F1021">
        <v>5.5788842231553559E-2</v>
      </c>
      <c r="G1021">
        <v>0.4</v>
      </c>
      <c r="H1021">
        <v>-1.041993806296892E-2</v>
      </c>
      <c r="I1021">
        <v>0.194251784439433</v>
      </c>
      <c r="J1021">
        <v>-9.5666854248732669E-3</v>
      </c>
      <c r="K1021">
        <v>1.265822784810133E-2</v>
      </c>
      <c r="L1021">
        <v>0</v>
      </c>
      <c r="M1021">
        <v>52000848.586400002</v>
      </c>
      <c r="N1021">
        <v>0</v>
      </c>
      <c r="O1021" t="b">
        <v>0</v>
      </c>
    </row>
    <row r="1022" spans="1:15" x14ac:dyDescent="0.3">
      <c r="A1022" s="1" t="s">
        <v>1126</v>
      </c>
      <c r="B1022">
        <v>2.6443970210242661E-2</v>
      </c>
      <c r="C1022">
        <v>5.1952075728315446E-4</v>
      </c>
      <c r="D1022">
        <v>5.8545363816217858E-4</v>
      </c>
      <c r="E1022">
        <v>85.832240444284494</v>
      </c>
      <c r="F1022">
        <v>3.6082077854475698E-3</v>
      </c>
      <c r="G1022">
        <v>0.4</v>
      </c>
      <c r="H1022">
        <v>-7.9644511155969919E-2</v>
      </c>
      <c r="I1022">
        <v>8.9854170310107607E-3</v>
      </c>
      <c r="J1022">
        <v>0</v>
      </c>
      <c r="K1022">
        <v>0</v>
      </c>
      <c r="L1022">
        <v>0</v>
      </c>
      <c r="M1022">
        <v>38882551.310000002</v>
      </c>
      <c r="N1022">
        <v>0</v>
      </c>
      <c r="O1022" t="b">
        <v>0</v>
      </c>
    </row>
    <row r="1023" spans="1:15" x14ac:dyDescent="0.3">
      <c r="A1023" s="1" t="s">
        <v>1127</v>
      </c>
      <c r="B1023">
        <v>2.0864086176118368</v>
      </c>
      <c r="C1023">
        <v>4.2989926700908399E-2</v>
      </c>
      <c r="D1023">
        <v>4.7471282130531062E-2</v>
      </c>
      <c r="E1023">
        <v>72.300498003696561</v>
      </c>
      <c r="F1023">
        <v>0.30106964774006761</v>
      </c>
      <c r="G1023">
        <v>0.6</v>
      </c>
      <c r="H1023">
        <v>0.12553259517690829</v>
      </c>
      <c r="I1023">
        <v>1.5181355060785859</v>
      </c>
      <c r="J1023">
        <v>0</v>
      </c>
      <c r="K1023">
        <v>5.1632866090067786E-3</v>
      </c>
      <c r="L1023">
        <v>0</v>
      </c>
      <c r="M1023">
        <v>125979353.39925</v>
      </c>
      <c r="N1023">
        <v>0</v>
      </c>
      <c r="O1023" t="b">
        <v>1</v>
      </c>
    </row>
    <row r="1024" spans="1:15" x14ac:dyDescent="0.3">
      <c r="A1024" s="1" t="s">
        <v>1128</v>
      </c>
      <c r="B1024">
        <v>6.4654071777039048</v>
      </c>
      <c r="C1024">
        <v>2.6647187807377092E-2</v>
      </c>
      <c r="D1024">
        <v>3.7876602233854133E-2</v>
      </c>
      <c r="E1024">
        <v>67.714394176653656</v>
      </c>
      <c r="F1024">
        <v>0.13835976353570431</v>
      </c>
      <c r="G1024">
        <v>0.6</v>
      </c>
      <c r="H1024">
        <v>-9.19607550580408E-2</v>
      </c>
      <c r="I1024">
        <v>0.25470054351166982</v>
      </c>
      <c r="J1024">
        <v>0</v>
      </c>
      <c r="K1024">
        <v>9.822283264660614E-3</v>
      </c>
      <c r="L1024">
        <v>0</v>
      </c>
      <c r="M1024">
        <v>16765016.588</v>
      </c>
      <c r="N1024">
        <v>1</v>
      </c>
      <c r="O1024" t="b">
        <v>0</v>
      </c>
    </row>
    <row r="1025" spans="1:15" x14ac:dyDescent="0.3">
      <c r="A1025" s="1" t="s">
        <v>1129</v>
      </c>
      <c r="B1025">
        <v>3.4200615826277931</v>
      </c>
      <c r="C1025">
        <v>2.028758969164483E-2</v>
      </c>
      <c r="D1025">
        <v>3.069777374406055E-2</v>
      </c>
      <c r="E1025">
        <v>66.247651252412254</v>
      </c>
      <c r="F1025">
        <v>8.0108408723955193E-2</v>
      </c>
      <c r="G1025">
        <v>0.8</v>
      </c>
      <c r="H1025">
        <v>-0.141427437395271</v>
      </c>
      <c r="I1025">
        <v>0.50384507948583868</v>
      </c>
      <c r="J1025">
        <v>0</v>
      </c>
      <c r="K1025">
        <v>2.7682610126921858E-2</v>
      </c>
      <c r="L1025">
        <v>0</v>
      </c>
      <c r="M1025">
        <v>37247343.487000003</v>
      </c>
      <c r="N1025">
        <v>1</v>
      </c>
      <c r="O1025" t="b">
        <v>0</v>
      </c>
    </row>
    <row r="1026" spans="1:15" x14ac:dyDescent="0.3">
      <c r="A1026" s="1" t="s">
        <v>1130</v>
      </c>
      <c r="B1026">
        <v>0.28049141496118563</v>
      </c>
      <c r="C1026">
        <v>1.4991524049234929E-2</v>
      </c>
      <c r="D1026">
        <v>1.282736504543017E-2</v>
      </c>
      <c r="E1026">
        <v>65.338035538548496</v>
      </c>
      <c r="F1026">
        <v>6.1259217243335273E-2</v>
      </c>
      <c r="G1026">
        <v>0.4</v>
      </c>
      <c r="H1026">
        <v>-2.6490678935575541E-2</v>
      </c>
      <c r="I1026">
        <v>0.20213657869123511</v>
      </c>
      <c r="J1026">
        <v>-1.005291005290998E-2</v>
      </c>
      <c r="K1026">
        <v>8.6253369272237812E-3</v>
      </c>
      <c r="L1026">
        <v>0</v>
      </c>
      <c r="M1026">
        <v>25738393.226100001</v>
      </c>
      <c r="N1026">
        <v>0</v>
      </c>
      <c r="O1026" t="b">
        <v>0</v>
      </c>
    </row>
    <row r="1027" spans="1:15" x14ac:dyDescent="0.3">
      <c r="A1027" s="1" t="s">
        <v>1131</v>
      </c>
      <c r="B1027">
        <v>5.1845773520373291</v>
      </c>
      <c r="C1027">
        <v>2.6868663723244861E-2</v>
      </c>
      <c r="D1027">
        <v>1.497719734660026E-2</v>
      </c>
      <c r="E1027">
        <v>43.242863183784337</v>
      </c>
      <c r="F1027">
        <v>-0.1088944305901911</v>
      </c>
      <c r="G1027">
        <v>0.4</v>
      </c>
      <c r="H1027">
        <v>-7.4364557736508005E-2</v>
      </c>
      <c r="I1027">
        <v>1.4849226818760399</v>
      </c>
      <c r="J1027">
        <v>-0.1159573005910112</v>
      </c>
      <c r="K1027">
        <v>-1.0461538461538409E-2</v>
      </c>
      <c r="L1027">
        <v>0</v>
      </c>
      <c r="M1027">
        <v>998643387</v>
      </c>
      <c r="N1027">
        <v>0</v>
      </c>
      <c r="O1027" t="b">
        <v>1</v>
      </c>
    </row>
    <row r="1028" spans="1:15" x14ac:dyDescent="0.3">
      <c r="A1028" s="1" t="s">
        <v>1132</v>
      </c>
      <c r="B1028">
        <v>0.96005830246537138</v>
      </c>
      <c r="C1028">
        <v>5.1367485418157909E-2</v>
      </c>
      <c r="D1028">
        <v>4.0395933654360568E-2</v>
      </c>
      <c r="E1028">
        <v>72.20886284073039</v>
      </c>
      <c r="F1028">
        <v>0.31619718309859168</v>
      </c>
      <c r="G1028">
        <v>0.6</v>
      </c>
      <c r="H1028">
        <v>0.1535930048993657</v>
      </c>
      <c r="I1028">
        <v>2.514173765601929</v>
      </c>
      <c r="J1028">
        <v>-3.1104199066873891E-2</v>
      </c>
      <c r="K1028">
        <v>-1.527924130663849E-2</v>
      </c>
      <c r="L1028">
        <v>0</v>
      </c>
      <c r="M1028">
        <v>130997605.5</v>
      </c>
      <c r="N1028">
        <v>0</v>
      </c>
      <c r="O1028" t="b">
        <v>1</v>
      </c>
    </row>
    <row r="1029" spans="1:15" x14ac:dyDescent="0.3">
      <c r="A1029" s="1" t="s">
        <v>1133</v>
      </c>
      <c r="B1029">
        <v>0.73797542773849134</v>
      </c>
      <c r="C1029">
        <v>1.515919591424481E-2</v>
      </c>
      <c r="D1029">
        <v>2.438287898738125E-2</v>
      </c>
      <c r="E1029">
        <v>60.331845755828027</v>
      </c>
      <c r="F1029">
        <v>1.828370384625044E-2</v>
      </c>
      <c r="G1029">
        <v>0.4</v>
      </c>
      <c r="H1029">
        <v>-1.6479137357233491E-2</v>
      </c>
      <c r="I1029">
        <v>1.099699907088431</v>
      </c>
      <c r="J1029">
        <v>0</v>
      </c>
      <c r="K1029">
        <v>1.997770709978575E-2</v>
      </c>
      <c r="L1029">
        <v>0</v>
      </c>
      <c r="M1029">
        <v>39881475.011749998</v>
      </c>
      <c r="N1029">
        <v>0</v>
      </c>
      <c r="O1029" t="b">
        <v>0</v>
      </c>
    </row>
    <row r="1030" spans="1:15" x14ac:dyDescent="0.3">
      <c r="A1030" s="1" t="s">
        <v>1134</v>
      </c>
      <c r="B1030">
        <v>4.2464703627996503</v>
      </c>
      <c r="C1030">
        <v>2.5995349776864199E-2</v>
      </c>
      <c r="D1030">
        <v>1.728138104129031E-2</v>
      </c>
      <c r="E1030">
        <v>40.518426710427512</v>
      </c>
      <c r="F1030">
        <v>-1.570841517937838E-2</v>
      </c>
      <c r="G1030">
        <v>0.4</v>
      </c>
      <c r="H1030">
        <v>-0.2825388068573228</v>
      </c>
      <c r="I1030">
        <v>0.93049729335254439</v>
      </c>
      <c r="J1030">
        <v>-3.6162705624129821E-2</v>
      </c>
      <c r="K1030">
        <v>6.7608376782652968E-3</v>
      </c>
      <c r="L1030">
        <v>0</v>
      </c>
      <c r="M1030">
        <v>127384927.513</v>
      </c>
      <c r="N1030">
        <v>2</v>
      </c>
      <c r="O1030" t="b">
        <v>1</v>
      </c>
    </row>
    <row r="1031" spans="1:15" x14ac:dyDescent="0.3">
      <c r="A1031" s="1" t="s">
        <v>1135</v>
      </c>
      <c r="B1031">
        <v>2.0731234567941699</v>
      </c>
      <c r="C1031">
        <v>1.855675412014331E-2</v>
      </c>
      <c r="D1031">
        <v>1.1779659499812051E-2</v>
      </c>
      <c r="E1031">
        <v>47.846764399767054</v>
      </c>
      <c r="F1031">
        <v>1.255290801482789E-2</v>
      </c>
      <c r="G1031">
        <v>0.8</v>
      </c>
      <c r="H1031">
        <v>-0.24836111535704219</v>
      </c>
      <c r="I1031">
        <v>0.2418031708368811</v>
      </c>
      <c r="J1031">
        <v>-4.4999688120973547E-3</v>
      </c>
      <c r="K1031">
        <v>1.236780785087044E-3</v>
      </c>
      <c r="L1031">
        <v>0</v>
      </c>
      <c r="M1031">
        <v>285145043.77950001</v>
      </c>
      <c r="N1031">
        <v>0</v>
      </c>
      <c r="O1031" t="b">
        <v>1</v>
      </c>
    </row>
    <row r="1032" spans="1:15" x14ac:dyDescent="0.3">
      <c r="A1032" s="1" t="s">
        <v>1136</v>
      </c>
      <c r="B1032">
        <v>1.497162726621879</v>
      </c>
      <c r="C1032">
        <v>2.0690788923295952E-2</v>
      </c>
      <c r="D1032">
        <v>4.3448698086897421E-2</v>
      </c>
      <c r="E1032">
        <v>72.518704040283467</v>
      </c>
      <c r="F1032">
        <v>8.9931238090934507E-2</v>
      </c>
      <c r="G1032">
        <v>0.8</v>
      </c>
      <c r="H1032">
        <v>4.5844116781681057E-2</v>
      </c>
      <c r="I1032">
        <v>0.80077623963710876</v>
      </c>
      <c r="J1032">
        <v>0</v>
      </c>
      <c r="K1032">
        <v>3.8724514185064063E-2</v>
      </c>
      <c r="L1032">
        <v>0</v>
      </c>
      <c r="M1032">
        <v>51990152.251100004</v>
      </c>
      <c r="N1032">
        <v>0</v>
      </c>
      <c r="O1032" t="b">
        <v>0</v>
      </c>
    </row>
    <row r="1033" spans="1:15" x14ac:dyDescent="0.3">
      <c r="A1033" s="1" t="s">
        <v>1137</v>
      </c>
      <c r="B1033">
        <v>0.6397764947347041</v>
      </c>
      <c r="C1033">
        <v>1.6350025421280449E-2</v>
      </c>
      <c r="D1033">
        <v>1.8144646051622821E-2</v>
      </c>
      <c r="E1033">
        <v>55.390169123431107</v>
      </c>
      <c r="F1033">
        <v>4.2632560618172111E-2</v>
      </c>
      <c r="G1033">
        <v>0.6</v>
      </c>
      <c r="H1033">
        <v>-4.3489603024027081E-2</v>
      </c>
      <c r="I1033">
        <v>0.1309560233271358</v>
      </c>
      <c r="J1033">
        <v>-1.136937847397668E-2</v>
      </c>
      <c r="K1033">
        <v>-5.0851767098906153E-3</v>
      </c>
      <c r="L1033">
        <v>0</v>
      </c>
      <c r="M1033">
        <v>42304843.612000003</v>
      </c>
      <c r="N1033">
        <v>0</v>
      </c>
      <c r="O1033" t="b">
        <v>0</v>
      </c>
    </row>
    <row r="1034" spans="1:15" x14ac:dyDescent="0.3">
      <c r="A1034" s="1" t="s">
        <v>1138</v>
      </c>
      <c r="B1034">
        <v>0.31099567405091261</v>
      </c>
      <c r="C1034">
        <v>2.5428918565078711E-2</v>
      </c>
      <c r="D1034">
        <v>1.7988552739166039E-2</v>
      </c>
      <c r="E1034">
        <v>42.873583089268479</v>
      </c>
      <c r="F1034">
        <v>-5.9953881629515759E-2</v>
      </c>
      <c r="G1034">
        <v>0.6</v>
      </c>
      <c r="H1034">
        <v>-6.7259132054973941E-2</v>
      </c>
      <c r="I1034">
        <v>0.40368200067272098</v>
      </c>
      <c r="J1034">
        <v>-9.205642167780248E-2</v>
      </c>
      <c r="K1034">
        <v>-7.3051948051947591E-3</v>
      </c>
      <c r="L1034">
        <v>0</v>
      </c>
      <c r="M1034">
        <v>231308083.9675</v>
      </c>
      <c r="N1034">
        <v>0</v>
      </c>
      <c r="O1034" t="b">
        <v>1</v>
      </c>
    </row>
    <row r="1035" spans="1:15" x14ac:dyDescent="0.3">
      <c r="A1035" s="1" t="s">
        <v>1139</v>
      </c>
      <c r="B1035">
        <v>0.28008999396978068</v>
      </c>
      <c r="C1035">
        <v>2.4021440306156151E-2</v>
      </c>
      <c r="D1035">
        <v>2.0583190394511171E-2</v>
      </c>
      <c r="E1035">
        <v>45.56268189140394</v>
      </c>
      <c r="F1035">
        <v>-4.5826513911620292E-2</v>
      </c>
      <c r="G1035">
        <v>0.6</v>
      </c>
      <c r="H1035">
        <v>-3.8809130660803763E-2</v>
      </c>
      <c r="I1035">
        <v>0.43781757186411291</v>
      </c>
      <c r="J1035">
        <v>-7.8988941548183256E-2</v>
      </c>
      <c r="K1035">
        <v>-6.8143100511073307E-3</v>
      </c>
      <c r="L1035">
        <v>0</v>
      </c>
      <c r="M1035">
        <v>67062739</v>
      </c>
      <c r="N1035">
        <v>0</v>
      </c>
      <c r="O1035" t="b">
        <v>0</v>
      </c>
    </row>
    <row r="1036" spans="1:15" x14ac:dyDescent="0.3">
      <c r="A1036" s="1" t="s">
        <v>1140</v>
      </c>
      <c r="B1036">
        <v>0.69963793782133454</v>
      </c>
      <c r="C1036">
        <v>1.015930686124549E-2</v>
      </c>
      <c r="D1036">
        <v>1.070328620363706E-2</v>
      </c>
      <c r="E1036">
        <v>60.488056161188993</v>
      </c>
      <c r="F1036">
        <v>8.176177969848375E-3</v>
      </c>
      <c r="G1036">
        <v>0.6</v>
      </c>
      <c r="H1036">
        <v>-5.1926961591401567E-2</v>
      </c>
      <c r="I1036">
        <v>1.0018185667512409</v>
      </c>
      <c r="J1036">
        <v>0</v>
      </c>
      <c r="K1036">
        <v>6.5596868655715124E-3</v>
      </c>
      <c r="L1036">
        <v>0</v>
      </c>
      <c r="M1036">
        <v>5748757.9286000002</v>
      </c>
      <c r="N1036">
        <v>0</v>
      </c>
      <c r="O1036" t="b">
        <v>0</v>
      </c>
    </row>
    <row r="1037" spans="1:15" x14ac:dyDescent="0.3">
      <c r="A1037" s="1" t="s">
        <v>1141</v>
      </c>
      <c r="B1037">
        <v>2.6653774228691929</v>
      </c>
      <c r="C1037">
        <v>2.384826440418375E-2</v>
      </c>
      <c r="D1037">
        <v>4.9962420815289392E-2</v>
      </c>
      <c r="E1037">
        <v>73.98861730227469</v>
      </c>
      <c r="F1037">
        <v>0.15036560060604079</v>
      </c>
      <c r="G1037">
        <v>0.4</v>
      </c>
      <c r="H1037">
        <v>6.8371136269837623E-2</v>
      </c>
      <c r="I1037">
        <v>0.74833764070668618</v>
      </c>
      <c r="J1037">
        <v>0</v>
      </c>
      <c r="K1037">
        <v>4.1962279630441079E-2</v>
      </c>
      <c r="L1037">
        <v>0</v>
      </c>
      <c r="M1037">
        <v>247656183.35429999</v>
      </c>
      <c r="N1037">
        <v>0</v>
      </c>
      <c r="O1037" t="b">
        <v>1</v>
      </c>
    </row>
    <row r="1038" spans="1:15" x14ac:dyDescent="0.3">
      <c r="A1038" s="1" t="s">
        <v>1142</v>
      </c>
      <c r="B1038">
        <v>0.35965332874101752</v>
      </c>
      <c r="C1038">
        <v>2.3924096077390399E-2</v>
      </c>
      <c r="D1038">
        <v>2.1885040344306939E-2</v>
      </c>
      <c r="E1038">
        <v>37.128513352610661</v>
      </c>
      <c r="F1038">
        <v>-8.9372141624011969E-2</v>
      </c>
      <c r="G1038">
        <v>0.6</v>
      </c>
      <c r="H1038">
        <v>-8.3214181389225206E-2</v>
      </c>
      <c r="I1038">
        <v>0.46636826944423793</v>
      </c>
      <c r="J1038">
        <v>-0.102913884363606</v>
      </c>
      <c r="K1038">
        <v>6.0026499993306448E-3</v>
      </c>
      <c r="L1038">
        <v>0</v>
      </c>
      <c r="M1038">
        <v>338281905.41530001</v>
      </c>
      <c r="N1038">
        <v>0</v>
      </c>
      <c r="O1038" t="b">
        <v>1</v>
      </c>
    </row>
    <row r="1039" spans="1:15" x14ac:dyDescent="0.3">
      <c r="A1039" s="1" t="s">
        <v>1143</v>
      </c>
      <c r="B1039">
        <v>2.5593801886138712</v>
      </c>
      <c r="C1039">
        <v>3.3264624234648703E-2</v>
      </c>
      <c r="D1039">
        <v>2.378476735118272E-2</v>
      </c>
      <c r="E1039">
        <v>57.651136618839978</v>
      </c>
      <c r="F1039">
        <v>-2.8044466902475969E-2</v>
      </c>
      <c r="G1039">
        <v>0.6</v>
      </c>
      <c r="H1039">
        <v>3.798938118330672E-2</v>
      </c>
      <c r="I1039">
        <v>1.257795309188064</v>
      </c>
      <c r="J1039">
        <v>-2.4223208623969539E-2</v>
      </c>
      <c r="K1039">
        <v>-8.6329081303956334E-3</v>
      </c>
      <c r="L1039">
        <v>0</v>
      </c>
      <c r="M1039">
        <v>87869407.5</v>
      </c>
      <c r="N1039">
        <v>0</v>
      </c>
      <c r="O1039" t="b">
        <v>0</v>
      </c>
    </row>
    <row r="1040" spans="1:15" x14ac:dyDescent="0.3">
      <c r="A1040" s="1" t="s">
        <v>1144</v>
      </c>
      <c r="B1040">
        <v>3.5185617756815182</v>
      </c>
      <c r="C1040">
        <v>2.422751343167058E-2</v>
      </c>
      <c r="D1040">
        <v>2.592439578599473E-2</v>
      </c>
      <c r="E1040">
        <v>45.214842356004709</v>
      </c>
      <c r="F1040">
        <v>2.059030217849589E-2</v>
      </c>
      <c r="G1040">
        <v>0.6</v>
      </c>
      <c r="H1040">
        <v>-0.19660829470476959</v>
      </c>
      <c r="I1040">
        <v>0.59139618191761312</v>
      </c>
      <c r="J1040">
        <v>-2.517116391461938E-2</v>
      </c>
      <c r="K1040">
        <v>-1.1435572799673331E-2</v>
      </c>
      <c r="L1040">
        <v>0</v>
      </c>
      <c r="M1040">
        <v>85851537</v>
      </c>
      <c r="N1040">
        <v>0</v>
      </c>
      <c r="O1040" t="b">
        <v>0</v>
      </c>
    </row>
    <row r="1041" spans="1:15" x14ac:dyDescent="0.3">
      <c r="A1041" s="1" t="s">
        <v>1145</v>
      </c>
      <c r="B1041">
        <v>0.13027577719633421</v>
      </c>
      <c r="C1041">
        <v>9.8210159967081906E-3</v>
      </c>
      <c r="D1041">
        <v>1.015454202789285E-2</v>
      </c>
      <c r="E1041">
        <v>55.806019018571178</v>
      </c>
      <c r="F1041">
        <v>0</v>
      </c>
      <c r="G1041">
        <v>0.6</v>
      </c>
      <c r="H1041">
        <v>-1.274794091110471E-2</v>
      </c>
      <c r="I1041">
        <v>0.36013848478544069</v>
      </c>
      <c r="J1041">
        <v>-7.9201848791031759E-3</v>
      </c>
      <c r="K1041">
        <v>7.3051454954136119E-3</v>
      </c>
      <c r="L1041">
        <v>0</v>
      </c>
      <c r="M1041">
        <v>59316746.340499997</v>
      </c>
      <c r="N1041">
        <v>0</v>
      </c>
      <c r="O1041" t="b">
        <v>0</v>
      </c>
    </row>
    <row r="1042" spans="1:15" x14ac:dyDescent="0.3">
      <c r="A1042" s="1" t="s">
        <v>1146</v>
      </c>
      <c r="B1042">
        <v>3.1350347384198232</v>
      </c>
      <c r="C1042">
        <v>2.7194957828069251E-2</v>
      </c>
      <c r="D1042">
        <v>3.7040249826509331E-2</v>
      </c>
      <c r="E1042">
        <v>32.806430305553377</v>
      </c>
      <c r="F1042">
        <v>-0.1654238760587852</v>
      </c>
      <c r="G1042">
        <v>0.2</v>
      </c>
      <c r="H1042">
        <v>-0.126201954419282</v>
      </c>
      <c r="I1042">
        <v>1.3057011319541849</v>
      </c>
      <c r="J1042">
        <v>-0.15921522864853041</v>
      </c>
      <c r="K1042">
        <v>-1.5878436059416079E-2</v>
      </c>
      <c r="L1042">
        <v>0</v>
      </c>
      <c r="M1042">
        <v>852596771</v>
      </c>
      <c r="N1042">
        <v>0</v>
      </c>
      <c r="O1042" t="b">
        <v>1</v>
      </c>
    </row>
    <row r="1043" spans="1:15" x14ac:dyDescent="0.3">
      <c r="A1043" s="1" t="s">
        <v>1147</v>
      </c>
      <c r="B1043">
        <v>0.1568282990989264</v>
      </c>
      <c r="C1043">
        <v>9.0444122249925835E-3</v>
      </c>
      <c r="D1043">
        <v>6.6725106402611544E-3</v>
      </c>
      <c r="E1043">
        <v>46.157812976672602</v>
      </c>
      <c r="F1043">
        <v>-1.299514460869422E-2</v>
      </c>
      <c r="G1043">
        <v>0.2</v>
      </c>
      <c r="H1043">
        <v>-0.16257735336985679</v>
      </c>
      <c r="I1043">
        <v>0.1005917649112002</v>
      </c>
      <c r="J1043">
        <v>-1.459932828314392E-2</v>
      </c>
      <c r="K1043">
        <v>-5.5333325648143639E-4</v>
      </c>
      <c r="L1043">
        <v>0</v>
      </c>
      <c r="M1043">
        <v>39173687.754749998</v>
      </c>
      <c r="N1043">
        <v>0</v>
      </c>
      <c r="O1043" t="b">
        <v>0</v>
      </c>
    </row>
    <row r="1044" spans="1:15" x14ac:dyDescent="0.3">
      <c r="A1044" s="1" t="s">
        <v>1148</v>
      </c>
      <c r="B1044">
        <v>1.4454505277964711</v>
      </c>
      <c r="C1044">
        <v>1.8368922706779409E-2</v>
      </c>
      <c r="D1044">
        <v>1.4995552166730109E-2</v>
      </c>
      <c r="E1044">
        <v>39.066230529583507</v>
      </c>
      <c r="F1044">
        <v>-4.709314364807482E-2</v>
      </c>
      <c r="G1044">
        <v>0.4</v>
      </c>
      <c r="H1044">
        <v>-9.7313705126577929E-2</v>
      </c>
      <c r="I1044">
        <v>0.3182875545457059</v>
      </c>
      <c r="J1044">
        <v>-5.2896495030986479E-2</v>
      </c>
      <c r="K1044">
        <v>-1.2706480304958129E-4</v>
      </c>
      <c r="L1044">
        <v>0</v>
      </c>
      <c r="M1044">
        <v>210846214.07385001</v>
      </c>
      <c r="N1044">
        <v>0</v>
      </c>
      <c r="O1044" t="b">
        <v>1</v>
      </c>
    </row>
    <row r="1045" spans="1:15" x14ac:dyDescent="0.3">
      <c r="A1045" s="1" t="s">
        <v>1149</v>
      </c>
      <c r="B1045">
        <v>2.035918015293344</v>
      </c>
      <c r="C1045">
        <v>3.3299661842601143E-2</v>
      </c>
      <c r="D1045">
        <v>3.2532266479989212E-2</v>
      </c>
      <c r="E1045">
        <v>63.709506480507777</v>
      </c>
      <c r="F1045">
        <v>2.2738374038139719E-2</v>
      </c>
      <c r="G1045">
        <v>0.8</v>
      </c>
      <c r="H1045">
        <v>1.571828027484656E-2</v>
      </c>
      <c r="I1045">
        <v>1.102326182590371</v>
      </c>
      <c r="J1045">
        <v>-2.6085169137607389E-3</v>
      </c>
      <c r="K1045">
        <v>-2.6085169137607389E-3</v>
      </c>
      <c r="L1045">
        <v>0</v>
      </c>
      <c r="M1045">
        <v>69193898.425349995</v>
      </c>
      <c r="N1045">
        <v>0</v>
      </c>
      <c r="O1045" t="b">
        <v>0</v>
      </c>
    </row>
    <row r="1046" spans="1:15" x14ac:dyDescent="0.3">
      <c r="A1046" s="1" t="s">
        <v>1150</v>
      </c>
      <c r="B1046">
        <v>9.6577711371664652</v>
      </c>
      <c r="C1046">
        <v>3.1866470245047233E-2</v>
      </c>
      <c r="D1046">
        <v>5.2991058171379557E-2</v>
      </c>
      <c r="E1046">
        <v>64.032567434139111</v>
      </c>
      <c r="F1046">
        <v>0.1201995934208093</v>
      </c>
      <c r="G1046">
        <v>0.6</v>
      </c>
      <c r="H1046">
        <v>3.4877914240543637E-2</v>
      </c>
      <c r="I1046">
        <v>-0.376497730080469</v>
      </c>
      <c r="J1046">
        <v>0</v>
      </c>
      <c r="K1046">
        <v>5.5478163961830473E-2</v>
      </c>
      <c r="L1046">
        <v>0</v>
      </c>
      <c r="M1046">
        <v>111683362</v>
      </c>
      <c r="N1046">
        <v>0</v>
      </c>
      <c r="O1046" t="b">
        <v>1</v>
      </c>
    </row>
    <row r="1047" spans="1:15" x14ac:dyDescent="0.3">
      <c r="A1047" s="1" t="s">
        <v>1151</v>
      </c>
      <c r="B1047">
        <v>2.5306027675315059</v>
      </c>
      <c r="C1047">
        <v>1.7055567468232349E-2</v>
      </c>
      <c r="D1047">
        <v>3.4338900346421883E-2</v>
      </c>
      <c r="E1047">
        <v>61.840621011660332</v>
      </c>
      <c r="F1047">
        <v>5.9905134725833697E-2</v>
      </c>
      <c r="G1047">
        <v>0.4</v>
      </c>
      <c r="H1047">
        <v>2.62311309319148E-3</v>
      </c>
      <c r="I1047">
        <v>-0.41181162910899433</v>
      </c>
      <c r="J1047">
        <v>0</v>
      </c>
      <c r="K1047">
        <v>3.4982107855104923E-2</v>
      </c>
      <c r="L1047">
        <v>0</v>
      </c>
      <c r="M1047">
        <v>1075713005.5280001</v>
      </c>
      <c r="N1047">
        <v>0</v>
      </c>
      <c r="O1047" t="b">
        <v>1</v>
      </c>
    </row>
    <row r="1048" spans="1:15" x14ac:dyDescent="0.3">
      <c r="A1048" s="1" t="s">
        <v>1152</v>
      </c>
      <c r="B1048">
        <v>0.57894034575670639</v>
      </c>
      <c r="C1048">
        <v>2.283310967555921E-2</v>
      </c>
      <c r="D1048">
        <v>2.2109775865400961E-2</v>
      </c>
      <c r="E1048">
        <v>56.592341198950841</v>
      </c>
      <c r="F1048">
        <v>5.6990520339166739E-2</v>
      </c>
      <c r="G1048">
        <v>0.6</v>
      </c>
      <c r="H1048">
        <v>1.3401400073850839E-2</v>
      </c>
      <c r="I1048">
        <v>0.64052473707908619</v>
      </c>
      <c r="J1048">
        <v>-9.6050185147570355E-3</v>
      </c>
      <c r="K1048">
        <v>1.7766039008216609E-2</v>
      </c>
      <c r="L1048">
        <v>0</v>
      </c>
      <c r="M1048">
        <v>1030234975.7122999</v>
      </c>
      <c r="N1048">
        <v>0</v>
      </c>
      <c r="O1048" t="b">
        <v>1</v>
      </c>
    </row>
    <row r="1049" spans="1:15" x14ac:dyDescent="0.3">
      <c r="A1049" s="1" t="s">
        <v>1153</v>
      </c>
      <c r="B1049">
        <v>0.18780260687604691</v>
      </c>
      <c r="C1049">
        <v>6.0633122038137944E-3</v>
      </c>
      <c r="D1049">
        <v>8.6912725676058927E-3</v>
      </c>
      <c r="E1049">
        <v>59.798509976916208</v>
      </c>
      <c r="F1049">
        <v>2.1710643392167661E-3</v>
      </c>
      <c r="G1049">
        <v>0.4</v>
      </c>
      <c r="H1049">
        <v>-0.1957741662797064</v>
      </c>
      <c r="I1049">
        <v>0.43820954778700222</v>
      </c>
      <c r="J1049">
        <v>0</v>
      </c>
      <c r="K1049">
        <v>6.4794535682488608E-3</v>
      </c>
      <c r="L1049">
        <v>0</v>
      </c>
      <c r="M1049">
        <v>101445012.95434999</v>
      </c>
      <c r="N1049">
        <v>0</v>
      </c>
      <c r="O1049" t="b">
        <v>1</v>
      </c>
    </row>
    <row r="1050" spans="1:15" x14ac:dyDescent="0.3">
      <c r="A1050" s="1" t="s">
        <v>1154</v>
      </c>
      <c r="B1050">
        <v>1.833924798466704</v>
      </c>
      <c r="C1050">
        <v>2.032500053714623E-2</v>
      </c>
      <c r="D1050">
        <v>2.9036905685470359E-2</v>
      </c>
      <c r="E1050">
        <v>74.140278652057404</v>
      </c>
      <c r="F1050">
        <v>8.9775100275493624E-2</v>
      </c>
      <c r="G1050">
        <v>0.6</v>
      </c>
      <c r="H1050">
        <v>7.4489518245714523E-2</v>
      </c>
      <c r="I1050">
        <v>0.77263242993037418</v>
      </c>
      <c r="J1050">
        <v>0</v>
      </c>
      <c r="K1050">
        <v>2.2899897970751759E-2</v>
      </c>
      <c r="L1050">
        <v>0</v>
      </c>
      <c r="M1050">
        <v>94681290.711999997</v>
      </c>
      <c r="N1050">
        <v>0</v>
      </c>
      <c r="O1050" t="b">
        <v>1</v>
      </c>
    </row>
    <row r="1051" spans="1:15" x14ac:dyDescent="0.3">
      <c r="A1051" s="1" t="s">
        <v>1155</v>
      </c>
      <c r="B1051">
        <v>2.3448084984516688</v>
      </c>
      <c r="C1051">
        <v>2.4944771260124139E-2</v>
      </c>
      <c r="D1051">
        <v>1.7659574468085221E-2</v>
      </c>
      <c r="E1051">
        <v>45.169382289490059</v>
      </c>
      <c r="F1051">
        <v>-3.5798543440352833E-2</v>
      </c>
      <c r="G1051">
        <v>0.8</v>
      </c>
      <c r="H1051">
        <v>-0.1716899380658381</v>
      </c>
      <c r="I1051">
        <v>0.115585123415147</v>
      </c>
      <c r="J1051">
        <v>-3.1626661172349801E-2</v>
      </c>
      <c r="K1051">
        <v>2.666666666666595E-3</v>
      </c>
      <c r="L1051">
        <v>0</v>
      </c>
      <c r="M1051">
        <v>102311976</v>
      </c>
      <c r="N1051">
        <v>0</v>
      </c>
      <c r="O1051" t="b">
        <v>1</v>
      </c>
    </row>
    <row r="1052" spans="1:15" x14ac:dyDescent="0.3">
      <c r="A1052" s="1" t="s">
        <v>1156</v>
      </c>
      <c r="B1052">
        <v>3.3308074082488961</v>
      </c>
      <c r="C1052">
        <v>2.55116988989652E-2</v>
      </c>
      <c r="D1052">
        <v>3.1073835784313629E-2</v>
      </c>
      <c r="E1052">
        <v>54.6354071765616</v>
      </c>
      <c r="F1052">
        <v>3.174415020981014E-2</v>
      </c>
      <c r="G1052">
        <v>0.2</v>
      </c>
      <c r="H1052">
        <v>1.2581265415242919E-2</v>
      </c>
      <c r="I1052">
        <v>0.29906534242799793</v>
      </c>
      <c r="J1052">
        <v>-3.726753874968658E-2</v>
      </c>
      <c r="K1052">
        <v>1.9609680669118831E-2</v>
      </c>
      <c r="L1052">
        <v>0</v>
      </c>
      <c r="M1052">
        <v>33655646.111249998</v>
      </c>
      <c r="N1052">
        <v>0</v>
      </c>
      <c r="O1052" t="b">
        <v>0</v>
      </c>
    </row>
    <row r="1053" spans="1:15" x14ac:dyDescent="0.3">
      <c r="A1053" s="1" t="s">
        <v>1157</v>
      </c>
      <c r="B1053">
        <v>2.583122381426973</v>
      </c>
      <c r="C1053">
        <v>1.8605834171938951E-2</v>
      </c>
      <c r="D1053">
        <v>1.244651886425501E-2</v>
      </c>
      <c r="E1053">
        <v>33.245512498681293</v>
      </c>
      <c r="F1053">
        <v>-3.9038166036795441E-2</v>
      </c>
      <c r="G1053">
        <v>0.4</v>
      </c>
      <c r="H1053">
        <v>-0.18699428521505251</v>
      </c>
      <c r="I1053">
        <v>-0.19687020016276921</v>
      </c>
      <c r="J1053">
        <v>-7.3550608584240784E-2</v>
      </c>
      <c r="K1053">
        <v>1.3559713226491969E-3</v>
      </c>
      <c r="L1053">
        <v>0</v>
      </c>
      <c r="M1053">
        <v>1170561507.967</v>
      </c>
      <c r="N1053">
        <v>0</v>
      </c>
      <c r="O1053" t="b">
        <v>1</v>
      </c>
    </row>
    <row r="1054" spans="1:15" x14ac:dyDescent="0.3">
      <c r="A1054" s="1" t="s">
        <v>1158</v>
      </c>
      <c r="B1054">
        <v>4.0989123717382014</v>
      </c>
      <c r="C1054">
        <v>1.9564934018788279E-2</v>
      </c>
      <c r="D1054">
        <v>2.4954296597184809E-2</v>
      </c>
      <c r="E1054">
        <v>46.646577570616373</v>
      </c>
      <c r="F1054">
        <v>2.4269210272857441E-2</v>
      </c>
      <c r="G1054">
        <v>0.4</v>
      </c>
      <c r="H1054">
        <v>-0.1399553997774276</v>
      </c>
      <c r="I1054">
        <v>-0.40437491518378182</v>
      </c>
      <c r="J1054">
        <v>-2.767038730188209E-2</v>
      </c>
      <c r="K1054">
        <v>-1.5641444895504449E-2</v>
      </c>
      <c r="L1054">
        <v>0</v>
      </c>
      <c r="M1054">
        <v>721586221.88050008</v>
      </c>
      <c r="N1054">
        <v>0</v>
      </c>
      <c r="O1054" t="b">
        <v>1</v>
      </c>
    </row>
    <row r="1055" spans="1:15" x14ac:dyDescent="0.3">
      <c r="A1055" s="1" t="s">
        <v>1159</v>
      </c>
      <c r="B1055">
        <v>18.216281939633451</v>
      </c>
      <c r="C1055">
        <v>2.0484995152806801E-2</v>
      </c>
      <c r="D1055">
        <v>3.4827101490019712E-2</v>
      </c>
      <c r="E1055">
        <v>70.091169362187443</v>
      </c>
      <c r="F1055">
        <v>5.7837574200302111E-2</v>
      </c>
      <c r="G1055">
        <v>0.6</v>
      </c>
      <c r="H1055">
        <v>0.1092546443239627</v>
      </c>
      <c r="I1055">
        <v>0.69066669062070274</v>
      </c>
      <c r="J1055">
        <v>0</v>
      </c>
      <c r="K1055">
        <v>3.0500735865017999E-2</v>
      </c>
      <c r="L1055">
        <v>0</v>
      </c>
      <c r="M1055">
        <v>429499663.71600002</v>
      </c>
      <c r="N1055">
        <v>0</v>
      </c>
      <c r="O1055" t="b">
        <v>1</v>
      </c>
    </row>
    <row r="1056" spans="1:15" x14ac:dyDescent="0.3">
      <c r="A1056" s="1" t="s">
        <v>1160</v>
      </c>
      <c r="B1056">
        <v>0.54690306541875267</v>
      </c>
      <c r="C1056">
        <v>2.0255669089583431E-2</v>
      </c>
      <c r="D1056">
        <v>1.2592592592592589E-2</v>
      </c>
      <c r="E1056">
        <v>42.598992263727077</v>
      </c>
      <c r="F1056">
        <v>-4.4247787610619427E-2</v>
      </c>
      <c r="G1056">
        <v>0.4</v>
      </c>
      <c r="H1056">
        <v>-0.1034298484730183</v>
      </c>
      <c r="I1056">
        <v>0.66827108400928537</v>
      </c>
      <c r="J1056">
        <v>-8.1007488087134094E-2</v>
      </c>
      <c r="K1056">
        <v>7.0869078701978339E-3</v>
      </c>
      <c r="L1056">
        <v>0</v>
      </c>
      <c r="M1056">
        <v>18848700.212450001</v>
      </c>
      <c r="N1056">
        <v>0</v>
      </c>
      <c r="O1056" t="b">
        <v>0</v>
      </c>
    </row>
    <row r="1057" spans="1:15" x14ac:dyDescent="0.3">
      <c r="A1057" s="1" t="s">
        <v>1161</v>
      </c>
      <c r="B1057">
        <v>3.2398200316871129</v>
      </c>
      <c r="C1057">
        <v>2.5383078822654191E-2</v>
      </c>
      <c r="D1057">
        <v>4.0497661336446313E-2</v>
      </c>
      <c r="E1057">
        <v>58.397436663788532</v>
      </c>
      <c r="F1057">
        <v>6.4324608290319718E-2</v>
      </c>
      <c r="G1057">
        <v>0.2</v>
      </c>
      <c r="H1057">
        <v>-0.1027972612686423</v>
      </c>
      <c r="I1057">
        <v>0.69501577526325597</v>
      </c>
      <c r="J1057">
        <v>-1.8644953945041731E-2</v>
      </c>
      <c r="K1057">
        <v>3.9499295528028222E-2</v>
      </c>
      <c r="L1057">
        <v>0</v>
      </c>
      <c r="M1057">
        <v>220863670.38749999</v>
      </c>
      <c r="N1057">
        <v>0</v>
      </c>
      <c r="O1057" t="b">
        <v>1</v>
      </c>
    </row>
    <row r="1058" spans="1:15" x14ac:dyDescent="0.3">
      <c r="A1058" s="1" t="s">
        <v>1162</v>
      </c>
      <c r="B1058">
        <v>0.47080181966374901</v>
      </c>
      <c r="C1058">
        <v>1.453989560419237E-2</v>
      </c>
      <c r="D1058">
        <v>1.4823965410747391E-2</v>
      </c>
      <c r="E1058">
        <v>63.308547870219563</v>
      </c>
      <c r="F1058">
        <v>3.5497281739686803E-2</v>
      </c>
      <c r="G1058">
        <v>0.6</v>
      </c>
      <c r="H1058">
        <v>0.1035316860571487</v>
      </c>
      <c r="I1058">
        <v>0.30873748472311308</v>
      </c>
      <c r="J1058">
        <v>-1.8495684340319449E-3</v>
      </c>
      <c r="K1058">
        <v>7.4673304293715326E-3</v>
      </c>
      <c r="L1058">
        <v>0</v>
      </c>
      <c r="M1058">
        <v>82146820</v>
      </c>
      <c r="N1058">
        <v>0</v>
      </c>
      <c r="O1058" t="b">
        <v>0</v>
      </c>
    </row>
    <row r="1059" spans="1:15" x14ac:dyDescent="0.3">
      <c r="A1059" s="1" t="s">
        <v>1163</v>
      </c>
      <c r="B1059">
        <v>0.97969342510973445</v>
      </c>
      <c r="C1059">
        <v>3.5253451785164973E-2</v>
      </c>
      <c r="D1059">
        <v>3.5984166966534732E-2</v>
      </c>
      <c r="E1059">
        <v>51.228409762018117</v>
      </c>
      <c r="F1059">
        <v>2.8878193261754781E-2</v>
      </c>
      <c r="G1059">
        <v>0.6</v>
      </c>
      <c r="H1059">
        <v>-0.10851280176896359</v>
      </c>
      <c r="I1059">
        <v>1.180033920806234</v>
      </c>
      <c r="J1059">
        <v>0</v>
      </c>
      <c r="K1059">
        <v>2.244297277409868E-2</v>
      </c>
      <c r="L1059">
        <v>0</v>
      </c>
      <c r="M1059">
        <v>324581922.5</v>
      </c>
      <c r="N1059">
        <v>0</v>
      </c>
      <c r="O1059" t="b">
        <v>1</v>
      </c>
    </row>
    <row r="1060" spans="1:15" x14ac:dyDescent="0.3">
      <c r="A1060" s="1" t="s">
        <v>1164</v>
      </c>
      <c r="B1060">
        <v>5.0122610784193116</v>
      </c>
      <c r="C1060">
        <v>2.8364331834187718E-2</v>
      </c>
      <c r="D1060">
        <v>3.098862543149793E-2</v>
      </c>
      <c r="E1060">
        <v>60.164259387644698</v>
      </c>
      <c r="F1060">
        <v>5.9323557974750418E-2</v>
      </c>
      <c r="G1060">
        <v>0.8</v>
      </c>
      <c r="H1060">
        <v>-7.5787919032596351E-2</v>
      </c>
      <c r="I1060">
        <v>0.59745454476111448</v>
      </c>
      <c r="J1060">
        <v>0</v>
      </c>
      <c r="K1060">
        <v>1.223549898610332E-2</v>
      </c>
      <c r="L1060">
        <v>0</v>
      </c>
      <c r="M1060">
        <v>36520050.222000003</v>
      </c>
      <c r="N1060">
        <v>0</v>
      </c>
      <c r="O1060" t="b">
        <v>0</v>
      </c>
    </row>
    <row r="1061" spans="1:15" x14ac:dyDescent="0.3">
      <c r="A1061" s="1" t="s">
        <v>1165</v>
      </c>
      <c r="B1061">
        <v>4.9797976019804793</v>
      </c>
      <c r="C1061">
        <v>2.4727748352560908E-2</v>
      </c>
      <c r="D1061">
        <v>5.3107232415522468E-2</v>
      </c>
      <c r="E1061">
        <v>53.970614044553209</v>
      </c>
      <c r="F1061">
        <v>9.4638014606733822E-3</v>
      </c>
      <c r="G1061">
        <v>0.4</v>
      </c>
      <c r="H1061">
        <v>-0.10481787491882449</v>
      </c>
      <c r="I1061">
        <v>0.6104725902356366</v>
      </c>
      <c r="J1061">
        <v>-7.1046118347746212E-3</v>
      </c>
      <c r="K1061">
        <v>4.7674291570640071E-2</v>
      </c>
      <c r="L1061">
        <v>0</v>
      </c>
      <c r="M1061">
        <v>151971777.53999999</v>
      </c>
      <c r="N1061">
        <v>0</v>
      </c>
      <c r="O1061" t="b">
        <v>1</v>
      </c>
    </row>
    <row r="1062" spans="1:15" x14ac:dyDescent="0.3">
      <c r="A1062" s="1" t="s">
        <v>1166</v>
      </c>
      <c r="B1062">
        <v>1.335285355086703</v>
      </c>
      <c r="C1062">
        <v>2.4523147017202991E-2</v>
      </c>
      <c r="D1062">
        <v>2.075298438934807E-2</v>
      </c>
      <c r="E1062">
        <v>55.653980048130713</v>
      </c>
      <c r="F1062">
        <v>2.6003391746749701E-2</v>
      </c>
      <c r="G1062">
        <v>0.6</v>
      </c>
      <c r="H1062">
        <v>2.2177342503733009E-2</v>
      </c>
      <c r="I1062">
        <v>1.1711161321947019</v>
      </c>
      <c r="J1062">
        <v>-1.19760479041916E-2</v>
      </c>
      <c r="K1062">
        <v>9.2678405931418961E-3</v>
      </c>
      <c r="L1062">
        <v>0</v>
      </c>
      <c r="M1062">
        <v>8625146.2357000001</v>
      </c>
      <c r="N1062">
        <v>0</v>
      </c>
      <c r="O1062" t="b">
        <v>0</v>
      </c>
    </row>
    <row r="1063" spans="1:15" x14ac:dyDescent="0.3">
      <c r="A1063" s="1" t="s">
        <v>1167</v>
      </c>
      <c r="B1063">
        <v>2.1748342998098722</v>
      </c>
      <c r="C1063">
        <v>1.6897560348775681E-2</v>
      </c>
      <c r="D1063">
        <v>2.4979216359638481E-2</v>
      </c>
      <c r="E1063">
        <v>64.807213386746469</v>
      </c>
      <c r="F1063">
        <v>3.8504054544721063E-2</v>
      </c>
      <c r="G1063">
        <v>0.4</v>
      </c>
      <c r="H1063">
        <v>0.1088692018035691</v>
      </c>
      <c r="I1063">
        <v>0.58704182070587063</v>
      </c>
      <c r="J1063">
        <v>0</v>
      </c>
      <c r="K1063">
        <v>1.7728225200648321E-2</v>
      </c>
      <c r="L1063">
        <v>0</v>
      </c>
      <c r="M1063">
        <v>407941099.94599998</v>
      </c>
      <c r="N1063">
        <v>0</v>
      </c>
      <c r="O1063" t="b">
        <v>1</v>
      </c>
    </row>
    <row r="1064" spans="1:15" x14ac:dyDescent="0.3">
      <c r="A1064" s="1" t="s">
        <v>1168</v>
      </c>
      <c r="B1064">
        <v>2.8754852900858392</v>
      </c>
      <c r="C1064">
        <v>2.6738751070167741E-2</v>
      </c>
      <c r="D1064">
        <v>2.1805839687558101E-2</v>
      </c>
      <c r="E1064">
        <v>53.854770256642951</v>
      </c>
      <c r="F1064">
        <v>2.204904010644371E-2</v>
      </c>
      <c r="G1064">
        <v>0.4</v>
      </c>
      <c r="H1064">
        <v>3.9919349789565304E-3</v>
      </c>
      <c r="I1064">
        <v>-0.1830689252086298</v>
      </c>
      <c r="J1064">
        <v>-3.9564168973832192E-2</v>
      </c>
      <c r="K1064">
        <v>-2.5969207939157139E-3</v>
      </c>
      <c r="L1064">
        <v>0</v>
      </c>
      <c r="M1064">
        <v>129550522.5</v>
      </c>
      <c r="N1064">
        <v>0</v>
      </c>
      <c r="O1064" t="b">
        <v>1</v>
      </c>
    </row>
    <row r="1065" spans="1:15" x14ac:dyDescent="0.3">
      <c r="A1065" s="1" t="s">
        <v>1169</v>
      </c>
      <c r="B1065">
        <v>7.7465446837289971</v>
      </c>
      <c r="C1065">
        <v>4.122476017098077E-2</v>
      </c>
      <c r="D1065">
        <v>4.5500505561172813E-2</v>
      </c>
      <c r="E1065">
        <v>61.533982244437063</v>
      </c>
      <c r="F1065">
        <v>-2.94406280667322E-2</v>
      </c>
      <c r="G1065">
        <v>0.8</v>
      </c>
      <c r="H1065">
        <v>6.8465838669181281E-2</v>
      </c>
      <c r="I1065">
        <v>2.7716222521928069</v>
      </c>
      <c r="J1065">
        <v>-1.5971931294512021E-2</v>
      </c>
      <c r="K1065">
        <v>3.3380994280686187E-2</v>
      </c>
      <c r="L1065">
        <v>0</v>
      </c>
      <c r="M1065">
        <v>9214894263</v>
      </c>
      <c r="N1065">
        <v>0</v>
      </c>
      <c r="O1065" t="b">
        <v>1</v>
      </c>
    </row>
    <row r="1066" spans="1:15" x14ac:dyDescent="0.3">
      <c r="A1066" s="1" t="s">
        <v>1170</v>
      </c>
      <c r="B1066">
        <v>3.3132786495067399</v>
      </c>
      <c r="C1066">
        <v>2.232426860652989E-2</v>
      </c>
      <c r="D1066">
        <v>1.5894512721000491E-2</v>
      </c>
      <c r="E1066">
        <v>43.186123149573881</v>
      </c>
      <c r="F1066">
        <v>-3.4177577634901257E-2</v>
      </c>
      <c r="G1066">
        <v>0.4</v>
      </c>
      <c r="H1066">
        <v>-0.1245680992909482</v>
      </c>
      <c r="I1066">
        <v>-0.47736535943480263</v>
      </c>
      <c r="J1066">
        <v>-4.8962878948076598E-2</v>
      </c>
      <c r="K1066">
        <v>-3.9929938058264058E-3</v>
      </c>
      <c r="L1066">
        <v>0</v>
      </c>
      <c r="M1066">
        <v>880006000.87950003</v>
      </c>
      <c r="N1066">
        <v>0</v>
      </c>
      <c r="O1066" t="b">
        <v>1</v>
      </c>
    </row>
    <row r="1067" spans="1:15" x14ac:dyDescent="0.3">
      <c r="A1067" s="1" t="s">
        <v>1171</v>
      </c>
      <c r="B1067">
        <v>3.9064083835218031</v>
      </c>
      <c r="C1067">
        <v>1.9019189473457241E-2</v>
      </c>
      <c r="D1067">
        <v>2.8073011251600551E-2</v>
      </c>
      <c r="E1067">
        <v>77.631897430031856</v>
      </c>
      <c r="F1067">
        <v>0.1182110191637631</v>
      </c>
      <c r="G1067">
        <v>0.6</v>
      </c>
      <c r="H1067">
        <v>-1.6847423154307789E-2</v>
      </c>
      <c r="I1067">
        <v>0.67479524897393162</v>
      </c>
      <c r="J1067">
        <v>0</v>
      </c>
      <c r="K1067">
        <v>2.384228104281938E-2</v>
      </c>
      <c r="L1067">
        <v>0</v>
      </c>
      <c r="M1067">
        <v>357534263.94550002</v>
      </c>
      <c r="N1067">
        <v>0</v>
      </c>
      <c r="O1067" t="b">
        <v>1</v>
      </c>
    </row>
    <row r="1068" spans="1:15" x14ac:dyDescent="0.3">
      <c r="A1068" s="1" t="s">
        <v>1172</v>
      </c>
      <c r="B1068">
        <v>2.3232047412777059</v>
      </c>
      <c r="C1068">
        <v>2.324599500978293E-2</v>
      </c>
      <c r="D1068">
        <v>4.0024014408645191E-2</v>
      </c>
      <c r="E1068">
        <v>74.754022314784493</v>
      </c>
      <c r="F1068">
        <v>0.15297646515920629</v>
      </c>
      <c r="G1068">
        <v>0.8</v>
      </c>
      <c r="H1068">
        <v>-1.267138075364025E-2</v>
      </c>
      <c r="I1068">
        <v>0.98437510143301321</v>
      </c>
      <c r="J1068">
        <v>0</v>
      </c>
      <c r="K1068">
        <v>3.2651374250878273E-2</v>
      </c>
      <c r="L1068">
        <v>0</v>
      </c>
      <c r="M1068">
        <v>66998698.920000002</v>
      </c>
      <c r="N1068">
        <v>0</v>
      </c>
      <c r="O1068" t="b">
        <v>0</v>
      </c>
    </row>
    <row r="1069" spans="1:15" x14ac:dyDescent="0.3">
      <c r="A1069" s="1" t="s">
        <v>1173</v>
      </c>
      <c r="B1069">
        <v>2.4389176226980229</v>
      </c>
      <c r="C1069">
        <v>2.3230663060169569E-2</v>
      </c>
      <c r="D1069">
        <v>3.6290207359006378E-2</v>
      </c>
      <c r="E1069">
        <v>49.50792276546612</v>
      </c>
      <c r="F1069">
        <v>-3.165496822512659E-2</v>
      </c>
      <c r="G1069">
        <v>0.2</v>
      </c>
      <c r="H1069">
        <v>-0.16362629811985391</v>
      </c>
      <c r="I1069">
        <v>0.82743588692948611</v>
      </c>
      <c r="J1069">
        <v>-3.1565644918779889E-2</v>
      </c>
      <c r="K1069">
        <v>3.327559396098656E-2</v>
      </c>
      <c r="L1069">
        <v>0</v>
      </c>
      <c r="M1069">
        <v>124285784.65350001</v>
      </c>
      <c r="N1069">
        <v>0</v>
      </c>
      <c r="O1069" t="b">
        <v>1</v>
      </c>
    </row>
    <row r="1070" spans="1:15" x14ac:dyDescent="0.3">
      <c r="A1070" s="1" t="s">
        <v>1174</v>
      </c>
      <c r="B1070">
        <v>1.249770619130012</v>
      </c>
      <c r="C1070">
        <v>1.443986850525722E-2</v>
      </c>
      <c r="D1070">
        <v>1.52512998266897E-2</v>
      </c>
      <c r="E1070">
        <v>34.880427765464297</v>
      </c>
      <c r="F1070">
        <v>-1.3225401892600569E-2</v>
      </c>
      <c r="G1070">
        <v>0.2</v>
      </c>
      <c r="H1070">
        <v>-7.2266280608357714E-2</v>
      </c>
      <c r="I1070">
        <v>-9.5787068189217131E-2</v>
      </c>
      <c r="J1070">
        <v>-4.7435615232225392E-2</v>
      </c>
      <c r="K1070">
        <v>-5.1724137931035141E-3</v>
      </c>
      <c r="L1070">
        <v>0</v>
      </c>
      <c r="M1070">
        <v>98097109.502050012</v>
      </c>
      <c r="N1070">
        <v>0</v>
      </c>
      <c r="O1070" t="b">
        <v>1</v>
      </c>
    </row>
    <row r="1071" spans="1:15" x14ac:dyDescent="0.3">
      <c r="A1071" s="1" t="s">
        <v>1175</v>
      </c>
      <c r="B1071">
        <v>11.85523244961465</v>
      </c>
      <c r="C1071">
        <v>4.0161362002827522E-2</v>
      </c>
      <c r="D1071">
        <v>2.862563094955807E-2</v>
      </c>
      <c r="E1071">
        <v>37.606218469853758</v>
      </c>
      <c r="F1071">
        <v>-7.8539097861713869E-2</v>
      </c>
      <c r="G1071">
        <v>0.4</v>
      </c>
      <c r="H1071">
        <v>-0.121717732371219</v>
      </c>
      <c r="I1071">
        <v>0.94655062249703859</v>
      </c>
      <c r="J1071">
        <v>-0.14773645917542441</v>
      </c>
      <c r="K1071">
        <v>3.365057783820458E-3</v>
      </c>
      <c r="L1071">
        <v>0</v>
      </c>
      <c r="M1071">
        <v>188017037</v>
      </c>
      <c r="N1071">
        <v>0</v>
      </c>
      <c r="O1071" t="b">
        <v>1</v>
      </c>
    </row>
    <row r="1072" spans="1:15" x14ac:dyDescent="0.3">
      <c r="A1072" s="1" t="s">
        <v>1176</v>
      </c>
      <c r="B1072">
        <v>7.0213901603578481</v>
      </c>
      <c r="C1072">
        <v>2.9185261286714809E-2</v>
      </c>
      <c r="D1072">
        <v>3.4499958433785068E-2</v>
      </c>
      <c r="E1072">
        <v>41.54187278673033</v>
      </c>
      <c r="F1072">
        <v>-2.8497357018539171E-2</v>
      </c>
      <c r="G1072">
        <v>0.2</v>
      </c>
      <c r="H1072">
        <v>-0.36112763619167682</v>
      </c>
      <c r="I1072">
        <v>0.65425656837940027</v>
      </c>
      <c r="J1072">
        <v>-4.9316367659843492E-2</v>
      </c>
      <c r="K1072">
        <v>3.1160258883031311E-2</v>
      </c>
      <c r="L1072">
        <v>0</v>
      </c>
      <c r="M1072">
        <v>149170474.15650001</v>
      </c>
      <c r="N1072">
        <v>0</v>
      </c>
      <c r="O1072" t="b">
        <v>1</v>
      </c>
    </row>
    <row r="1073" spans="1:15" x14ac:dyDescent="0.3">
      <c r="A1073" s="1" t="s">
        <v>1177</v>
      </c>
      <c r="B1073">
        <v>2.4289690149403831</v>
      </c>
      <c r="C1073">
        <v>1.5941254938244949E-2</v>
      </c>
      <c r="D1073">
        <v>2.1001509483494048E-2</v>
      </c>
      <c r="E1073">
        <v>53.026042644346042</v>
      </c>
      <c r="F1073">
        <v>-1.614257118873896E-2</v>
      </c>
      <c r="G1073">
        <v>0.6</v>
      </c>
      <c r="H1073">
        <v>-5.1946659446300739E-2</v>
      </c>
      <c r="I1073">
        <v>0.99853529480606507</v>
      </c>
      <c r="J1073">
        <v>-1.576125573283382E-2</v>
      </c>
      <c r="K1073">
        <v>1.0076234670202361E-2</v>
      </c>
      <c r="L1073">
        <v>0</v>
      </c>
      <c r="M1073">
        <v>24603171.0645</v>
      </c>
      <c r="N1073">
        <v>0</v>
      </c>
      <c r="O1073" t="b">
        <v>0</v>
      </c>
    </row>
    <row r="1074" spans="1:15" x14ac:dyDescent="0.3">
      <c r="A1074" s="1" t="s">
        <v>1178</v>
      </c>
      <c r="B1074">
        <v>0.9275390487396562</v>
      </c>
      <c r="C1074">
        <v>2.4148374088509669E-2</v>
      </c>
      <c r="D1074">
        <v>1.9526165061181981E-2</v>
      </c>
      <c r="E1074">
        <v>50.701655524686338</v>
      </c>
      <c r="F1074">
        <v>2.3720682302771579E-2</v>
      </c>
      <c r="G1074">
        <v>0.6</v>
      </c>
      <c r="H1074">
        <v>-0.16677387213065259</v>
      </c>
      <c r="I1074">
        <v>-0.14685282815988199</v>
      </c>
      <c r="J1074">
        <v>-3.3467539003523061E-2</v>
      </c>
      <c r="K1074">
        <v>8.66596638655448E-3</v>
      </c>
      <c r="L1074">
        <v>0</v>
      </c>
      <c r="M1074">
        <v>57865774.636050001</v>
      </c>
      <c r="N1074">
        <v>0</v>
      </c>
      <c r="O1074" t="b">
        <v>0</v>
      </c>
    </row>
    <row r="1075" spans="1:15" x14ac:dyDescent="0.3">
      <c r="A1075" s="1" t="s">
        <v>1179</v>
      </c>
      <c r="B1075">
        <v>2.0032518271927988</v>
      </c>
      <c r="C1075">
        <v>2.0059377778773761E-2</v>
      </c>
      <c r="D1075">
        <v>2.618406045695177E-2</v>
      </c>
      <c r="E1075">
        <v>54.809309118486013</v>
      </c>
      <c r="F1075">
        <v>4.7014210258141453E-2</v>
      </c>
      <c r="G1075">
        <v>0.4</v>
      </c>
      <c r="H1075">
        <v>-0.15705745349041861</v>
      </c>
      <c r="I1075">
        <v>0.55430817295013479</v>
      </c>
      <c r="J1075">
        <v>-8.8814124512459625E-3</v>
      </c>
      <c r="K1075">
        <v>1.0158625475158219E-2</v>
      </c>
      <c r="L1075">
        <v>0</v>
      </c>
      <c r="M1075">
        <v>195473454.37799999</v>
      </c>
      <c r="N1075">
        <v>0</v>
      </c>
      <c r="O1075" t="b">
        <v>1</v>
      </c>
    </row>
    <row r="1076" spans="1:15" x14ac:dyDescent="0.3">
      <c r="A1076" s="1" t="s">
        <v>1180</v>
      </c>
      <c r="B1076">
        <v>0.59349180119684219</v>
      </c>
      <c r="C1076">
        <v>1.7844010859796821E-2</v>
      </c>
      <c r="D1076">
        <v>1.8340348767288021E-2</v>
      </c>
      <c r="E1076">
        <v>25.72367495930979</v>
      </c>
      <c r="F1076">
        <v>-8.982442313586414E-2</v>
      </c>
      <c r="G1076">
        <v>0.2</v>
      </c>
      <c r="H1076">
        <v>-0.1560076876049864</v>
      </c>
      <c r="I1076">
        <v>0.1370315691016768</v>
      </c>
      <c r="J1076">
        <v>-9.130648598437241E-2</v>
      </c>
      <c r="K1076">
        <v>-7.9637307244907474E-3</v>
      </c>
      <c r="L1076">
        <v>0</v>
      </c>
      <c r="M1076">
        <v>169673768.8432</v>
      </c>
      <c r="N1076">
        <v>0</v>
      </c>
      <c r="O1076" t="b">
        <v>1</v>
      </c>
    </row>
    <row r="1077" spans="1:15" x14ac:dyDescent="0.3">
      <c r="A1077" s="1" t="s">
        <v>1181</v>
      </c>
      <c r="B1077">
        <v>0.40354356023290933</v>
      </c>
      <c r="C1077">
        <v>2.7176114553841911E-2</v>
      </c>
      <c r="D1077">
        <v>2.8648007973493511E-2</v>
      </c>
      <c r="E1077">
        <v>70.764580186557197</v>
      </c>
      <c r="F1077">
        <v>0.13454867743463561</v>
      </c>
      <c r="G1077">
        <v>0.8</v>
      </c>
      <c r="H1077">
        <v>3.8059906933754113E-2</v>
      </c>
      <c r="I1077">
        <v>0.51754198834531073</v>
      </c>
      <c r="J1077">
        <v>0</v>
      </c>
      <c r="K1077">
        <v>1.4878857260021141E-2</v>
      </c>
      <c r="L1077">
        <v>0</v>
      </c>
      <c r="M1077">
        <v>126523574.21484999</v>
      </c>
      <c r="N1077">
        <v>0</v>
      </c>
      <c r="O1077" t="b">
        <v>1</v>
      </c>
    </row>
    <row r="1078" spans="1:15" x14ac:dyDescent="0.3">
      <c r="A1078" s="1" t="s">
        <v>1182</v>
      </c>
      <c r="B1078">
        <v>20.794894407713159</v>
      </c>
      <c r="C1078">
        <v>7.9497264346330615E-2</v>
      </c>
      <c r="D1078">
        <v>5.3520911384662438E-2</v>
      </c>
      <c r="E1078">
        <v>70.505132980651751</v>
      </c>
      <c r="F1078">
        <v>0.5580439573530287</v>
      </c>
      <c r="G1078">
        <v>0.8</v>
      </c>
      <c r="H1078">
        <v>0.18383116128480589</v>
      </c>
      <c r="I1078">
        <v>-1.791022646174147</v>
      </c>
      <c r="J1078">
        <v>-3.4688906930400942E-2</v>
      </c>
      <c r="K1078">
        <v>1.336535854027043E-2</v>
      </c>
      <c r="L1078">
        <v>0</v>
      </c>
      <c r="M1078">
        <v>21131959.5</v>
      </c>
      <c r="N1078">
        <v>0</v>
      </c>
      <c r="O1078" t="b">
        <v>0</v>
      </c>
    </row>
    <row r="1079" spans="1:15" x14ac:dyDescent="0.3">
      <c r="A1079" s="1" t="s">
        <v>1183</v>
      </c>
      <c r="B1079">
        <v>0.47178764478391227</v>
      </c>
      <c r="C1079">
        <v>1.000822326652338E-2</v>
      </c>
      <c r="D1079">
        <v>1.584641493423844E-2</v>
      </c>
      <c r="E1079">
        <v>65.740517681692722</v>
      </c>
      <c r="F1079">
        <v>3.0930089643242061E-2</v>
      </c>
      <c r="G1079">
        <v>0.4</v>
      </c>
      <c r="H1079">
        <v>2.623896142557686E-2</v>
      </c>
      <c r="I1079">
        <v>0.78949236025785152</v>
      </c>
      <c r="J1079">
        <v>0</v>
      </c>
      <c r="K1079">
        <v>1.262233526091028E-2</v>
      </c>
      <c r="L1079">
        <v>0</v>
      </c>
      <c r="M1079">
        <v>11543224.413000001</v>
      </c>
      <c r="N1079">
        <v>0</v>
      </c>
      <c r="O1079" t="b">
        <v>0</v>
      </c>
    </row>
    <row r="1080" spans="1:15" x14ac:dyDescent="0.3">
      <c r="A1080" s="1" t="s">
        <v>1184</v>
      </c>
      <c r="B1080">
        <v>5.5443868593754964</v>
      </c>
      <c r="C1080">
        <v>2.1886803144530051E-2</v>
      </c>
      <c r="D1080">
        <v>1.8352209252292549E-2</v>
      </c>
      <c r="E1080">
        <v>46.358396301426588</v>
      </c>
      <c r="F1080">
        <v>2.8106456171743681E-3</v>
      </c>
      <c r="G1080">
        <v>0.6</v>
      </c>
      <c r="H1080">
        <v>-0.11798314196250689</v>
      </c>
      <c r="I1080">
        <v>0.1017353036969896</v>
      </c>
      <c r="J1080">
        <v>-3.2723537654978707E-2</v>
      </c>
      <c r="K1080">
        <v>6.5281828367993464E-3</v>
      </c>
      <c r="L1080">
        <v>0</v>
      </c>
      <c r="M1080">
        <v>41738865.171999991</v>
      </c>
      <c r="N1080">
        <v>0</v>
      </c>
      <c r="O1080" t="b">
        <v>0</v>
      </c>
    </row>
    <row r="1081" spans="1:15" x14ac:dyDescent="0.3">
      <c r="A1081" s="1" t="s">
        <v>1185</v>
      </c>
      <c r="B1081">
        <v>5.8079967286550502</v>
      </c>
      <c r="C1081">
        <v>4.3779419806693927E-2</v>
      </c>
      <c r="D1081">
        <v>3.336976595183351E-2</v>
      </c>
      <c r="E1081">
        <v>57.932354877589553</v>
      </c>
      <c r="F1081">
        <v>2.9152800080678221E-2</v>
      </c>
      <c r="G1081">
        <v>0.6</v>
      </c>
      <c r="H1081">
        <v>3.5883252923533067E-2</v>
      </c>
      <c r="I1081">
        <v>2.2586898961924602</v>
      </c>
      <c r="J1081">
        <v>-1.2784355163971811E-2</v>
      </c>
      <c r="K1081">
        <v>5.9905213270141644E-3</v>
      </c>
      <c r="L1081">
        <v>0</v>
      </c>
      <c r="M1081">
        <v>71768911.004199997</v>
      </c>
      <c r="N1081">
        <v>0</v>
      </c>
      <c r="O1081" t="b">
        <v>0</v>
      </c>
    </row>
    <row r="1082" spans="1:15" x14ac:dyDescent="0.3">
      <c r="A1082" s="1" t="s">
        <v>1186</v>
      </c>
      <c r="B1082">
        <v>1.9515784892952619</v>
      </c>
      <c r="C1082">
        <v>1.7236438293076219E-2</v>
      </c>
      <c r="D1082">
        <v>3.4939588779764032E-2</v>
      </c>
      <c r="E1082">
        <v>78.310692783611159</v>
      </c>
      <c r="F1082">
        <v>8.6696547686460512E-2</v>
      </c>
      <c r="G1082">
        <v>0.8</v>
      </c>
      <c r="H1082">
        <v>5.0279340272719138E-2</v>
      </c>
      <c r="I1082">
        <v>0.57094985037343127</v>
      </c>
      <c r="J1082">
        <v>0</v>
      </c>
      <c r="K1082">
        <v>2.7580886690565801E-2</v>
      </c>
      <c r="L1082">
        <v>0</v>
      </c>
      <c r="M1082">
        <v>168300592.028</v>
      </c>
      <c r="N1082">
        <v>0</v>
      </c>
      <c r="O1082" t="b">
        <v>1</v>
      </c>
    </row>
    <row r="1083" spans="1:15" x14ac:dyDescent="0.3">
      <c r="A1083" s="1" t="s">
        <v>1187</v>
      </c>
      <c r="B1083">
        <v>5.1025290297848462</v>
      </c>
      <c r="C1083">
        <v>1.9276649149168289E-2</v>
      </c>
      <c r="D1083">
        <v>1.3898753305628909E-2</v>
      </c>
      <c r="E1083">
        <v>40.603460012015617</v>
      </c>
      <c r="F1083">
        <v>-1.8917436361210349E-2</v>
      </c>
      <c r="G1083">
        <v>0.2</v>
      </c>
      <c r="H1083">
        <v>-0.15800718774355971</v>
      </c>
      <c r="I1083">
        <v>0.23588258620498079</v>
      </c>
      <c r="J1083">
        <v>-3.8202998393977117E-2</v>
      </c>
      <c r="K1083">
        <v>1.0992200808182639E-2</v>
      </c>
      <c r="L1083">
        <v>0</v>
      </c>
      <c r="M1083">
        <v>230189475.55199999</v>
      </c>
      <c r="N1083">
        <v>0</v>
      </c>
      <c r="O1083" t="b">
        <v>1</v>
      </c>
    </row>
    <row r="1084" spans="1:15" x14ac:dyDescent="0.3">
      <c r="A1084" s="1" t="s">
        <v>1188</v>
      </c>
      <c r="B1084">
        <v>0.81321911633837318</v>
      </c>
      <c r="C1084">
        <v>5.5457597371648078E-2</v>
      </c>
      <c r="D1084">
        <v>5.0948594498015497E-2</v>
      </c>
      <c r="E1084">
        <v>44.549261132864338</v>
      </c>
      <c r="F1084">
        <v>-3.4755591832435928E-2</v>
      </c>
      <c r="G1084">
        <v>0.8</v>
      </c>
      <c r="H1084">
        <v>-8.0766403255814578E-2</v>
      </c>
      <c r="I1084">
        <v>0.63797061328552129</v>
      </c>
      <c r="J1084">
        <v>-0.1206697009492628</v>
      </c>
      <c r="K1084">
        <v>5.464855561879034E-3</v>
      </c>
      <c r="L1084">
        <v>0</v>
      </c>
      <c r="M1084">
        <v>97333944.3627</v>
      </c>
      <c r="N1084">
        <v>0</v>
      </c>
      <c r="O1084" t="b">
        <v>1</v>
      </c>
    </row>
    <row r="1085" spans="1:15" x14ac:dyDescent="0.3">
      <c r="A1085" s="1" t="s">
        <v>91</v>
      </c>
      <c r="B1085">
        <v>0.58013059333690631</v>
      </c>
      <c r="C1085">
        <v>2.825770060092091E-2</v>
      </c>
      <c r="D1085">
        <v>3.3609352167559559E-2</v>
      </c>
      <c r="E1085">
        <v>74.627155213300426</v>
      </c>
      <c r="F1085">
        <v>0.22713687985654521</v>
      </c>
      <c r="G1085">
        <v>0.6</v>
      </c>
      <c r="H1085">
        <v>0.2298159184089997</v>
      </c>
      <c r="I1085">
        <v>0.66915851405455273</v>
      </c>
      <c r="J1085">
        <v>0</v>
      </c>
      <c r="K1085">
        <v>2.291978076731449E-2</v>
      </c>
      <c r="L1085">
        <v>0</v>
      </c>
      <c r="M1085">
        <v>320695186</v>
      </c>
      <c r="N1085">
        <v>0</v>
      </c>
      <c r="O1085" t="b">
        <v>1</v>
      </c>
    </row>
    <row r="1086" spans="1:15" x14ac:dyDescent="0.3">
      <c r="A1086" s="1" t="s">
        <v>1189</v>
      </c>
      <c r="B1086">
        <v>3.8528938002392601</v>
      </c>
      <c r="C1086">
        <v>5.7488716804524907E-2</v>
      </c>
      <c r="D1086">
        <v>3.4019695613249787E-2</v>
      </c>
      <c r="E1086">
        <v>29.857161627336779</v>
      </c>
      <c r="F1086">
        <v>-0.21951787585885649</v>
      </c>
      <c r="G1086">
        <v>0.6</v>
      </c>
      <c r="H1086">
        <v>-6.2272950712494668E-2</v>
      </c>
      <c r="I1086">
        <v>0.74970878281845865</v>
      </c>
      <c r="J1086">
        <v>-0.2261863526151715</v>
      </c>
      <c r="K1086">
        <v>2.854511970534079E-2</v>
      </c>
      <c r="L1086">
        <v>0</v>
      </c>
      <c r="M1086">
        <v>77258838</v>
      </c>
      <c r="N1086">
        <v>0</v>
      </c>
      <c r="O1086" t="b">
        <v>0</v>
      </c>
    </row>
    <row r="1087" spans="1:15" x14ac:dyDescent="0.3">
      <c r="A1087" s="1" t="s">
        <v>1190</v>
      </c>
      <c r="B1087">
        <v>1.984770139063958</v>
      </c>
      <c r="C1087">
        <v>0.1406640778925555</v>
      </c>
      <c r="D1087">
        <v>0.41176470588235292</v>
      </c>
      <c r="E1087">
        <v>34.199810000661827</v>
      </c>
      <c r="F1087">
        <v>-0.385987815491732</v>
      </c>
      <c r="G1087">
        <v>0.4</v>
      </c>
      <c r="H1087">
        <v>-0.1803884894014014</v>
      </c>
      <c r="I1087">
        <v>1.0190372683950999</v>
      </c>
      <c r="J1087">
        <v>-0.4091289782244556</v>
      </c>
      <c r="K1087">
        <v>-0.2285401858939311</v>
      </c>
      <c r="L1087">
        <v>0</v>
      </c>
      <c r="M1087">
        <v>3587823.45</v>
      </c>
      <c r="N1087">
        <v>0</v>
      </c>
      <c r="O1087" t="b">
        <v>0</v>
      </c>
    </row>
    <row r="1088" spans="1:15" x14ac:dyDescent="0.3">
      <c r="A1088" s="1" t="s">
        <v>1191</v>
      </c>
      <c r="B1088">
        <v>0.21247795300121541</v>
      </c>
      <c r="C1088">
        <v>1.550933963512522E-2</v>
      </c>
      <c r="D1088">
        <v>3.1386861313868593E-2</v>
      </c>
      <c r="E1088">
        <v>59.158954493866993</v>
      </c>
      <c r="F1088">
        <v>4.6600458365164243E-2</v>
      </c>
      <c r="G1088">
        <v>0.6</v>
      </c>
      <c r="H1088">
        <v>-0.10903931623252509</v>
      </c>
      <c r="I1088">
        <v>0.34006323120520632</v>
      </c>
      <c r="J1088">
        <v>0</v>
      </c>
      <c r="K1088">
        <v>3.007518796992481E-2</v>
      </c>
      <c r="L1088">
        <v>0</v>
      </c>
      <c r="M1088">
        <v>8603236.5</v>
      </c>
      <c r="N1088">
        <v>0</v>
      </c>
      <c r="O1088" t="b">
        <v>0</v>
      </c>
    </row>
    <row r="1089" spans="1:15" x14ac:dyDescent="0.3">
      <c r="A1089" s="1" t="s">
        <v>1192</v>
      </c>
      <c r="B1089">
        <v>5.0501449931700284</v>
      </c>
      <c r="C1089">
        <v>6.8569517897760043E-2</v>
      </c>
      <c r="D1089">
        <v>5.7569585879158301E-2</v>
      </c>
      <c r="E1089">
        <v>40.946650496159471</v>
      </c>
      <c r="F1089">
        <v>-0.20352546771926031</v>
      </c>
      <c r="G1089">
        <v>0.6</v>
      </c>
      <c r="H1089">
        <v>-3.3573376536830027E-2</v>
      </c>
      <c r="I1089">
        <v>2.1722906806250522</v>
      </c>
      <c r="J1089">
        <v>-0.22244510135135129</v>
      </c>
      <c r="K1089">
        <v>4.9893086243763429E-2</v>
      </c>
      <c r="L1089">
        <v>0</v>
      </c>
      <c r="M1089">
        <v>160024432.5</v>
      </c>
      <c r="N1089">
        <v>0</v>
      </c>
      <c r="O1089" t="b">
        <v>1</v>
      </c>
    </row>
    <row r="1090" spans="1:15" x14ac:dyDescent="0.3">
      <c r="A1090" s="1" t="s">
        <v>1193</v>
      </c>
      <c r="B1090">
        <v>3.575024795232201</v>
      </c>
      <c r="C1090">
        <v>2.5063796877613811E-2</v>
      </c>
      <c r="D1090">
        <v>3.4423045913753073E-2</v>
      </c>
      <c r="E1090">
        <v>64.904016108497814</v>
      </c>
      <c r="F1090">
        <v>4.6032560868289663E-2</v>
      </c>
      <c r="G1090">
        <v>0.4</v>
      </c>
      <c r="H1090">
        <v>4.9102198683899347E-2</v>
      </c>
      <c r="I1090">
        <v>0.43349866540476317</v>
      </c>
      <c r="J1090">
        <v>0</v>
      </c>
      <c r="K1090">
        <v>2.8095921118070692E-2</v>
      </c>
      <c r="L1090">
        <v>0</v>
      </c>
      <c r="M1090">
        <v>316069337.71649998</v>
      </c>
      <c r="N1090">
        <v>0</v>
      </c>
      <c r="O1090" t="b">
        <v>1</v>
      </c>
    </row>
    <row r="1091" spans="1:15" x14ac:dyDescent="0.3">
      <c r="A1091" s="1" t="s">
        <v>1194</v>
      </c>
      <c r="B1091">
        <v>3.933465261084927</v>
      </c>
      <c r="C1091">
        <v>2.2392492662444079E-2</v>
      </c>
      <c r="D1091">
        <v>2.060799271319581E-2</v>
      </c>
      <c r="E1091">
        <v>43.554474319306202</v>
      </c>
      <c r="F1091">
        <v>-1.03104400247902E-2</v>
      </c>
      <c r="G1091">
        <v>0.6</v>
      </c>
      <c r="H1091">
        <v>-0.24654393075916689</v>
      </c>
      <c r="I1091">
        <v>1.1003831440159251</v>
      </c>
      <c r="J1091">
        <v>-2.1992093981404229E-2</v>
      </c>
      <c r="K1091">
        <v>1.437893399549584E-2</v>
      </c>
      <c r="L1091">
        <v>0</v>
      </c>
      <c r="M1091">
        <v>151279269</v>
      </c>
      <c r="N1091">
        <v>0</v>
      </c>
      <c r="O1091" t="b">
        <v>1</v>
      </c>
    </row>
    <row r="1092" spans="1:15" x14ac:dyDescent="0.3">
      <c r="A1092" s="1" t="s">
        <v>1195</v>
      </c>
      <c r="B1092">
        <v>0.48837925316280018</v>
      </c>
      <c r="C1092">
        <v>1.670815098059528E-2</v>
      </c>
      <c r="D1092">
        <v>1.402668491276087E-2</v>
      </c>
      <c r="E1092">
        <v>58.463329757290971</v>
      </c>
      <c r="F1092">
        <v>1.7049408489909549E-2</v>
      </c>
      <c r="G1092">
        <v>0.4</v>
      </c>
      <c r="H1092">
        <v>-2.6915760969862582E-3</v>
      </c>
      <c r="I1092">
        <v>0.67268579523697036</v>
      </c>
      <c r="J1092">
        <v>-1.9127516778523531E-2</v>
      </c>
      <c r="K1092">
        <v>1.027397260274121E-3</v>
      </c>
      <c r="L1092">
        <v>0</v>
      </c>
      <c r="M1092">
        <v>19449485.061250001</v>
      </c>
      <c r="N1092">
        <v>0</v>
      </c>
      <c r="O1092" t="b">
        <v>0</v>
      </c>
    </row>
    <row r="1093" spans="1:15" x14ac:dyDescent="0.3">
      <c r="A1093" s="1" t="s">
        <v>1196</v>
      </c>
      <c r="B1093">
        <v>1.7517264463359619E-2</v>
      </c>
      <c r="C1093">
        <v>3.5545820001622592E-4</v>
      </c>
      <c r="D1093">
        <v>5.0526777162698778E-4</v>
      </c>
      <c r="E1093">
        <v>94.720640911009255</v>
      </c>
      <c r="F1093">
        <v>3.406395390269434E-3</v>
      </c>
      <c r="G1093">
        <v>0.6</v>
      </c>
      <c r="H1093">
        <v>-7.9973767514339336E-2</v>
      </c>
      <c r="I1093">
        <v>6.5418259233884432E-3</v>
      </c>
      <c r="J1093">
        <v>0</v>
      </c>
      <c r="K1093">
        <v>2.0295996817587539E-4</v>
      </c>
      <c r="L1093">
        <v>0</v>
      </c>
      <c r="M1093">
        <v>99026401.624799997</v>
      </c>
      <c r="N1093">
        <v>0</v>
      </c>
      <c r="O1093" t="b">
        <v>1</v>
      </c>
    </row>
    <row r="1094" spans="1:15" x14ac:dyDescent="0.3">
      <c r="A1094" s="1" t="s">
        <v>1197</v>
      </c>
      <c r="B1094">
        <v>0.44898740379075103</v>
      </c>
      <c r="C1094">
        <v>9.9250494893816897E-3</v>
      </c>
      <c r="D1094">
        <v>1.775064216208579E-2</v>
      </c>
      <c r="E1094">
        <v>69.903946745607669</v>
      </c>
      <c r="F1094">
        <v>3.4441913856341877E-2</v>
      </c>
      <c r="G1094">
        <v>0.6</v>
      </c>
      <c r="H1094">
        <v>6.7201592658282752E-2</v>
      </c>
      <c r="I1094">
        <v>0.66317844021265171</v>
      </c>
      <c r="J1094">
        <v>0</v>
      </c>
      <c r="K1094">
        <v>1.6586628673901149E-2</v>
      </c>
      <c r="L1094">
        <v>0</v>
      </c>
      <c r="M1094">
        <v>24954402.707199998</v>
      </c>
      <c r="N1094">
        <v>0</v>
      </c>
      <c r="O1094" t="b">
        <v>0</v>
      </c>
    </row>
    <row r="1095" spans="1:15" x14ac:dyDescent="0.3">
      <c r="A1095" s="1" t="s">
        <v>1198</v>
      </c>
      <c r="B1095">
        <v>15.492939798320631</v>
      </c>
      <c r="C1095">
        <v>3.3527970305179997E-2</v>
      </c>
      <c r="D1095">
        <v>3.7581423532212437E-2</v>
      </c>
      <c r="E1095">
        <v>57.952529804933803</v>
      </c>
      <c r="F1095">
        <v>2.626687069557132E-2</v>
      </c>
      <c r="G1095">
        <v>0.6</v>
      </c>
      <c r="H1095">
        <v>0.1224620051679456</v>
      </c>
      <c r="I1095">
        <v>1.6789242639803581</v>
      </c>
      <c r="J1095">
        <v>-5.7427613020942792E-3</v>
      </c>
      <c r="K1095">
        <v>9.2805144143925933E-3</v>
      </c>
      <c r="L1095">
        <v>0</v>
      </c>
      <c r="M1095">
        <v>387251782.4885</v>
      </c>
      <c r="N1095">
        <v>0</v>
      </c>
      <c r="O1095" t="b">
        <v>1</v>
      </c>
    </row>
    <row r="1096" spans="1:15" x14ac:dyDescent="0.3">
      <c r="A1096" s="1" t="s">
        <v>1199</v>
      </c>
      <c r="B1096">
        <v>5.8349836861412312E-2</v>
      </c>
      <c r="C1096">
        <v>2.2074951711678879E-3</v>
      </c>
      <c r="D1096">
        <v>3.7491582364201771E-3</v>
      </c>
      <c r="E1096">
        <v>59.801770446138633</v>
      </c>
      <c r="F1096">
        <v>5.8755926966078684E-3</v>
      </c>
      <c r="G1096">
        <v>0.2</v>
      </c>
      <c r="H1096">
        <v>-7.67288503169819E-2</v>
      </c>
      <c r="I1096">
        <v>6.5317893576166436E-2</v>
      </c>
      <c r="J1096">
        <v>-1.216710498473383E-3</v>
      </c>
      <c r="K1096">
        <v>3.2717942489297598E-3</v>
      </c>
      <c r="L1096">
        <v>0</v>
      </c>
      <c r="M1096">
        <v>54595532.931550004</v>
      </c>
      <c r="N1096">
        <v>0</v>
      </c>
      <c r="O1096" t="b">
        <v>0</v>
      </c>
    </row>
    <row r="1097" spans="1:15" x14ac:dyDescent="0.3">
      <c r="A1097" s="1" t="s">
        <v>1200</v>
      </c>
      <c r="B1097">
        <v>1.8431993447404891</v>
      </c>
      <c r="C1097">
        <v>3.0228573240035961E-2</v>
      </c>
      <c r="D1097">
        <v>2.151687401804658E-2</v>
      </c>
      <c r="E1097">
        <v>41.94584984468743</v>
      </c>
      <c r="F1097">
        <v>-7.4696081957336902E-2</v>
      </c>
      <c r="G1097">
        <v>0.6</v>
      </c>
      <c r="H1097">
        <v>-9.7996875259802815E-2</v>
      </c>
      <c r="I1097">
        <v>1.6918048704732911</v>
      </c>
      <c r="J1097">
        <v>-9.0484117324168944E-2</v>
      </c>
      <c r="K1097">
        <v>6.2528363849396751E-3</v>
      </c>
      <c r="L1097">
        <v>0</v>
      </c>
      <c r="M1097">
        <v>711334705.94705009</v>
      </c>
      <c r="N1097">
        <v>0</v>
      </c>
      <c r="O1097" t="b">
        <v>1</v>
      </c>
    </row>
    <row r="1098" spans="1:15" x14ac:dyDescent="0.3">
      <c r="A1098" s="1" t="s">
        <v>1201</v>
      </c>
      <c r="B1098">
        <v>4.8812966962674462</v>
      </c>
      <c r="C1098">
        <v>5.6663923564275527E-2</v>
      </c>
      <c r="D1098">
        <v>6.0556250123338977E-2</v>
      </c>
      <c r="E1098">
        <v>51.631474934842728</v>
      </c>
      <c r="F1098">
        <v>-0.1069849168092054</v>
      </c>
      <c r="G1098">
        <v>0.8</v>
      </c>
      <c r="H1098">
        <v>0</v>
      </c>
      <c r="I1098">
        <v>1</v>
      </c>
      <c r="J1098">
        <v>-0.10633735532200279</v>
      </c>
      <c r="K1098">
        <v>1.304515531178785E-2</v>
      </c>
      <c r="O1098" t="b">
        <v>0</v>
      </c>
    </row>
    <row r="1099" spans="1:15" x14ac:dyDescent="0.3">
      <c r="A1099" s="1" t="s">
        <v>1202</v>
      </c>
      <c r="B1099">
        <v>2.6034991031271741</v>
      </c>
      <c r="C1099">
        <v>9.7145488922655732E-2</v>
      </c>
      <c r="D1099">
        <v>6.9328358208955249E-2</v>
      </c>
      <c r="E1099">
        <v>51.243292900422638</v>
      </c>
      <c r="F1099">
        <v>-8.7504256043581918E-2</v>
      </c>
      <c r="G1099">
        <v>0.4</v>
      </c>
      <c r="H1099">
        <v>0.12894328991409759</v>
      </c>
      <c r="I1099">
        <v>4.0162336440286301</v>
      </c>
      <c r="J1099">
        <v>-7.5543290789927497E-2</v>
      </c>
      <c r="K1099">
        <v>-5.4006353688669129E-2</v>
      </c>
      <c r="L1099">
        <v>0</v>
      </c>
      <c r="M1099">
        <v>684787882.5</v>
      </c>
      <c r="N1099">
        <v>0</v>
      </c>
      <c r="O1099" t="b">
        <v>1</v>
      </c>
    </row>
    <row r="1100" spans="1:15" x14ac:dyDescent="0.3">
      <c r="A1100" s="1" t="s">
        <v>1203</v>
      </c>
      <c r="B1100">
        <v>4.8315332773733486</v>
      </c>
      <c r="C1100">
        <v>2.6686476941879221E-2</v>
      </c>
      <c r="D1100">
        <v>4.4949405682470973E-2</v>
      </c>
      <c r="E1100">
        <v>66.687003294429346</v>
      </c>
      <c r="F1100">
        <v>6.7443355010642136E-2</v>
      </c>
      <c r="G1100">
        <v>1</v>
      </c>
      <c r="H1100">
        <v>7.2795113858944133E-2</v>
      </c>
      <c r="I1100">
        <v>2.1213119007087999</v>
      </c>
      <c r="J1100">
        <v>0</v>
      </c>
      <c r="K1100">
        <v>3.5287659326269212E-2</v>
      </c>
      <c r="L1100">
        <v>0</v>
      </c>
      <c r="M1100">
        <v>1221791370.684</v>
      </c>
      <c r="N1100">
        <v>0</v>
      </c>
      <c r="O1100" t="b">
        <v>1</v>
      </c>
    </row>
    <row r="1101" spans="1:15" x14ac:dyDescent="0.3">
      <c r="A1101" s="1" t="s">
        <v>1204</v>
      </c>
      <c r="B1101">
        <v>0.85034821416626682</v>
      </c>
      <c r="C1101">
        <v>1.8623482570439481E-2</v>
      </c>
      <c r="D1101">
        <v>1.051248357424435E-2</v>
      </c>
      <c r="E1101">
        <v>45.021947057969307</v>
      </c>
      <c r="F1101">
        <v>5.7678943710910202E-2</v>
      </c>
      <c r="G1101">
        <v>0.4</v>
      </c>
      <c r="H1101">
        <v>-5.7985374012087393E-2</v>
      </c>
      <c r="I1101">
        <v>0.42483292680773849</v>
      </c>
      <c r="J1101">
        <v>-5.9719934102141832E-2</v>
      </c>
      <c r="K1101">
        <v>2.19490781387166E-3</v>
      </c>
      <c r="L1101">
        <v>0</v>
      </c>
      <c r="M1101">
        <v>53467187.338799998</v>
      </c>
      <c r="N1101">
        <v>0</v>
      </c>
      <c r="O1101" t="b">
        <v>0</v>
      </c>
    </row>
    <row r="1102" spans="1:15" x14ac:dyDescent="0.3">
      <c r="A1102" s="1" t="s">
        <v>1205</v>
      </c>
      <c r="B1102">
        <v>2.1190035436960879</v>
      </c>
      <c r="C1102">
        <v>2.8776498965135379E-2</v>
      </c>
      <c r="D1102">
        <v>2.6065842257790229E-2</v>
      </c>
      <c r="E1102">
        <v>59.509439410139933</v>
      </c>
      <c r="F1102">
        <v>7.3158253285146024E-3</v>
      </c>
      <c r="G1102">
        <v>0.6</v>
      </c>
      <c r="H1102">
        <v>0.1011770079095642</v>
      </c>
      <c r="I1102">
        <v>2.6816069512315481</v>
      </c>
      <c r="J1102">
        <v>0</v>
      </c>
      <c r="K1102">
        <v>7.660433954415069E-3</v>
      </c>
      <c r="L1102">
        <v>0</v>
      </c>
      <c r="M1102">
        <v>336686418.90114999</v>
      </c>
      <c r="N1102">
        <v>0</v>
      </c>
      <c r="O1102" t="b">
        <v>1</v>
      </c>
    </row>
    <row r="1103" spans="1:15" x14ac:dyDescent="0.3">
      <c r="A1103" s="1" t="s">
        <v>1206</v>
      </c>
      <c r="B1103">
        <v>9.2971425256865121</v>
      </c>
      <c r="C1103">
        <v>1.483266250855376E-2</v>
      </c>
      <c r="D1103">
        <v>1.309663976822018E-2</v>
      </c>
      <c r="E1103">
        <v>60.566209367184328</v>
      </c>
      <c r="F1103">
        <v>7.0273188224181382E-3</v>
      </c>
      <c r="G1103">
        <v>0.6</v>
      </c>
      <c r="H1103">
        <v>0.1111699676410333</v>
      </c>
      <c r="I1103">
        <v>1.3397021329996111</v>
      </c>
      <c r="J1103">
        <v>0</v>
      </c>
      <c r="K1103">
        <v>4.0945396526370637E-3</v>
      </c>
      <c r="L1103">
        <v>0</v>
      </c>
      <c r="M1103">
        <v>24335550310.4925</v>
      </c>
      <c r="N1103">
        <v>0</v>
      </c>
      <c r="O1103" t="b">
        <v>1</v>
      </c>
    </row>
    <row r="1104" spans="1:15" x14ac:dyDescent="0.3">
      <c r="A1104" s="1" t="s">
        <v>1207</v>
      </c>
      <c r="B1104">
        <v>0.67085540406219502</v>
      </c>
      <c r="C1104">
        <v>1.261478267363535E-2</v>
      </c>
      <c r="D1104">
        <v>1.0635557285525911E-2</v>
      </c>
      <c r="E1104">
        <v>61.777086170658201</v>
      </c>
      <c r="F1104">
        <v>1.029672423586714E-2</v>
      </c>
      <c r="G1104">
        <v>0.6</v>
      </c>
      <c r="H1104">
        <v>7.7257673166745533E-2</v>
      </c>
      <c r="I1104">
        <v>1.1156755551173601</v>
      </c>
      <c r="J1104">
        <v>0</v>
      </c>
      <c r="K1104">
        <v>3.6423959793987488E-3</v>
      </c>
      <c r="L1104">
        <v>0</v>
      </c>
      <c r="M1104">
        <v>95178955.476300001</v>
      </c>
      <c r="N1104">
        <v>0</v>
      </c>
      <c r="O1104" t="b">
        <v>1</v>
      </c>
    </row>
    <row r="1105" spans="1:15" x14ac:dyDescent="0.3">
      <c r="A1105" s="1" t="s">
        <v>1208</v>
      </c>
      <c r="B1105">
        <v>3.796284272182926</v>
      </c>
      <c r="C1105">
        <v>1.4710744984472441E-2</v>
      </c>
      <c r="D1105">
        <v>1.300462679511134E-2</v>
      </c>
      <c r="E1105">
        <v>60.61679869260508</v>
      </c>
      <c r="F1105">
        <v>7.0554996214693411E-3</v>
      </c>
      <c r="G1105">
        <v>0.6</v>
      </c>
      <c r="H1105">
        <v>0.1116206761413803</v>
      </c>
      <c r="I1105">
        <v>1.339057946221067</v>
      </c>
      <c r="J1105">
        <v>0</v>
      </c>
      <c r="K1105">
        <v>4.0424397816536386E-3</v>
      </c>
      <c r="L1105">
        <v>0</v>
      </c>
      <c r="M1105">
        <v>658109458.375</v>
      </c>
      <c r="N1105">
        <v>0</v>
      </c>
      <c r="O1105" t="b">
        <v>1</v>
      </c>
    </row>
    <row r="1106" spans="1:15" x14ac:dyDescent="0.3">
      <c r="A1106" s="1" t="s">
        <v>1209</v>
      </c>
      <c r="B1106">
        <v>2.484927643260741</v>
      </c>
      <c r="C1106">
        <v>2.7721191915001581E-2</v>
      </c>
      <c r="D1106">
        <v>1.9634091923248449E-2</v>
      </c>
      <c r="E1106">
        <v>56.615610134051487</v>
      </c>
      <c r="F1106">
        <v>3.176795580110503E-2</v>
      </c>
      <c r="G1106">
        <v>0.4</v>
      </c>
      <c r="H1106">
        <v>-7.2069125038511884E-3</v>
      </c>
      <c r="I1106">
        <v>2.1050117222392308</v>
      </c>
      <c r="J1106">
        <v>-3.5571365051133559E-3</v>
      </c>
      <c r="K1106">
        <v>6.0606060606060996E-3</v>
      </c>
      <c r="L1106">
        <v>0</v>
      </c>
      <c r="M1106">
        <v>136608389</v>
      </c>
      <c r="N1106">
        <v>0</v>
      </c>
      <c r="O1106" t="b">
        <v>1</v>
      </c>
    </row>
    <row r="1107" spans="1:15" x14ac:dyDescent="0.3">
      <c r="A1107" s="1" t="s">
        <v>1210</v>
      </c>
      <c r="B1107">
        <v>0.96915633360496378</v>
      </c>
      <c r="C1107">
        <v>7.7719032366075677E-2</v>
      </c>
      <c r="D1107">
        <v>5.372894947874899E-2</v>
      </c>
      <c r="E1107">
        <v>44.47325203546928</v>
      </c>
      <c r="F1107">
        <v>-0.23402948402948409</v>
      </c>
      <c r="G1107">
        <v>0.6</v>
      </c>
      <c r="H1107">
        <v>0.1041966398364986</v>
      </c>
      <c r="I1107">
        <v>3.6073856522265841</v>
      </c>
      <c r="J1107">
        <v>-0.2162162162162162</v>
      </c>
      <c r="K1107">
        <v>-2.196078431372539E-2</v>
      </c>
      <c r="L1107">
        <v>0</v>
      </c>
      <c r="M1107">
        <v>103760869.5</v>
      </c>
      <c r="N1107">
        <v>0</v>
      </c>
      <c r="O1107" t="b">
        <v>1</v>
      </c>
    </row>
    <row r="1108" spans="1:15" x14ac:dyDescent="0.3">
      <c r="A1108" s="1" t="s">
        <v>1211</v>
      </c>
      <c r="B1108">
        <v>1.381348210974594</v>
      </c>
      <c r="C1108">
        <v>1.9695224591218152E-2</v>
      </c>
      <c r="D1108">
        <v>1.2154921424314289E-2</v>
      </c>
      <c r="E1108">
        <v>53.286210508801553</v>
      </c>
      <c r="F1108">
        <v>2.2839400846724759E-2</v>
      </c>
      <c r="G1108">
        <v>0.2</v>
      </c>
      <c r="H1108">
        <v>7.9092163414400271E-2</v>
      </c>
      <c r="I1108">
        <v>0.2276979762811297</v>
      </c>
      <c r="J1108">
        <v>-3.7802657915784632E-2</v>
      </c>
      <c r="K1108">
        <v>-2.5371686676735061E-3</v>
      </c>
      <c r="L1108">
        <v>0</v>
      </c>
      <c r="M1108">
        <v>146028579.77415001</v>
      </c>
      <c r="N1108">
        <v>0</v>
      </c>
      <c r="O1108" t="b">
        <v>1</v>
      </c>
    </row>
    <row r="1109" spans="1:15" x14ac:dyDescent="0.3">
      <c r="A1109" s="1" t="s">
        <v>1212</v>
      </c>
      <c r="B1109">
        <v>1.9397209744893149</v>
      </c>
      <c r="C1109">
        <v>9.7605845845585223E-3</v>
      </c>
      <c r="D1109">
        <v>9.6311578523624389E-3</v>
      </c>
      <c r="E1109">
        <v>60.694308679498228</v>
      </c>
      <c r="F1109">
        <v>1.7505414441582708E-2</v>
      </c>
      <c r="G1109">
        <v>0.6</v>
      </c>
      <c r="H1109">
        <v>-3.461776376797257E-2</v>
      </c>
      <c r="I1109">
        <v>0.86122176036168796</v>
      </c>
      <c r="J1109">
        <v>-2.1039523171093588E-3</v>
      </c>
      <c r="K1109">
        <v>4.6864809937159357E-3</v>
      </c>
      <c r="L1109">
        <v>0</v>
      </c>
      <c r="M1109">
        <v>224733678.222</v>
      </c>
      <c r="N1109">
        <v>0</v>
      </c>
      <c r="O1109" t="b">
        <v>1</v>
      </c>
    </row>
    <row r="1110" spans="1:15" x14ac:dyDescent="0.3">
      <c r="A1110" s="1" t="s">
        <v>1213</v>
      </c>
      <c r="B1110">
        <v>0.88097949622076566</v>
      </c>
      <c r="C1110">
        <v>4.0579433266732641E-2</v>
      </c>
      <c r="D1110">
        <v>4.836480884385079E-2</v>
      </c>
      <c r="E1110">
        <v>70.062242549695938</v>
      </c>
      <c r="F1110">
        <v>0.1798913043478263</v>
      </c>
      <c r="G1110">
        <v>0.8</v>
      </c>
      <c r="H1110">
        <v>5.8354138746127555E-4</v>
      </c>
      <c r="I1110">
        <v>2.0732827010821659</v>
      </c>
      <c r="J1110">
        <v>0</v>
      </c>
      <c r="K1110">
        <v>3.6276849642004949E-2</v>
      </c>
      <c r="L1110">
        <v>0</v>
      </c>
      <c r="M1110">
        <v>106549930.5</v>
      </c>
      <c r="N1110">
        <v>0</v>
      </c>
      <c r="O1110" t="b">
        <v>1</v>
      </c>
    </row>
    <row r="1111" spans="1:15" x14ac:dyDescent="0.3">
      <c r="A1111" s="1" t="s">
        <v>1214</v>
      </c>
      <c r="B1111">
        <v>8.603030947672477E-2</v>
      </c>
      <c r="C1111">
        <v>5.0521366812534734E-3</v>
      </c>
      <c r="D1111">
        <v>1.139266523769033E-3</v>
      </c>
      <c r="E1111">
        <v>66.695470491747642</v>
      </c>
      <c r="F1111">
        <v>1.298616316284185E-2</v>
      </c>
      <c r="G1111">
        <v>0.8</v>
      </c>
      <c r="H1111">
        <v>6.3569026084780628E-2</v>
      </c>
      <c r="I1111">
        <v>0.54713800822246117</v>
      </c>
      <c r="J1111">
        <v>0</v>
      </c>
      <c r="K1111">
        <v>5.69957928878706E-4</v>
      </c>
      <c r="L1111">
        <v>0</v>
      </c>
      <c r="M1111">
        <v>89673208.372000009</v>
      </c>
      <c r="N1111">
        <v>0</v>
      </c>
      <c r="O1111" t="b">
        <v>0</v>
      </c>
    </row>
    <row r="1112" spans="1:15" x14ac:dyDescent="0.3">
      <c r="A1112" s="1" t="s">
        <v>1215</v>
      </c>
      <c r="B1112">
        <v>4.9306563845198728</v>
      </c>
      <c r="C1112">
        <v>2.551518486742084E-2</v>
      </c>
      <c r="D1112">
        <v>4.8384425907143272E-2</v>
      </c>
      <c r="E1112">
        <v>75.210654009904616</v>
      </c>
      <c r="F1112">
        <v>0.1510978210367053</v>
      </c>
      <c r="G1112">
        <v>0.8</v>
      </c>
      <c r="H1112">
        <v>-2.4849942519043198E-3</v>
      </c>
      <c r="I1112">
        <v>1.1285836642564211</v>
      </c>
      <c r="J1112">
        <v>0</v>
      </c>
      <c r="K1112">
        <v>4.1426623625085528E-2</v>
      </c>
      <c r="L1112">
        <v>0</v>
      </c>
      <c r="M1112">
        <v>53338573.43</v>
      </c>
      <c r="N1112">
        <v>0</v>
      </c>
      <c r="O1112" t="b">
        <v>0</v>
      </c>
    </row>
    <row r="1113" spans="1:15" x14ac:dyDescent="0.3">
      <c r="A1113" s="1" t="s">
        <v>1216</v>
      </c>
      <c r="B1113">
        <v>9.601469444678127</v>
      </c>
      <c r="C1113">
        <v>2.6374764983732899E-2</v>
      </c>
      <c r="D1113">
        <v>5.0598835292825002E-2</v>
      </c>
      <c r="E1113">
        <v>30.910975638685539</v>
      </c>
      <c r="F1113">
        <v>-0.115119105493437</v>
      </c>
      <c r="G1113">
        <v>0</v>
      </c>
      <c r="H1113">
        <v>-0.18838270812585051</v>
      </c>
      <c r="I1113">
        <v>0.45892965632612898</v>
      </c>
      <c r="J1113">
        <v>-0.13828528144676411</v>
      </c>
      <c r="K1113">
        <v>-3.01318769148794E-2</v>
      </c>
      <c r="L1113">
        <v>0</v>
      </c>
      <c r="M1113">
        <v>168525806.5</v>
      </c>
      <c r="N1113">
        <v>0</v>
      </c>
      <c r="O1113" t="b">
        <v>1</v>
      </c>
    </row>
    <row r="1114" spans="1:15" x14ac:dyDescent="0.3">
      <c r="A1114" s="1" t="s">
        <v>1217</v>
      </c>
      <c r="B1114">
        <v>1.8903804672433451</v>
      </c>
      <c r="C1114">
        <v>1.8431946833495961E-2</v>
      </c>
      <c r="D1114">
        <v>3.6173946957878247E-2</v>
      </c>
      <c r="E1114">
        <v>61.24197330479678</v>
      </c>
      <c r="F1114">
        <v>1.8167378139581029E-2</v>
      </c>
      <c r="G1114">
        <v>0.6</v>
      </c>
      <c r="H1114">
        <v>-0.19773421125380911</v>
      </c>
      <c r="I1114">
        <v>0.48820941632696391</v>
      </c>
      <c r="J1114">
        <v>0</v>
      </c>
      <c r="K1114">
        <v>3.5854964145035861E-2</v>
      </c>
      <c r="L1114">
        <v>0</v>
      </c>
      <c r="M1114">
        <v>96514387.5</v>
      </c>
      <c r="N1114">
        <v>0</v>
      </c>
      <c r="O1114" t="b">
        <v>1</v>
      </c>
    </row>
    <row r="1115" spans="1:15" x14ac:dyDescent="0.3">
      <c r="A1115" s="1" t="s">
        <v>1218</v>
      </c>
      <c r="B1115">
        <v>11.6927730935545</v>
      </c>
      <c r="C1115">
        <v>2.612443159559073E-2</v>
      </c>
      <c r="D1115">
        <v>6.1441530005809021E-2</v>
      </c>
      <c r="E1115">
        <v>63.377637782486246</v>
      </c>
      <c r="F1115">
        <v>1.4828586976237901E-2</v>
      </c>
      <c r="G1115">
        <v>0.8</v>
      </c>
      <c r="H1115">
        <v>0.1279790877189256</v>
      </c>
      <c r="I1115">
        <v>1.1140260492997189</v>
      </c>
      <c r="J1115">
        <v>0</v>
      </c>
      <c r="K1115">
        <v>2.538373424971363E-2</v>
      </c>
      <c r="L1115">
        <v>0</v>
      </c>
      <c r="M1115">
        <v>59790498.5</v>
      </c>
      <c r="N1115">
        <v>0</v>
      </c>
      <c r="O1115" t="b">
        <v>0</v>
      </c>
    </row>
    <row r="1116" spans="1:15" x14ac:dyDescent="0.3">
      <c r="A1116" s="1" t="s">
        <v>1219</v>
      </c>
      <c r="B1116">
        <v>4.3574470915203563</v>
      </c>
      <c r="C1116">
        <v>4.6178964513780799E-2</v>
      </c>
      <c r="D1116">
        <v>5.9665112335735578E-2</v>
      </c>
      <c r="E1116">
        <v>39.090474259017647</v>
      </c>
      <c r="F1116">
        <v>-0.1044039483675019</v>
      </c>
      <c r="G1116">
        <v>0.8</v>
      </c>
      <c r="H1116">
        <v>-0.1850126634818022</v>
      </c>
      <c r="I1116">
        <v>1.3295957096150739</v>
      </c>
      <c r="J1116">
        <v>-9.8586167367214483E-2</v>
      </c>
      <c r="K1116">
        <v>-4.6868686868686837E-2</v>
      </c>
      <c r="L1116">
        <v>0</v>
      </c>
      <c r="M1116">
        <v>659283202.5</v>
      </c>
      <c r="N1116">
        <v>0</v>
      </c>
      <c r="O1116" t="b">
        <v>1</v>
      </c>
    </row>
    <row r="1117" spans="1:15" x14ac:dyDescent="0.3">
      <c r="A1117" s="1" t="s">
        <v>92</v>
      </c>
      <c r="B1117">
        <v>4.1770884534666806</v>
      </c>
      <c r="C1117">
        <v>4.6458552479887449E-2</v>
      </c>
      <c r="D1117">
        <v>3.5969302635969397E-2</v>
      </c>
      <c r="E1117">
        <v>72.034815169398627</v>
      </c>
      <c r="F1117">
        <v>0.18193768897068499</v>
      </c>
      <c r="G1117">
        <v>0.6</v>
      </c>
      <c r="H1117">
        <v>5.9438959628783233E-2</v>
      </c>
      <c r="I1117">
        <v>1.78128884376399</v>
      </c>
      <c r="J1117">
        <v>-1.5332384185740899E-2</v>
      </c>
      <c r="K1117">
        <v>-1.5332384185740899E-2</v>
      </c>
      <c r="L1117">
        <v>0</v>
      </c>
      <c r="M1117">
        <v>191000772</v>
      </c>
      <c r="N1117">
        <v>0</v>
      </c>
      <c r="O1117" t="b">
        <v>1</v>
      </c>
    </row>
    <row r="1118" spans="1:15" x14ac:dyDescent="0.3">
      <c r="A1118" s="1" t="s">
        <v>1220</v>
      </c>
      <c r="B1118">
        <v>0.71184970614262144</v>
      </c>
      <c r="C1118">
        <v>1.9839735399738611E-2</v>
      </c>
      <c r="D1118">
        <v>2.5641025641025689E-2</v>
      </c>
      <c r="E1118">
        <v>31.022509509004419</v>
      </c>
      <c r="F1118">
        <v>-4.9032600053008017E-2</v>
      </c>
      <c r="G1118">
        <v>0.2</v>
      </c>
      <c r="H1118">
        <v>-5.0075155494890347E-2</v>
      </c>
      <c r="I1118">
        <v>5.3727708966292538E-2</v>
      </c>
      <c r="J1118">
        <v>-8.352490421455927E-2</v>
      </c>
      <c r="K1118">
        <v>-1.9136139967195102E-2</v>
      </c>
      <c r="L1118">
        <v>0</v>
      </c>
      <c r="M1118">
        <v>32547621.5</v>
      </c>
      <c r="N1118">
        <v>0</v>
      </c>
      <c r="O1118" t="b">
        <v>0</v>
      </c>
    </row>
    <row r="1119" spans="1:15" x14ac:dyDescent="0.3">
      <c r="A1119" s="1" t="s">
        <v>1221</v>
      </c>
      <c r="B1119">
        <v>9.6381440594698162</v>
      </c>
      <c r="C1119">
        <v>3.7339780177707331E-2</v>
      </c>
      <c r="D1119">
        <v>6.9475437780876975E-2</v>
      </c>
      <c r="E1119">
        <v>45.845084361507432</v>
      </c>
      <c r="F1119">
        <v>-1.7359524897213371E-2</v>
      </c>
      <c r="G1119">
        <v>0.2</v>
      </c>
      <c r="H1119">
        <v>-0.22101024192714619</v>
      </c>
      <c r="I1119">
        <v>0.96684155808979089</v>
      </c>
      <c r="J1119">
        <v>-2.3330785588339901E-2</v>
      </c>
      <c r="K1119">
        <v>4.8569246518581188E-2</v>
      </c>
      <c r="L1119">
        <v>0</v>
      </c>
      <c r="M1119">
        <v>546586932.49399996</v>
      </c>
      <c r="N1119">
        <v>0</v>
      </c>
      <c r="O1119" t="b">
        <v>1</v>
      </c>
    </row>
    <row r="1120" spans="1:15" x14ac:dyDescent="0.3">
      <c r="A1120" s="1" t="s">
        <v>1222</v>
      </c>
      <c r="B1120">
        <v>12.297347655354709</v>
      </c>
      <c r="C1120">
        <v>5.1645658121686262E-2</v>
      </c>
      <c r="D1120">
        <v>3.6579732056612517E-2</v>
      </c>
      <c r="E1120">
        <v>64.907049379537597</v>
      </c>
      <c r="F1120">
        <v>0.16611979039130231</v>
      </c>
      <c r="G1120">
        <v>0.8</v>
      </c>
      <c r="H1120">
        <v>-3.3042093931188267E-2</v>
      </c>
      <c r="I1120">
        <v>3.0867329135526291</v>
      </c>
      <c r="J1120">
        <v>0</v>
      </c>
      <c r="K1120">
        <v>8.4706280970734404E-3</v>
      </c>
      <c r="L1120">
        <v>0</v>
      </c>
      <c r="M1120">
        <v>971287065</v>
      </c>
      <c r="N1120">
        <v>0</v>
      </c>
      <c r="O1120" t="b">
        <v>1</v>
      </c>
    </row>
    <row r="1121" spans="1:15" x14ac:dyDescent="0.3">
      <c r="A1121" s="1" t="s">
        <v>1223</v>
      </c>
      <c r="B1121">
        <v>0.78327062084143795</v>
      </c>
      <c r="C1121">
        <v>1.1202126679616E-2</v>
      </c>
      <c r="D1121">
        <v>1.8510732019862142E-2</v>
      </c>
      <c r="E1121">
        <v>68.411756967107891</v>
      </c>
      <c r="F1121">
        <v>3.360927152317883E-2</v>
      </c>
      <c r="G1121">
        <v>0.6</v>
      </c>
      <c r="H1121">
        <v>1.8217796765091381E-2</v>
      </c>
      <c r="I1121">
        <v>0.91417773413821535</v>
      </c>
      <c r="J1121">
        <v>0</v>
      </c>
      <c r="K1121">
        <v>1.608522597642659E-2</v>
      </c>
      <c r="L1121">
        <v>0</v>
      </c>
      <c r="M1121">
        <v>64831613.593500003</v>
      </c>
      <c r="N1121">
        <v>0</v>
      </c>
      <c r="O1121" t="b">
        <v>0</v>
      </c>
    </row>
    <row r="1122" spans="1:15" x14ac:dyDescent="0.3">
      <c r="A1122" s="1" t="s">
        <v>1224</v>
      </c>
      <c r="B1122">
        <v>0.2111525810499523</v>
      </c>
      <c r="C1122">
        <v>1.5234673957428019E-2</v>
      </c>
      <c r="D1122">
        <v>9.3795093795094354E-3</v>
      </c>
      <c r="E1122">
        <v>46.577767957675952</v>
      </c>
      <c r="F1122">
        <v>2.5147928994082799E-2</v>
      </c>
      <c r="G1122">
        <v>0.6</v>
      </c>
      <c r="H1122">
        <v>-9.9577416581810019E-2</v>
      </c>
      <c r="I1122">
        <v>-2.2099114227820311E-2</v>
      </c>
      <c r="J1122">
        <v>-2.325581395348841E-2</v>
      </c>
      <c r="K1122">
        <v>2.8943560057885791E-3</v>
      </c>
      <c r="L1122">
        <v>0</v>
      </c>
      <c r="M1122">
        <v>20003721.831599999</v>
      </c>
      <c r="N1122">
        <v>0</v>
      </c>
      <c r="O1122" t="b">
        <v>0</v>
      </c>
    </row>
    <row r="1123" spans="1:15" x14ac:dyDescent="0.3">
      <c r="A1123" s="1" t="s">
        <v>1225</v>
      </c>
      <c r="B1123">
        <v>0.42502715011453812</v>
      </c>
      <c r="C1123">
        <v>1.036199196240027E-2</v>
      </c>
      <c r="D1123">
        <v>1.132920017845869E-2</v>
      </c>
      <c r="E1123">
        <v>62.062596852290049</v>
      </c>
      <c r="F1123">
        <v>1.2202826021508351E-2</v>
      </c>
      <c r="G1123">
        <v>0.6</v>
      </c>
      <c r="H1123">
        <v>-4.1451861974149424E-3</v>
      </c>
      <c r="I1123">
        <v>0.93670295830737804</v>
      </c>
      <c r="J1123">
        <v>0</v>
      </c>
      <c r="K1123">
        <v>7.77614529229953E-3</v>
      </c>
      <c r="L1123">
        <v>0</v>
      </c>
      <c r="M1123">
        <v>18436228.425999999</v>
      </c>
      <c r="N1123">
        <v>0</v>
      </c>
      <c r="O1123" t="b">
        <v>0</v>
      </c>
    </row>
    <row r="1124" spans="1:15" x14ac:dyDescent="0.3">
      <c r="A1124" s="1" t="s">
        <v>1226</v>
      </c>
      <c r="B1124">
        <v>0.236246303503854</v>
      </c>
      <c r="C1124">
        <v>9.5751331827168273E-3</v>
      </c>
      <c r="D1124">
        <v>8.9815141308884922E-3</v>
      </c>
      <c r="E1124">
        <v>43.564716075612751</v>
      </c>
      <c r="F1124">
        <v>-1.649087560689777E-2</v>
      </c>
      <c r="G1124">
        <v>0.2</v>
      </c>
      <c r="H1124">
        <v>-0.14695835146513259</v>
      </c>
      <c r="I1124">
        <v>0.36875140781954191</v>
      </c>
      <c r="J1124">
        <v>-2.4913746428331551E-2</v>
      </c>
      <c r="K1124">
        <v>4.0082362132951577E-3</v>
      </c>
      <c r="L1124">
        <v>0</v>
      </c>
      <c r="M1124">
        <v>20592453.909249999</v>
      </c>
      <c r="N1124">
        <v>0</v>
      </c>
      <c r="O1124" t="b">
        <v>0</v>
      </c>
    </row>
    <row r="1125" spans="1:15" x14ac:dyDescent="0.3">
      <c r="A1125" s="1" t="s">
        <v>1227</v>
      </c>
      <c r="B1125">
        <v>1.1024438982268321</v>
      </c>
      <c r="C1125">
        <v>1.6590278252715258E-2</v>
      </c>
      <c r="D1125">
        <v>1.696432871039185E-2</v>
      </c>
      <c r="E1125">
        <v>30.28245270182704</v>
      </c>
      <c r="F1125">
        <v>-4.1232740336752727E-2</v>
      </c>
      <c r="G1125">
        <v>0</v>
      </c>
      <c r="H1125">
        <v>-0.1823286908526878</v>
      </c>
      <c r="I1125">
        <v>0.32482356186740552</v>
      </c>
      <c r="J1125">
        <v>-5.6974995033065468E-2</v>
      </c>
      <c r="K1125">
        <v>-8.7044470997856838E-3</v>
      </c>
      <c r="L1125">
        <v>0</v>
      </c>
      <c r="M1125">
        <v>73652864.390049994</v>
      </c>
      <c r="N1125">
        <v>0</v>
      </c>
      <c r="O1125" t="b">
        <v>0</v>
      </c>
    </row>
    <row r="1126" spans="1:15" x14ac:dyDescent="0.3">
      <c r="A1126" s="1" t="s">
        <v>1228</v>
      </c>
      <c r="B1126">
        <v>22.540381272882019</v>
      </c>
      <c r="C1126">
        <v>3.1075693363482981E-2</v>
      </c>
      <c r="D1126">
        <v>4.8883417110367852E-2</v>
      </c>
      <c r="E1126">
        <v>56.114351386594862</v>
      </c>
      <c r="F1126">
        <v>0.1105500555781815</v>
      </c>
      <c r="G1126">
        <v>0.2</v>
      </c>
      <c r="H1126">
        <v>0.1299925175417237</v>
      </c>
      <c r="I1126">
        <v>0.18579910916649919</v>
      </c>
      <c r="J1126">
        <v>-7.7617011752677545E-2</v>
      </c>
      <c r="K1126">
        <v>4.8558145451811807E-2</v>
      </c>
      <c r="L1126">
        <v>0</v>
      </c>
      <c r="M1126">
        <v>604634552.40549994</v>
      </c>
      <c r="N1126">
        <v>0</v>
      </c>
      <c r="O1126" t="b">
        <v>1</v>
      </c>
    </row>
    <row r="1127" spans="1:15" x14ac:dyDescent="0.3">
      <c r="A1127" s="1" t="s">
        <v>1229</v>
      </c>
      <c r="B1127">
        <v>0.64698815805722509</v>
      </c>
      <c r="C1127">
        <v>1.6142419113204218E-2</v>
      </c>
      <c r="D1127">
        <v>1.5718562874251558E-2</v>
      </c>
      <c r="E1127">
        <v>38.980333446213493</v>
      </c>
      <c r="F1127">
        <v>-4.6395431834404088E-2</v>
      </c>
      <c r="G1127">
        <v>0.6</v>
      </c>
      <c r="H1127">
        <v>-0.24714563512390611</v>
      </c>
      <c r="I1127">
        <v>0.46857122441700738</v>
      </c>
      <c r="J1127">
        <v>-5.6497175141242861E-2</v>
      </c>
      <c r="K1127">
        <v>1.365705614567525E-2</v>
      </c>
      <c r="L1127">
        <v>0</v>
      </c>
      <c r="M1127">
        <v>45469378.140500002</v>
      </c>
      <c r="N1127">
        <v>0</v>
      </c>
      <c r="O1127" t="b">
        <v>0</v>
      </c>
    </row>
    <row r="1128" spans="1:15" x14ac:dyDescent="0.3">
      <c r="A1128" s="1" t="s">
        <v>1230</v>
      </c>
      <c r="B1128">
        <v>0.83371214055658038</v>
      </c>
      <c r="C1128">
        <v>2.0657710428475369E-2</v>
      </c>
      <c r="D1128">
        <v>3.2843224706628732E-2</v>
      </c>
      <c r="E1128">
        <v>47.812737188857312</v>
      </c>
      <c r="F1128">
        <v>-1.899615701545199E-2</v>
      </c>
      <c r="G1128">
        <v>0.2</v>
      </c>
      <c r="H1128">
        <v>-0.124048255944222</v>
      </c>
      <c r="I1128">
        <v>0.76799377585432549</v>
      </c>
      <c r="J1128">
        <v>-3.3634955259547288E-2</v>
      </c>
      <c r="K1128">
        <v>2.900239413170036E-2</v>
      </c>
      <c r="L1128">
        <v>0</v>
      </c>
      <c r="M1128">
        <v>84316087.642499998</v>
      </c>
      <c r="N1128">
        <v>0</v>
      </c>
      <c r="O1128" t="b">
        <v>0</v>
      </c>
    </row>
    <row r="1129" spans="1:15" x14ac:dyDescent="0.3">
      <c r="A1129" s="1" t="s">
        <v>1231</v>
      </c>
      <c r="B1129">
        <v>0.56673093873567093</v>
      </c>
      <c r="C1129">
        <v>2.0897697902809841E-2</v>
      </c>
      <c r="D1129">
        <v>3.8349072431810648E-2</v>
      </c>
      <c r="E1129">
        <v>77.829816633940368</v>
      </c>
      <c r="F1129">
        <v>0.1049573610720644</v>
      </c>
      <c r="G1129">
        <v>0.8</v>
      </c>
      <c r="H1129">
        <v>-2.0033593204773659E-2</v>
      </c>
      <c r="I1129">
        <v>0.9394896538733889</v>
      </c>
      <c r="J1129">
        <v>0</v>
      </c>
      <c r="K1129">
        <v>3.5554180890630123E-2</v>
      </c>
      <c r="L1129">
        <v>0</v>
      </c>
      <c r="M1129">
        <v>243248069.90459999</v>
      </c>
      <c r="N1129">
        <v>0</v>
      </c>
      <c r="O1129" t="b">
        <v>1</v>
      </c>
    </row>
    <row r="1130" spans="1:15" x14ac:dyDescent="0.3">
      <c r="A1130" s="1" t="s">
        <v>1232</v>
      </c>
      <c r="B1130">
        <v>4.533745762742285</v>
      </c>
      <c r="C1130">
        <v>2.3033463711584361E-2</v>
      </c>
      <c r="D1130">
        <v>2.9039845960788992E-2</v>
      </c>
      <c r="E1130">
        <v>61.90356509139864</v>
      </c>
      <c r="F1130">
        <v>5.9039061659313267E-2</v>
      </c>
      <c r="G1130">
        <v>0.8</v>
      </c>
      <c r="H1130">
        <v>-2.437561789443048E-2</v>
      </c>
      <c r="I1130">
        <v>0.1710142206727544</v>
      </c>
      <c r="J1130">
        <v>0</v>
      </c>
      <c r="K1130">
        <v>2.408911411372339E-2</v>
      </c>
      <c r="L1130">
        <v>0</v>
      </c>
      <c r="M1130">
        <v>77302611.066500008</v>
      </c>
      <c r="N1130">
        <v>0</v>
      </c>
      <c r="O1130" t="b">
        <v>0</v>
      </c>
    </row>
    <row r="1131" spans="1:15" x14ac:dyDescent="0.3">
      <c r="A1131" s="1" t="s">
        <v>1233</v>
      </c>
      <c r="B1131">
        <v>1.483175785014297</v>
      </c>
      <c r="C1131">
        <v>9.0658666565666096E-2</v>
      </c>
      <c r="D1131">
        <v>5.4400977995109838E-2</v>
      </c>
      <c r="E1131">
        <v>63.22315709231227</v>
      </c>
      <c r="F1131">
        <v>0.1829356471438901</v>
      </c>
      <c r="G1131">
        <v>0.6</v>
      </c>
      <c r="H1131">
        <v>6.8567166472912333E-2</v>
      </c>
      <c r="I1131">
        <v>1.1555001755962511</v>
      </c>
      <c r="J1131">
        <v>-3.6513545347467653E-2</v>
      </c>
      <c r="K1131">
        <v>-1.445783132530132E-2</v>
      </c>
      <c r="L1131">
        <v>3.968253968253968E-3</v>
      </c>
      <c r="M1131">
        <v>2576115</v>
      </c>
      <c r="N1131">
        <v>0</v>
      </c>
      <c r="O1131" t="b">
        <v>0</v>
      </c>
    </row>
    <row r="1132" spans="1:15" x14ac:dyDescent="0.3">
      <c r="A1132" s="1" t="s">
        <v>1234</v>
      </c>
      <c r="B1132">
        <v>5.7956279114775713</v>
      </c>
      <c r="C1132">
        <v>3.5382343781914349E-2</v>
      </c>
      <c r="D1132">
        <v>2.7289377289377279E-2</v>
      </c>
      <c r="E1132">
        <v>56.210009919458031</v>
      </c>
      <c r="F1132">
        <v>0.12453659206371</v>
      </c>
      <c r="G1132">
        <v>0.2</v>
      </c>
      <c r="H1132">
        <v>0.17236132060365239</v>
      </c>
      <c r="I1132">
        <v>1.50174059431545</v>
      </c>
      <c r="J1132">
        <v>-4.6343735444806633E-2</v>
      </c>
      <c r="K1132">
        <v>1.9480923632289929E-2</v>
      </c>
      <c r="L1132">
        <v>0</v>
      </c>
      <c r="M1132">
        <v>95298123</v>
      </c>
      <c r="N1132">
        <v>0</v>
      </c>
      <c r="O1132" t="b">
        <v>1</v>
      </c>
    </row>
    <row r="1133" spans="1:15" x14ac:dyDescent="0.3">
      <c r="A1133" s="1" t="s">
        <v>1235</v>
      </c>
      <c r="B1133">
        <v>6.0471744253207991</v>
      </c>
      <c r="C1133">
        <v>2.8937587273575049E-2</v>
      </c>
      <c r="D1133">
        <v>3.5621826743167717E-2</v>
      </c>
      <c r="E1133">
        <v>66.546067005024312</v>
      </c>
      <c r="F1133">
        <v>0.13365882767786921</v>
      </c>
      <c r="G1133">
        <v>0.6</v>
      </c>
      <c r="H1133">
        <v>5.2245296445615243E-2</v>
      </c>
      <c r="I1133">
        <v>1.0621411033301189</v>
      </c>
      <c r="J1133">
        <v>0</v>
      </c>
      <c r="K1133">
        <v>3.0916697088394059E-2</v>
      </c>
      <c r="L1133">
        <v>0</v>
      </c>
      <c r="M1133">
        <v>109620605.15350001</v>
      </c>
      <c r="N1133">
        <v>0</v>
      </c>
      <c r="O1133" t="b">
        <v>1</v>
      </c>
    </row>
    <row r="1134" spans="1:15" x14ac:dyDescent="0.3">
      <c r="A1134" s="1" t="s">
        <v>1236</v>
      </c>
      <c r="B1134">
        <v>2.8501465754651991</v>
      </c>
      <c r="C1134">
        <v>0.1091174033485911</v>
      </c>
      <c r="D1134">
        <v>8.1546707503828447E-2</v>
      </c>
      <c r="E1134">
        <v>43.799050568447022</v>
      </c>
      <c r="F1134">
        <v>-0.21039903264812571</v>
      </c>
      <c r="G1134">
        <v>0.4</v>
      </c>
      <c r="H1134">
        <v>0.11942253450768291</v>
      </c>
      <c r="I1134">
        <v>3.49444329564857</v>
      </c>
      <c r="J1134">
        <v>-0.16815286624203821</v>
      </c>
      <c r="K1134">
        <v>-7.4415308291991389E-2</v>
      </c>
      <c r="L1134">
        <v>0</v>
      </c>
      <c r="M1134">
        <v>789724225.5</v>
      </c>
      <c r="N1134">
        <v>0</v>
      </c>
      <c r="O1134" t="b">
        <v>1</v>
      </c>
    </row>
    <row r="1135" spans="1:15" x14ac:dyDescent="0.3">
      <c r="A1135" s="1" t="s">
        <v>1237</v>
      </c>
      <c r="B1135">
        <v>1.293556782749743</v>
      </c>
      <c r="C1135">
        <v>1.744137182468709E-2</v>
      </c>
      <c r="D1135">
        <v>2.5313485963918889E-2</v>
      </c>
      <c r="E1135">
        <v>72.781458612530798</v>
      </c>
      <c r="F1135">
        <v>8.464869497308336E-2</v>
      </c>
      <c r="G1135">
        <v>0.4</v>
      </c>
      <c r="H1135">
        <v>0.2097360854905764</v>
      </c>
      <c r="I1135">
        <v>0.90155770489767029</v>
      </c>
      <c r="J1135">
        <v>0</v>
      </c>
      <c r="K1135">
        <v>2.473053950129955E-2</v>
      </c>
      <c r="L1135">
        <v>0</v>
      </c>
      <c r="M1135">
        <v>187097836.52000001</v>
      </c>
      <c r="N1135">
        <v>0</v>
      </c>
      <c r="O1135" t="b">
        <v>1</v>
      </c>
    </row>
    <row r="1136" spans="1:15" x14ac:dyDescent="0.3">
      <c r="A1136" s="1" t="s">
        <v>1238</v>
      </c>
      <c r="B1136">
        <v>0.90198039651292272</v>
      </c>
      <c r="C1136">
        <v>5.1541736943595581E-2</v>
      </c>
      <c r="D1136">
        <v>5.457142857142868E-2</v>
      </c>
      <c r="E1136">
        <v>62.898093115363892</v>
      </c>
      <c r="F1136">
        <v>6.6422912858013383E-2</v>
      </c>
      <c r="G1136">
        <v>0.4</v>
      </c>
      <c r="H1136">
        <v>8.8454812656430237E-2</v>
      </c>
      <c r="I1136">
        <v>2.071796267366286</v>
      </c>
      <c r="J1136">
        <v>-3.100775193798444E-2</v>
      </c>
      <c r="K1136">
        <v>-1.1857707509881471E-2</v>
      </c>
      <c r="L1136">
        <v>0</v>
      </c>
      <c r="M1136">
        <v>453201281</v>
      </c>
      <c r="N1136">
        <v>0</v>
      </c>
      <c r="O1136" t="b">
        <v>1</v>
      </c>
    </row>
    <row r="1137" spans="1:15" x14ac:dyDescent="0.3">
      <c r="A1137" s="1" t="s">
        <v>1239</v>
      </c>
      <c r="B1137">
        <v>3.282911021223045</v>
      </c>
      <c r="C1137">
        <v>1.973152273557988E-2</v>
      </c>
      <c r="D1137">
        <v>1.7369980586492379E-2</v>
      </c>
      <c r="E1137">
        <v>65.366497440373436</v>
      </c>
      <c r="F1137">
        <v>3.09446354989622E-2</v>
      </c>
      <c r="G1137">
        <v>1</v>
      </c>
      <c r="H1137">
        <v>-8.0287556457953185E-2</v>
      </c>
      <c r="I1137">
        <v>0.72824325392904954</v>
      </c>
      <c r="J1137">
        <v>0</v>
      </c>
      <c r="K1137">
        <v>1.2191634980988519E-2</v>
      </c>
      <c r="L1137">
        <v>0</v>
      </c>
      <c r="M1137">
        <v>174800607.60299999</v>
      </c>
      <c r="N1137">
        <v>0</v>
      </c>
      <c r="O1137" t="b">
        <v>1</v>
      </c>
    </row>
    <row r="1138" spans="1:15" x14ac:dyDescent="0.3">
      <c r="A1138" s="1" t="s">
        <v>1240</v>
      </c>
      <c r="B1138">
        <v>3.7457461005042449</v>
      </c>
      <c r="C1138">
        <v>6.5120759744510509E-2</v>
      </c>
      <c r="D1138">
        <v>0.11439499304589699</v>
      </c>
      <c r="E1138">
        <v>65.43892135493104</v>
      </c>
      <c r="F1138">
        <v>0.1082851637764934</v>
      </c>
      <c r="G1138">
        <v>0.8</v>
      </c>
      <c r="H1138">
        <v>6.8091045572114511E-2</v>
      </c>
      <c r="I1138">
        <v>3.2840572746218979</v>
      </c>
      <c r="J1138">
        <v>0</v>
      </c>
      <c r="K1138">
        <v>7.6548755380872135E-2</v>
      </c>
      <c r="L1138">
        <v>0</v>
      </c>
      <c r="M1138">
        <v>623207117</v>
      </c>
      <c r="N1138">
        <v>0</v>
      </c>
      <c r="O1138" t="b">
        <v>1</v>
      </c>
    </row>
    <row r="1139" spans="1:15" x14ac:dyDescent="0.3">
      <c r="A1139" s="1" t="s">
        <v>1241</v>
      </c>
      <c r="B1139">
        <v>0.85108599399428442</v>
      </c>
      <c r="C1139">
        <v>4.4235238773091712E-2</v>
      </c>
      <c r="D1139">
        <v>4.0904365904366052E-2</v>
      </c>
      <c r="E1139">
        <v>57.479168962136661</v>
      </c>
      <c r="F1139">
        <v>0.12646370023419201</v>
      </c>
      <c r="G1139">
        <v>0.4</v>
      </c>
      <c r="H1139">
        <v>-6.1508672520172197E-2</v>
      </c>
      <c r="I1139">
        <v>1.548947294574829</v>
      </c>
      <c r="J1139">
        <v>-5.2683407188577107E-2</v>
      </c>
      <c r="K1139">
        <v>1.316482359136395E-2</v>
      </c>
      <c r="L1139">
        <v>0</v>
      </c>
      <c r="M1139">
        <v>208082339</v>
      </c>
      <c r="N1139">
        <v>0</v>
      </c>
      <c r="O1139" t="b">
        <v>1</v>
      </c>
    </row>
    <row r="1140" spans="1:15" x14ac:dyDescent="0.3">
      <c r="A1140" s="1" t="s">
        <v>1242</v>
      </c>
      <c r="B1140">
        <v>10.587779285410861</v>
      </c>
      <c r="C1140">
        <v>2.9674518803159369E-2</v>
      </c>
      <c r="D1140">
        <v>3.3853984198297653E-2</v>
      </c>
      <c r="E1140">
        <v>57.577747990472318</v>
      </c>
      <c r="F1140">
        <v>6.8686445120033524E-2</v>
      </c>
      <c r="G1140">
        <v>0.4</v>
      </c>
      <c r="H1140">
        <v>9.1198598143652582E-2</v>
      </c>
      <c r="I1140">
        <v>1.466692063982578</v>
      </c>
      <c r="J1140">
        <v>-3.6420791664753649E-2</v>
      </c>
      <c r="K1140">
        <v>6.1049200297773609E-3</v>
      </c>
      <c r="L1140">
        <v>0</v>
      </c>
      <c r="M1140">
        <v>183099237.40200001</v>
      </c>
      <c r="N1140">
        <v>0</v>
      </c>
      <c r="O1140" t="b">
        <v>1</v>
      </c>
    </row>
    <row r="1141" spans="1:15" x14ac:dyDescent="0.3">
      <c r="A1141" s="1" t="s">
        <v>1243</v>
      </c>
      <c r="B1141">
        <v>5.272153835318357</v>
      </c>
      <c r="C1141">
        <v>4.9346254542478069E-2</v>
      </c>
      <c r="D1141">
        <v>4.5956570572819128E-2</v>
      </c>
      <c r="E1141">
        <v>61.960383508702499</v>
      </c>
      <c r="F1141">
        <v>-3.3996383363471883E-2</v>
      </c>
      <c r="G1141">
        <v>1</v>
      </c>
      <c r="H1141">
        <v>8.017106100412888E-2</v>
      </c>
      <c r="I1141">
        <v>3.599554505890473</v>
      </c>
      <c r="J1141">
        <v>0</v>
      </c>
      <c r="K1141">
        <v>2.0341896666985049E-2</v>
      </c>
      <c r="L1141">
        <v>0</v>
      </c>
      <c r="M1141">
        <v>68905189.5</v>
      </c>
      <c r="N1141">
        <v>0</v>
      </c>
      <c r="O1141" t="b">
        <v>0</v>
      </c>
    </row>
    <row r="1142" spans="1:15" x14ac:dyDescent="0.3">
      <c r="A1142" s="1" t="s">
        <v>1244</v>
      </c>
      <c r="B1142">
        <v>6.5576192379096412</v>
      </c>
      <c r="C1142">
        <v>2.613440687197718E-2</v>
      </c>
      <c r="D1142">
        <v>5.3559116687058463E-2</v>
      </c>
      <c r="E1142">
        <v>48.794991962588547</v>
      </c>
      <c r="F1142">
        <v>7.9901980476440038E-3</v>
      </c>
      <c r="G1142">
        <v>0.6</v>
      </c>
      <c r="H1142">
        <v>-0.15946889212792251</v>
      </c>
      <c r="I1142">
        <v>0.44641027867480532</v>
      </c>
      <c r="J1142">
        <v>-1.968299362783588E-2</v>
      </c>
      <c r="K1142">
        <v>2.0203293352307531E-2</v>
      </c>
      <c r="L1142">
        <v>0</v>
      </c>
      <c r="M1142">
        <v>231162496.46399999</v>
      </c>
      <c r="N1142">
        <v>0</v>
      </c>
      <c r="O1142" t="b">
        <v>1</v>
      </c>
    </row>
    <row r="1143" spans="1:15" x14ac:dyDescent="0.3">
      <c r="A1143" s="1" t="s">
        <v>1245</v>
      </c>
      <c r="B1143">
        <v>5.4658186798991579</v>
      </c>
      <c r="C1143">
        <v>2.0603183986954491E-2</v>
      </c>
      <c r="D1143">
        <v>2.197595084624367E-2</v>
      </c>
      <c r="E1143">
        <v>55.42670870089249</v>
      </c>
      <c r="F1143">
        <v>-8.6322869955156589E-3</v>
      </c>
      <c r="G1143">
        <v>0.4</v>
      </c>
      <c r="H1143">
        <v>3.5560146122730563E-2</v>
      </c>
      <c r="I1143">
        <v>-0.24755405462070429</v>
      </c>
      <c r="J1143">
        <v>-1.2617239839213919E-2</v>
      </c>
      <c r="K1143">
        <v>7.1371625982308276E-3</v>
      </c>
      <c r="L1143">
        <v>0</v>
      </c>
      <c r="M1143">
        <v>103113963.51199999</v>
      </c>
      <c r="N1143">
        <v>0</v>
      </c>
      <c r="O1143" t="b">
        <v>1</v>
      </c>
    </row>
    <row r="1144" spans="1:15" x14ac:dyDescent="0.3">
      <c r="A1144" s="1" t="s">
        <v>1246</v>
      </c>
      <c r="B1144">
        <v>0.61198019887880994</v>
      </c>
      <c r="C1144">
        <v>3.0236175833933301E-2</v>
      </c>
      <c r="D1144">
        <v>2.0750988142292402E-2</v>
      </c>
      <c r="E1144">
        <v>51.565856488837859</v>
      </c>
      <c r="F1144">
        <v>-4.3930089749645851E-2</v>
      </c>
      <c r="G1144">
        <v>0.4</v>
      </c>
      <c r="H1144">
        <v>0.24562729557020771</v>
      </c>
      <c r="I1144">
        <v>0.40517529598515861</v>
      </c>
      <c r="J1144">
        <v>-5.065666041275807E-2</v>
      </c>
      <c r="K1144">
        <v>-9.3000489476261494E-3</v>
      </c>
      <c r="L1144">
        <v>0</v>
      </c>
      <c r="M1144">
        <v>66455540</v>
      </c>
      <c r="N1144">
        <v>0</v>
      </c>
      <c r="O1144" t="b">
        <v>0</v>
      </c>
    </row>
    <row r="1145" spans="1:15" x14ac:dyDescent="0.3">
      <c r="A1145" s="1" t="s">
        <v>1247</v>
      </c>
      <c r="B1145">
        <v>8.9771033802624824</v>
      </c>
      <c r="C1145">
        <v>2.1959109073316409E-2</v>
      </c>
      <c r="D1145">
        <v>3.0958146816369481E-2</v>
      </c>
      <c r="E1145">
        <v>70.118383569662896</v>
      </c>
      <c r="F1145">
        <v>5.2389055215608327E-2</v>
      </c>
      <c r="G1145">
        <v>0.6</v>
      </c>
      <c r="H1145">
        <v>0.17768057033510681</v>
      </c>
      <c r="I1145">
        <v>1.311095581592103</v>
      </c>
      <c r="J1145">
        <v>0</v>
      </c>
      <c r="K1145">
        <v>2.4011582469991799E-2</v>
      </c>
      <c r="L1145">
        <v>0</v>
      </c>
      <c r="M1145">
        <v>265099708.49399999</v>
      </c>
      <c r="N1145">
        <v>0</v>
      </c>
      <c r="O1145" t="b">
        <v>1</v>
      </c>
    </row>
    <row r="1146" spans="1:15" x14ac:dyDescent="0.3">
      <c r="A1146" s="1" t="s">
        <v>1248</v>
      </c>
      <c r="B1146">
        <v>4.4500220945741367</v>
      </c>
      <c r="C1146">
        <v>4.2236352454196442E-2</v>
      </c>
      <c r="D1146">
        <v>3.2033029612756267E-2</v>
      </c>
      <c r="E1146">
        <v>61.755419917220458</v>
      </c>
      <c r="F1146">
        <v>3.428571428571336E-3</v>
      </c>
      <c r="G1146">
        <v>0.8</v>
      </c>
      <c r="H1146">
        <v>4.2577387140429412E-2</v>
      </c>
      <c r="I1146">
        <v>1.6013003383792419</v>
      </c>
      <c r="J1146">
        <v>-1.339076692574215E-2</v>
      </c>
      <c r="K1146">
        <v>-1.894657067070926E-3</v>
      </c>
      <c r="L1146">
        <v>0</v>
      </c>
      <c r="M1146">
        <v>260914651.5</v>
      </c>
      <c r="N1146">
        <v>0</v>
      </c>
      <c r="O1146" t="b">
        <v>1</v>
      </c>
    </row>
    <row r="1147" spans="1:15" x14ac:dyDescent="0.3">
      <c r="A1147" s="1" t="s">
        <v>1249</v>
      </c>
      <c r="B1147">
        <v>1.208104654714907</v>
      </c>
      <c r="C1147">
        <v>2.061882968777308E-2</v>
      </c>
      <c r="D1147">
        <v>2.4332548816141351E-2</v>
      </c>
      <c r="E1147">
        <v>46.483614119141997</v>
      </c>
      <c r="F1147">
        <v>3.5866666438288948E-3</v>
      </c>
      <c r="G1147">
        <v>0.4</v>
      </c>
      <c r="H1147">
        <v>-2.4621043463372232E-2</v>
      </c>
      <c r="I1147">
        <v>-0.15287698141099371</v>
      </c>
      <c r="J1147">
        <v>-4.4389535831947047E-2</v>
      </c>
      <c r="K1147">
        <v>1.3101153980489281E-2</v>
      </c>
      <c r="L1147">
        <v>0</v>
      </c>
      <c r="M1147">
        <v>91787520.512700006</v>
      </c>
      <c r="N1147">
        <v>0</v>
      </c>
      <c r="O1147" t="b">
        <v>0</v>
      </c>
    </row>
    <row r="1148" spans="1:15" x14ac:dyDescent="0.3">
      <c r="A1148" s="1" t="s">
        <v>1250</v>
      </c>
      <c r="B1148">
        <v>7.4237311400822623</v>
      </c>
      <c r="C1148">
        <v>1.6819517010626461E-2</v>
      </c>
      <c r="D1148">
        <v>1.2796345972594851E-2</v>
      </c>
      <c r="E1148">
        <v>39.973185553521503</v>
      </c>
      <c r="F1148">
        <v>-1.676097126308751E-2</v>
      </c>
      <c r="G1148">
        <v>0.4</v>
      </c>
      <c r="H1148">
        <v>-0.2246776283350605</v>
      </c>
      <c r="I1148">
        <v>0.28169484082545032</v>
      </c>
      <c r="J1148">
        <v>-2.8381861848376211E-2</v>
      </c>
      <c r="K1148">
        <v>3.7226627613198282E-3</v>
      </c>
      <c r="L1148">
        <v>0</v>
      </c>
      <c r="M1148">
        <v>361474546.53149998</v>
      </c>
      <c r="N1148">
        <v>0</v>
      </c>
      <c r="O1148" t="b">
        <v>1</v>
      </c>
    </row>
    <row r="1149" spans="1:15" x14ac:dyDescent="0.3">
      <c r="A1149" s="1" t="s">
        <v>1251</v>
      </c>
      <c r="B1149">
        <v>3.1812091850346791</v>
      </c>
      <c r="C1149">
        <v>1.7496475552935209E-2</v>
      </c>
      <c r="D1149">
        <v>3.0249697503024971E-2</v>
      </c>
      <c r="E1149">
        <v>79.102564566548125</v>
      </c>
      <c r="F1149">
        <v>0.12545805684856881</v>
      </c>
      <c r="G1149">
        <v>0.6</v>
      </c>
      <c r="H1149">
        <v>0.1641211853863718</v>
      </c>
      <c r="I1149">
        <v>0.8724705387531313</v>
      </c>
      <c r="J1149">
        <v>0</v>
      </c>
      <c r="K1149">
        <v>2.7115580160433691E-2</v>
      </c>
      <c r="L1149">
        <v>0</v>
      </c>
      <c r="M1149">
        <v>366890410.83149999</v>
      </c>
      <c r="N1149">
        <v>0</v>
      </c>
      <c r="O1149" t="b">
        <v>1</v>
      </c>
    </row>
    <row r="1150" spans="1:15" x14ac:dyDescent="0.3">
      <c r="A1150" s="1" t="s">
        <v>1252</v>
      </c>
      <c r="B1150">
        <v>2.1545535143918788</v>
      </c>
      <c r="C1150">
        <v>2.0717259124135839E-2</v>
      </c>
      <c r="D1150">
        <v>2.4971634069886041E-2</v>
      </c>
      <c r="E1150">
        <v>43.641920102700993</v>
      </c>
      <c r="F1150">
        <v>-3.2855641628925618E-2</v>
      </c>
      <c r="G1150">
        <v>0.4</v>
      </c>
      <c r="H1150">
        <v>-0.31180438452415749</v>
      </c>
      <c r="I1150">
        <v>0.39043234529908799</v>
      </c>
      <c r="J1150">
        <v>-3.3655454376509963E-2</v>
      </c>
      <c r="K1150">
        <v>1.9708200964819511E-2</v>
      </c>
      <c r="L1150">
        <v>0</v>
      </c>
      <c r="M1150">
        <v>80909897.215000004</v>
      </c>
      <c r="N1150">
        <v>0</v>
      </c>
      <c r="O1150" t="b">
        <v>0</v>
      </c>
    </row>
    <row r="1151" spans="1:15" x14ac:dyDescent="0.3">
      <c r="A1151" s="1" t="s">
        <v>1253</v>
      </c>
      <c r="B1151">
        <v>0.93943814432144535</v>
      </c>
      <c r="C1151">
        <v>2.468262917711565E-2</v>
      </c>
      <c r="D1151">
        <v>1.4765887122412299E-2</v>
      </c>
      <c r="E1151">
        <v>45.904749746337473</v>
      </c>
      <c r="F1151">
        <v>-1.73630691191784E-3</v>
      </c>
      <c r="G1151">
        <v>0.4</v>
      </c>
      <c r="H1151">
        <v>5.9540779337950286E-3</v>
      </c>
      <c r="I1151">
        <v>0.1116635666364388</v>
      </c>
      <c r="J1151">
        <v>-4.3977242756490058E-2</v>
      </c>
      <c r="K1151">
        <v>4.4627305260269701E-3</v>
      </c>
      <c r="L1151">
        <v>0</v>
      </c>
      <c r="M1151">
        <v>122316729.4593</v>
      </c>
      <c r="N1151">
        <v>0</v>
      </c>
      <c r="O1151" t="b">
        <v>1</v>
      </c>
    </row>
    <row r="1152" spans="1:15" x14ac:dyDescent="0.3">
      <c r="A1152" s="1" t="s">
        <v>1254</v>
      </c>
      <c r="B1152">
        <v>1.28239171069083</v>
      </c>
      <c r="C1152">
        <v>3.4475119649945957E-2</v>
      </c>
      <c r="D1152">
        <v>3.4593629696539549E-2</v>
      </c>
      <c r="E1152">
        <v>44.855377230912097</v>
      </c>
      <c r="F1152">
        <v>-1.113607060731325E-2</v>
      </c>
      <c r="G1152">
        <v>0</v>
      </c>
      <c r="H1152">
        <v>2.0878053805484489E-2</v>
      </c>
      <c r="I1152">
        <v>1.10475902558749</v>
      </c>
      <c r="J1152">
        <v>-6.5177891538560129E-2</v>
      </c>
      <c r="K1152">
        <v>-6.6600795791385003E-3</v>
      </c>
      <c r="L1152">
        <v>0</v>
      </c>
      <c r="M1152">
        <v>98577223.171099991</v>
      </c>
      <c r="N1152">
        <v>0</v>
      </c>
      <c r="O1152" t="b">
        <v>1</v>
      </c>
    </row>
    <row r="1153" spans="1:15" x14ac:dyDescent="0.3">
      <c r="A1153" s="1" t="s">
        <v>1255</v>
      </c>
      <c r="B1153">
        <v>1.587898203132289</v>
      </c>
      <c r="C1153">
        <v>2.818946028514879E-2</v>
      </c>
      <c r="D1153">
        <v>2.532953425824834E-2</v>
      </c>
      <c r="E1153">
        <v>51.413903165799233</v>
      </c>
      <c r="F1153">
        <v>-2.7594600193343369E-2</v>
      </c>
      <c r="G1153">
        <v>0.4</v>
      </c>
      <c r="H1153">
        <v>-6.2278309862375487E-2</v>
      </c>
      <c r="I1153">
        <v>0.45508241261665111</v>
      </c>
      <c r="J1153">
        <v>-2.9893929765281491E-2</v>
      </c>
      <c r="K1153">
        <v>1.8079061327472608E-2</v>
      </c>
      <c r="L1153">
        <v>0</v>
      </c>
      <c r="M1153">
        <v>31961750.189599998</v>
      </c>
      <c r="N1153">
        <v>0</v>
      </c>
      <c r="O1153" t="b">
        <v>0</v>
      </c>
    </row>
    <row r="1154" spans="1:15" x14ac:dyDescent="0.3">
      <c r="A1154" s="1" t="s">
        <v>1256</v>
      </c>
      <c r="B1154">
        <v>5.9254040307038274</v>
      </c>
      <c r="C1154">
        <v>3.8737498811502312E-2</v>
      </c>
      <c r="D1154">
        <v>6.7369233082510194E-2</v>
      </c>
      <c r="E1154">
        <v>64.200271180959504</v>
      </c>
      <c r="F1154">
        <v>0.14287955768081281</v>
      </c>
      <c r="G1154">
        <v>1</v>
      </c>
      <c r="H1154">
        <v>2.1551275274228919E-2</v>
      </c>
      <c r="I1154">
        <v>1.8883624235887779</v>
      </c>
      <c r="J1154">
        <v>0</v>
      </c>
      <c r="K1154">
        <v>3.0164866248215239E-2</v>
      </c>
      <c r="L1154">
        <v>0</v>
      </c>
      <c r="M1154">
        <v>93097910.708000004</v>
      </c>
      <c r="N1154">
        <v>0</v>
      </c>
      <c r="O1154" t="b">
        <v>1</v>
      </c>
    </row>
    <row r="1155" spans="1:15" x14ac:dyDescent="0.3">
      <c r="A1155" s="1" t="s">
        <v>1257</v>
      </c>
      <c r="B1155">
        <v>6.6905593361290094</v>
      </c>
      <c r="C1155">
        <v>2.325137302346493E-2</v>
      </c>
      <c r="D1155">
        <v>3.4648252470034543E-2</v>
      </c>
      <c r="E1155">
        <v>61.37913123957243</v>
      </c>
      <c r="F1155">
        <v>6.7199495605088533E-2</v>
      </c>
      <c r="G1155">
        <v>0.4</v>
      </c>
      <c r="H1155">
        <v>-9.0449107591912811E-2</v>
      </c>
      <c r="I1155">
        <v>0.81843195788068668</v>
      </c>
      <c r="J1155">
        <v>0</v>
      </c>
      <c r="K1155">
        <v>2.950236670089423E-2</v>
      </c>
      <c r="L1155">
        <v>0</v>
      </c>
      <c r="M1155">
        <v>93810724.249499992</v>
      </c>
      <c r="N1155">
        <v>0</v>
      </c>
      <c r="O1155" t="b">
        <v>1</v>
      </c>
    </row>
    <row r="1156" spans="1:15" x14ac:dyDescent="0.3">
      <c r="A1156" s="1" t="s">
        <v>1258</v>
      </c>
      <c r="B1156">
        <v>3.6559941948163779</v>
      </c>
      <c r="C1156">
        <v>1.766624560187283E-2</v>
      </c>
      <c r="D1156">
        <v>1.3104741287666409E-2</v>
      </c>
      <c r="E1156">
        <v>38.334984902600638</v>
      </c>
      <c r="F1156">
        <v>1.6853546123684501E-2</v>
      </c>
      <c r="G1156">
        <v>0.2</v>
      </c>
      <c r="H1156">
        <v>-0.1717143723410039</v>
      </c>
      <c r="I1156">
        <v>-0.26384156805215969</v>
      </c>
      <c r="J1156">
        <v>-5.223627687150223E-2</v>
      </c>
      <c r="K1156">
        <v>-8.4090789303459257E-3</v>
      </c>
      <c r="L1156">
        <v>0</v>
      </c>
      <c r="M1156">
        <v>272933324.88099998</v>
      </c>
      <c r="N1156">
        <v>0</v>
      </c>
      <c r="O1156" t="b">
        <v>1</v>
      </c>
    </row>
    <row r="1157" spans="1:15" x14ac:dyDescent="0.3">
      <c r="A1157" s="1" t="s">
        <v>1259</v>
      </c>
      <c r="B1157">
        <v>1.999468514636795</v>
      </c>
      <c r="C1157">
        <v>1.0391977935276081E-2</v>
      </c>
      <c r="D1157">
        <v>1.610145266495145E-2</v>
      </c>
      <c r="E1157">
        <v>62.052606969730029</v>
      </c>
      <c r="F1157">
        <v>2.401366735322763E-2</v>
      </c>
      <c r="G1157">
        <v>0.6</v>
      </c>
      <c r="H1157">
        <v>-8.7713445632563253E-2</v>
      </c>
      <c r="I1157">
        <v>0.74587931835174415</v>
      </c>
      <c r="J1157">
        <v>0</v>
      </c>
      <c r="K1157">
        <v>1.407225867657513E-2</v>
      </c>
      <c r="L1157">
        <v>0</v>
      </c>
      <c r="M1157">
        <v>1877608717.5834999</v>
      </c>
      <c r="N1157">
        <v>0</v>
      </c>
      <c r="O1157" t="b">
        <v>1</v>
      </c>
    </row>
    <row r="1158" spans="1:15" x14ac:dyDescent="0.3">
      <c r="A1158" s="1" t="s">
        <v>1260</v>
      </c>
      <c r="B1158">
        <v>0.83741208175799287</v>
      </c>
      <c r="C1158">
        <v>1.7700530157640941E-2</v>
      </c>
      <c r="D1158">
        <v>2.1963644049883699E-2</v>
      </c>
      <c r="E1158">
        <v>67.113826700835915</v>
      </c>
      <c r="F1158">
        <v>2.6670428159111029E-2</v>
      </c>
      <c r="G1158">
        <v>1</v>
      </c>
      <c r="H1158">
        <v>0.11115758799210319</v>
      </c>
      <c r="I1158">
        <v>1.5985591013298761</v>
      </c>
      <c r="J1158">
        <v>0</v>
      </c>
      <c r="K1158">
        <v>1.348528828954265E-2</v>
      </c>
      <c r="L1158">
        <v>0</v>
      </c>
      <c r="M1158">
        <v>11058579.460200001</v>
      </c>
      <c r="N1158">
        <v>0</v>
      </c>
      <c r="O1158" t="b">
        <v>0</v>
      </c>
    </row>
    <row r="1159" spans="1:15" x14ac:dyDescent="0.3">
      <c r="A1159" s="1" t="s">
        <v>1261</v>
      </c>
      <c r="B1159">
        <v>0.53540772480742871</v>
      </c>
      <c r="C1159">
        <v>1.8622877384606211E-2</v>
      </c>
      <c r="D1159">
        <v>3.4782608695652167E-2</v>
      </c>
      <c r="E1159">
        <v>63.445134556791047</v>
      </c>
      <c r="F1159">
        <v>5.0036523009496132E-2</v>
      </c>
      <c r="G1159">
        <v>0.4</v>
      </c>
      <c r="H1159">
        <v>6.264045950962327E-2</v>
      </c>
      <c r="I1159">
        <v>0.64347287238526663</v>
      </c>
      <c r="J1159">
        <v>0</v>
      </c>
      <c r="K1159">
        <v>3.3800791082344572E-2</v>
      </c>
      <c r="L1159">
        <v>0</v>
      </c>
      <c r="M1159">
        <v>15591471.496400001</v>
      </c>
      <c r="N1159">
        <v>0</v>
      </c>
      <c r="O1159" t="b">
        <v>0</v>
      </c>
    </row>
    <row r="1160" spans="1:15" x14ac:dyDescent="0.3">
      <c r="A1160" s="1" t="s">
        <v>1262</v>
      </c>
      <c r="B1160">
        <v>3.6116680921636819</v>
      </c>
      <c r="C1160">
        <v>2.073978759956634E-2</v>
      </c>
      <c r="D1160">
        <v>3.8807410044676242E-2</v>
      </c>
      <c r="E1160">
        <v>56.418707459328651</v>
      </c>
      <c r="F1160">
        <v>-2.0215489352125471E-2</v>
      </c>
      <c r="G1160">
        <v>0.8</v>
      </c>
      <c r="H1160">
        <v>6.786487652151485E-2</v>
      </c>
      <c r="I1160">
        <v>0.62931515644519576</v>
      </c>
      <c r="J1160">
        <v>-2.1250765780702952E-2</v>
      </c>
      <c r="K1160">
        <v>1.622889689019091E-2</v>
      </c>
      <c r="L1160">
        <v>0</v>
      </c>
      <c r="M1160">
        <v>651474267.55500007</v>
      </c>
      <c r="N1160">
        <v>0</v>
      </c>
      <c r="O1160" t="b">
        <v>1</v>
      </c>
    </row>
    <row r="1161" spans="1:15" x14ac:dyDescent="0.3">
      <c r="A1161" s="1" t="s">
        <v>1263</v>
      </c>
      <c r="B1161">
        <v>2.5496529494423821</v>
      </c>
      <c r="C1161">
        <v>3.2738224825916568E-2</v>
      </c>
      <c r="D1161">
        <v>2.6579352850539209E-2</v>
      </c>
      <c r="E1161">
        <v>71.932841433054179</v>
      </c>
      <c r="F1161">
        <v>0.2415112386417981</v>
      </c>
      <c r="G1161">
        <v>0.8</v>
      </c>
      <c r="H1161">
        <v>0.34420920036931008</v>
      </c>
      <c r="I1161">
        <v>0.99799139638912393</v>
      </c>
      <c r="J1161">
        <v>-2.7229577816637599E-2</v>
      </c>
      <c r="K1161">
        <v>8.9962729726256185E-4</v>
      </c>
      <c r="L1161">
        <v>0</v>
      </c>
      <c r="M1161">
        <v>69096165</v>
      </c>
      <c r="N1161">
        <v>0</v>
      </c>
      <c r="O1161" t="b">
        <v>0</v>
      </c>
    </row>
    <row r="1162" spans="1:15" x14ac:dyDescent="0.3">
      <c r="A1162" s="1" t="s">
        <v>1264</v>
      </c>
      <c r="B1162">
        <v>2.9916991828518542</v>
      </c>
      <c r="C1162">
        <v>2.8920115448991791E-2</v>
      </c>
      <c r="D1162">
        <v>4.5694896903728507E-2</v>
      </c>
      <c r="E1162">
        <v>61.489791672959633</v>
      </c>
      <c r="F1162">
        <v>0.1216928348369188</v>
      </c>
      <c r="G1162">
        <v>0.2</v>
      </c>
      <c r="H1162">
        <v>0.13339783651996939</v>
      </c>
      <c r="I1162">
        <v>1.3965084494668301</v>
      </c>
      <c r="J1162">
        <v>-1.9515477792732109E-2</v>
      </c>
      <c r="K1162">
        <v>4.7882901134521871E-2</v>
      </c>
      <c r="L1162">
        <v>0</v>
      </c>
      <c r="M1162">
        <v>108366201.279</v>
      </c>
      <c r="N1162">
        <v>1</v>
      </c>
      <c r="O1162" t="b">
        <v>1</v>
      </c>
    </row>
    <row r="1163" spans="1:15" x14ac:dyDescent="0.3">
      <c r="A1163" s="1" t="s">
        <v>1265</v>
      </c>
      <c r="B1163">
        <v>1.0429272541216721</v>
      </c>
      <c r="C1163">
        <v>9.1031287455630855E-3</v>
      </c>
      <c r="D1163">
        <v>1.3398156553313291E-2</v>
      </c>
      <c r="E1163">
        <v>63.280242505938112</v>
      </c>
      <c r="F1163">
        <v>2.377867336270301E-2</v>
      </c>
      <c r="G1163">
        <v>0.4</v>
      </c>
      <c r="H1163">
        <v>-7.5060798500984954E-4</v>
      </c>
      <c r="I1163">
        <v>0.66593553831949959</v>
      </c>
      <c r="J1163">
        <v>0</v>
      </c>
      <c r="K1163">
        <v>1.1521856210765961E-2</v>
      </c>
      <c r="L1163">
        <v>0</v>
      </c>
      <c r="M1163">
        <v>16510912.563750001</v>
      </c>
      <c r="N1163">
        <v>0</v>
      </c>
      <c r="O1163" t="b">
        <v>0</v>
      </c>
    </row>
    <row r="1164" spans="1:15" x14ac:dyDescent="0.3">
      <c r="A1164" s="1" t="s">
        <v>1266</v>
      </c>
      <c r="B1164">
        <v>2.2378047382032999</v>
      </c>
      <c r="C1164">
        <v>1.3550955178656289E-2</v>
      </c>
      <c r="D1164">
        <v>1.6228654474990958E-2</v>
      </c>
      <c r="E1164">
        <v>82.136568453572323</v>
      </c>
      <c r="F1164">
        <v>0.1242426305398598</v>
      </c>
      <c r="G1164">
        <v>0.8</v>
      </c>
      <c r="H1164">
        <v>0.16877695601250889</v>
      </c>
      <c r="I1164">
        <v>0.53490189931848009</v>
      </c>
      <c r="J1164">
        <v>0</v>
      </c>
      <c r="K1164">
        <v>1.188725490196085E-2</v>
      </c>
      <c r="L1164">
        <v>0</v>
      </c>
      <c r="M1164">
        <v>123815293</v>
      </c>
      <c r="N1164">
        <v>0</v>
      </c>
      <c r="O1164" t="b">
        <v>1</v>
      </c>
    </row>
    <row r="1165" spans="1:15" x14ac:dyDescent="0.3">
      <c r="A1165" s="1" t="s">
        <v>1267</v>
      </c>
      <c r="B1165">
        <v>1.3906906802373511</v>
      </c>
      <c r="C1165">
        <v>2.0800911199352519E-2</v>
      </c>
      <c r="D1165">
        <v>2.065297380087721E-2</v>
      </c>
      <c r="E1165">
        <v>61.647551311459637</v>
      </c>
      <c r="F1165">
        <v>4.4221166746582392E-2</v>
      </c>
      <c r="G1165">
        <v>0.8</v>
      </c>
      <c r="H1165">
        <v>8.708660268607854E-2</v>
      </c>
      <c r="I1165">
        <v>0.65951195461312562</v>
      </c>
      <c r="J1165">
        <v>-1.6082413539367121E-2</v>
      </c>
      <c r="K1165">
        <v>1.676995490802935E-2</v>
      </c>
      <c r="L1165">
        <v>0</v>
      </c>
      <c r="M1165">
        <v>60535399.509649999</v>
      </c>
      <c r="N1165">
        <v>0</v>
      </c>
      <c r="O1165" t="b">
        <v>0</v>
      </c>
    </row>
    <row r="1166" spans="1:15" x14ac:dyDescent="0.3">
      <c r="A1166" s="1" t="s">
        <v>1268</v>
      </c>
      <c r="B1166">
        <v>1.612703193316928</v>
      </c>
      <c r="C1166">
        <v>3.112917982421087E-2</v>
      </c>
      <c r="D1166">
        <v>3.0972768053614541E-2</v>
      </c>
      <c r="E1166">
        <v>32.872078226984229</v>
      </c>
      <c r="F1166">
        <v>-9.014624242839353E-2</v>
      </c>
      <c r="G1166">
        <v>0</v>
      </c>
      <c r="H1166">
        <v>-1.97060521965008E-2</v>
      </c>
      <c r="I1166">
        <v>-0.13477265021253609</v>
      </c>
      <c r="J1166">
        <v>-0.1096269689183731</v>
      </c>
      <c r="K1166">
        <v>-1.497123256937072E-2</v>
      </c>
      <c r="L1166">
        <v>0</v>
      </c>
      <c r="M1166">
        <v>67857874.387800008</v>
      </c>
      <c r="N1166">
        <v>0</v>
      </c>
      <c r="O1166" t="b">
        <v>0</v>
      </c>
    </row>
    <row r="1167" spans="1:15" x14ac:dyDescent="0.3">
      <c r="A1167" s="1" t="s">
        <v>1269</v>
      </c>
      <c r="B1167">
        <v>4.6136825849833478</v>
      </c>
      <c r="C1167">
        <v>4.4036294597531243E-2</v>
      </c>
      <c r="D1167">
        <v>5.7363749164837323E-2</v>
      </c>
      <c r="E1167">
        <v>51.181288860356403</v>
      </c>
      <c r="F1167">
        <v>7.3133258219809427E-2</v>
      </c>
      <c r="G1167">
        <v>0.6</v>
      </c>
      <c r="H1167">
        <v>2.499102310471514E-2</v>
      </c>
      <c r="I1167">
        <v>0.83280966094505016</v>
      </c>
      <c r="J1167">
        <v>-3.9600330002750088E-2</v>
      </c>
      <c r="K1167">
        <v>4.0313772217257522E-2</v>
      </c>
      <c r="L1167">
        <v>0</v>
      </c>
      <c r="M1167">
        <v>42282512</v>
      </c>
      <c r="N1167">
        <v>0</v>
      </c>
      <c r="O1167" t="b">
        <v>0</v>
      </c>
    </row>
    <row r="1168" spans="1:15" x14ac:dyDescent="0.3">
      <c r="A1168" s="1" t="s">
        <v>1270</v>
      </c>
      <c r="B1168">
        <v>13.923346503641961</v>
      </c>
      <c r="C1168">
        <v>4.0011915925173738E-2</v>
      </c>
      <c r="D1168">
        <v>7.6843496752686952E-2</v>
      </c>
      <c r="E1168">
        <v>75.90289376780413</v>
      </c>
      <c r="F1168">
        <v>0.25348510500342208</v>
      </c>
      <c r="G1168">
        <v>0.8</v>
      </c>
      <c r="H1168">
        <v>4.2573152070232892E-2</v>
      </c>
      <c r="I1168">
        <v>1.2196538742158629</v>
      </c>
      <c r="J1168">
        <v>0</v>
      </c>
      <c r="K1168">
        <v>5.5604428939784789E-2</v>
      </c>
      <c r="L1168">
        <v>0</v>
      </c>
      <c r="M1168">
        <v>166408159.5</v>
      </c>
      <c r="N1168">
        <v>0</v>
      </c>
      <c r="O1168" t="b">
        <v>1</v>
      </c>
    </row>
    <row r="1169" spans="1:15" x14ac:dyDescent="0.3">
      <c r="A1169" s="1" t="s">
        <v>1271</v>
      </c>
      <c r="B1169">
        <v>1.0309973812387521</v>
      </c>
      <c r="C1169">
        <v>4.904840062981692E-2</v>
      </c>
      <c r="D1169">
        <v>9.1817316841103697E-2</v>
      </c>
      <c r="E1169">
        <v>60.045143976431461</v>
      </c>
      <c r="F1169">
        <v>3.4448818897637727E-2</v>
      </c>
      <c r="G1169">
        <v>0.8</v>
      </c>
      <c r="H1169">
        <v>-7.2125904592434944E-3</v>
      </c>
      <c r="I1169">
        <v>2.3132731753695288</v>
      </c>
      <c r="J1169">
        <v>0</v>
      </c>
      <c r="K1169">
        <v>5.7344064386317888E-2</v>
      </c>
      <c r="L1169">
        <v>0</v>
      </c>
      <c r="M1169">
        <v>33726192</v>
      </c>
      <c r="N1169">
        <v>0</v>
      </c>
      <c r="O1169" t="b">
        <v>0</v>
      </c>
    </row>
    <row r="1170" spans="1:15" x14ac:dyDescent="0.3">
      <c r="A1170" s="1" t="s">
        <v>1272</v>
      </c>
      <c r="B1170">
        <v>0.21213418952914789</v>
      </c>
      <c r="C1170">
        <v>1.8772937126473269E-2</v>
      </c>
      <c r="D1170">
        <v>2.7433628318584109E-2</v>
      </c>
      <c r="E1170">
        <v>68.480937334037748</v>
      </c>
      <c r="F1170">
        <v>6.1032863849765251E-2</v>
      </c>
      <c r="G1170">
        <v>0.6</v>
      </c>
      <c r="H1170">
        <v>8.6813780257855841E-2</v>
      </c>
      <c r="I1170">
        <v>1.041514380324654</v>
      </c>
      <c r="J1170">
        <v>0</v>
      </c>
      <c r="K1170">
        <v>2.6339691189827489E-2</v>
      </c>
      <c r="L1170">
        <v>0</v>
      </c>
      <c r="M1170">
        <v>32052355</v>
      </c>
      <c r="N1170">
        <v>0</v>
      </c>
      <c r="O1170" t="b">
        <v>0</v>
      </c>
    </row>
    <row r="1171" spans="1:15" x14ac:dyDescent="0.3">
      <c r="A1171" s="1" t="s">
        <v>1273</v>
      </c>
      <c r="B1171">
        <v>7.903138513740303</v>
      </c>
      <c r="C1171">
        <v>4.6711617198063139E-2</v>
      </c>
      <c r="D1171">
        <v>4.7284118446716712E-2</v>
      </c>
      <c r="E1171">
        <v>64.044618849377798</v>
      </c>
      <c r="F1171">
        <v>-3.004070400733827E-2</v>
      </c>
      <c r="G1171">
        <v>0.8</v>
      </c>
      <c r="H1171">
        <v>0.1327347007630208</v>
      </c>
      <c r="I1171">
        <v>2.1767141604726019</v>
      </c>
      <c r="J1171">
        <v>-3.592461719670315E-3</v>
      </c>
      <c r="K1171">
        <v>2.9950690935654611E-2</v>
      </c>
      <c r="L1171">
        <v>0</v>
      </c>
      <c r="M1171">
        <v>50908751</v>
      </c>
      <c r="N1171">
        <v>0</v>
      </c>
      <c r="O1171" t="b">
        <v>0</v>
      </c>
    </row>
    <row r="1172" spans="1:15" x14ac:dyDescent="0.3">
      <c r="A1172" s="1" t="s">
        <v>1274</v>
      </c>
      <c r="B1172">
        <v>4.4521711393408712</v>
      </c>
      <c r="C1172">
        <v>1.8107089390519238E-2</v>
      </c>
      <c r="D1172">
        <v>1.980640963071419E-2</v>
      </c>
      <c r="E1172">
        <v>47.210589021069922</v>
      </c>
      <c r="F1172">
        <v>-2.3355576739752078E-2</v>
      </c>
      <c r="G1172">
        <v>0.8</v>
      </c>
      <c r="H1172">
        <v>-0.1140881376125305</v>
      </c>
      <c r="I1172">
        <v>0.94960589350439661</v>
      </c>
      <c r="J1172">
        <v>-3.3414576617658683E-2</v>
      </c>
      <c r="K1172">
        <v>7.1683119649366134E-3</v>
      </c>
      <c r="L1172">
        <v>0</v>
      </c>
      <c r="M1172">
        <v>342173563.329</v>
      </c>
      <c r="N1172">
        <v>0</v>
      </c>
      <c r="O1172" t="b">
        <v>1</v>
      </c>
    </row>
    <row r="1173" spans="1:15" x14ac:dyDescent="0.3">
      <c r="A1173" s="1" t="s">
        <v>1275</v>
      </c>
      <c r="B1173">
        <v>0.84631173880786825</v>
      </c>
      <c r="C1173">
        <v>3.0876021116667939E-2</v>
      </c>
      <c r="D1173">
        <v>5.3994892375045622E-2</v>
      </c>
      <c r="E1173">
        <v>59.566628627768971</v>
      </c>
      <c r="F1173">
        <v>-4.7204066811910028E-3</v>
      </c>
      <c r="G1173">
        <v>0.8</v>
      </c>
      <c r="H1173">
        <v>-3.2094417915752453E-2</v>
      </c>
      <c r="I1173">
        <v>1.492525786957926</v>
      </c>
      <c r="J1173">
        <v>0</v>
      </c>
      <c r="K1173">
        <v>2.1236959761550041E-2</v>
      </c>
      <c r="L1173">
        <v>0</v>
      </c>
      <c r="M1173">
        <v>43409453.5</v>
      </c>
      <c r="N1173">
        <v>0</v>
      </c>
      <c r="O1173" t="b">
        <v>0</v>
      </c>
    </row>
    <row r="1174" spans="1:15" x14ac:dyDescent="0.3">
      <c r="A1174" s="1" t="s">
        <v>1276</v>
      </c>
      <c r="B1174">
        <v>4.9467086923261787</v>
      </c>
      <c r="C1174">
        <v>4.7573655436874189E-2</v>
      </c>
      <c r="D1174">
        <v>0.1131948451625312</v>
      </c>
      <c r="E1174">
        <v>87.577335074015636</v>
      </c>
      <c r="F1174">
        <v>0.40989830508474578</v>
      </c>
      <c r="G1174">
        <v>1</v>
      </c>
      <c r="H1174">
        <v>0.15435994549434781</v>
      </c>
      <c r="I1174">
        <v>1.1583606224968539</v>
      </c>
      <c r="J1174">
        <v>0</v>
      </c>
      <c r="K1174">
        <v>0.11161000641436809</v>
      </c>
      <c r="L1174">
        <v>0</v>
      </c>
      <c r="M1174">
        <v>74731230</v>
      </c>
      <c r="N1174">
        <v>0</v>
      </c>
      <c r="O1174" t="b">
        <v>0</v>
      </c>
    </row>
    <row r="1175" spans="1:15" x14ac:dyDescent="0.3">
      <c r="A1175" s="1" t="s">
        <v>1277</v>
      </c>
      <c r="B1175">
        <v>3.7587838442117669</v>
      </c>
      <c r="C1175">
        <v>1.9864622366619639E-2</v>
      </c>
      <c r="D1175">
        <v>1.4956135715040611E-2</v>
      </c>
      <c r="E1175">
        <v>42.381102695457813</v>
      </c>
      <c r="F1175">
        <v>-4.5895059549621357E-2</v>
      </c>
      <c r="G1175">
        <v>0.4</v>
      </c>
      <c r="H1175">
        <v>-0.1123683653623784</v>
      </c>
      <c r="I1175">
        <v>1.718910764786408E-2</v>
      </c>
      <c r="J1175">
        <v>-6.1981033397282448E-2</v>
      </c>
      <c r="K1175">
        <v>-3.6980294785771139E-4</v>
      </c>
      <c r="L1175">
        <v>0</v>
      </c>
      <c r="M1175">
        <v>174542719.38249999</v>
      </c>
      <c r="N1175">
        <v>0</v>
      </c>
      <c r="O1175" t="b">
        <v>1</v>
      </c>
    </row>
    <row r="1176" spans="1:15" x14ac:dyDescent="0.3">
      <c r="A1176" s="1" t="s">
        <v>1278</v>
      </c>
      <c r="B1176">
        <v>3.3640683992983242E-2</v>
      </c>
      <c r="C1176">
        <v>3.3781994074195601E-4</v>
      </c>
      <c r="D1176">
        <v>1.2954187365752851E-4</v>
      </c>
      <c r="E1176">
        <v>94.648367346463317</v>
      </c>
      <c r="F1176">
        <v>3.099502387331921E-3</v>
      </c>
      <c r="G1176">
        <v>0.8</v>
      </c>
      <c r="H1176">
        <v>-8.2167361968997155E-2</v>
      </c>
      <c r="I1176">
        <v>6.0906410406228937E-4</v>
      </c>
      <c r="J1176">
        <v>0</v>
      </c>
      <c r="K1176">
        <v>9.9425741023173586E-5</v>
      </c>
      <c r="O1176" t="b">
        <v>0</v>
      </c>
    </row>
    <row r="1177" spans="1:15" x14ac:dyDescent="0.3">
      <c r="A1177" s="1" t="s">
        <v>1279</v>
      </c>
      <c r="B1177">
        <v>0.67790337485867869</v>
      </c>
      <c r="C1177">
        <v>2.757947009189092E-2</v>
      </c>
      <c r="D1177">
        <v>2.7257933279088618E-2</v>
      </c>
      <c r="E1177">
        <v>40.758465535497258</v>
      </c>
      <c r="F1177">
        <v>-4.3207473725184957E-2</v>
      </c>
      <c r="G1177">
        <v>0.4</v>
      </c>
      <c r="H1177">
        <v>1.910578525085368E-3</v>
      </c>
      <c r="I1177">
        <v>0.81779981600843632</v>
      </c>
      <c r="J1177">
        <v>-8.79406307977737E-2</v>
      </c>
      <c r="K1177">
        <v>-1.7585931254996079E-2</v>
      </c>
      <c r="L1177">
        <v>0</v>
      </c>
      <c r="M1177">
        <v>19662851.794799998</v>
      </c>
      <c r="N1177">
        <v>0</v>
      </c>
      <c r="O1177" t="b">
        <v>0</v>
      </c>
    </row>
    <row r="1178" spans="1:15" x14ac:dyDescent="0.3">
      <c r="A1178" s="1" t="s">
        <v>1280</v>
      </c>
      <c r="B1178">
        <v>0.58743030844393085</v>
      </c>
      <c r="C1178">
        <v>4.643717853311706E-2</v>
      </c>
      <c r="D1178">
        <v>4.5849802371541508E-2</v>
      </c>
      <c r="E1178">
        <v>59.71927946001987</v>
      </c>
      <c r="F1178">
        <v>0.1125769569041337</v>
      </c>
      <c r="G1178">
        <v>0.4</v>
      </c>
      <c r="H1178">
        <v>0.14987636959100251</v>
      </c>
      <c r="I1178">
        <v>1.61427658278821</v>
      </c>
      <c r="J1178">
        <v>-5.1012753188297011E-2</v>
      </c>
      <c r="K1178">
        <v>-7.898894154818592E-4</v>
      </c>
      <c r="L1178">
        <v>0</v>
      </c>
      <c r="M1178">
        <v>49941851.5</v>
      </c>
      <c r="N1178">
        <v>0</v>
      </c>
      <c r="O1178" t="b">
        <v>0</v>
      </c>
    </row>
    <row r="1179" spans="1:15" x14ac:dyDescent="0.3">
      <c r="A1179" s="1" t="s">
        <v>1281</v>
      </c>
      <c r="B1179">
        <v>2.228840030851841</v>
      </c>
      <c r="C1179">
        <v>2.6752704339816639E-2</v>
      </c>
      <c r="D1179">
        <v>2.420999439461205E-2</v>
      </c>
      <c r="E1179">
        <v>48.486460865456351</v>
      </c>
      <c r="F1179">
        <v>-1.7051105386135519E-3</v>
      </c>
      <c r="G1179">
        <v>0.4</v>
      </c>
      <c r="H1179">
        <v>-1.273138978473972E-2</v>
      </c>
      <c r="I1179">
        <v>0.68915591629891537</v>
      </c>
      <c r="J1179">
        <v>-3.7423831740067692E-2</v>
      </c>
      <c r="K1179">
        <v>1.908069203745932E-2</v>
      </c>
      <c r="L1179">
        <v>0</v>
      </c>
      <c r="M1179">
        <v>802502914.32270002</v>
      </c>
      <c r="N1179">
        <v>0</v>
      </c>
      <c r="O1179" t="b">
        <v>1</v>
      </c>
    </row>
    <row r="1180" spans="1:15" x14ac:dyDescent="0.3">
      <c r="A1180" s="1" t="s">
        <v>1282</v>
      </c>
      <c r="B1180">
        <v>4.1838074400425702</v>
      </c>
      <c r="C1180">
        <v>2.9431928077287488E-2</v>
      </c>
      <c r="D1180">
        <v>3.0207102256739341E-2</v>
      </c>
      <c r="E1180">
        <v>67.752956186732462</v>
      </c>
      <c r="F1180">
        <v>4.7245080632684733E-2</v>
      </c>
      <c r="G1180">
        <v>0.8</v>
      </c>
      <c r="H1180">
        <v>0.21697852092485961</v>
      </c>
      <c r="I1180">
        <v>2.1504300051359939</v>
      </c>
      <c r="J1180">
        <v>0</v>
      </c>
      <c r="K1180">
        <v>2.5501922563610391E-2</v>
      </c>
      <c r="L1180">
        <v>0</v>
      </c>
      <c r="M1180">
        <v>123488721.83935</v>
      </c>
      <c r="N1180">
        <v>0</v>
      </c>
      <c r="O1180" t="b">
        <v>1</v>
      </c>
    </row>
    <row r="1181" spans="1:15" x14ac:dyDescent="0.3">
      <c r="A1181" s="1" t="s">
        <v>1283</v>
      </c>
      <c r="B1181">
        <v>0.45861634080312619</v>
      </c>
      <c r="C1181">
        <v>1.5689919288509279E-2</v>
      </c>
      <c r="D1181">
        <v>2.3605884365378079E-2</v>
      </c>
      <c r="E1181">
        <v>66.669358783682128</v>
      </c>
      <c r="F1181">
        <v>4.8647485111573463E-2</v>
      </c>
      <c r="G1181">
        <v>0.6</v>
      </c>
      <c r="H1181">
        <v>1.7043822579496271E-2</v>
      </c>
      <c r="I1181">
        <v>1.2624782846831211</v>
      </c>
      <c r="J1181">
        <v>0</v>
      </c>
      <c r="K1181">
        <v>1.6695652173913E-2</v>
      </c>
      <c r="L1181">
        <v>0</v>
      </c>
      <c r="M1181">
        <v>75387067.614549994</v>
      </c>
      <c r="N1181">
        <v>0</v>
      </c>
      <c r="O1181" t="b">
        <v>0</v>
      </c>
    </row>
    <row r="1182" spans="1:15" x14ac:dyDescent="0.3">
      <c r="A1182" s="1" t="s">
        <v>1284</v>
      </c>
      <c r="B1182">
        <v>0.28873486873063009</v>
      </c>
      <c r="C1182">
        <v>1.0920380814320349E-2</v>
      </c>
      <c r="D1182">
        <v>1.1724659606656531E-2</v>
      </c>
      <c r="E1182">
        <v>61.567338506039107</v>
      </c>
      <c r="F1182">
        <v>1.115560093772827E-2</v>
      </c>
      <c r="G1182">
        <v>0.6</v>
      </c>
      <c r="H1182">
        <v>-4.5471269813053619E-2</v>
      </c>
      <c r="I1182">
        <v>1.0243969573544629</v>
      </c>
      <c r="J1182">
        <v>0</v>
      </c>
      <c r="K1182">
        <v>7.3148430356597682E-3</v>
      </c>
      <c r="L1182">
        <v>0</v>
      </c>
      <c r="M1182">
        <v>110419263.71585</v>
      </c>
      <c r="N1182">
        <v>0</v>
      </c>
      <c r="O1182" t="b">
        <v>1</v>
      </c>
    </row>
    <row r="1183" spans="1:15" x14ac:dyDescent="0.3">
      <c r="A1183" s="1" t="s">
        <v>1285</v>
      </c>
      <c r="B1183">
        <v>0.44138641309515242</v>
      </c>
      <c r="C1183">
        <v>9.8554551220281436E-3</v>
      </c>
      <c r="D1183">
        <v>1.229402045281998E-2</v>
      </c>
      <c r="E1183">
        <v>62.29775015099343</v>
      </c>
      <c r="F1183">
        <v>2.7482271537415229E-2</v>
      </c>
      <c r="G1183">
        <v>0.6</v>
      </c>
      <c r="H1183">
        <v>-7.9838427086834834E-2</v>
      </c>
      <c r="I1183">
        <v>0.76541434216196325</v>
      </c>
      <c r="J1183">
        <v>0</v>
      </c>
      <c r="K1183">
        <v>1.046200219753946E-2</v>
      </c>
      <c r="L1183">
        <v>0</v>
      </c>
      <c r="M1183">
        <v>14027880.09175</v>
      </c>
      <c r="N1183">
        <v>0</v>
      </c>
      <c r="O1183" t="b">
        <v>0</v>
      </c>
    </row>
    <row r="1184" spans="1:15" x14ac:dyDescent="0.3">
      <c r="A1184" s="1" t="s">
        <v>1286</v>
      </c>
      <c r="B1184">
        <v>0.2986976978510173</v>
      </c>
      <c r="C1184">
        <v>1.083415661411017E-2</v>
      </c>
      <c r="D1184">
        <v>1.6612259702575339E-2</v>
      </c>
      <c r="E1184">
        <v>61.787564315335572</v>
      </c>
      <c r="F1184">
        <v>4.0416619495075252E-2</v>
      </c>
      <c r="G1184">
        <v>0.2</v>
      </c>
      <c r="H1184">
        <v>-6.7198547092681082E-2</v>
      </c>
      <c r="I1184">
        <v>0.39991335294130897</v>
      </c>
      <c r="J1184">
        <v>0</v>
      </c>
      <c r="K1184">
        <v>1.427415201236126E-2</v>
      </c>
      <c r="L1184">
        <v>0</v>
      </c>
      <c r="M1184">
        <v>436394865.08459997</v>
      </c>
      <c r="N1184">
        <v>0</v>
      </c>
      <c r="O1184" t="b">
        <v>1</v>
      </c>
    </row>
    <row r="1185" spans="1:15" x14ac:dyDescent="0.3">
      <c r="A1185" s="1" t="s">
        <v>1287</v>
      </c>
      <c r="B1185">
        <v>0.2997702754390596</v>
      </c>
      <c r="C1185">
        <v>9.1639238028570422E-3</v>
      </c>
      <c r="D1185">
        <v>1.0112496943017959E-2</v>
      </c>
      <c r="E1185">
        <v>53.870017035669377</v>
      </c>
      <c r="F1185">
        <v>-1.349835341801453E-2</v>
      </c>
      <c r="G1185">
        <v>0.6</v>
      </c>
      <c r="H1185">
        <v>-6.0728515070936712E-2</v>
      </c>
      <c r="I1185">
        <v>0.89880141601067032</v>
      </c>
      <c r="J1185">
        <v>-1.494209261567914E-2</v>
      </c>
      <c r="K1185">
        <v>8.3971442311250311E-3</v>
      </c>
      <c r="L1185">
        <v>0</v>
      </c>
      <c r="M1185">
        <v>36950744.985600002</v>
      </c>
      <c r="N1185">
        <v>0</v>
      </c>
      <c r="O1185" t="b">
        <v>0</v>
      </c>
    </row>
    <row r="1186" spans="1:15" x14ac:dyDescent="0.3">
      <c r="A1186" s="1" t="s">
        <v>1288</v>
      </c>
      <c r="B1186">
        <v>0.21009707742791969</v>
      </c>
      <c r="C1186">
        <v>8.8678489544116047E-3</v>
      </c>
      <c r="D1186">
        <v>1.2721593786932189E-2</v>
      </c>
      <c r="E1186">
        <v>63.460527016478103</v>
      </c>
      <c r="F1186">
        <v>1.7959955314943651E-2</v>
      </c>
      <c r="G1186">
        <v>0.6</v>
      </c>
      <c r="H1186">
        <v>-1.363049810851331E-3</v>
      </c>
      <c r="I1186">
        <v>0.78144040460825925</v>
      </c>
      <c r="J1186">
        <v>0</v>
      </c>
      <c r="K1186">
        <v>1.1203824238673389E-2</v>
      </c>
      <c r="L1186">
        <v>0</v>
      </c>
      <c r="M1186">
        <v>177697166.85100001</v>
      </c>
      <c r="N1186">
        <v>0</v>
      </c>
      <c r="O1186" t="b">
        <v>1</v>
      </c>
    </row>
    <row r="1187" spans="1:15" x14ac:dyDescent="0.3">
      <c r="A1187" s="1" t="s">
        <v>1289</v>
      </c>
      <c r="B1187">
        <v>0.46388918058202722</v>
      </c>
      <c r="C1187">
        <v>1.406577260709603E-2</v>
      </c>
      <c r="D1187">
        <v>1.152213462704677E-2</v>
      </c>
      <c r="E1187">
        <v>58.096138214992408</v>
      </c>
      <c r="F1187">
        <v>-1.75253269729625E-3</v>
      </c>
      <c r="G1187">
        <v>0.8</v>
      </c>
      <c r="H1187">
        <v>3.5385777970786569E-2</v>
      </c>
      <c r="I1187">
        <v>1.2998734733271391</v>
      </c>
      <c r="J1187">
        <v>-8.4525219720132938E-4</v>
      </c>
      <c r="K1187">
        <v>2.7973729019703519E-3</v>
      </c>
      <c r="L1187">
        <v>0</v>
      </c>
      <c r="M1187">
        <v>274846773.40799999</v>
      </c>
      <c r="N1187">
        <v>0</v>
      </c>
      <c r="O1187" t="b">
        <v>1</v>
      </c>
    </row>
    <row r="1188" spans="1:15" x14ac:dyDescent="0.3">
      <c r="A1188" s="1" t="s">
        <v>1290</v>
      </c>
      <c r="B1188">
        <v>0.227961780077199</v>
      </c>
      <c r="C1188">
        <v>1.0933418708738559E-2</v>
      </c>
      <c r="D1188">
        <v>1.112709832134289E-2</v>
      </c>
      <c r="E1188">
        <v>44.686658785848437</v>
      </c>
      <c r="F1188">
        <v>-1.158132765723441E-2</v>
      </c>
      <c r="G1188">
        <v>0.2</v>
      </c>
      <c r="H1188">
        <v>-0.133167798187179</v>
      </c>
      <c r="I1188">
        <v>0.33241454163421691</v>
      </c>
      <c r="J1188">
        <v>-2.303482400569767E-2</v>
      </c>
      <c r="K1188">
        <v>4.9161364950838227E-3</v>
      </c>
      <c r="L1188">
        <v>0</v>
      </c>
      <c r="M1188">
        <v>149096886.1153</v>
      </c>
      <c r="N1188">
        <v>0</v>
      </c>
      <c r="O1188" t="b">
        <v>1</v>
      </c>
    </row>
    <row r="1189" spans="1:15" x14ac:dyDescent="0.3">
      <c r="A1189" s="1" t="s">
        <v>1291</v>
      </c>
      <c r="B1189">
        <v>6.9367685724282216E-2</v>
      </c>
      <c r="C1189">
        <v>3.0336341728963369E-3</v>
      </c>
      <c r="D1189">
        <v>5.2085611076610697E-3</v>
      </c>
      <c r="E1189">
        <v>56.727128441213381</v>
      </c>
      <c r="F1189">
        <v>7.3526496411782114E-3</v>
      </c>
      <c r="G1189">
        <v>0.2</v>
      </c>
      <c r="H1189">
        <v>-8.9408681150825717E-2</v>
      </c>
      <c r="I1189">
        <v>4.0971023438667979E-2</v>
      </c>
      <c r="J1189">
        <v>-2.6344944300507041E-3</v>
      </c>
      <c r="K1189">
        <v>3.9206388929133862E-3</v>
      </c>
      <c r="L1189">
        <v>0</v>
      </c>
      <c r="M1189">
        <v>22892669.084100001</v>
      </c>
      <c r="N1189">
        <v>0</v>
      </c>
      <c r="O1189" t="b">
        <v>0</v>
      </c>
    </row>
    <row r="1190" spans="1:15" x14ac:dyDescent="0.3">
      <c r="A1190" s="1" t="s">
        <v>1292</v>
      </c>
      <c r="B1190">
        <v>0.35139540004621223</v>
      </c>
      <c r="C1190">
        <v>1.063867393418747E-2</v>
      </c>
      <c r="D1190">
        <v>1.135331516802906E-2</v>
      </c>
      <c r="E1190">
        <v>60.95241799033559</v>
      </c>
      <c r="F1190">
        <v>9.4373067002431199E-3</v>
      </c>
      <c r="G1190">
        <v>0.6</v>
      </c>
      <c r="H1190">
        <v>-8.1707118282175001E-2</v>
      </c>
      <c r="I1190">
        <v>1.0323606676588399</v>
      </c>
      <c r="J1190">
        <v>0</v>
      </c>
      <c r="K1190">
        <v>7.595863457490637E-3</v>
      </c>
      <c r="L1190">
        <v>0</v>
      </c>
      <c r="M1190">
        <v>24760230.4353</v>
      </c>
      <c r="N1190">
        <v>0</v>
      </c>
      <c r="O1190" t="b">
        <v>0</v>
      </c>
    </row>
    <row r="1191" spans="1:15" x14ac:dyDescent="0.3">
      <c r="A1191" s="1" t="s">
        <v>1293</v>
      </c>
      <c r="B1191">
        <v>0.40964237508971252</v>
      </c>
      <c r="C1191">
        <v>1.3430897543924999E-2</v>
      </c>
      <c r="D1191">
        <v>2.0098360655737689E-2</v>
      </c>
      <c r="E1191">
        <v>64.1032399720238</v>
      </c>
      <c r="F1191">
        <v>3.2183830248062588E-2</v>
      </c>
      <c r="G1191">
        <v>0.6</v>
      </c>
      <c r="H1191">
        <v>-6.9389461294092514E-2</v>
      </c>
      <c r="I1191">
        <v>1.0348314948498849</v>
      </c>
      <c r="J1191">
        <v>0</v>
      </c>
      <c r="K1191">
        <v>1.6768343501016861E-2</v>
      </c>
      <c r="L1191">
        <v>0</v>
      </c>
      <c r="M1191">
        <v>28226337.765050001</v>
      </c>
      <c r="N1191">
        <v>0</v>
      </c>
      <c r="O1191" t="b">
        <v>0</v>
      </c>
    </row>
    <row r="1192" spans="1:15" x14ac:dyDescent="0.3">
      <c r="A1192" s="1" t="s">
        <v>1294</v>
      </c>
      <c r="B1192">
        <v>2.4175020653614671E-2</v>
      </c>
      <c r="C1192">
        <v>9.9803574569264542E-4</v>
      </c>
      <c r="D1192">
        <v>2.0518028617902868E-3</v>
      </c>
      <c r="E1192">
        <v>65.647703283512385</v>
      </c>
      <c r="F1192">
        <v>3.3676728262355131E-3</v>
      </c>
      <c r="G1192">
        <v>0.2</v>
      </c>
      <c r="H1192">
        <v>-8.2484356852530361E-2</v>
      </c>
      <c r="I1192">
        <v>-1.052022470291783E-2</v>
      </c>
      <c r="J1192">
        <v>0</v>
      </c>
      <c r="K1192">
        <v>1.641655880808335E-3</v>
      </c>
      <c r="L1192">
        <v>0</v>
      </c>
      <c r="M1192">
        <v>60680330.994849987</v>
      </c>
      <c r="N1192">
        <v>0</v>
      </c>
      <c r="O1192" t="b">
        <v>0</v>
      </c>
    </row>
    <row r="1193" spans="1:15" x14ac:dyDescent="0.3">
      <c r="A1193" s="1" t="s">
        <v>1295</v>
      </c>
      <c r="B1193">
        <v>6.9747726680078476E-2</v>
      </c>
      <c r="C1193">
        <v>2.6287161904073601E-3</v>
      </c>
      <c r="D1193">
        <v>4.1193984849056293E-3</v>
      </c>
      <c r="E1193">
        <v>46.962443422785441</v>
      </c>
      <c r="F1193">
        <v>-1.0203274837066181E-3</v>
      </c>
      <c r="G1193">
        <v>0.2</v>
      </c>
      <c r="H1193">
        <v>-0.10651067319890591</v>
      </c>
      <c r="I1193">
        <v>-9.6673219359735552E-3</v>
      </c>
      <c r="J1193">
        <v>-6.5746613450349267E-3</v>
      </c>
      <c r="K1193">
        <v>3.005273404275588E-3</v>
      </c>
      <c r="L1193">
        <v>0</v>
      </c>
      <c r="M1193">
        <v>73827146.538949996</v>
      </c>
      <c r="N1193">
        <v>0</v>
      </c>
      <c r="O1193" t="b">
        <v>0</v>
      </c>
    </row>
    <row r="1194" spans="1:15" x14ac:dyDescent="0.3">
      <c r="A1194" s="1" t="s">
        <v>1296</v>
      </c>
      <c r="B1194">
        <v>6.423564881372168E-2</v>
      </c>
      <c r="C1194">
        <v>2.5739251737525869E-3</v>
      </c>
      <c r="D1194">
        <v>3.5822617936151482E-3</v>
      </c>
      <c r="E1194">
        <v>50.057614175606624</v>
      </c>
      <c r="F1194">
        <v>2.9296639526752428E-3</v>
      </c>
      <c r="G1194">
        <v>0.2</v>
      </c>
      <c r="H1194">
        <v>-8.7083032177605948E-2</v>
      </c>
      <c r="I1194">
        <v>-5.0114900273026487E-2</v>
      </c>
      <c r="J1194">
        <v>-5.7805540726812987E-3</v>
      </c>
      <c r="K1194">
        <v>2.7926450969990579E-3</v>
      </c>
      <c r="L1194">
        <v>0</v>
      </c>
      <c r="M1194">
        <v>41471097.215599999</v>
      </c>
      <c r="N1194">
        <v>0</v>
      </c>
      <c r="O1194" t="b">
        <v>0</v>
      </c>
    </row>
    <row r="1195" spans="1:15" x14ac:dyDescent="0.3">
      <c r="A1195" s="1" t="s">
        <v>1297</v>
      </c>
      <c r="B1195">
        <v>0.28303716490778652</v>
      </c>
      <c r="C1195">
        <v>9.5491621088996774E-3</v>
      </c>
      <c r="D1195">
        <v>1.5182186234817791E-2</v>
      </c>
      <c r="E1195">
        <v>63.182011989221643</v>
      </c>
      <c r="F1195">
        <v>2.430123579663257E-2</v>
      </c>
      <c r="G1195">
        <v>0.6</v>
      </c>
      <c r="H1195">
        <v>-6.453030701658917E-2</v>
      </c>
      <c r="I1195">
        <v>0.63977350391536425</v>
      </c>
      <c r="J1195">
        <v>0</v>
      </c>
      <c r="K1195">
        <v>1.3160143565202681E-2</v>
      </c>
      <c r="L1195">
        <v>0</v>
      </c>
      <c r="M1195">
        <v>48724222.372850001</v>
      </c>
      <c r="N1195">
        <v>0</v>
      </c>
      <c r="O1195" t="b">
        <v>0</v>
      </c>
    </row>
    <row r="1196" spans="1:15" x14ac:dyDescent="0.3">
      <c r="A1196" s="1" t="s">
        <v>1298</v>
      </c>
      <c r="B1196">
        <v>1.888216136206365</v>
      </c>
      <c r="C1196">
        <v>1.977448499757942E-2</v>
      </c>
      <c r="D1196">
        <v>2.410996203691582E-2</v>
      </c>
      <c r="E1196">
        <v>60.311766366356061</v>
      </c>
      <c r="F1196">
        <v>5.252209212473824E-3</v>
      </c>
      <c r="G1196">
        <v>0.6</v>
      </c>
      <c r="H1196">
        <v>-3.0612088834015311E-2</v>
      </c>
      <c r="I1196">
        <v>0.62728970460386602</v>
      </c>
      <c r="J1196">
        <v>-1.6661277333701371E-2</v>
      </c>
      <c r="K1196">
        <v>1.752286529323932E-2</v>
      </c>
      <c r="L1196">
        <v>0</v>
      </c>
      <c r="M1196">
        <v>735262041.93985009</v>
      </c>
      <c r="N1196">
        <v>0</v>
      </c>
      <c r="O1196" t="b">
        <v>1</v>
      </c>
    </row>
    <row r="1197" spans="1:15" x14ac:dyDescent="0.3">
      <c r="A1197" s="1" t="s">
        <v>1299</v>
      </c>
      <c r="B1197">
        <v>0.29247129555422979</v>
      </c>
      <c r="C1197">
        <v>1.0796282597055361E-2</v>
      </c>
      <c r="D1197">
        <v>1.144333702473233E-2</v>
      </c>
      <c r="E1197">
        <v>60.86657698556423</v>
      </c>
      <c r="F1197">
        <v>8.5967139628653211E-3</v>
      </c>
      <c r="G1197">
        <v>0.6</v>
      </c>
      <c r="H1197">
        <v>-8.0996226883656527E-2</v>
      </c>
      <c r="I1197">
        <v>1.018159882086751</v>
      </c>
      <c r="J1197">
        <v>0</v>
      </c>
      <c r="K1197">
        <v>7.1006357113647667E-3</v>
      </c>
      <c r="L1197">
        <v>0</v>
      </c>
      <c r="M1197">
        <v>270695415.38935</v>
      </c>
      <c r="N1197">
        <v>0</v>
      </c>
      <c r="O1197" t="b">
        <v>1</v>
      </c>
    </row>
    <row r="1198" spans="1:15" x14ac:dyDescent="0.3">
      <c r="A1198" s="1" t="s">
        <v>1300</v>
      </c>
      <c r="B1198">
        <v>6.9998686902976448E-2</v>
      </c>
      <c r="C1198">
        <v>3.0071652168841079E-3</v>
      </c>
      <c r="D1198">
        <v>3.8406516219665191E-3</v>
      </c>
      <c r="E1198">
        <v>51.878650818324871</v>
      </c>
      <c r="F1198">
        <v>2.722483318328139E-3</v>
      </c>
      <c r="G1198">
        <v>0.2</v>
      </c>
      <c r="H1198">
        <v>-8.868171875839434E-2</v>
      </c>
      <c r="I1198">
        <v>-3.323022498249738E-3</v>
      </c>
      <c r="J1198">
        <v>-4.9204014979222777E-3</v>
      </c>
      <c r="K1198">
        <v>3.4270491167265331E-3</v>
      </c>
      <c r="L1198">
        <v>0</v>
      </c>
      <c r="M1198">
        <v>31189633.839000002</v>
      </c>
      <c r="N1198">
        <v>0</v>
      </c>
      <c r="O1198" t="b">
        <v>0</v>
      </c>
    </row>
    <row r="1199" spans="1:15" x14ac:dyDescent="0.3">
      <c r="A1199" s="1" t="s">
        <v>1301</v>
      </c>
      <c r="B1199">
        <v>1.498366695411143</v>
      </c>
      <c r="C1199">
        <v>1.9518242686177651E-2</v>
      </c>
      <c r="D1199">
        <v>1.1284723352981529E-2</v>
      </c>
      <c r="E1199">
        <v>41.082012486756483</v>
      </c>
      <c r="F1199">
        <v>-3.7813156456650732E-2</v>
      </c>
      <c r="G1199">
        <v>0.4</v>
      </c>
      <c r="H1199">
        <v>-0.1023330152502779</v>
      </c>
      <c r="I1199">
        <v>-5.4902207983206983E-3</v>
      </c>
      <c r="J1199">
        <v>-4.5082956221903281E-2</v>
      </c>
      <c r="K1199">
        <v>1.429728703760569E-3</v>
      </c>
      <c r="L1199">
        <v>0</v>
      </c>
      <c r="M1199">
        <v>76305038.717399999</v>
      </c>
      <c r="N1199">
        <v>0</v>
      </c>
      <c r="O1199" t="b">
        <v>0</v>
      </c>
    </row>
    <row r="1200" spans="1:15" x14ac:dyDescent="0.3">
      <c r="A1200" s="1" t="s">
        <v>1302</v>
      </c>
      <c r="B1200">
        <v>0.67885635592075599</v>
      </c>
      <c r="C1200">
        <v>8.8949266690787534E-3</v>
      </c>
      <c r="D1200">
        <v>1.143744390358953E-2</v>
      </c>
      <c r="E1200">
        <v>60.742103827788227</v>
      </c>
      <c r="F1200">
        <v>1.85888341539131E-2</v>
      </c>
      <c r="G1200">
        <v>0.6</v>
      </c>
      <c r="H1200">
        <v>-0.113534945553164</v>
      </c>
      <c r="I1200">
        <v>0.68813159398772417</v>
      </c>
      <c r="J1200">
        <v>0</v>
      </c>
      <c r="K1200">
        <v>9.8631674078819564E-3</v>
      </c>
      <c r="L1200">
        <v>0</v>
      </c>
      <c r="M1200">
        <v>63459247.470449999</v>
      </c>
      <c r="N1200">
        <v>0</v>
      </c>
      <c r="O1200" t="b">
        <v>0</v>
      </c>
    </row>
    <row r="1201" spans="1:15" x14ac:dyDescent="0.3">
      <c r="A1201" s="1" t="s">
        <v>1303</v>
      </c>
      <c r="B1201">
        <v>0.52044358380180245</v>
      </c>
      <c r="C1201">
        <v>1.335823677318829E-2</v>
      </c>
      <c r="D1201">
        <v>2.4558206388521742E-2</v>
      </c>
      <c r="E1201">
        <v>66.439191105910254</v>
      </c>
      <c r="F1201">
        <v>2.9225290720712671E-2</v>
      </c>
      <c r="G1201">
        <v>0.4</v>
      </c>
      <c r="H1201">
        <v>-7.2757933563827079E-2</v>
      </c>
      <c r="I1201">
        <v>0.81530992196517305</v>
      </c>
      <c r="J1201">
        <v>0</v>
      </c>
      <c r="K1201">
        <v>2.1427148220390709E-2</v>
      </c>
      <c r="L1201">
        <v>0</v>
      </c>
      <c r="M1201">
        <v>47782128.28125</v>
      </c>
      <c r="N1201">
        <v>0</v>
      </c>
      <c r="O1201" t="b">
        <v>0</v>
      </c>
    </row>
    <row r="1202" spans="1:15" x14ac:dyDescent="0.3">
      <c r="A1202" s="1" t="s">
        <v>1304</v>
      </c>
      <c r="B1202">
        <v>1.312950485684705</v>
      </c>
      <c r="C1202">
        <v>9.4446677386232098E-3</v>
      </c>
      <c r="D1202">
        <v>1.414235873826551E-2</v>
      </c>
      <c r="E1202">
        <v>55.721290103085693</v>
      </c>
      <c r="F1202">
        <v>2.0106402494954882E-2</v>
      </c>
      <c r="G1202">
        <v>0.2</v>
      </c>
      <c r="H1202">
        <v>-0.1085540071491197</v>
      </c>
      <c r="I1202">
        <v>0.3419308180591788</v>
      </c>
      <c r="J1202">
        <v>-5.1170113790882654E-3</v>
      </c>
      <c r="K1202">
        <v>1.192339328999736E-2</v>
      </c>
      <c r="L1202">
        <v>0</v>
      </c>
      <c r="M1202">
        <v>32785109.3255</v>
      </c>
      <c r="N1202">
        <v>0</v>
      </c>
      <c r="O1202" t="b">
        <v>0</v>
      </c>
    </row>
    <row r="1203" spans="1:15" x14ac:dyDescent="0.3">
      <c r="A1203" s="1" t="s">
        <v>1305</v>
      </c>
      <c r="B1203">
        <v>5.7785436033204878</v>
      </c>
      <c r="C1203">
        <v>4.6518625046856277E-2</v>
      </c>
      <c r="D1203">
        <v>4.7053614554822078E-2</v>
      </c>
      <c r="E1203">
        <v>29.741472360267689</v>
      </c>
      <c r="F1203">
        <v>-0.19883908416639801</v>
      </c>
      <c r="G1203">
        <v>0.4</v>
      </c>
      <c r="H1203">
        <v>-0.30102768589722828</v>
      </c>
      <c r="I1203">
        <v>1.3482232432002701</v>
      </c>
      <c r="J1203">
        <v>-0.1564579655031916</v>
      </c>
      <c r="K1203">
        <v>-3.4509560080833168E-2</v>
      </c>
      <c r="L1203">
        <v>0</v>
      </c>
      <c r="M1203">
        <v>563396096.5</v>
      </c>
      <c r="N1203">
        <v>0</v>
      </c>
      <c r="O1203" t="b">
        <v>1</v>
      </c>
    </row>
    <row r="1204" spans="1:15" x14ac:dyDescent="0.3">
      <c r="A1204" s="1" t="s">
        <v>1306</v>
      </c>
      <c r="B1204">
        <v>1.4191249332090889</v>
      </c>
      <c r="C1204">
        <v>1.7161969004863799E-2</v>
      </c>
      <c r="D1204">
        <v>2.3196247192831979E-2</v>
      </c>
      <c r="E1204">
        <v>61.178230259049528</v>
      </c>
      <c r="F1204">
        <v>2.5302674299902961E-3</v>
      </c>
      <c r="G1204">
        <v>0.6</v>
      </c>
      <c r="H1204">
        <v>-0.16581077975914441</v>
      </c>
      <c r="I1204">
        <v>0.77638030606948483</v>
      </c>
      <c r="J1204">
        <v>-5.9732890956519791E-3</v>
      </c>
      <c r="K1204">
        <v>2.01072782944034E-2</v>
      </c>
      <c r="L1204">
        <v>0</v>
      </c>
      <c r="M1204">
        <v>57103496.911500007</v>
      </c>
      <c r="N1204">
        <v>0</v>
      </c>
      <c r="O1204" t="b">
        <v>0</v>
      </c>
    </row>
    <row r="1205" spans="1:15" x14ac:dyDescent="0.3">
      <c r="A1205" s="1" t="s">
        <v>1307</v>
      </c>
      <c r="B1205">
        <v>2.061960809563903</v>
      </c>
      <c r="C1205">
        <v>2.3903438585008981E-2</v>
      </c>
      <c r="D1205">
        <v>3.2309670179603733E-2</v>
      </c>
      <c r="E1205">
        <v>71.921503906732241</v>
      </c>
      <c r="F1205">
        <v>7.0752872628692787E-2</v>
      </c>
      <c r="G1205">
        <v>0.8</v>
      </c>
      <c r="H1205">
        <v>0.10255495441800221</v>
      </c>
      <c r="I1205">
        <v>1.1269017383650479</v>
      </c>
      <c r="J1205">
        <v>0</v>
      </c>
      <c r="K1205">
        <v>2.43493770454426E-2</v>
      </c>
      <c r="L1205">
        <v>0</v>
      </c>
      <c r="M1205">
        <v>74002078.363000005</v>
      </c>
      <c r="N1205">
        <v>0</v>
      </c>
      <c r="O1205" t="b">
        <v>0</v>
      </c>
    </row>
    <row r="1206" spans="1:15" x14ac:dyDescent="0.3">
      <c r="A1206" s="1" t="s">
        <v>1308</v>
      </c>
      <c r="B1206">
        <v>0.41970885006791991</v>
      </c>
      <c r="C1206">
        <v>1.9323611881580108E-2</v>
      </c>
      <c r="D1206">
        <v>1.5653775322283601E-2</v>
      </c>
      <c r="E1206">
        <v>50.904464370830297</v>
      </c>
      <c r="F1206">
        <v>5.9856252906609342E-5</v>
      </c>
      <c r="G1206">
        <v>0.6</v>
      </c>
      <c r="H1206">
        <v>-0.16440568361154179</v>
      </c>
      <c r="I1206">
        <v>0.16409464549317121</v>
      </c>
      <c r="J1206">
        <v>-1.496598639455793E-2</v>
      </c>
      <c r="K1206">
        <v>5.0902360018509896E-3</v>
      </c>
      <c r="L1206">
        <v>0</v>
      </c>
      <c r="M1206">
        <v>16490335</v>
      </c>
      <c r="N1206">
        <v>0</v>
      </c>
      <c r="O1206" t="b">
        <v>0</v>
      </c>
    </row>
    <row r="1207" spans="1:15" x14ac:dyDescent="0.3">
      <c r="A1207" s="1" t="s">
        <v>1309</v>
      </c>
      <c r="B1207">
        <v>3.0668598074053519</v>
      </c>
      <c r="C1207">
        <v>3.8097637359072692E-2</v>
      </c>
      <c r="D1207">
        <v>5.9751552795031082E-2</v>
      </c>
      <c r="E1207">
        <v>36.703069342132267</v>
      </c>
      <c r="F1207">
        <v>1.91163438409927E-2</v>
      </c>
      <c r="G1207">
        <v>0.4</v>
      </c>
      <c r="H1207">
        <v>-0.2204618402197579</v>
      </c>
      <c r="I1207">
        <v>1.2963038973074661</v>
      </c>
      <c r="J1207">
        <v>-6.2427207081295122E-2</v>
      </c>
      <c r="K1207">
        <v>-3.2916866890917773E-2</v>
      </c>
      <c r="L1207">
        <v>0</v>
      </c>
      <c r="M1207">
        <v>228327717</v>
      </c>
      <c r="N1207">
        <v>0</v>
      </c>
      <c r="O1207" t="b">
        <v>1</v>
      </c>
    </row>
    <row r="1208" spans="1:15" x14ac:dyDescent="0.3">
      <c r="A1208" s="1" t="s">
        <v>1310</v>
      </c>
      <c r="B1208">
        <v>2.4805703577421032</v>
      </c>
      <c r="C1208">
        <v>2.6925552310854622E-2</v>
      </c>
      <c r="D1208">
        <v>2.5348703420278569E-2</v>
      </c>
      <c r="E1208">
        <v>60.013253450717357</v>
      </c>
      <c r="F1208">
        <v>-1.0974854346731511E-2</v>
      </c>
      <c r="G1208">
        <v>0.4</v>
      </c>
      <c r="H1208">
        <v>2.6727117374027849E-2</v>
      </c>
      <c r="I1208">
        <v>0.46271022843066589</v>
      </c>
      <c r="J1208">
        <v>-9.4435478408221307E-3</v>
      </c>
      <c r="K1208">
        <v>2.4073685017891089E-2</v>
      </c>
      <c r="L1208">
        <v>0</v>
      </c>
      <c r="M1208">
        <v>163408900.96614999</v>
      </c>
      <c r="N1208">
        <v>0</v>
      </c>
      <c r="O1208" t="b">
        <v>1</v>
      </c>
    </row>
    <row r="1209" spans="1:15" x14ac:dyDescent="0.3">
      <c r="A1209" s="1" t="s">
        <v>1311</v>
      </c>
      <c r="B1209">
        <v>0.54416168579899793</v>
      </c>
      <c r="C1209">
        <v>1.349607355652277E-2</v>
      </c>
      <c r="D1209">
        <v>1.364087301587294E-2</v>
      </c>
      <c r="E1209">
        <v>62.787533691786059</v>
      </c>
      <c r="F1209">
        <v>2.857142857142847E-2</v>
      </c>
      <c r="G1209">
        <v>0.6</v>
      </c>
      <c r="H1209">
        <v>0.1154485492769627</v>
      </c>
      <c r="I1209">
        <v>0.35745261082953339</v>
      </c>
      <c r="J1209">
        <v>-1.485884101040225E-3</v>
      </c>
      <c r="K1209">
        <v>4.2341220423411929E-3</v>
      </c>
      <c r="L1209">
        <v>0</v>
      </c>
      <c r="M1209">
        <v>138984899.5</v>
      </c>
      <c r="N1209">
        <v>0</v>
      </c>
      <c r="O1209" t="b">
        <v>1</v>
      </c>
    </row>
    <row r="1210" spans="1:15" x14ac:dyDescent="0.3">
      <c r="A1210" s="1" t="s">
        <v>1312</v>
      </c>
      <c r="B1210">
        <v>1.8730794881919161E-2</v>
      </c>
      <c r="C1210">
        <v>1.8753937240473909E-4</v>
      </c>
      <c r="D1210">
        <v>1.001235524637915E-4</v>
      </c>
      <c r="E1210">
        <v>99.767643166381163</v>
      </c>
      <c r="F1210">
        <v>3.1185313073425198E-3</v>
      </c>
      <c r="G1210">
        <v>0.6</v>
      </c>
      <c r="H1210">
        <v>-8.1650255826910337E-2</v>
      </c>
      <c r="I1210">
        <v>-2.1521381395860411E-3</v>
      </c>
      <c r="J1210">
        <v>0</v>
      </c>
      <c r="K1210">
        <v>0</v>
      </c>
      <c r="L1210">
        <v>0</v>
      </c>
      <c r="M1210">
        <v>1089180788.8352001</v>
      </c>
      <c r="N1210">
        <v>0</v>
      </c>
      <c r="O1210" t="b">
        <v>1</v>
      </c>
    </row>
    <row r="1211" spans="1:15" x14ac:dyDescent="0.3">
      <c r="A1211" s="1" t="s">
        <v>1313</v>
      </c>
      <c r="B1211">
        <v>1.01020376968743</v>
      </c>
      <c r="C1211">
        <v>1.399069556691647E-2</v>
      </c>
      <c r="D1211">
        <v>1.042858290377174E-2</v>
      </c>
      <c r="E1211">
        <v>44.479325939740377</v>
      </c>
      <c r="F1211">
        <v>-3.9003939522998299E-2</v>
      </c>
      <c r="G1211">
        <v>0.2</v>
      </c>
      <c r="H1211">
        <v>-3.5063538926250963E-2</v>
      </c>
      <c r="I1211">
        <v>0.44908803797032232</v>
      </c>
      <c r="J1211">
        <v>-4.4619040562283052E-2</v>
      </c>
      <c r="K1211">
        <v>4.5479524475329214E-3</v>
      </c>
      <c r="L1211">
        <v>0</v>
      </c>
      <c r="M1211">
        <v>277194976.06755</v>
      </c>
      <c r="N1211">
        <v>0</v>
      </c>
      <c r="O1211" t="b">
        <v>1</v>
      </c>
    </row>
    <row r="1212" spans="1:15" x14ac:dyDescent="0.3">
      <c r="A1212" s="1" t="s">
        <v>1314</v>
      </c>
      <c r="B1212">
        <v>1.169888401894829</v>
      </c>
      <c r="C1212">
        <v>2.18875285667882E-2</v>
      </c>
      <c r="D1212">
        <v>1.4405986903648331E-2</v>
      </c>
      <c r="E1212">
        <v>49.572893309083199</v>
      </c>
      <c r="F1212">
        <v>-2.2494513533284469E-2</v>
      </c>
      <c r="G1212">
        <v>0.4</v>
      </c>
      <c r="H1212">
        <v>5.2111921424076259E-2</v>
      </c>
      <c r="I1212">
        <v>0.85768423296413943</v>
      </c>
      <c r="J1212">
        <v>-4.7746303224657012E-2</v>
      </c>
      <c r="K1212">
        <v>-2.6124276917335321E-3</v>
      </c>
      <c r="L1212">
        <v>0</v>
      </c>
      <c r="M1212">
        <v>7931425.7828500001</v>
      </c>
      <c r="N1212">
        <v>0</v>
      </c>
      <c r="O1212" t="b">
        <v>0</v>
      </c>
    </row>
    <row r="1213" spans="1:15" x14ac:dyDescent="0.3">
      <c r="A1213" s="1" t="s">
        <v>1315</v>
      </c>
      <c r="B1213">
        <v>1.197492195110309</v>
      </c>
      <c r="C1213">
        <v>1.862722587249576E-2</v>
      </c>
      <c r="D1213">
        <v>2.650449856269995E-2</v>
      </c>
      <c r="E1213">
        <v>53.352393878464632</v>
      </c>
      <c r="F1213">
        <v>-3.5430601693058887E-2</v>
      </c>
      <c r="G1213">
        <v>0.8</v>
      </c>
      <c r="H1213">
        <v>-8.4426481498132866E-2</v>
      </c>
      <c r="I1213">
        <v>0.89006029882222648</v>
      </c>
      <c r="J1213">
        <v>-2.8313008990272111E-2</v>
      </c>
      <c r="K1213">
        <v>5.6109559898949168E-3</v>
      </c>
      <c r="L1213">
        <v>0</v>
      </c>
      <c r="M1213">
        <v>44023881.810149997</v>
      </c>
      <c r="N1213">
        <v>0</v>
      </c>
      <c r="O1213" t="b">
        <v>0</v>
      </c>
    </row>
    <row r="1214" spans="1:15" x14ac:dyDescent="0.3">
      <c r="A1214" s="1" t="s">
        <v>1316</v>
      </c>
      <c r="B1214">
        <v>7.0825718668642326</v>
      </c>
      <c r="C1214">
        <v>4.2053033290964457E-2</v>
      </c>
      <c r="D1214">
        <v>6.4244151525947008E-2</v>
      </c>
      <c r="E1214">
        <v>60.862149761514416</v>
      </c>
      <c r="F1214">
        <v>6.0045317220543737E-2</v>
      </c>
      <c r="G1214">
        <v>0.6</v>
      </c>
      <c r="H1214">
        <v>8.006424660897625E-2</v>
      </c>
      <c r="I1214">
        <v>3.0101139270997899</v>
      </c>
      <c r="J1214">
        <v>0</v>
      </c>
      <c r="K1214">
        <v>5.3349177559572247E-2</v>
      </c>
      <c r="L1214">
        <v>0</v>
      </c>
      <c r="M1214">
        <v>963486724.5</v>
      </c>
      <c r="N1214">
        <v>0</v>
      </c>
      <c r="O1214" t="b">
        <v>1</v>
      </c>
    </row>
    <row r="1215" spans="1:15" x14ac:dyDescent="0.3">
      <c r="A1215" s="1" t="s">
        <v>1317</v>
      </c>
      <c r="B1215">
        <v>2.2780650268077692E-2</v>
      </c>
      <c r="C1215">
        <v>2.0729846548986461E-4</v>
      </c>
      <c r="D1215">
        <v>2.7299282028883681E-4</v>
      </c>
      <c r="E1215">
        <v>98.961802940896135</v>
      </c>
      <c r="F1215">
        <v>3.2866807263565172E-3</v>
      </c>
      <c r="G1215">
        <v>0.8</v>
      </c>
      <c r="H1215">
        <v>-8.1983255360607341E-2</v>
      </c>
      <c r="I1215">
        <v>-1.0515686290941261E-3</v>
      </c>
      <c r="J1215">
        <v>0</v>
      </c>
      <c r="K1215">
        <v>2.7306736571919288E-4</v>
      </c>
      <c r="L1215">
        <v>0</v>
      </c>
      <c r="M1215">
        <v>326997819.68349987</v>
      </c>
      <c r="N1215">
        <v>0</v>
      </c>
      <c r="O1215" t="b">
        <v>1</v>
      </c>
    </row>
    <row r="1216" spans="1:15" x14ac:dyDescent="0.3">
      <c r="A1216" s="1" t="s">
        <v>1318</v>
      </c>
      <c r="B1216">
        <v>6.5063706382533928</v>
      </c>
      <c r="C1216">
        <v>1.9985779874837638E-2</v>
      </c>
      <c r="D1216">
        <v>2.1299339579173789E-2</v>
      </c>
      <c r="E1216">
        <v>41.020237116714519</v>
      </c>
      <c r="F1216">
        <v>-4.5299518764094659E-2</v>
      </c>
      <c r="G1216">
        <v>0.2</v>
      </c>
      <c r="H1216">
        <v>-0.19082232540382971</v>
      </c>
      <c r="I1216">
        <v>0.50310577064700146</v>
      </c>
      <c r="J1216">
        <v>-5.2300329533413348E-2</v>
      </c>
      <c r="K1216">
        <v>1.597535818943863E-2</v>
      </c>
      <c r="L1216">
        <v>0</v>
      </c>
      <c r="M1216">
        <v>584852221.68000007</v>
      </c>
      <c r="N1216">
        <v>0</v>
      </c>
      <c r="O1216" t="b">
        <v>1</v>
      </c>
    </row>
    <row r="1217" spans="1:15" x14ac:dyDescent="0.3">
      <c r="A1217" s="1" t="s">
        <v>1319</v>
      </c>
      <c r="B1217">
        <v>7.0562322572912312E-2</v>
      </c>
      <c r="C1217">
        <v>8.5660811557167009E-4</v>
      </c>
      <c r="D1217">
        <v>1.689851543142838E-3</v>
      </c>
      <c r="E1217">
        <v>62.650207324403652</v>
      </c>
      <c r="F1217">
        <v>3.4901739117723101E-3</v>
      </c>
      <c r="G1217">
        <v>0.2</v>
      </c>
      <c r="H1217">
        <v>-8.4300266168650162E-2</v>
      </c>
      <c r="I1217">
        <v>-4.4811363043467589E-3</v>
      </c>
      <c r="J1217">
        <v>-1.2138264543770649E-4</v>
      </c>
      <c r="K1217">
        <v>1.6927119750860249E-3</v>
      </c>
      <c r="L1217">
        <v>0</v>
      </c>
      <c r="M1217">
        <v>284887260.52950001</v>
      </c>
      <c r="N1217">
        <v>0</v>
      </c>
      <c r="O1217" t="b">
        <v>1</v>
      </c>
    </row>
    <row r="1218" spans="1:15" x14ac:dyDescent="0.3">
      <c r="A1218" s="1" t="s">
        <v>1320</v>
      </c>
      <c r="B1218">
        <v>0.1011261361798971</v>
      </c>
      <c r="C1218">
        <v>2.3827013976762791E-3</v>
      </c>
      <c r="D1218">
        <v>3.7274573651447582E-3</v>
      </c>
      <c r="E1218">
        <v>65.894211536571703</v>
      </c>
      <c r="F1218">
        <v>6.9850097514911891E-3</v>
      </c>
      <c r="G1218">
        <v>0.4</v>
      </c>
      <c r="H1218">
        <v>-9.660802053925753E-2</v>
      </c>
      <c r="I1218">
        <v>0.1788460199358165</v>
      </c>
      <c r="J1218">
        <v>0</v>
      </c>
      <c r="K1218">
        <v>2.5677306882794242E-3</v>
      </c>
      <c r="L1218">
        <v>0</v>
      </c>
      <c r="M1218">
        <v>50911793.300449997</v>
      </c>
      <c r="N1218">
        <v>0</v>
      </c>
      <c r="O1218" t="b">
        <v>0</v>
      </c>
    </row>
    <row r="1219" spans="1:15" x14ac:dyDescent="0.3">
      <c r="A1219" s="1" t="s">
        <v>1321</v>
      </c>
      <c r="B1219">
        <v>2.8642598206656258</v>
      </c>
      <c r="C1219">
        <v>3.6297575362792357E-2</v>
      </c>
      <c r="D1219">
        <v>4.2251664860823421E-2</v>
      </c>
      <c r="E1219">
        <v>67.394612654017578</v>
      </c>
      <c r="F1219">
        <v>0.17779150938749549</v>
      </c>
      <c r="G1219">
        <v>0.4</v>
      </c>
      <c r="H1219">
        <v>9.7860290873163294E-2</v>
      </c>
      <c r="I1219">
        <v>1.4850032423023909</v>
      </c>
      <c r="J1219">
        <v>0</v>
      </c>
      <c r="K1219">
        <v>1.6439919520005342E-2</v>
      </c>
      <c r="L1219">
        <v>0</v>
      </c>
      <c r="M1219">
        <v>62676136.756250009</v>
      </c>
      <c r="N1219">
        <v>0</v>
      </c>
      <c r="O1219" t="b">
        <v>0</v>
      </c>
    </row>
    <row r="1220" spans="1:15" x14ac:dyDescent="0.3">
      <c r="A1220" s="1" t="s">
        <v>1322</v>
      </c>
      <c r="B1220">
        <v>0.59067740005068303</v>
      </c>
      <c r="C1220">
        <v>2.6803163686185561E-2</v>
      </c>
      <c r="D1220">
        <v>3.1364576904926222E-2</v>
      </c>
      <c r="E1220">
        <v>60.241129487188417</v>
      </c>
      <c r="F1220">
        <v>2.809851040106737E-2</v>
      </c>
      <c r="G1220">
        <v>0.8</v>
      </c>
      <c r="H1220">
        <v>-6.1653295303510727E-2</v>
      </c>
      <c r="I1220">
        <v>0.94296536131212971</v>
      </c>
      <c r="J1220">
        <v>0</v>
      </c>
      <c r="K1220">
        <v>1.8246337102117541E-2</v>
      </c>
      <c r="L1220">
        <v>0</v>
      </c>
      <c r="M1220">
        <v>82418122.332699999</v>
      </c>
      <c r="N1220">
        <v>0</v>
      </c>
      <c r="O1220" t="b">
        <v>0</v>
      </c>
    </row>
    <row r="1221" spans="1:15" x14ac:dyDescent="0.3">
      <c r="A1221" s="1" t="s">
        <v>1323</v>
      </c>
      <c r="B1221">
        <v>20.925741627409721</v>
      </c>
      <c r="C1221">
        <v>5.5600333795859609E-2</v>
      </c>
      <c r="D1221">
        <v>4.4558401530449668E-2</v>
      </c>
      <c r="E1221">
        <v>71.698380723295003</v>
      </c>
      <c r="F1221">
        <v>0.1706740489595322</v>
      </c>
      <c r="G1221">
        <v>1</v>
      </c>
      <c r="H1221">
        <v>0.1318024325462008</v>
      </c>
      <c r="I1221">
        <v>2.5651255755417761</v>
      </c>
      <c r="J1221">
        <v>0</v>
      </c>
      <c r="K1221">
        <v>2.6931157739638278E-2</v>
      </c>
      <c r="L1221">
        <v>0</v>
      </c>
      <c r="M1221">
        <v>62975824.5</v>
      </c>
      <c r="N1221">
        <v>0</v>
      </c>
      <c r="O1221" t="b">
        <v>0</v>
      </c>
    </row>
    <row r="1222" spans="1:15" x14ac:dyDescent="0.3">
      <c r="A1222" s="1" t="s">
        <v>1324</v>
      </c>
      <c r="B1222">
        <v>1.602803493108929</v>
      </c>
      <c r="C1222">
        <v>2.724929434051223E-2</v>
      </c>
      <c r="D1222">
        <v>3.026181570894243E-2</v>
      </c>
      <c r="E1222">
        <v>75.823602194712606</v>
      </c>
      <c r="F1222">
        <v>0.22312331045955491</v>
      </c>
      <c r="G1222">
        <v>0.6</v>
      </c>
      <c r="H1222">
        <v>0.25037536978792352</v>
      </c>
      <c r="I1222">
        <v>0.6673394750083852</v>
      </c>
      <c r="J1222">
        <v>0</v>
      </c>
      <c r="K1222">
        <v>1.6240497581202499E-2</v>
      </c>
      <c r="L1222">
        <v>0</v>
      </c>
      <c r="M1222">
        <v>29587020</v>
      </c>
      <c r="N1222">
        <v>0</v>
      </c>
      <c r="O1222" t="b">
        <v>0</v>
      </c>
    </row>
    <row r="1223" spans="1:15" x14ac:dyDescent="0.3">
      <c r="A1223" s="1" t="s">
        <v>1325</v>
      </c>
      <c r="B1223">
        <v>2.2714810254305622</v>
      </c>
      <c r="C1223">
        <v>2.3015787710191801E-2</v>
      </c>
      <c r="D1223">
        <v>1.484715626244397E-2</v>
      </c>
      <c r="E1223">
        <v>39.878021795694323</v>
      </c>
      <c r="F1223">
        <v>-6.0869358353395693E-2</v>
      </c>
      <c r="G1223">
        <v>0.6</v>
      </c>
      <c r="H1223">
        <v>-0.12054193031851949</v>
      </c>
      <c r="I1223">
        <v>-4.5608464207174758E-2</v>
      </c>
      <c r="J1223">
        <v>-8.7179748053053063E-2</v>
      </c>
      <c r="K1223">
        <v>2.817659909566617E-3</v>
      </c>
      <c r="L1223">
        <v>0</v>
      </c>
      <c r="M1223">
        <v>150230860.19299999</v>
      </c>
      <c r="N1223">
        <v>0</v>
      </c>
      <c r="O1223" t="b">
        <v>1</v>
      </c>
    </row>
    <row r="1224" spans="1:15" x14ac:dyDescent="0.3">
      <c r="A1224" s="1" t="s">
        <v>1326</v>
      </c>
      <c r="B1224">
        <v>6.5831805977213151E-2</v>
      </c>
      <c r="C1224">
        <v>2.6247784560048939E-3</v>
      </c>
      <c r="D1224">
        <v>3.9392525786553561E-3</v>
      </c>
      <c r="E1224">
        <v>63.866375995671653</v>
      </c>
      <c r="F1224">
        <v>6.484933364901968E-3</v>
      </c>
      <c r="G1224">
        <v>0.4</v>
      </c>
      <c r="H1224">
        <v>-9.539998189006349E-2</v>
      </c>
      <c r="I1224">
        <v>0.19185204496316061</v>
      </c>
      <c r="J1224">
        <v>0</v>
      </c>
      <c r="K1224">
        <v>2.76670518197486E-3</v>
      </c>
      <c r="L1224">
        <v>0</v>
      </c>
      <c r="M1224">
        <v>83325660.877499998</v>
      </c>
      <c r="N1224">
        <v>0</v>
      </c>
      <c r="O1224" t="b">
        <v>0</v>
      </c>
    </row>
    <row r="1225" spans="1:15" x14ac:dyDescent="0.3">
      <c r="A1225" s="1" t="s">
        <v>1327</v>
      </c>
      <c r="B1225">
        <v>0.25306369491094532</v>
      </c>
      <c r="C1225">
        <v>1.244167624930901E-2</v>
      </c>
      <c r="D1225">
        <v>1.130776794493611E-2</v>
      </c>
      <c r="E1225">
        <v>50.097054128547413</v>
      </c>
      <c r="F1225">
        <v>9.8425196850393526E-4</v>
      </c>
      <c r="G1225">
        <v>0.6</v>
      </c>
      <c r="H1225">
        <v>-0.17813707475065091</v>
      </c>
      <c r="I1225">
        <v>0.31564634042134909</v>
      </c>
      <c r="J1225">
        <v>-6.3507572056668016E-3</v>
      </c>
      <c r="K1225">
        <v>9.8425196850393526E-4</v>
      </c>
      <c r="L1225">
        <v>0</v>
      </c>
      <c r="M1225">
        <v>8058750.1720000003</v>
      </c>
      <c r="N1225">
        <v>0</v>
      </c>
      <c r="O1225" t="b">
        <v>0</v>
      </c>
    </row>
    <row r="1226" spans="1:15" x14ac:dyDescent="0.3">
      <c r="A1226" s="1" t="s">
        <v>1328</v>
      </c>
      <c r="B1226">
        <v>1.079032801307888</v>
      </c>
      <c r="C1226">
        <v>2.7182474797344001E-2</v>
      </c>
      <c r="D1226">
        <v>4.4828307205530007E-2</v>
      </c>
      <c r="E1226">
        <v>71.785090703394587</v>
      </c>
      <c r="F1226">
        <v>9.0366972477064378E-2</v>
      </c>
      <c r="G1226">
        <v>0.8</v>
      </c>
      <c r="H1226">
        <v>6.4240764460178137E-2</v>
      </c>
      <c r="I1226">
        <v>0.81210852203626638</v>
      </c>
      <c r="J1226">
        <v>0</v>
      </c>
      <c r="K1226">
        <v>4.2557550130661648E-2</v>
      </c>
      <c r="L1226">
        <v>0</v>
      </c>
      <c r="M1226">
        <v>526250707.53839999</v>
      </c>
      <c r="N1226">
        <v>0</v>
      </c>
      <c r="O1226" t="b">
        <v>1</v>
      </c>
    </row>
    <row r="1227" spans="1:15" x14ac:dyDescent="0.3">
      <c r="A1227" s="1" t="s">
        <v>1329</v>
      </c>
      <c r="B1227">
        <v>0.8406099836433969</v>
      </c>
      <c r="C1227">
        <v>1.444074115963301E-2</v>
      </c>
      <c r="D1227">
        <v>7.9898988163749057E-3</v>
      </c>
      <c r="E1227">
        <v>48.288881132648989</v>
      </c>
      <c r="F1227">
        <v>1.256596960092948E-2</v>
      </c>
      <c r="G1227">
        <v>0.4</v>
      </c>
      <c r="H1227">
        <v>-7.8263881899790388E-2</v>
      </c>
      <c r="I1227">
        <v>0.30453435987728789</v>
      </c>
      <c r="J1227">
        <v>-1.6388733527202271E-2</v>
      </c>
      <c r="K1227">
        <v>-4.4023780366830856E-3</v>
      </c>
      <c r="L1227">
        <v>0</v>
      </c>
      <c r="M1227">
        <v>27691259.203949999</v>
      </c>
      <c r="N1227">
        <v>1</v>
      </c>
      <c r="O1227" t="b">
        <v>0</v>
      </c>
    </row>
    <row r="1228" spans="1:15" x14ac:dyDescent="0.3">
      <c r="A1228" s="1" t="s">
        <v>1330</v>
      </c>
      <c r="B1228">
        <v>1.549794566416689</v>
      </c>
      <c r="C1228">
        <v>2.764035253106276E-2</v>
      </c>
      <c r="D1228">
        <v>3.103263777421084E-2</v>
      </c>
      <c r="E1228">
        <v>75.73790931305922</v>
      </c>
      <c r="F1228">
        <v>0.22450316663026859</v>
      </c>
      <c r="G1228">
        <v>0.6</v>
      </c>
      <c r="H1228">
        <v>0.2491661344530805</v>
      </c>
      <c r="I1228">
        <v>0.64469853467004812</v>
      </c>
      <c r="J1228">
        <v>0</v>
      </c>
      <c r="K1228">
        <v>1.6313213703099461E-2</v>
      </c>
      <c r="L1228">
        <v>0</v>
      </c>
      <c r="M1228">
        <v>684533028</v>
      </c>
      <c r="N1228">
        <v>0</v>
      </c>
      <c r="O1228" t="b">
        <v>1</v>
      </c>
    </row>
    <row r="1229" spans="1:15" x14ac:dyDescent="0.3">
      <c r="A1229" s="1" t="s">
        <v>1331</v>
      </c>
      <c r="B1229">
        <v>1.4658561961748271</v>
      </c>
      <c r="C1229">
        <v>1.5721205398230891E-2</v>
      </c>
      <c r="D1229">
        <v>2.8668810937712719E-2</v>
      </c>
      <c r="E1229">
        <v>67.594107212455611</v>
      </c>
      <c r="F1229">
        <v>4.6626383901561257E-2</v>
      </c>
      <c r="G1229">
        <v>0.4</v>
      </c>
      <c r="H1229">
        <v>9.2019701234642461E-3</v>
      </c>
      <c r="I1229">
        <v>1.2941802479139191</v>
      </c>
      <c r="J1229">
        <v>0</v>
      </c>
      <c r="K1229">
        <v>2.2671011486865341E-2</v>
      </c>
      <c r="L1229">
        <v>0</v>
      </c>
      <c r="M1229">
        <v>15355938.151900001</v>
      </c>
      <c r="N1229">
        <v>0</v>
      </c>
      <c r="O1229" t="b">
        <v>0</v>
      </c>
    </row>
    <row r="1230" spans="1:15" x14ac:dyDescent="0.3">
      <c r="A1230" s="1" t="s">
        <v>1332</v>
      </c>
      <c r="B1230">
        <v>7.6384411589344628E-2</v>
      </c>
      <c r="C1230">
        <v>2.9981007469049139E-3</v>
      </c>
      <c r="D1230">
        <v>6.6175777938266506E-3</v>
      </c>
      <c r="E1230">
        <v>53.807287017331028</v>
      </c>
      <c r="F1230">
        <v>3.1380547210595471E-3</v>
      </c>
      <c r="G1230">
        <v>0.2</v>
      </c>
      <c r="H1230">
        <v>-7.4973350544691425E-2</v>
      </c>
      <c r="I1230">
        <v>-1.524673661895661E-2</v>
      </c>
      <c r="J1230">
        <v>-4.2211243824651357E-3</v>
      </c>
      <c r="K1230">
        <v>3.5924747108688759E-3</v>
      </c>
      <c r="L1230">
        <v>0</v>
      </c>
      <c r="M1230">
        <v>6477610.5901500015</v>
      </c>
      <c r="N1230">
        <v>0</v>
      </c>
      <c r="O1230" t="b">
        <v>0</v>
      </c>
    </row>
    <row r="1231" spans="1:15" x14ac:dyDescent="0.3">
      <c r="A1231" s="1" t="s">
        <v>1333</v>
      </c>
      <c r="B1231">
        <v>1.841323396822975</v>
      </c>
      <c r="C1231">
        <v>5.2759982716990679E-2</v>
      </c>
      <c r="D1231">
        <v>2.7220630372492921E-2</v>
      </c>
      <c r="E1231">
        <v>41.135630647500037</v>
      </c>
      <c r="F1231">
        <v>-0.13162478228415031</v>
      </c>
      <c r="G1231">
        <v>0.6</v>
      </c>
      <c r="H1231">
        <v>-0.10435537963508749</v>
      </c>
      <c r="I1231">
        <v>2.8186397604057052</v>
      </c>
      <c r="J1231">
        <v>-0.1009788768675941</v>
      </c>
      <c r="K1231">
        <v>-3.4266133637922409E-3</v>
      </c>
      <c r="L1231">
        <v>0</v>
      </c>
      <c r="M1231">
        <v>1478027293</v>
      </c>
      <c r="N1231">
        <v>0</v>
      </c>
      <c r="O1231" t="b">
        <v>1</v>
      </c>
    </row>
    <row r="1232" spans="1:15" x14ac:dyDescent="0.3">
      <c r="A1232" s="1" t="s">
        <v>1334</v>
      </c>
      <c r="B1232">
        <v>0.34941637634510819</v>
      </c>
      <c r="C1232">
        <v>1.854651679114162E-2</v>
      </c>
      <c r="D1232">
        <v>1.433121019108278E-2</v>
      </c>
      <c r="E1232">
        <v>68.596659859614761</v>
      </c>
      <c r="F1232">
        <v>0.14389799635701281</v>
      </c>
      <c r="G1232">
        <v>0.6</v>
      </c>
      <c r="H1232">
        <v>9.1061900379119168E-2</v>
      </c>
      <c r="I1232">
        <v>1.1413168304841199</v>
      </c>
      <c r="J1232">
        <v>-6.3291139240506666E-3</v>
      </c>
      <c r="K1232">
        <v>9.6463022508037621E-3</v>
      </c>
      <c r="L1232">
        <v>0</v>
      </c>
      <c r="M1232">
        <v>26501118</v>
      </c>
      <c r="N1232">
        <v>0</v>
      </c>
      <c r="O1232" t="b">
        <v>0</v>
      </c>
    </row>
    <row r="1233" spans="1:15" x14ac:dyDescent="0.3">
      <c r="A1233" s="1" t="s">
        <v>1335</v>
      </c>
      <c r="B1233">
        <v>9.246121418660552</v>
      </c>
      <c r="C1233">
        <v>2.4792517345043581E-2</v>
      </c>
      <c r="D1233">
        <v>2.3148495736579709E-2</v>
      </c>
      <c r="E1233">
        <v>66.307412210975869</v>
      </c>
      <c r="F1233">
        <v>4.2672578891010497E-2</v>
      </c>
      <c r="G1233">
        <v>0.8</v>
      </c>
      <c r="H1233">
        <v>0.19941775239020459</v>
      </c>
      <c r="I1233">
        <v>2.1062388254923059</v>
      </c>
      <c r="J1233">
        <v>0</v>
      </c>
      <c r="K1233">
        <v>1.382338149542606E-2</v>
      </c>
      <c r="L1233">
        <v>0</v>
      </c>
      <c r="M1233">
        <v>1929291661.6635001</v>
      </c>
      <c r="N1233">
        <v>0</v>
      </c>
      <c r="O1233" t="b">
        <v>1</v>
      </c>
    </row>
    <row r="1234" spans="1:15" x14ac:dyDescent="0.3">
      <c r="A1234" s="1" t="s">
        <v>1336</v>
      </c>
      <c r="B1234">
        <v>1.0399100197079481</v>
      </c>
      <c r="C1234">
        <v>5.7965998868893427E-2</v>
      </c>
      <c r="D1234">
        <v>7.1070234113712494E-2</v>
      </c>
      <c r="E1234">
        <v>48.736358455431223</v>
      </c>
      <c r="F1234">
        <v>-1.9672131147540961E-2</v>
      </c>
      <c r="G1234">
        <v>0.6</v>
      </c>
      <c r="H1234">
        <v>-1.9752031436277288E-2</v>
      </c>
      <c r="I1234">
        <v>1.921380965724681</v>
      </c>
      <c r="J1234">
        <v>-6.3674321503131459E-2</v>
      </c>
      <c r="K1234">
        <v>5.4054054054054168E-2</v>
      </c>
      <c r="L1234">
        <v>0</v>
      </c>
      <c r="M1234">
        <v>57020238</v>
      </c>
      <c r="N1234">
        <v>0</v>
      </c>
      <c r="O1234" t="b">
        <v>0</v>
      </c>
    </row>
    <row r="1235" spans="1:15" x14ac:dyDescent="0.3">
      <c r="A1235" s="1" t="s">
        <v>1337</v>
      </c>
      <c r="B1235">
        <v>4.1774434998929566</v>
      </c>
      <c r="C1235">
        <v>5.2586146776094619E-2</v>
      </c>
      <c r="D1235">
        <v>3.6505538771399872E-2</v>
      </c>
      <c r="E1235">
        <v>65.08126809205244</v>
      </c>
      <c r="F1235">
        <v>5.5400557991231558E-2</v>
      </c>
      <c r="G1235">
        <v>0.6</v>
      </c>
      <c r="H1235">
        <v>0.12279663154624471</v>
      </c>
      <c r="I1235">
        <v>2.474506561501137</v>
      </c>
      <c r="J1235">
        <v>-1.365780978395836E-2</v>
      </c>
      <c r="K1235">
        <v>-1.365780978395836E-2</v>
      </c>
      <c r="L1235">
        <v>0</v>
      </c>
      <c r="M1235">
        <v>90427009</v>
      </c>
      <c r="N1235">
        <v>0</v>
      </c>
      <c r="O1235" t="b">
        <v>0</v>
      </c>
    </row>
    <row r="1236" spans="1:15" x14ac:dyDescent="0.3">
      <c r="A1236" s="1" t="s">
        <v>1338</v>
      </c>
      <c r="B1236">
        <v>4.2903543062610323</v>
      </c>
      <c r="C1236">
        <v>3.7877234097828477E-2</v>
      </c>
      <c r="D1236">
        <v>4.2288337600423699E-2</v>
      </c>
      <c r="E1236">
        <v>74.849383812013329</v>
      </c>
      <c r="F1236">
        <v>0.19508335091791509</v>
      </c>
      <c r="G1236">
        <v>0.8</v>
      </c>
      <c r="H1236">
        <v>-2.729665643670446E-2</v>
      </c>
      <c r="I1236">
        <v>1.1804884099097279</v>
      </c>
      <c r="J1236">
        <v>0</v>
      </c>
      <c r="K1236">
        <v>2.8418376611585309E-2</v>
      </c>
      <c r="L1236">
        <v>0</v>
      </c>
      <c r="M1236">
        <v>140833500.5</v>
      </c>
      <c r="N1236">
        <v>0</v>
      </c>
      <c r="O1236" t="b">
        <v>1</v>
      </c>
    </row>
    <row r="1237" spans="1:15" x14ac:dyDescent="0.3">
      <c r="A1237" s="1" t="s">
        <v>1339</v>
      </c>
      <c r="B1237">
        <v>6.3078916549228614</v>
      </c>
      <c r="C1237">
        <v>1.8217527176358571E-2</v>
      </c>
      <c r="D1237">
        <v>2.206761510336332E-2</v>
      </c>
      <c r="E1237">
        <v>62.043630160566167</v>
      </c>
      <c r="F1237">
        <v>2.2922052024402229E-2</v>
      </c>
      <c r="G1237">
        <v>0.8</v>
      </c>
      <c r="H1237">
        <v>1.4154874931291731E-2</v>
      </c>
      <c r="I1237">
        <v>0.37859035835663218</v>
      </c>
      <c r="J1237">
        <v>0</v>
      </c>
      <c r="K1237">
        <v>1.630471471885753E-2</v>
      </c>
      <c r="L1237">
        <v>0</v>
      </c>
      <c r="M1237">
        <v>106103051.376</v>
      </c>
      <c r="N1237">
        <v>0</v>
      </c>
      <c r="O1237" t="b">
        <v>1</v>
      </c>
    </row>
    <row r="1238" spans="1:15" x14ac:dyDescent="0.3">
      <c r="A1238" s="1" t="s">
        <v>1340</v>
      </c>
      <c r="B1238">
        <v>0.28289702297363589</v>
      </c>
      <c r="C1238">
        <v>3.5719321082529787E-2</v>
      </c>
      <c r="D1238">
        <v>3.7373737373737302E-2</v>
      </c>
      <c r="E1238">
        <v>50.480053223319793</v>
      </c>
      <c r="F1238">
        <v>-8.8607594936708778E-2</v>
      </c>
      <c r="G1238">
        <v>0.6</v>
      </c>
      <c r="H1238">
        <v>3.4611962438913832E-2</v>
      </c>
      <c r="I1238">
        <v>1.4980437235097619</v>
      </c>
      <c r="J1238">
        <v>-0.12871287128712869</v>
      </c>
      <c r="K1238">
        <v>0</v>
      </c>
      <c r="L1238">
        <v>0</v>
      </c>
      <c r="M1238">
        <v>315240767</v>
      </c>
      <c r="N1238">
        <v>0</v>
      </c>
      <c r="O1238" t="b">
        <v>1</v>
      </c>
    </row>
    <row r="1239" spans="1:15" x14ac:dyDescent="0.3">
      <c r="A1239" s="1" t="s">
        <v>1341</v>
      </c>
      <c r="B1239">
        <v>22.84349767864753</v>
      </c>
      <c r="C1239">
        <v>9.8099706599018857E-2</v>
      </c>
      <c r="D1239">
        <v>8.1465258094992693E-2</v>
      </c>
      <c r="E1239">
        <v>55.892430705235583</v>
      </c>
      <c r="F1239">
        <v>-0.1309572681470422</v>
      </c>
      <c r="G1239">
        <v>0.6</v>
      </c>
      <c r="H1239">
        <v>0.26026635038846679</v>
      </c>
      <c r="I1239">
        <v>5.8339492267192181</v>
      </c>
      <c r="J1239">
        <v>-0.17746379371246909</v>
      </c>
      <c r="K1239">
        <v>6.1058962908958403E-2</v>
      </c>
      <c r="L1239">
        <v>0</v>
      </c>
      <c r="M1239">
        <v>164065184</v>
      </c>
      <c r="N1239">
        <v>0</v>
      </c>
      <c r="O1239" t="b">
        <v>1</v>
      </c>
    </row>
    <row r="1240" spans="1:15" x14ac:dyDescent="0.3">
      <c r="A1240" s="1" t="s">
        <v>1342</v>
      </c>
      <c r="B1240">
        <v>0.60625982308162296</v>
      </c>
      <c r="C1240">
        <v>1.8129779398373898E-2</v>
      </c>
      <c r="D1240">
        <v>1.7942583732057461E-2</v>
      </c>
      <c r="E1240">
        <v>48.732580433410547</v>
      </c>
      <c r="F1240">
        <v>2.6986506746624621E-3</v>
      </c>
      <c r="G1240">
        <v>0.6</v>
      </c>
      <c r="H1240">
        <v>-0.15095804849348371</v>
      </c>
      <c r="I1240">
        <v>0.82904531174101104</v>
      </c>
      <c r="J1240">
        <v>-1.492982979994117E-3</v>
      </c>
      <c r="K1240">
        <v>1.3333333333333201E-2</v>
      </c>
      <c r="L1240">
        <v>0</v>
      </c>
      <c r="M1240">
        <v>19584109.324999999</v>
      </c>
      <c r="N1240">
        <v>0</v>
      </c>
      <c r="O1240" t="b">
        <v>0</v>
      </c>
    </row>
    <row r="1241" spans="1:15" x14ac:dyDescent="0.3">
      <c r="A1241" s="1" t="s">
        <v>1343</v>
      </c>
      <c r="B1241">
        <v>10.5581640177491</v>
      </c>
      <c r="C1241">
        <v>4.8756241134837702E-2</v>
      </c>
      <c r="D1241">
        <v>3.0477949665204309E-2</v>
      </c>
      <c r="E1241">
        <v>31.834776724201419</v>
      </c>
      <c r="F1241">
        <v>-0.19351234590890459</v>
      </c>
      <c r="G1241">
        <v>0</v>
      </c>
      <c r="H1241">
        <v>-3.8151378250684792E-2</v>
      </c>
      <c r="I1241">
        <v>1.7624043893101029</v>
      </c>
      <c r="J1241">
        <v>-0.20168841701688409</v>
      </c>
      <c r="K1241">
        <v>-2.7178796046720469E-2</v>
      </c>
      <c r="L1241">
        <v>0</v>
      </c>
      <c r="M1241">
        <v>853973063.5</v>
      </c>
      <c r="N1241">
        <v>0</v>
      </c>
      <c r="O1241" t="b">
        <v>1</v>
      </c>
    </row>
    <row r="1242" spans="1:15" x14ac:dyDescent="0.3">
      <c r="A1242" s="1" t="s">
        <v>1344</v>
      </c>
      <c r="B1242">
        <v>14.71445669524935</v>
      </c>
      <c r="C1242">
        <v>3.0923768352666609E-2</v>
      </c>
      <c r="D1242">
        <v>3.5243679465355227E-2</v>
      </c>
      <c r="E1242">
        <v>70.387835421085015</v>
      </c>
      <c r="F1242">
        <v>0.18728946777453401</v>
      </c>
      <c r="G1242">
        <v>0.6</v>
      </c>
      <c r="H1242">
        <v>3.6110604924064788E-2</v>
      </c>
      <c r="I1242">
        <v>2.045521858714364</v>
      </c>
      <c r="J1242">
        <v>0</v>
      </c>
      <c r="K1242">
        <v>2.1423204894279291E-2</v>
      </c>
      <c r="L1242">
        <v>0</v>
      </c>
      <c r="M1242">
        <v>658665126</v>
      </c>
      <c r="N1242">
        <v>0</v>
      </c>
      <c r="O1242" t="b">
        <v>1</v>
      </c>
    </row>
    <row r="1243" spans="1:15" x14ac:dyDescent="0.3">
      <c r="A1243" s="1" t="s">
        <v>1345</v>
      </c>
      <c r="B1243">
        <v>3.3151930291801639</v>
      </c>
      <c r="C1243">
        <v>2.1287945426280989E-2</v>
      </c>
      <c r="D1243">
        <v>2.6687043684301821E-2</v>
      </c>
      <c r="E1243">
        <v>59.370826743139112</v>
      </c>
      <c r="F1243">
        <v>1.185131280578511E-2</v>
      </c>
      <c r="G1243">
        <v>0.6</v>
      </c>
      <c r="H1243">
        <v>-1.353680520277829E-2</v>
      </c>
      <c r="I1243">
        <v>1.203434199255875</v>
      </c>
      <c r="J1243">
        <v>0</v>
      </c>
      <c r="K1243">
        <v>1.2831852651569159E-2</v>
      </c>
      <c r="L1243">
        <v>0</v>
      </c>
      <c r="M1243">
        <v>83133868.159999996</v>
      </c>
      <c r="N1243">
        <v>0</v>
      </c>
      <c r="O1243" t="b">
        <v>0</v>
      </c>
    </row>
    <row r="1244" spans="1:15" x14ac:dyDescent="0.3">
      <c r="A1244" s="1" t="s">
        <v>1346</v>
      </c>
      <c r="B1244">
        <v>0.84764319265944843</v>
      </c>
      <c r="C1244">
        <v>1.7564094336084721E-2</v>
      </c>
      <c r="D1244">
        <v>1.160381268130962E-2</v>
      </c>
      <c r="E1244">
        <v>40.822014432459348</v>
      </c>
      <c r="F1244">
        <v>-4.7374654559810492E-2</v>
      </c>
      <c r="G1244">
        <v>0.4</v>
      </c>
      <c r="H1244">
        <v>-2.9366686819557179E-2</v>
      </c>
      <c r="I1244">
        <v>0.50720326038445451</v>
      </c>
      <c r="J1244">
        <v>-7.7951853267099858E-2</v>
      </c>
      <c r="K1244">
        <v>8.990173531256529E-3</v>
      </c>
      <c r="L1244">
        <v>0</v>
      </c>
      <c r="M1244">
        <v>114700755.9562</v>
      </c>
      <c r="N1244">
        <v>0</v>
      </c>
      <c r="O1244" t="b">
        <v>1</v>
      </c>
    </row>
    <row r="1245" spans="1:15" x14ac:dyDescent="0.3">
      <c r="A1245" s="1" t="s">
        <v>1347</v>
      </c>
      <c r="B1245">
        <v>1.4495921538053611</v>
      </c>
      <c r="C1245">
        <v>1.737605473924822E-2</v>
      </c>
      <c r="D1245">
        <v>2.009956283930299E-2</v>
      </c>
      <c r="E1245">
        <v>24.26460236772024</v>
      </c>
      <c r="F1245">
        <v>-6.5980055509589852E-2</v>
      </c>
      <c r="G1245">
        <v>0</v>
      </c>
      <c r="H1245">
        <v>-0.15701118121586591</v>
      </c>
      <c r="I1245">
        <v>-0.22501535607711429</v>
      </c>
      <c r="J1245">
        <v>-7.7465528547526863E-2</v>
      </c>
      <c r="K1245">
        <v>-1.6493032018174199E-2</v>
      </c>
      <c r="L1245">
        <v>0</v>
      </c>
      <c r="M1245">
        <v>440166882.72000003</v>
      </c>
      <c r="N1245">
        <v>0</v>
      </c>
      <c r="O1245" t="b">
        <v>1</v>
      </c>
    </row>
    <row r="1246" spans="1:15" x14ac:dyDescent="0.3">
      <c r="A1246" s="1" t="s">
        <v>1348</v>
      </c>
      <c r="B1246">
        <v>1.654987487008847</v>
      </c>
      <c r="C1246">
        <v>6.1092192211474577E-2</v>
      </c>
      <c r="D1246">
        <v>4.429678848283497E-2</v>
      </c>
      <c r="E1246">
        <v>45.551336781795619</v>
      </c>
      <c r="F1246">
        <v>-0.11296660117878191</v>
      </c>
      <c r="G1246">
        <v>0.4</v>
      </c>
      <c r="H1246">
        <v>2.125990823977118E-2</v>
      </c>
      <c r="I1246">
        <v>4.1523748130225826</v>
      </c>
      <c r="J1246">
        <v>-0.15895684570009319</v>
      </c>
      <c r="K1246">
        <v>9.6906448005964485E-3</v>
      </c>
      <c r="L1246">
        <v>0</v>
      </c>
      <c r="M1246">
        <v>1042713106.5</v>
      </c>
      <c r="N1246">
        <v>0</v>
      </c>
      <c r="O1246" t="b">
        <v>1</v>
      </c>
    </row>
    <row r="1247" spans="1:15" x14ac:dyDescent="0.3">
      <c r="A1247" s="1" t="s">
        <v>1349</v>
      </c>
      <c r="B1247">
        <v>2.343379124285359</v>
      </c>
      <c r="C1247">
        <v>4.7796653843109542E-2</v>
      </c>
      <c r="D1247">
        <v>4.6461111077117048E-2</v>
      </c>
      <c r="E1247">
        <v>63.593620043578923</v>
      </c>
      <c r="F1247">
        <v>3.9944935719452117E-2</v>
      </c>
      <c r="G1247">
        <v>0.6</v>
      </c>
      <c r="H1247">
        <v>0</v>
      </c>
      <c r="I1247">
        <v>1</v>
      </c>
      <c r="J1247">
        <v>0</v>
      </c>
      <c r="K1247">
        <v>3.5556250224418003E-2</v>
      </c>
      <c r="O1247" t="b">
        <v>0</v>
      </c>
    </row>
    <row r="1248" spans="1:15" x14ac:dyDescent="0.3">
      <c r="A1248" s="1" t="s">
        <v>1350</v>
      </c>
      <c r="B1248">
        <v>2.044613644896216</v>
      </c>
      <c r="C1248">
        <v>2.4964757568940361E-2</v>
      </c>
      <c r="D1248">
        <v>2.6373626373626329E-2</v>
      </c>
      <c r="E1248">
        <v>57.128121181896688</v>
      </c>
      <c r="F1248">
        <v>0.14082741328875881</v>
      </c>
      <c r="G1248">
        <v>0.6</v>
      </c>
      <c r="H1248">
        <v>5.8078864598320762E-2</v>
      </c>
      <c r="I1248">
        <v>0.39848513171218319</v>
      </c>
      <c r="J1248">
        <v>-4.512067156348365E-2</v>
      </c>
      <c r="K1248">
        <v>2.2344276619647999E-2</v>
      </c>
      <c r="L1248">
        <v>0</v>
      </c>
      <c r="M1248">
        <v>68084454.5</v>
      </c>
      <c r="N1248">
        <v>0</v>
      </c>
      <c r="O1248" t="b">
        <v>0</v>
      </c>
    </row>
    <row r="1249" spans="1:15" x14ac:dyDescent="0.3">
      <c r="A1249" s="1" t="s">
        <v>1351</v>
      </c>
      <c r="B1249">
        <v>0.60846840639374333</v>
      </c>
      <c r="C1249">
        <v>2.2469291225765999E-2</v>
      </c>
      <c r="D1249">
        <v>3.0280649926144768E-2</v>
      </c>
      <c r="E1249">
        <v>37.20696259349355</v>
      </c>
      <c r="F1249">
        <v>-3.1819806936002837E-2</v>
      </c>
      <c r="G1249">
        <v>0.2</v>
      </c>
      <c r="H1249">
        <v>-0.11117864268904611</v>
      </c>
      <c r="I1249">
        <v>1.252117389676771</v>
      </c>
      <c r="J1249">
        <v>-0.1050892267019168</v>
      </c>
      <c r="K1249">
        <v>-1.7416545718432541E-2</v>
      </c>
      <c r="L1249">
        <v>0</v>
      </c>
      <c r="M1249">
        <v>103206886.35169999</v>
      </c>
      <c r="N1249">
        <v>0</v>
      </c>
      <c r="O1249" t="b">
        <v>1</v>
      </c>
    </row>
    <row r="1250" spans="1:15" x14ac:dyDescent="0.3">
      <c r="A1250" s="1" t="s">
        <v>1352</v>
      </c>
      <c r="B1250">
        <v>3.458402857392735</v>
      </c>
      <c r="C1250">
        <v>6.9655646674576729E-2</v>
      </c>
      <c r="D1250">
        <v>6.2034239677744317E-2</v>
      </c>
      <c r="E1250">
        <v>64.33060892620054</v>
      </c>
      <c r="F1250">
        <v>0.104314946619217</v>
      </c>
      <c r="G1250">
        <v>0.6</v>
      </c>
      <c r="H1250">
        <v>0.16739433603906001</v>
      </c>
      <c r="I1250">
        <v>6.983702060960737</v>
      </c>
      <c r="J1250">
        <v>0</v>
      </c>
      <c r="K1250">
        <v>3.8920276208411757E-2</v>
      </c>
      <c r="L1250">
        <v>0</v>
      </c>
      <c r="M1250">
        <v>2506929389.1118002</v>
      </c>
      <c r="N1250">
        <v>0</v>
      </c>
      <c r="O1250" t="b">
        <v>1</v>
      </c>
    </row>
    <row r="1251" spans="1:15" x14ac:dyDescent="0.3">
      <c r="A1251" s="1" t="s">
        <v>1353</v>
      </c>
      <c r="B1251">
        <v>8.385345368067977</v>
      </c>
      <c r="C1251">
        <v>2.654707635830263E-2</v>
      </c>
      <c r="D1251">
        <v>2.1464730408684761E-2</v>
      </c>
      <c r="E1251">
        <v>65.372926641637918</v>
      </c>
      <c r="F1251">
        <v>4.7450241744540163E-2</v>
      </c>
      <c r="G1251">
        <v>0.6</v>
      </c>
      <c r="H1251">
        <v>0.18361036107021589</v>
      </c>
      <c r="I1251">
        <v>2.3267860383822541</v>
      </c>
      <c r="J1251">
        <v>0</v>
      </c>
      <c r="K1251">
        <v>1.3293853838183271E-2</v>
      </c>
      <c r="L1251">
        <v>0</v>
      </c>
      <c r="M1251">
        <v>1198327399.02</v>
      </c>
      <c r="N1251">
        <v>0</v>
      </c>
      <c r="O1251" t="b">
        <v>1</v>
      </c>
    </row>
    <row r="1252" spans="1:15" x14ac:dyDescent="0.3">
      <c r="A1252" s="1" t="s">
        <v>1354</v>
      </c>
      <c r="B1252">
        <v>8.3549350077142689E-2</v>
      </c>
      <c r="C1252">
        <v>3.2576275115564872E-3</v>
      </c>
      <c r="D1252">
        <v>3.8717525821432681E-3</v>
      </c>
      <c r="E1252">
        <v>51.228623905114503</v>
      </c>
      <c r="F1252">
        <v>2.4977133610075701E-3</v>
      </c>
      <c r="G1252">
        <v>0.2</v>
      </c>
      <c r="H1252">
        <v>-8.9470078385946561E-2</v>
      </c>
      <c r="I1252">
        <v>-1.2075051041700421E-2</v>
      </c>
      <c r="J1252">
        <v>-5.5832780821438721E-3</v>
      </c>
      <c r="K1252">
        <v>3.105456451253374E-3</v>
      </c>
      <c r="L1252">
        <v>0</v>
      </c>
      <c r="M1252">
        <v>47198326.954499997</v>
      </c>
      <c r="N1252">
        <v>0</v>
      </c>
      <c r="O1252" t="b">
        <v>0</v>
      </c>
    </row>
    <row r="1253" spans="1:15" x14ac:dyDescent="0.3">
      <c r="A1253" s="1" t="s">
        <v>1355</v>
      </c>
      <c r="B1253">
        <v>0.37784235357189971</v>
      </c>
      <c r="C1253">
        <v>8.6286062542824133E-3</v>
      </c>
      <c r="D1253">
        <v>1.256237225818976E-2</v>
      </c>
      <c r="E1253">
        <v>64.120791557639677</v>
      </c>
      <c r="F1253">
        <v>1.803848085256754E-2</v>
      </c>
      <c r="G1253">
        <v>0.6</v>
      </c>
      <c r="H1253">
        <v>-1.7536120490941411E-2</v>
      </c>
      <c r="I1253">
        <v>0.77780800019756924</v>
      </c>
      <c r="J1253">
        <v>0</v>
      </c>
      <c r="K1253">
        <v>1.111336883084491E-2</v>
      </c>
      <c r="L1253">
        <v>0</v>
      </c>
      <c r="M1253">
        <v>137356200.465</v>
      </c>
      <c r="N1253">
        <v>0</v>
      </c>
      <c r="O1253" t="b">
        <v>1</v>
      </c>
    </row>
    <row r="1254" spans="1:15" x14ac:dyDescent="0.3">
      <c r="A1254" s="1" t="s">
        <v>1356</v>
      </c>
      <c r="B1254">
        <v>0.41295868384677958</v>
      </c>
      <c r="C1254">
        <v>8.8744957115947237E-3</v>
      </c>
      <c r="D1254">
        <v>1.1413356485262181E-2</v>
      </c>
      <c r="E1254">
        <v>55.382338992228959</v>
      </c>
      <c r="F1254">
        <v>-1.066654760613928E-2</v>
      </c>
      <c r="G1254">
        <v>0.6</v>
      </c>
      <c r="H1254">
        <v>-6.6045139047774981E-2</v>
      </c>
      <c r="I1254">
        <v>0.88727944751855925</v>
      </c>
      <c r="J1254">
        <v>-1.1286662530490149E-2</v>
      </c>
      <c r="K1254">
        <v>8.5262614922474445E-3</v>
      </c>
      <c r="L1254">
        <v>0</v>
      </c>
      <c r="M1254">
        <v>66517525.425500013</v>
      </c>
      <c r="N1254">
        <v>0</v>
      </c>
      <c r="O1254" t="b">
        <v>0</v>
      </c>
    </row>
    <row r="1255" spans="1:15" x14ac:dyDescent="0.3">
      <c r="A1255" s="1" t="s">
        <v>1357</v>
      </c>
      <c r="B1255">
        <v>2.81943475583825</v>
      </c>
      <c r="C1255">
        <v>1.552124831179879E-2</v>
      </c>
      <c r="D1255">
        <v>2.3947151114781139E-2</v>
      </c>
      <c r="E1255">
        <v>54.628791692581153</v>
      </c>
      <c r="F1255">
        <v>5.1627683062467336E-3</v>
      </c>
      <c r="G1255">
        <v>0.6</v>
      </c>
      <c r="H1255">
        <v>-5.9847827669331118E-2</v>
      </c>
      <c r="I1255">
        <v>0.2379550155168817</v>
      </c>
      <c r="J1255">
        <v>-1.307210848872087E-2</v>
      </c>
      <c r="K1255">
        <v>1.5655577299412912E-2</v>
      </c>
      <c r="L1255">
        <v>0</v>
      </c>
      <c r="M1255">
        <v>250875886.2525</v>
      </c>
      <c r="N1255">
        <v>0</v>
      </c>
      <c r="O1255" t="b">
        <v>1</v>
      </c>
    </row>
    <row r="1256" spans="1:15" x14ac:dyDescent="0.3">
      <c r="A1256" s="1" t="s">
        <v>1358</v>
      </c>
      <c r="B1256">
        <v>7.8893427182774234</v>
      </c>
      <c r="C1256">
        <v>1.6094754219925751E-2</v>
      </c>
      <c r="D1256">
        <v>1.544735516064475E-2</v>
      </c>
      <c r="E1256">
        <v>48.074322113641252</v>
      </c>
      <c r="F1256">
        <v>-3.1460482217812169E-3</v>
      </c>
      <c r="G1256">
        <v>0.4</v>
      </c>
      <c r="H1256">
        <v>-0.14779104412473071</v>
      </c>
      <c r="I1256">
        <v>-1.6459172090478511E-2</v>
      </c>
      <c r="J1256">
        <v>-2.1221663348701899E-2</v>
      </c>
      <c r="K1256">
        <v>1.2030425333746651E-3</v>
      </c>
      <c r="L1256">
        <v>0</v>
      </c>
      <c r="M1256">
        <v>636223640.0250001</v>
      </c>
      <c r="N1256">
        <v>0</v>
      </c>
      <c r="O1256" t="b">
        <v>1</v>
      </c>
    </row>
    <row r="1257" spans="1:15" x14ac:dyDescent="0.3">
      <c r="A1257" s="1" t="s">
        <v>1359</v>
      </c>
      <c r="B1257">
        <v>0.71722381802668067</v>
      </c>
      <c r="C1257">
        <v>9.5407479371635261E-3</v>
      </c>
      <c r="D1257">
        <v>1.525245161942574E-2</v>
      </c>
      <c r="E1257">
        <v>61.775572847839904</v>
      </c>
      <c r="F1257">
        <v>2.126491825104115E-2</v>
      </c>
      <c r="G1257">
        <v>0.4</v>
      </c>
      <c r="H1257">
        <v>-3.9212781068628078E-2</v>
      </c>
      <c r="I1257">
        <v>0.71202060674603751</v>
      </c>
      <c r="J1257">
        <v>0</v>
      </c>
      <c r="K1257">
        <v>1.276075206526972E-2</v>
      </c>
      <c r="L1257">
        <v>0</v>
      </c>
      <c r="M1257">
        <v>76899255.290100008</v>
      </c>
      <c r="N1257">
        <v>0</v>
      </c>
      <c r="O1257" t="b">
        <v>0</v>
      </c>
    </row>
    <row r="1258" spans="1:15" x14ac:dyDescent="0.3">
      <c r="A1258" s="1" t="s">
        <v>1360</v>
      </c>
      <c r="B1258">
        <v>7.0878718378685673E-2</v>
      </c>
      <c r="C1258">
        <v>3.0239006113050911E-3</v>
      </c>
      <c r="D1258">
        <v>5.0598348940890676E-3</v>
      </c>
      <c r="E1258">
        <v>62.77996769441188</v>
      </c>
      <c r="F1258">
        <v>6.3369669284172314E-3</v>
      </c>
      <c r="G1258">
        <v>0.4</v>
      </c>
      <c r="H1258">
        <v>-9.6380638454841558E-2</v>
      </c>
      <c r="I1258">
        <v>0.21576970751133229</v>
      </c>
      <c r="J1258">
        <v>-4.2218564227658462E-4</v>
      </c>
      <c r="K1258">
        <v>2.96102317899205E-3</v>
      </c>
      <c r="L1258">
        <v>0</v>
      </c>
      <c r="M1258">
        <v>96143232.469899997</v>
      </c>
      <c r="N1258">
        <v>0</v>
      </c>
      <c r="O1258" t="b">
        <v>1</v>
      </c>
    </row>
    <row r="1259" spans="1:15" x14ac:dyDescent="0.3">
      <c r="A1259" s="1" t="s">
        <v>1361</v>
      </c>
      <c r="B1259">
        <v>7.2360875651104148E-2</v>
      </c>
      <c r="C1259">
        <v>2.1526813186978199E-3</v>
      </c>
      <c r="D1259">
        <v>3.5431349157948582E-3</v>
      </c>
      <c r="E1259">
        <v>57.84149319227118</v>
      </c>
      <c r="F1259">
        <v>6.0065362606842587E-3</v>
      </c>
      <c r="G1259">
        <v>0.2</v>
      </c>
      <c r="H1259">
        <v>-8.6790795580963656E-2</v>
      </c>
      <c r="I1259">
        <v>2.804078296934763E-2</v>
      </c>
      <c r="J1259">
        <v>-1.678011808451285E-3</v>
      </c>
      <c r="K1259">
        <v>3.2592053150117821E-3</v>
      </c>
      <c r="L1259">
        <v>0</v>
      </c>
      <c r="M1259">
        <v>175587010.23734999</v>
      </c>
      <c r="N1259">
        <v>0</v>
      </c>
      <c r="O1259" t="b">
        <v>1</v>
      </c>
    </row>
    <row r="1260" spans="1:15" x14ac:dyDescent="0.3">
      <c r="A1260" s="1" t="s">
        <v>1362</v>
      </c>
      <c r="B1260">
        <v>0.62682443378409547</v>
      </c>
      <c r="C1260">
        <v>8.9275460429225524E-3</v>
      </c>
      <c r="D1260">
        <v>5.0988144544269112E-3</v>
      </c>
      <c r="E1260">
        <v>38.966580883790257</v>
      </c>
      <c r="F1260">
        <v>-1.0616381411891361E-2</v>
      </c>
      <c r="G1260">
        <v>0.2</v>
      </c>
      <c r="H1260">
        <v>-0.1432089293696665</v>
      </c>
      <c r="I1260">
        <v>5.1389051836293102E-2</v>
      </c>
      <c r="J1260">
        <v>-3.5123810780243507E-2</v>
      </c>
      <c r="K1260">
        <v>3.4112816672551278E-3</v>
      </c>
      <c r="L1260">
        <v>0</v>
      </c>
      <c r="M1260">
        <v>153347907.22345001</v>
      </c>
      <c r="N1260">
        <v>0</v>
      </c>
      <c r="O1260" t="b">
        <v>1</v>
      </c>
    </row>
    <row r="1261" spans="1:15" x14ac:dyDescent="0.3">
      <c r="A1261" s="1" t="s">
        <v>1363</v>
      </c>
      <c r="B1261">
        <v>6.8951448727913783E-2</v>
      </c>
      <c r="C1261">
        <v>3.0962140643708809E-3</v>
      </c>
      <c r="D1261">
        <v>4.4500125731939486E-3</v>
      </c>
      <c r="E1261">
        <v>52.601160813725301</v>
      </c>
      <c r="F1261">
        <v>2.1690802559695128E-3</v>
      </c>
      <c r="G1261">
        <v>0.2</v>
      </c>
      <c r="H1261">
        <v>-8.0851551930542151E-2</v>
      </c>
      <c r="I1261">
        <v>-1.1228000919750051E-2</v>
      </c>
      <c r="J1261">
        <v>-4.4659022329510689E-3</v>
      </c>
      <c r="K1261">
        <v>2.6789613734292672E-3</v>
      </c>
      <c r="L1261">
        <v>0</v>
      </c>
      <c r="M1261">
        <v>17219249.192400001</v>
      </c>
      <c r="N1261">
        <v>0</v>
      </c>
      <c r="O1261" t="b">
        <v>0</v>
      </c>
    </row>
    <row r="1262" spans="1:15" x14ac:dyDescent="0.3">
      <c r="A1262" s="1" t="s">
        <v>1364</v>
      </c>
      <c r="B1262">
        <v>0.80189580306118202</v>
      </c>
      <c r="C1262">
        <v>1.36258190667511E-2</v>
      </c>
      <c r="D1262">
        <v>2.1668207275297668E-2</v>
      </c>
      <c r="E1262">
        <v>64.589803708967025</v>
      </c>
      <c r="F1262">
        <v>3.1429477776083743E-2</v>
      </c>
      <c r="G1262">
        <v>0.6</v>
      </c>
      <c r="H1262">
        <v>-7.9786748771267513E-2</v>
      </c>
      <c r="I1262">
        <v>1.049560779474934</v>
      </c>
      <c r="J1262">
        <v>0</v>
      </c>
      <c r="K1262">
        <v>1.8798482826194899E-2</v>
      </c>
      <c r="L1262">
        <v>0</v>
      </c>
      <c r="M1262">
        <v>75655424.452549994</v>
      </c>
      <c r="N1262">
        <v>0</v>
      </c>
      <c r="O1262" t="b">
        <v>0</v>
      </c>
    </row>
    <row r="1263" spans="1:15" x14ac:dyDescent="0.3">
      <c r="A1263" s="1" t="s">
        <v>1365</v>
      </c>
      <c r="B1263">
        <v>1.715951606057422</v>
      </c>
      <c r="C1263">
        <v>1.415404594468072E-2</v>
      </c>
      <c r="D1263">
        <v>1.2752198228219739E-2</v>
      </c>
      <c r="E1263">
        <v>59.483920094254593</v>
      </c>
      <c r="F1263">
        <v>6.2081901631723113E-3</v>
      </c>
      <c r="G1263">
        <v>0.8</v>
      </c>
      <c r="H1263">
        <v>-0.13329420336540579</v>
      </c>
      <c r="I1263">
        <v>1.1413488773352349</v>
      </c>
      <c r="J1263">
        <v>0</v>
      </c>
      <c r="K1263">
        <v>6.7095145566571368E-3</v>
      </c>
      <c r="L1263">
        <v>0</v>
      </c>
      <c r="M1263">
        <v>159096566.544</v>
      </c>
      <c r="N1263">
        <v>0</v>
      </c>
      <c r="O1263" t="b">
        <v>1</v>
      </c>
    </row>
    <row r="1264" spans="1:15" x14ac:dyDescent="0.3">
      <c r="A1264" s="1" t="s">
        <v>1366</v>
      </c>
      <c r="B1264">
        <v>20.206089610325559</v>
      </c>
      <c r="C1264">
        <v>3.3156806764453428E-2</v>
      </c>
      <c r="D1264">
        <v>4.0366912259398473E-2</v>
      </c>
      <c r="E1264">
        <v>51.498645540569953</v>
      </c>
      <c r="F1264">
        <v>-2.170388326136163E-2</v>
      </c>
      <c r="G1264">
        <v>1</v>
      </c>
      <c r="H1264">
        <v>-0.13988287485152059</v>
      </c>
      <c r="I1264">
        <v>0.46878255701366439</v>
      </c>
      <c r="J1264">
        <v>-5.9363761248398712E-2</v>
      </c>
      <c r="K1264">
        <v>3.347635117947334E-2</v>
      </c>
      <c r="L1264">
        <v>0</v>
      </c>
      <c r="M1264">
        <v>1120028327.5</v>
      </c>
      <c r="N1264">
        <v>0</v>
      </c>
      <c r="O1264" t="b">
        <v>1</v>
      </c>
    </row>
    <row r="1265" spans="1:15" x14ac:dyDescent="0.3">
      <c r="A1265" s="1" t="s">
        <v>1367</v>
      </c>
      <c r="B1265">
        <v>3.2214863687663887E-2</v>
      </c>
      <c r="C1265">
        <v>1.0740113715219551E-3</v>
      </c>
      <c r="D1265">
        <v>1.987004457424417E-3</v>
      </c>
      <c r="E1265">
        <v>66.64524869652341</v>
      </c>
      <c r="F1265">
        <v>4.275593292976998E-3</v>
      </c>
      <c r="G1265">
        <v>0.2</v>
      </c>
      <c r="H1265">
        <v>-8.3499128436404113E-2</v>
      </c>
      <c r="I1265">
        <v>1.5949324355290159E-2</v>
      </c>
      <c r="J1265">
        <v>0</v>
      </c>
      <c r="K1265">
        <v>1.9909605048220591E-3</v>
      </c>
      <c r="L1265">
        <v>0</v>
      </c>
      <c r="M1265">
        <v>67831364.031500012</v>
      </c>
      <c r="N1265">
        <v>0</v>
      </c>
      <c r="O1265" t="b">
        <v>0</v>
      </c>
    </row>
    <row r="1266" spans="1:15" x14ac:dyDescent="0.3">
      <c r="A1266" s="1" t="s">
        <v>1368</v>
      </c>
      <c r="B1266">
        <v>0.7427137172170849</v>
      </c>
      <c r="C1266">
        <v>1.54371823498729E-2</v>
      </c>
      <c r="D1266">
        <v>2.5646408380445591E-2</v>
      </c>
      <c r="E1266">
        <v>66.541380104138682</v>
      </c>
      <c r="F1266">
        <v>4.112837957733384E-2</v>
      </c>
      <c r="G1266">
        <v>0.4</v>
      </c>
      <c r="H1266">
        <v>-1.742907262764384E-2</v>
      </c>
      <c r="I1266">
        <v>1.2048846485099951</v>
      </c>
      <c r="J1266">
        <v>0</v>
      </c>
      <c r="K1266">
        <v>1.87522233327122E-2</v>
      </c>
      <c r="L1266">
        <v>0</v>
      </c>
      <c r="M1266">
        <v>74156014.546400011</v>
      </c>
      <c r="N1266">
        <v>0</v>
      </c>
      <c r="O1266" t="b">
        <v>0</v>
      </c>
    </row>
    <row r="1267" spans="1:15" x14ac:dyDescent="0.3">
      <c r="A1267" s="1" t="s">
        <v>1369</v>
      </c>
      <c r="B1267">
        <v>7.1614278155723382E-2</v>
      </c>
      <c r="C1267">
        <v>2.495757993048239E-3</v>
      </c>
      <c r="D1267">
        <v>3.464090554254463E-3</v>
      </c>
      <c r="E1267">
        <v>49.342268482921568</v>
      </c>
      <c r="F1267">
        <v>2.7187017325609459E-3</v>
      </c>
      <c r="G1267">
        <v>0.2</v>
      </c>
      <c r="H1267">
        <v>-8.7164002774651472E-2</v>
      </c>
      <c r="I1267">
        <v>-5.092969799863379E-2</v>
      </c>
      <c r="J1267">
        <v>-5.8861638771768856E-3</v>
      </c>
      <c r="K1267">
        <v>2.4314580363880012E-3</v>
      </c>
      <c r="L1267">
        <v>0</v>
      </c>
      <c r="M1267">
        <v>56908487.461599998</v>
      </c>
      <c r="N1267">
        <v>0</v>
      </c>
      <c r="O1267" t="b">
        <v>0</v>
      </c>
    </row>
    <row r="1268" spans="1:15" x14ac:dyDescent="0.3">
      <c r="A1268" s="1" t="s">
        <v>1370</v>
      </c>
      <c r="B1268">
        <v>0.16973026922485901</v>
      </c>
      <c r="C1268">
        <v>6.4009786140924252E-3</v>
      </c>
      <c r="D1268">
        <v>6.7467934817451421E-3</v>
      </c>
      <c r="E1268">
        <v>43.052767112894863</v>
      </c>
      <c r="F1268">
        <v>-8.2025464175107254E-3</v>
      </c>
      <c r="G1268">
        <v>0.4</v>
      </c>
      <c r="H1268">
        <v>-9.4696321730501576E-2</v>
      </c>
      <c r="I1268">
        <v>-9.9004503058377061E-2</v>
      </c>
      <c r="J1268">
        <v>-2.053759747047712E-2</v>
      </c>
      <c r="K1268">
        <v>3.7627427896536059E-3</v>
      </c>
      <c r="L1268">
        <v>0</v>
      </c>
      <c r="M1268">
        <v>124919561.36589999</v>
      </c>
      <c r="N1268">
        <v>0</v>
      </c>
      <c r="O1268" t="b">
        <v>1</v>
      </c>
    </row>
    <row r="1269" spans="1:15" x14ac:dyDescent="0.3">
      <c r="A1269" s="1" t="s">
        <v>1371</v>
      </c>
      <c r="B1269">
        <v>0.86836771766250553</v>
      </c>
      <c r="C1269">
        <v>1.0458078427213521E-2</v>
      </c>
      <c r="D1269">
        <v>1.1767582123776909E-2</v>
      </c>
      <c r="E1269">
        <v>61.540299953641878</v>
      </c>
      <c r="F1269">
        <v>1.117079639874863E-2</v>
      </c>
      <c r="G1269">
        <v>0.6</v>
      </c>
      <c r="H1269">
        <v>-4.1741962791746169E-2</v>
      </c>
      <c r="I1269">
        <v>1.006093372805271</v>
      </c>
      <c r="J1269">
        <v>0</v>
      </c>
      <c r="K1269">
        <v>7.9878410006892775E-3</v>
      </c>
      <c r="L1269">
        <v>0</v>
      </c>
      <c r="M1269">
        <v>39014278.281649999</v>
      </c>
      <c r="N1269">
        <v>0</v>
      </c>
      <c r="O1269" t="b">
        <v>0</v>
      </c>
    </row>
    <row r="1270" spans="1:15" x14ac:dyDescent="0.3">
      <c r="A1270" s="1" t="s">
        <v>1372</v>
      </c>
      <c r="B1270">
        <v>2.7009132829522851E-2</v>
      </c>
      <c r="C1270">
        <v>9.2809467589600797E-4</v>
      </c>
      <c r="D1270">
        <v>1.7043677860744089E-3</v>
      </c>
      <c r="E1270">
        <v>62.006039051206677</v>
      </c>
      <c r="F1270">
        <v>3.8253514908177522E-3</v>
      </c>
      <c r="G1270">
        <v>0.2</v>
      </c>
      <c r="H1270">
        <v>-8.193370423534431E-2</v>
      </c>
      <c r="I1270">
        <v>-2.0730890123464501E-2</v>
      </c>
      <c r="J1270">
        <v>0</v>
      </c>
      <c r="K1270">
        <v>1.7072776150433009E-3</v>
      </c>
      <c r="L1270">
        <v>0</v>
      </c>
      <c r="M1270">
        <v>30344296.291999999</v>
      </c>
      <c r="N1270">
        <v>0</v>
      </c>
      <c r="O1270" t="b">
        <v>0</v>
      </c>
    </row>
    <row r="1271" spans="1:15" x14ac:dyDescent="0.3">
      <c r="A1271" s="1" t="s">
        <v>1373</v>
      </c>
      <c r="B1271">
        <v>7.7894350545116602</v>
      </c>
      <c r="C1271">
        <v>3.5782236457860543E-2</v>
      </c>
      <c r="D1271">
        <v>4.9611833340989543E-2</v>
      </c>
      <c r="E1271">
        <v>60.020689023920333</v>
      </c>
      <c r="F1271">
        <v>-3.2187791757435691E-2</v>
      </c>
      <c r="G1271">
        <v>0.6</v>
      </c>
      <c r="H1271">
        <v>7.3862214294873774E-2</v>
      </c>
      <c r="I1271">
        <v>1.276067851002793</v>
      </c>
      <c r="J1271">
        <v>-1.684581338632463E-2</v>
      </c>
      <c r="K1271">
        <v>3.9986623351805813E-2</v>
      </c>
      <c r="L1271">
        <v>0</v>
      </c>
      <c r="M1271">
        <v>44329899</v>
      </c>
      <c r="N1271">
        <v>0</v>
      </c>
      <c r="O1271" t="b">
        <v>0</v>
      </c>
    </row>
    <row r="1272" spans="1:15" x14ac:dyDescent="0.3">
      <c r="A1272" s="1" t="s">
        <v>1374</v>
      </c>
      <c r="B1272">
        <v>6.8945908228154913</v>
      </c>
      <c r="C1272">
        <v>3.0533113777763719E-2</v>
      </c>
      <c r="D1272">
        <v>3.2970634214174017E-2</v>
      </c>
      <c r="E1272">
        <v>59.346503167455289</v>
      </c>
      <c r="F1272">
        <v>1.491309682725883E-2</v>
      </c>
      <c r="G1272">
        <v>0.6</v>
      </c>
      <c r="H1272">
        <v>7.6310405143878546E-2</v>
      </c>
      <c r="I1272">
        <v>2.9765852783703859</v>
      </c>
      <c r="J1272">
        <v>0</v>
      </c>
      <c r="K1272">
        <v>1.8984657039711191E-2</v>
      </c>
      <c r="L1272">
        <v>0</v>
      </c>
      <c r="M1272">
        <v>585581397.60399997</v>
      </c>
      <c r="N1272">
        <v>0</v>
      </c>
      <c r="O1272" t="b">
        <v>1</v>
      </c>
    </row>
    <row r="1273" spans="1:15" x14ac:dyDescent="0.3">
      <c r="A1273" s="1" t="s">
        <v>12</v>
      </c>
      <c r="B1273">
        <v>7.2631115810505547</v>
      </c>
      <c r="C1273">
        <v>1.0594668731767121E-2</v>
      </c>
      <c r="D1273">
        <v>1.114005811443184E-2</v>
      </c>
      <c r="E1273">
        <v>60.941678348201613</v>
      </c>
      <c r="F1273">
        <v>8.9957493906673847E-3</v>
      </c>
      <c r="G1273">
        <v>0.6</v>
      </c>
      <c r="H1273">
        <v>0</v>
      </c>
      <c r="I1273">
        <v>0.99999999999996847</v>
      </c>
      <c r="J1273">
        <v>0</v>
      </c>
      <c r="K1273">
        <v>6.6311517294441744E-3</v>
      </c>
      <c r="L1273">
        <v>0</v>
      </c>
      <c r="M1273">
        <v>41277080659.128014</v>
      </c>
      <c r="N1273">
        <v>0</v>
      </c>
      <c r="O1273" t="b">
        <v>1</v>
      </c>
    </row>
    <row r="1274" spans="1:15" x14ac:dyDescent="0.3">
      <c r="A1274" s="1" t="s">
        <v>1375</v>
      </c>
      <c r="B1274">
        <v>0.47100415992784489</v>
      </c>
      <c r="C1274">
        <v>1.0915381280120619E-2</v>
      </c>
      <c r="D1274">
        <v>1.5330065700281659E-2</v>
      </c>
      <c r="E1274">
        <v>57.174925209762371</v>
      </c>
      <c r="F1274">
        <v>2.318076300183303E-2</v>
      </c>
      <c r="G1274">
        <v>0.2</v>
      </c>
      <c r="H1274">
        <v>-0.12827351326982159</v>
      </c>
      <c r="I1274">
        <v>0.46850076260974161</v>
      </c>
      <c r="J1274">
        <v>-3.648244570927162E-3</v>
      </c>
      <c r="K1274">
        <v>1.321508322825604E-2</v>
      </c>
      <c r="L1274">
        <v>0</v>
      </c>
      <c r="M1274">
        <v>46448471.28255</v>
      </c>
      <c r="N1274">
        <v>0</v>
      </c>
      <c r="O1274" t="b">
        <v>0</v>
      </c>
    </row>
    <row r="1275" spans="1:15" x14ac:dyDescent="0.3">
      <c r="A1275" s="1" t="s">
        <v>1376</v>
      </c>
      <c r="B1275">
        <v>1.4856076335435151</v>
      </c>
      <c r="C1275">
        <v>1.3794326987228199E-2</v>
      </c>
      <c r="D1275">
        <v>1.112380103438344E-2</v>
      </c>
      <c r="E1275">
        <v>58.911395886593738</v>
      </c>
      <c r="F1275">
        <v>1.860517037684861E-3</v>
      </c>
      <c r="G1275">
        <v>0.6</v>
      </c>
      <c r="H1275">
        <v>1.0094824414184911E-2</v>
      </c>
      <c r="I1275">
        <v>1.2447783351455199</v>
      </c>
      <c r="J1275">
        <v>0</v>
      </c>
      <c r="K1275">
        <v>4.0929347927427528E-3</v>
      </c>
      <c r="L1275">
        <v>0</v>
      </c>
      <c r="M1275">
        <v>200785759.73879999</v>
      </c>
      <c r="N1275">
        <v>0</v>
      </c>
      <c r="O1275" t="b">
        <v>1</v>
      </c>
    </row>
    <row r="1276" spans="1:15" x14ac:dyDescent="0.3">
      <c r="A1276" s="1" t="s">
        <v>1377</v>
      </c>
      <c r="B1276">
        <v>0.46451851372914332</v>
      </c>
      <c r="C1276">
        <v>9.0269810223137931E-3</v>
      </c>
      <c r="D1276">
        <v>9.3705850688607581E-3</v>
      </c>
      <c r="E1276">
        <v>63.225798597127167</v>
      </c>
      <c r="F1276">
        <v>1.3273656684677389E-2</v>
      </c>
      <c r="G1276">
        <v>0.6</v>
      </c>
      <c r="H1276">
        <v>-1.6342130882639468E-2</v>
      </c>
      <c r="I1276">
        <v>0.81153229078453581</v>
      </c>
      <c r="J1276">
        <v>0</v>
      </c>
      <c r="K1276">
        <v>5.6891248011443629E-3</v>
      </c>
      <c r="L1276">
        <v>0</v>
      </c>
      <c r="M1276">
        <v>75900542.568000004</v>
      </c>
      <c r="N1276">
        <v>0</v>
      </c>
      <c r="O1276" t="b">
        <v>0</v>
      </c>
    </row>
    <row r="1277" spans="1:15" x14ac:dyDescent="0.3">
      <c r="A1277" s="1" t="s">
        <v>1378</v>
      </c>
      <c r="B1277">
        <v>0.85268216475509973</v>
      </c>
      <c r="C1277">
        <v>1.05734504338851E-2</v>
      </c>
      <c r="D1277">
        <v>1.1498728356957861E-2</v>
      </c>
      <c r="E1277">
        <v>60.986454078401543</v>
      </c>
      <c r="F1277">
        <v>8.9820808800162855E-3</v>
      </c>
      <c r="G1277">
        <v>0.6</v>
      </c>
      <c r="H1277">
        <v>9.2687964577648878E-3</v>
      </c>
      <c r="I1277">
        <v>0.99288271602218736</v>
      </c>
      <c r="J1277">
        <v>0</v>
      </c>
      <c r="K1277">
        <v>6.4711226929854426E-3</v>
      </c>
      <c r="L1277">
        <v>0</v>
      </c>
      <c r="M1277">
        <v>588236413.45289993</v>
      </c>
      <c r="N1277">
        <v>0</v>
      </c>
      <c r="O1277" t="b">
        <v>1</v>
      </c>
    </row>
    <row r="1278" spans="1:15" x14ac:dyDescent="0.3">
      <c r="A1278" s="1" t="s">
        <v>1379</v>
      </c>
      <c r="B1278">
        <v>0.52939507022443055</v>
      </c>
      <c r="C1278">
        <v>9.3177438357715733E-3</v>
      </c>
      <c r="D1278">
        <v>1.3302637646570159E-2</v>
      </c>
      <c r="E1278">
        <v>61.350482168846789</v>
      </c>
      <c r="F1278">
        <v>1.835942751135922E-2</v>
      </c>
      <c r="G1278">
        <v>0.2</v>
      </c>
      <c r="H1278">
        <v>-6.0727817720071598E-3</v>
      </c>
      <c r="I1278">
        <v>0.71922607712192921</v>
      </c>
      <c r="J1278">
        <v>0</v>
      </c>
      <c r="K1278">
        <v>9.8988782219346927E-3</v>
      </c>
      <c r="L1278">
        <v>0</v>
      </c>
      <c r="M1278">
        <v>127982551.4043</v>
      </c>
      <c r="N1278">
        <v>0</v>
      </c>
      <c r="O1278" t="b">
        <v>1</v>
      </c>
    </row>
    <row r="1279" spans="1:15" x14ac:dyDescent="0.3">
      <c r="A1279" s="1" t="s">
        <v>1380</v>
      </c>
      <c r="B1279">
        <v>2.5515285274435269</v>
      </c>
      <c r="C1279">
        <v>3.9892566095114559E-2</v>
      </c>
      <c r="D1279">
        <v>3.0175109443402119E-2</v>
      </c>
      <c r="E1279">
        <v>65.751396259992305</v>
      </c>
      <c r="F1279">
        <v>0.23284502698535081</v>
      </c>
      <c r="G1279">
        <v>0.6</v>
      </c>
      <c r="H1279">
        <v>0.21304585165723169</v>
      </c>
      <c r="I1279">
        <v>1.3485830974736079</v>
      </c>
      <c r="J1279">
        <v>-6.3694267515924663E-3</v>
      </c>
      <c r="K1279">
        <v>1.6852146263911068E-2</v>
      </c>
      <c r="L1279">
        <v>0</v>
      </c>
      <c r="M1279">
        <v>46707913</v>
      </c>
      <c r="N1279">
        <v>0</v>
      </c>
      <c r="O1279" t="b">
        <v>0</v>
      </c>
    </row>
    <row r="1280" spans="1:15" x14ac:dyDescent="0.3">
      <c r="A1280" s="1" t="s">
        <v>1381</v>
      </c>
      <c r="B1280">
        <v>0.84059531095012185</v>
      </c>
      <c r="C1280">
        <v>3.669119646224888E-2</v>
      </c>
      <c r="D1280">
        <v>5.1069402007856902E-2</v>
      </c>
      <c r="E1280">
        <v>48.081550908343473</v>
      </c>
      <c r="F1280">
        <v>8.8066930867458648E-3</v>
      </c>
      <c r="G1280">
        <v>0.4</v>
      </c>
      <c r="H1280">
        <v>-0.20804553047925819</v>
      </c>
      <c r="I1280">
        <v>0.74225001993872264</v>
      </c>
      <c r="J1280">
        <v>-2.5106382978723359E-2</v>
      </c>
      <c r="K1280">
        <v>-2.5106382978723359E-2</v>
      </c>
      <c r="L1280">
        <v>0</v>
      </c>
      <c r="M1280">
        <v>37517954.5</v>
      </c>
      <c r="N1280">
        <v>0</v>
      </c>
      <c r="O1280" t="b">
        <v>0</v>
      </c>
    </row>
    <row r="1281" spans="1:15" x14ac:dyDescent="0.3">
      <c r="A1281" s="1" t="s">
        <v>1382</v>
      </c>
      <c r="B1281">
        <v>1.7782814236031479</v>
      </c>
      <c r="C1281">
        <v>2.0110618304813661E-2</v>
      </c>
      <c r="D1281">
        <v>1.549335595137127E-2</v>
      </c>
      <c r="E1281">
        <v>41.37508052814902</v>
      </c>
      <c r="F1281">
        <v>-4.1640022976795588E-2</v>
      </c>
      <c r="G1281">
        <v>0.6</v>
      </c>
      <c r="H1281">
        <v>3.4308558503881807E-2</v>
      </c>
      <c r="I1281">
        <v>0.40577411711480021</v>
      </c>
      <c r="J1281">
        <v>-5.9649637737799299E-2</v>
      </c>
      <c r="K1281">
        <v>8.4922057837326648E-3</v>
      </c>
      <c r="L1281">
        <v>0</v>
      </c>
      <c r="M1281">
        <v>303260802.47060001</v>
      </c>
      <c r="N1281">
        <v>0</v>
      </c>
      <c r="O1281" t="b">
        <v>1</v>
      </c>
    </row>
    <row r="1282" spans="1:15" x14ac:dyDescent="0.3">
      <c r="A1282" s="1" t="s">
        <v>1383</v>
      </c>
      <c r="B1282">
        <v>6.714424126170862E-2</v>
      </c>
      <c r="C1282">
        <v>1.641813002164215E-3</v>
      </c>
      <c r="D1282">
        <v>1.2079302823720069E-3</v>
      </c>
      <c r="E1282">
        <v>76.401271939779036</v>
      </c>
      <c r="F1282">
        <v>7.9857242854748378E-3</v>
      </c>
      <c r="G1282">
        <v>1</v>
      </c>
      <c r="H1282">
        <v>-7.7321604360244503E-2</v>
      </c>
      <c r="I1282">
        <v>0.1059714941945074</v>
      </c>
      <c r="J1282">
        <v>0</v>
      </c>
      <c r="K1282">
        <v>7.2430432527137434E-4</v>
      </c>
      <c r="L1282">
        <v>0</v>
      </c>
      <c r="M1282">
        <v>145826335.50749999</v>
      </c>
      <c r="N1282">
        <v>0</v>
      </c>
      <c r="O1282" t="b">
        <v>1</v>
      </c>
    </row>
    <row r="1283" spans="1:15" x14ac:dyDescent="0.3">
      <c r="A1283" s="1" t="s">
        <v>1384</v>
      </c>
      <c r="B1283">
        <v>2.1146053563589522</v>
      </c>
      <c r="C1283">
        <v>2.221224113822429E-2</v>
      </c>
      <c r="D1283">
        <v>3.6869747899159713E-2</v>
      </c>
      <c r="E1283">
        <v>65.708632052295101</v>
      </c>
      <c r="F1283">
        <v>7.1348188161152404E-2</v>
      </c>
      <c r="G1283">
        <v>0.8</v>
      </c>
      <c r="H1283">
        <v>-0.1053416253686376</v>
      </c>
      <c r="I1283">
        <v>1.0588415938884119</v>
      </c>
      <c r="J1283">
        <v>0</v>
      </c>
      <c r="K1283">
        <v>3.041454702889923E-2</v>
      </c>
      <c r="L1283">
        <v>0</v>
      </c>
      <c r="M1283">
        <v>65875152.963</v>
      </c>
      <c r="N1283">
        <v>0</v>
      </c>
      <c r="O1283" t="b">
        <v>0</v>
      </c>
    </row>
    <row r="1284" spans="1:15" x14ac:dyDescent="0.3">
      <c r="A1284" s="1" t="s">
        <v>1385</v>
      </c>
      <c r="B1284">
        <v>4.4759182444713801</v>
      </c>
      <c r="C1284">
        <v>2.664110187890684E-2</v>
      </c>
      <c r="D1284">
        <v>2.6974905956859259E-2</v>
      </c>
      <c r="E1284">
        <v>50.652323063738088</v>
      </c>
      <c r="F1284">
        <v>-3.7299050623528229E-3</v>
      </c>
      <c r="G1284">
        <v>0.4</v>
      </c>
      <c r="H1284">
        <v>-0.17769941142422879</v>
      </c>
      <c r="I1284">
        <v>0.71264740746324517</v>
      </c>
      <c r="J1284">
        <v>-1.503754990531914E-2</v>
      </c>
      <c r="K1284">
        <v>2.0246061916270989E-2</v>
      </c>
      <c r="L1284">
        <v>0</v>
      </c>
      <c r="M1284">
        <v>42805280.495999999</v>
      </c>
      <c r="N1284">
        <v>0</v>
      </c>
      <c r="O1284" t="b">
        <v>0</v>
      </c>
    </row>
    <row r="1285" spans="1:15" x14ac:dyDescent="0.3">
      <c r="A1285" s="1" t="s">
        <v>1386</v>
      </c>
      <c r="B1285">
        <v>1.628409197692867</v>
      </c>
      <c r="C1285">
        <v>1.9011989227217519E-2</v>
      </c>
      <c r="D1285">
        <v>2.57099392072777E-2</v>
      </c>
      <c r="E1285">
        <v>53.385590510559759</v>
      </c>
      <c r="F1285">
        <v>1.5795815454970219E-2</v>
      </c>
      <c r="G1285">
        <v>0.4</v>
      </c>
      <c r="H1285">
        <v>-0.10981721597913301</v>
      </c>
      <c r="I1285">
        <v>0.67122076748136106</v>
      </c>
      <c r="J1285">
        <v>-2.672172520803184E-2</v>
      </c>
      <c r="K1285">
        <v>-4.0557903733117184E-3</v>
      </c>
      <c r="L1285">
        <v>0</v>
      </c>
      <c r="M1285">
        <v>100749182.7536</v>
      </c>
      <c r="N1285">
        <v>0</v>
      </c>
      <c r="O1285" t="b">
        <v>1</v>
      </c>
    </row>
    <row r="1286" spans="1:15" x14ac:dyDescent="0.3">
      <c r="A1286" s="1" t="s">
        <v>1387</v>
      </c>
      <c r="B1286">
        <v>1.2183842926529589</v>
      </c>
      <c r="C1286">
        <v>2.0736867689333732E-2</v>
      </c>
      <c r="D1286">
        <v>2.1911513160694038E-2</v>
      </c>
      <c r="E1286">
        <v>59.895427530644291</v>
      </c>
      <c r="F1286">
        <v>1.2207580552631599E-2</v>
      </c>
      <c r="G1286">
        <v>0.6</v>
      </c>
      <c r="H1286">
        <v>7.3758576753953017E-2</v>
      </c>
      <c r="I1286">
        <v>1.9883174823306371</v>
      </c>
      <c r="J1286">
        <v>0</v>
      </c>
      <c r="K1286">
        <v>1.2556461855826481E-2</v>
      </c>
      <c r="L1286">
        <v>0</v>
      </c>
      <c r="M1286">
        <v>210299990.65845001</v>
      </c>
      <c r="N1286">
        <v>0</v>
      </c>
      <c r="O1286" t="b">
        <v>1</v>
      </c>
    </row>
    <row r="1287" spans="1:15" x14ac:dyDescent="0.3">
      <c r="A1287" s="1" t="s">
        <v>1388</v>
      </c>
      <c r="B1287">
        <v>0.56078434395624543</v>
      </c>
      <c r="C1287">
        <v>1.453147998124551E-2</v>
      </c>
      <c r="D1287">
        <v>1.8854136974942221E-2</v>
      </c>
      <c r="E1287">
        <v>52.911306322058387</v>
      </c>
      <c r="F1287">
        <v>-2.2544999508765651E-3</v>
      </c>
      <c r="G1287">
        <v>0.4</v>
      </c>
      <c r="H1287">
        <v>3.7289461191071342E-2</v>
      </c>
      <c r="I1287">
        <v>0.41843880014397422</v>
      </c>
      <c r="J1287">
        <v>-1.490746649649E-2</v>
      </c>
      <c r="K1287">
        <v>1.0439277027044719E-2</v>
      </c>
      <c r="L1287">
        <v>0</v>
      </c>
      <c r="M1287">
        <v>47975655.966799997</v>
      </c>
      <c r="N1287">
        <v>0</v>
      </c>
      <c r="O1287" t="b">
        <v>0</v>
      </c>
    </row>
    <row r="1288" spans="1:15" x14ac:dyDescent="0.3">
      <c r="A1288" s="1" t="s">
        <v>1389</v>
      </c>
      <c r="B1288">
        <v>5.0221732979083811</v>
      </c>
      <c r="C1288">
        <v>1.945199063419505E-2</v>
      </c>
      <c r="D1288">
        <v>1.6496051250469681E-2</v>
      </c>
      <c r="E1288">
        <v>51.641481406958228</v>
      </c>
      <c r="F1288">
        <v>-1.9583048530416921E-2</v>
      </c>
      <c r="G1288">
        <v>0.6</v>
      </c>
      <c r="H1288">
        <v>-1.9176226978390332E-2</v>
      </c>
      <c r="I1288">
        <v>9.1022365819373535E-2</v>
      </c>
      <c r="J1288">
        <v>-3.41438778945794E-2</v>
      </c>
      <c r="K1288">
        <v>6.1024795707220747E-3</v>
      </c>
      <c r="L1288">
        <v>0</v>
      </c>
      <c r="M1288">
        <v>126747260.34299999</v>
      </c>
      <c r="N1288">
        <v>0</v>
      </c>
      <c r="O1288" t="b">
        <v>1</v>
      </c>
    </row>
    <row r="1289" spans="1:15" x14ac:dyDescent="0.3">
      <c r="A1289" s="1" t="s">
        <v>1390</v>
      </c>
      <c r="B1289">
        <v>2.5095688767854889</v>
      </c>
      <c r="C1289">
        <v>3.8251774620015201E-2</v>
      </c>
      <c r="D1289">
        <v>5.5303887108918967E-2</v>
      </c>
      <c r="E1289">
        <v>63.361582790596472</v>
      </c>
      <c r="F1289">
        <v>6.7058532681885774E-2</v>
      </c>
      <c r="G1289">
        <v>0.6</v>
      </c>
      <c r="H1289">
        <v>8.7222982071464925E-3</v>
      </c>
      <c r="I1289">
        <v>1.156077874699748</v>
      </c>
      <c r="J1289">
        <v>0</v>
      </c>
      <c r="K1289">
        <v>2.1670949155181859E-2</v>
      </c>
      <c r="L1289">
        <v>0</v>
      </c>
      <c r="M1289">
        <v>31642337.129299998</v>
      </c>
      <c r="N1289">
        <v>0</v>
      </c>
      <c r="O1289" t="b">
        <v>0</v>
      </c>
    </row>
    <row r="1290" spans="1:15" x14ac:dyDescent="0.3">
      <c r="A1290" s="1" t="s">
        <v>1391</v>
      </c>
      <c r="B1290">
        <v>0.1105379279088345</v>
      </c>
      <c r="C1290">
        <v>1.080337065900766E-3</v>
      </c>
      <c r="D1290">
        <v>2.3358548837937049E-3</v>
      </c>
      <c r="E1290">
        <v>53.335875221801608</v>
      </c>
      <c r="F1290">
        <v>1.693670762151767E-3</v>
      </c>
      <c r="G1290">
        <v>0.2</v>
      </c>
      <c r="H1290">
        <v>-9.7511326142168425E-2</v>
      </c>
      <c r="I1290">
        <v>-7.5919986920005688E-3</v>
      </c>
      <c r="J1290">
        <v>-7.8126525908706057E-4</v>
      </c>
      <c r="K1290">
        <v>1.556397380553687E-3</v>
      </c>
      <c r="L1290">
        <v>0</v>
      </c>
      <c r="M1290">
        <v>60453650.358050004</v>
      </c>
      <c r="N1290">
        <v>0</v>
      </c>
      <c r="O1290" t="b">
        <v>0</v>
      </c>
    </row>
    <row r="1291" spans="1:15" x14ac:dyDescent="0.3">
      <c r="A1291" s="1" t="s">
        <v>1392</v>
      </c>
      <c r="B1291">
        <v>0.37494707209651779</v>
      </c>
      <c r="C1291">
        <v>3.093622707066979E-2</v>
      </c>
      <c r="D1291">
        <v>3.8778877887788832E-2</v>
      </c>
      <c r="E1291">
        <v>66.900015396964619</v>
      </c>
      <c r="F1291">
        <v>0.16988416988416979</v>
      </c>
      <c r="G1291">
        <v>0.6</v>
      </c>
      <c r="H1291">
        <v>0.12732742420459001</v>
      </c>
      <c r="I1291">
        <v>2.563599037321199</v>
      </c>
      <c r="J1291">
        <v>0</v>
      </c>
      <c r="K1291">
        <v>3.7671232876712368E-2</v>
      </c>
      <c r="L1291">
        <v>0</v>
      </c>
      <c r="M1291">
        <v>155143771</v>
      </c>
      <c r="N1291">
        <v>0</v>
      </c>
      <c r="O1291" t="b">
        <v>1</v>
      </c>
    </row>
    <row r="1292" spans="1:15" x14ac:dyDescent="0.3">
      <c r="A1292" s="1" t="s">
        <v>1393</v>
      </c>
      <c r="B1292">
        <v>4.5501203231794198</v>
      </c>
      <c r="C1292">
        <v>2.6651127360784749E-2</v>
      </c>
      <c r="D1292">
        <v>4.2224812422025568E-2</v>
      </c>
      <c r="E1292">
        <v>66.398072170703387</v>
      </c>
      <c r="F1292">
        <v>0.1233353510895885</v>
      </c>
      <c r="G1292">
        <v>0.4</v>
      </c>
      <c r="H1292">
        <v>0.1956258383123185</v>
      </c>
      <c r="I1292">
        <v>1.5950249528548031</v>
      </c>
      <c r="J1292">
        <v>-1.578956602085291E-3</v>
      </c>
      <c r="K1292">
        <v>3.5059959016890518E-2</v>
      </c>
      <c r="L1292">
        <v>0</v>
      </c>
      <c r="M1292">
        <v>182449565.27700001</v>
      </c>
      <c r="N1292">
        <v>0</v>
      </c>
      <c r="O1292" t="b">
        <v>1</v>
      </c>
    </row>
    <row r="1293" spans="1:15" x14ac:dyDescent="0.3">
      <c r="A1293" s="1" t="s">
        <v>1394</v>
      </c>
      <c r="B1293">
        <v>0.66802547747114416</v>
      </c>
      <c r="C1293">
        <v>2.546750833842832E-2</v>
      </c>
      <c r="D1293">
        <v>2.0899334743905051E-2</v>
      </c>
      <c r="E1293">
        <v>64.738867868011056</v>
      </c>
      <c r="F1293">
        <v>0.1091448795524603</v>
      </c>
      <c r="G1293">
        <v>0.6</v>
      </c>
      <c r="H1293">
        <v>-6.9579980790157887E-3</v>
      </c>
      <c r="I1293">
        <v>1.81367835318339</v>
      </c>
      <c r="J1293">
        <v>0</v>
      </c>
      <c r="K1293">
        <v>1.464888324990898E-2</v>
      </c>
      <c r="L1293">
        <v>0</v>
      </c>
      <c r="M1293">
        <v>157889152.14045</v>
      </c>
      <c r="N1293">
        <v>0</v>
      </c>
      <c r="O1293" t="b">
        <v>1</v>
      </c>
    </row>
    <row r="1294" spans="1:15" x14ac:dyDescent="0.3">
      <c r="A1294" s="1" t="s">
        <v>1395</v>
      </c>
      <c r="B1294">
        <v>1.935784800764571</v>
      </c>
      <c r="C1294">
        <v>2.03488363372708E-2</v>
      </c>
      <c r="D1294">
        <v>1.4821822768842601E-2</v>
      </c>
      <c r="E1294">
        <v>34.700641607255079</v>
      </c>
      <c r="F1294">
        <v>-0.110435758369179</v>
      </c>
      <c r="G1294">
        <v>0.6</v>
      </c>
      <c r="H1294">
        <v>-0.25756627101637702</v>
      </c>
      <c r="I1294">
        <v>1.0778028933078501</v>
      </c>
      <c r="J1294">
        <v>-0.1181868743047831</v>
      </c>
      <c r="K1294">
        <v>4.4345898004434234E-3</v>
      </c>
      <c r="L1294">
        <v>0</v>
      </c>
      <c r="M1294">
        <v>14924770</v>
      </c>
      <c r="N1294">
        <v>0</v>
      </c>
      <c r="O1294" t="b">
        <v>0</v>
      </c>
    </row>
    <row r="1295" spans="1:15" x14ac:dyDescent="0.3">
      <c r="A1295" s="1" t="s">
        <v>1396</v>
      </c>
      <c r="B1295">
        <v>1.4302442680656711</v>
      </c>
      <c r="C1295">
        <v>1.485591463634851E-2</v>
      </c>
      <c r="D1295">
        <v>5.3544867586813186E-3</v>
      </c>
      <c r="E1295">
        <v>59.126775954190073</v>
      </c>
      <c r="F1295">
        <v>-9.401753748766728E-4</v>
      </c>
      <c r="G1295">
        <v>0.4</v>
      </c>
      <c r="H1295">
        <v>-7.8686190843978536E-3</v>
      </c>
      <c r="I1295">
        <v>0.46861328121958029</v>
      </c>
      <c r="J1295">
        <v>-1.439636896192642E-3</v>
      </c>
      <c r="K1295">
        <v>-1.110172709672175E-3</v>
      </c>
      <c r="O1295" t="b">
        <v>0</v>
      </c>
    </row>
    <row r="1296" spans="1:15" x14ac:dyDescent="0.3">
      <c r="A1296" s="1" t="s">
        <v>1397</v>
      </c>
      <c r="B1296">
        <v>20.655171685026719</v>
      </c>
      <c r="C1296">
        <v>6.2287541645386788E-2</v>
      </c>
      <c r="D1296">
        <v>5.91960435451283E-2</v>
      </c>
      <c r="E1296">
        <v>46.827788500173618</v>
      </c>
      <c r="F1296">
        <v>-0.13744310053322931</v>
      </c>
      <c r="G1296">
        <v>0.4</v>
      </c>
      <c r="H1296">
        <v>2.2769316469009891E-2</v>
      </c>
      <c r="I1296">
        <v>3.5439512102762629</v>
      </c>
      <c r="J1296">
        <v>-0.13013483028172709</v>
      </c>
      <c r="K1296">
        <v>2.3171860536871369E-2</v>
      </c>
      <c r="L1296">
        <v>0</v>
      </c>
      <c r="M1296">
        <v>107935045.5</v>
      </c>
      <c r="N1296">
        <v>0</v>
      </c>
      <c r="O1296" t="b">
        <v>1</v>
      </c>
    </row>
    <row r="1297" spans="1:15" x14ac:dyDescent="0.3">
      <c r="A1297" s="1" t="s">
        <v>1398</v>
      </c>
      <c r="B1297">
        <v>2.765394366177373</v>
      </c>
      <c r="C1297">
        <v>2.159098044344886E-2</v>
      </c>
      <c r="D1297">
        <v>5.3450550823307158E-2</v>
      </c>
      <c r="E1297">
        <v>76.179210139665159</v>
      </c>
      <c r="F1297">
        <v>7.7116498894130858E-2</v>
      </c>
      <c r="G1297">
        <v>1</v>
      </c>
      <c r="H1297">
        <v>0.137261761297791</v>
      </c>
      <c r="I1297">
        <v>1.2735995827002351</v>
      </c>
      <c r="J1297">
        <v>0</v>
      </c>
      <c r="K1297">
        <v>2.1876670469686221E-2</v>
      </c>
      <c r="L1297">
        <v>0</v>
      </c>
      <c r="M1297">
        <v>190060274.11109999</v>
      </c>
      <c r="N1297">
        <v>0</v>
      </c>
      <c r="O1297" t="b">
        <v>1</v>
      </c>
    </row>
    <row r="1298" spans="1:15" x14ac:dyDescent="0.3">
      <c r="A1298" s="1" t="s">
        <v>1399</v>
      </c>
      <c r="B1298">
        <v>0.25736167504533741</v>
      </c>
      <c r="C1298">
        <v>1.4241458835022241E-2</v>
      </c>
      <c r="D1298">
        <v>2.0485521240862611E-2</v>
      </c>
      <c r="E1298">
        <v>58.09330594865245</v>
      </c>
      <c r="F1298">
        <v>3.6894017201907207E-2</v>
      </c>
      <c r="G1298">
        <v>0.4</v>
      </c>
      <c r="H1298">
        <v>-0.17649627742342849</v>
      </c>
      <c r="I1298">
        <v>0.2027621678875666</v>
      </c>
      <c r="J1298">
        <v>0</v>
      </c>
      <c r="K1298">
        <v>1.7556800585602161E-2</v>
      </c>
      <c r="L1298">
        <v>0</v>
      </c>
      <c r="M1298">
        <v>48274597.458100013</v>
      </c>
      <c r="N1298">
        <v>0</v>
      </c>
      <c r="O1298" t="b">
        <v>0</v>
      </c>
    </row>
    <row r="1299" spans="1:15" x14ac:dyDescent="0.3">
      <c r="A1299" s="1" t="s">
        <v>1400</v>
      </c>
      <c r="B1299">
        <v>15.10357389391403</v>
      </c>
      <c r="C1299">
        <v>5.0659674023150462E-2</v>
      </c>
      <c r="D1299">
        <v>6.7475464382265801E-2</v>
      </c>
      <c r="E1299">
        <v>64.964677356067142</v>
      </c>
      <c r="F1299">
        <v>1.6768921734800601E-2</v>
      </c>
      <c r="G1299">
        <v>0.8</v>
      </c>
      <c r="H1299">
        <v>0.1631506485705872</v>
      </c>
      <c r="I1299">
        <v>2.2894839309349821</v>
      </c>
      <c r="J1299">
        <v>0</v>
      </c>
      <c r="K1299">
        <v>5.6777257904437661E-2</v>
      </c>
      <c r="L1299">
        <v>0</v>
      </c>
      <c r="M1299">
        <v>470067030.671</v>
      </c>
      <c r="N1299">
        <v>0</v>
      </c>
      <c r="O1299" t="b">
        <v>1</v>
      </c>
    </row>
    <row r="1300" spans="1:15" x14ac:dyDescent="0.3">
      <c r="A1300" s="1" t="s">
        <v>1401</v>
      </c>
      <c r="B1300">
        <v>3.1344877179430428</v>
      </c>
      <c r="C1300">
        <v>2.124356298165397E-2</v>
      </c>
      <c r="D1300">
        <v>3.4876313114198483E-2</v>
      </c>
      <c r="E1300">
        <v>77.363740309003902</v>
      </c>
      <c r="F1300">
        <v>0.15599464113632999</v>
      </c>
      <c r="G1300">
        <v>0.6</v>
      </c>
      <c r="H1300">
        <v>3.558872246934706E-3</v>
      </c>
      <c r="I1300">
        <v>0.3363929127817652</v>
      </c>
      <c r="J1300">
        <v>0</v>
      </c>
      <c r="K1300">
        <v>3.5852937666294597E-2</v>
      </c>
      <c r="L1300">
        <v>0</v>
      </c>
      <c r="M1300">
        <v>362436840.06599998</v>
      </c>
      <c r="N1300">
        <v>0</v>
      </c>
      <c r="O1300" t="b">
        <v>1</v>
      </c>
    </row>
    <row r="1301" spans="1:15" x14ac:dyDescent="0.3">
      <c r="A1301" s="1" t="s">
        <v>1402</v>
      </c>
      <c r="B1301">
        <v>0.86334923804316011</v>
      </c>
      <c r="C1301">
        <v>1.969740861505798E-2</v>
      </c>
      <c r="D1301">
        <v>1.7433026241940541E-2</v>
      </c>
      <c r="E1301">
        <v>56.309077664699743</v>
      </c>
      <c r="F1301">
        <v>2.434988676917027E-2</v>
      </c>
      <c r="G1301">
        <v>0.4</v>
      </c>
      <c r="H1301">
        <v>6.5543783531510748E-3</v>
      </c>
      <c r="I1301">
        <v>0.27061790185997697</v>
      </c>
      <c r="J1301">
        <v>-2.278792581048639E-2</v>
      </c>
      <c r="K1301">
        <v>8.6759209823810135E-3</v>
      </c>
      <c r="L1301">
        <v>0</v>
      </c>
      <c r="M1301">
        <v>150425958.12185001</v>
      </c>
      <c r="N1301">
        <v>0</v>
      </c>
      <c r="O1301" t="b">
        <v>1</v>
      </c>
    </row>
    <row r="1302" spans="1:15" x14ac:dyDescent="0.3">
      <c r="A1302" s="1" t="s">
        <v>1403</v>
      </c>
      <c r="B1302">
        <v>9.3979230365028504E-2</v>
      </c>
      <c r="C1302">
        <v>8.8522691651622492E-4</v>
      </c>
      <c r="D1302">
        <v>1.0361327757055069E-3</v>
      </c>
      <c r="E1302">
        <v>67.910802613686954</v>
      </c>
      <c r="F1302">
        <v>4.2377691172577059E-3</v>
      </c>
      <c r="G1302">
        <v>0.4</v>
      </c>
      <c r="H1302">
        <v>-0.100246844406345</v>
      </c>
      <c r="I1302">
        <v>-1.271765266418819E-2</v>
      </c>
      <c r="J1302">
        <v>0</v>
      </c>
      <c r="K1302">
        <v>9.4282697239411739E-4</v>
      </c>
      <c r="L1302">
        <v>0</v>
      </c>
      <c r="M1302">
        <v>48519382.738499999</v>
      </c>
      <c r="N1302">
        <v>0</v>
      </c>
      <c r="O1302" t="b">
        <v>0</v>
      </c>
    </row>
    <row r="1303" spans="1:15" x14ac:dyDescent="0.3">
      <c r="A1303" s="1" t="s">
        <v>1404</v>
      </c>
      <c r="B1303">
        <v>2.366131115334531</v>
      </c>
      <c r="C1303">
        <v>1.9534138393555011E-2</v>
      </c>
      <c r="D1303">
        <v>1.8666204345816079E-2</v>
      </c>
      <c r="E1303">
        <v>35.92504561781935</v>
      </c>
      <c r="F1303">
        <v>-2.9633012088730811E-2</v>
      </c>
      <c r="G1303">
        <v>0.2</v>
      </c>
      <c r="H1303">
        <v>-0.1275196025183799</v>
      </c>
      <c r="I1303">
        <v>3.3025868049255079E-2</v>
      </c>
      <c r="J1303">
        <v>-5.199887299251793E-2</v>
      </c>
      <c r="K1303">
        <v>-7.3102770037698486E-3</v>
      </c>
      <c r="L1303">
        <v>0</v>
      </c>
      <c r="M1303">
        <v>97245384.018999994</v>
      </c>
      <c r="N1303">
        <v>0</v>
      </c>
      <c r="O1303" t="b">
        <v>1</v>
      </c>
    </row>
    <row r="1304" spans="1:15" x14ac:dyDescent="0.3">
      <c r="A1304" s="1" t="s">
        <v>1405</v>
      </c>
      <c r="B1304">
        <v>1.249955842821634</v>
      </c>
      <c r="C1304">
        <v>2.3211807666139901E-2</v>
      </c>
      <c r="D1304">
        <v>2.506963788300838E-2</v>
      </c>
      <c r="E1304">
        <v>50.881383316120562</v>
      </c>
      <c r="F1304">
        <v>5.0117004680187323E-2</v>
      </c>
      <c r="G1304">
        <v>0.2</v>
      </c>
      <c r="H1304">
        <v>3.762830608475861E-2</v>
      </c>
      <c r="I1304">
        <v>-0.15995412151042751</v>
      </c>
      <c r="J1304">
        <v>-4.2326160412591067E-2</v>
      </c>
      <c r="K1304">
        <v>1.393334588589723E-2</v>
      </c>
      <c r="L1304">
        <v>0</v>
      </c>
      <c r="M1304">
        <v>21551901.89655</v>
      </c>
      <c r="N1304">
        <v>0</v>
      </c>
      <c r="O1304" t="b">
        <v>0</v>
      </c>
    </row>
    <row r="1305" spans="1:15" x14ac:dyDescent="0.3">
      <c r="A1305" s="1" t="s">
        <v>1406</v>
      </c>
      <c r="B1305">
        <v>0.1759500262394052</v>
      </c>
      <c r="C1305">
        <v>1.8638773966038691E-2</v>
      </c>
      <c r="D1305">
        <v>2.6483050847457629E-2</v>
      </c>
      <c r="E1305">
        <v>65.338982603801469</v>
      </c>
      <c r="F1305">
        <v>7.8857142857142737E-2</v>
      </c>
      <c r="G1305">
        <v>0.6</v>
      </c>
      <c r="H1305">
        <v>-7.3366454304299736E-2</v>
      </c>
      <c r="I1305">
        <v>0.12571370687395639</v>
      </c>
      <c r="J1305">
        <v>0</v>
      </c>
      <c r="K1305">
        <v>1.8338727076591121E-2</v>
      </c>
      <c r="L1305">
        <v>0</v>
      </c>
      <c r="M1305">
        <v>15942808.5</v>
      </c>
      <c r="N1305">
        <v>0</v>
      </c>
      <c r="O1305" t="b">
        <v>0</v>
      </c>
    </row>
    <row r="1306" spans="1:15" x14ac:dyDescent="0.3">
      <c r="A1306" s="1" t="s">
        <v>1407</v>
      </c>
      <c r="B1306">
        <v>1.1099542424457001</v>
      </c>
      <c r="C1306">
        <v>3.012569834642995E-2</v>
      </c>
      <c r="D1306">
        <v>5.084667558713598E-2</v>
      </c>
      <c r="E1306">
        <v>55.191937322284353</v>
      </c>
      <c r="F1306">
        <v>4.7040535624971458E-2</v>
      </c>
      <c r="G1306">
        <v>0.6</v>
      </c>
      <c r="H1306">
        <v>-0.15658374932459401</v>
      </c>
      <c r="I1306">
        <v>1.401451282795205</v>
      </c>
      <c r="J1306">
        <v>0</v>
      </c>
      <c r="K1306">
        <v>5.2673533235239267E-2</v>
      </c>
      <c r="L1306">
        <v>0</v>
      </c>
      <c r="M1306">
        <v>164338716.3064</v>
      </c>
      <c r="N1306">
        <v>0</v>
      </c>
      <c r="O1306" t="b">
        <v>1</v>
      </c>
    </row>
    <row r="1307" spans="1:15" x14ac:dyDescent="0.3">
      <c r="A1307" s="1" t="s">
        <v>1408</v>
      </c>
      <c r="B1307">
        <v>2.2816346844021038</v>
      </c>
      <c r="C1307">
        <v>3.0076913846587189E-2</v>
      </c>
      <c r="D1307">
        <v>6.4460848932243617E-2</v>
      </c>
      <c r="E1307">
        <v>70.184755714592413</v>
      </c>
      <c r="F1307">
        <v>0.12968268812656741</v>
      </c>
      <c r="G1307">
        <v>0.4</v>
      </c>
      <c r="H1307">
        <v>-5.3150310287458633E-2</v>
      </c>
      <c r="I1307">
        <v>1.5710739844947339</v>
      </c>
      <c r="J1307">
        <v>0</v>
      </c>
      <c r="K1307">
        <v>5.5370061213133148E-2</v>
      </c>
      <c r="L1307">
        <v>0</v>
      </c>
      <c r="M1307">
        <v>136870731.82214999</v>
      </c>
      <c r="N1307">
        <v>0</v>
      </c>
      <c r="O1307" t="b">
        <v>1</v>
      </c>
    </row>
    <row r="1308" spans="1:15" x14ac:dyDescent="0.3">
      <c r="A1308" s="1" t="s">
        <v>1409</v>
      </c>
      <c r="B1308">
        <v>2.2500565271311799</v>
      </c>
      <c r="C1308">
        <v>3.3092570494687383E-2</v>
      </c>
      <c r="D1308">
        <v>2.732201056582453E-2</v>
      </c>
      <c r="E1308">
        <v>52.288926433855003</v>
      </c>
      <c r="F1308">
        <v>7.124680426236818E-3</v>
      </c>
      <c r="G1308">
        <v>0.4</v>
      </c>
      <c r="H1308">
        <v>-7.412141935575918E-2</v>
      </c>
      <c r="I1308">
        <v>2.064818160292436</v>
      </c>
      <c r="J1308">
        <v>-8.071939906136083E-3</v>
      </c>
      <c r="K1308">
        <v>3.9394028881081233E-3</v>
      </c>
      <c r="L1308">
        <v>0</v>
      </c>
      <c r="M1308">
        <v>195179550.38865</v>
      </c>
      <c r="N1308">
        <v>0</v>
      </c>
      <c r="O1308" t="b">
        <v>1</v>
      </c>
    </row>
    <row r="1309" spans="1:15" x14ac:dyDescent="0.3">
      <c r="A1309" s="1" t="s">
        <v>1410</v>
      </c>
      <c r="B1309">
        <v>2.0137125542829528</v>
      </c>
      <c r="C1309">
        <v>2.3816825006303409E-2</v>
      </c>
      <c r="D1309">
        <v>4.9000591366055599E-2</v>
      </c>
      <c r="E1309">
        <v>77.432794510682626</v>
      </c>
      <c r="F1309">
        <v>0.13186077643908961</v>
      </c>
      <c r="G1309">
        <v>0.6</v>
      </c>
      <c r="H1309">
        <v>7.6658212729397435E-2</v>
      </c>
      <c r="I1309">
        <v>1.2283427627351671</v>
      </c>
      <c r="J1309">
        <v>0</v>
      </c>
      <c r="K1309">
        <v>4.3698308850758982E-2</v>
      </c>
      <c r="L1309">
        <v>0</v>
      </c>
      <c r="M1309">
        <v>226063493.34</v>
      </c>
      <c r="N1309">
        <v>0</v>
      </c>
      <c r="O1309" t="b">
        <v>1</v>
      </c>
    </row>
    <row r="1310" spans="1:15" x14ac:dyDescent="0.3">
      <c r="A1310" s="1" t="s">
        <v>1411</v>
      </c>
      <c r="B1310">
        <v>7.3380262152690063</v>
      </c>
      <c r="C1310">
        <v>2.0792262900958019E-2</v>
      </c>
      <c r="D1310">
        <v>1.9927972549097429E-2</v>
      </c>
      <c r="E1310">
        <v>39.791608716361822</v>
      </c>
      <c r="F1310">
        <v>-3.436513449559198E-3</v>
      </c>
      <c r="G1310">
        <v>0.2</v>
      </c>
      <c r="H1310">
        <v>-0.156494539772143</v>
      </c>
      <c r="I1310">
        <v>0.26562537346554671</v>
      </c>
      <c r="J1310">
        <v>-5.6734233511872352E-2</v>
      </c>
      <c r="K1310">
        <v>1.3086961264431761E-2</v>
      </c>
      <c r="L1310">
        <v>0</v>
      </c>
      <c r="M1310">
        <v>493190645.97299999</v>
      </c>
      <c r="N1310">
        <v>0</v>
      </c>
      <c r="O1310" t="b">
        <v>1</v>
      </c>
    </row>
    <row r="1311" spans="1:15" x14ac:dyDescent="0.3">
      <c r="A1311" s="1" t="s">
        <v>1412</v>
      </c>
      <c r="B1311">
        <v>6.9677922183892136</v>
      </c>
      <c r="C1311">
        <v>0.11564800362471719</v>
      </c>
      <c r="D1311">
        <v>5.0124481327800882E-2</v>
      </c>
      <c r="E1311">
        <v>45.154065253295421</v>
      </c>
      <c r="F1311">
        <v>-0.14804864253393671</v>
      </c>
      <c r="G1311">
        <v>0.4</v>
      </c>
      <c r="H1311">
        <v>7.1613879997316304E-2</v>
      </c>
      <c r="I1311">
        <v>4.3269243559950743</v>
      </c>
      <c r="J1311">
        <v>-0.30985108820160367</v>
      </c>
      <c r="K1311">
        <v>-3.0883062570371541E-2</v>
      </c>
      <c r="L1311">
        <v>0</v>
      </c>
      <c r="M1311">
        <v>62835264</v>
      </c>
      <c r="N1311">
        <v>0</v>
      </c>
      <c r="O1311" t="b">
        <v>0</v>
      </c>
    </row>
    <row r="1312" spans="1:15" x14ac:dyDescent="0.3">
      <c r="A1312" s="1" t="s">
        <v>1413</v>
      </c>
      <c r="B1312">
        <v>1.2882415208997151</v>
      </c>
      <c r="C1312">
        <v>1.7639677463918899E-2</v>
      </c>
      <c r="D1312">
        <v>1.631090401460197E-2</v>
      </c>
      <c r="E1312">
        <v>42.041172216766867</v>
      </c>
      <c r="F1312">
        <v>-1.354251791418748E-2</v>
      </c>
      <c r="G1312">
        <v>0.4</v>
      </c>
      <c r="H1312">
        <v>-0.14850995586260779</v>
      </c>
      <c r="I1312">
        <v>-0.1114529031808279</v>
      </c>
      <c r="J1312">
        <v>-3.9932429323570218E-2</v>
      </c>
      <c r="K1312">
        <v>1.3500217185854259E-2</v>
      </c>
      <c r="L1312">
        <v>0</v>
      </c>
      <c r="M1312">
        <v>217406723.0546</v>
      </c>
      <c r="N1312">
        <v>0</v>
      </c>
      <c r="O1312" t="b">
        <v>1</v>
      </c>
    </row>
    <row r="1313" spans="1:15" x14ac:dyDescent="0.3">
      <c r="A1313" s="1" t="s">
        <v>1414</v>
      </c>
      <c r="B1313">
        <v>0.47966195786684079</v>
      </c>
      <c r="C1313">
        <v>1.9896876389276359E-2</v>
      </c>
      <c r="D1313">
        <v>1.3120452641097831E-2</v>
      </c>
      <c r="E1313">
        <v>33.502372449322642</v>
      </c>
      <c r="F1313">
        <v>-1.7720425550987629E-2</v>
      </c>
      <c r="G1313">
        <v>0.2</v>
      </c>
      <c r="H1313">
        <v>-0.2385300050607167</v>
      </c>
      <c r="I1313">
        <v>-4.4796291914885593E-2</v>
      </c>
      <c r="J1313">
        <v>-6.2643622295235013E-2</v>
      </c>
      <c r="K1313">
        <v>-4.8955667464707364E-3</v>
      </c>
      <c r="L1313">
        <v>0</v>
      </c>
      <c r="M1313">
        <v>912215773.97119999</v>
      </c>
      <c r="N1313">
        <v>0</v>
      </c>
      <c r="O1313" t="b">
        <v>1</v>
      </c>
    </row>
    <row r="1314" spans="1:15" x14ac:dyDescent="0.3">
      <c r="A1314" s="1" t="s">
        <v>1415</v>
      </c>
      <c r="B1314">
        <v>0.17121746888789419</v>
      </c>
      <c r="C1314">
        <v>1.1914924766033E-2</v>
      </c>
      <c r="D1314">
        <v>9.7425191370912028E-3</v>
      </c>
      <c r="E1314">
        <v>56.598312359337463</v>
      </c>
      <c r="F1314">
        <v>4.8140043763676088E-2</v>
      </c>
      <c r="G1314">
        <v>0.6</v>
      </c>
      <c r="H1314">
        <v>-0.1594205957753021</v>
      </c>
      <c r="I1314">
        <v>0.45754994913474428</v>
      </c>
      <c r="J1314">
        <v>-1.0330578512396721E-2</v>
      </c>
      <c r="K1314">
        <v>7.7138849929874187E-3</v>
      </c>
      <c r="L1314">
        <v>0</v>
      </c>
      <c r="M1314">
        <v>30759366.5</v>
      </c>
      <c r="N1314">
        <v>0</v>
      </c>
      <c r="O1314" t="b">
        <v>0</v>
      </c>
    </row>
    <row r="1315" spans="1:15" x14ac:dyDescent="0.3">
      <c r="A1315" s="1" t="s">
        <v>1416</v>
      </c>
      <c r="B1315">
        <v>1.2105219297421901</v>
      </c>
      <c r="C1315">
        <v>2.6104305994763918E-2</v>
      </c>
      <c r="D1315">
        <v>3.5643970025338353E-2</v>
      </c>
      <c r="E1315">
        <v>56.519451675460402</v>
      </c>
      <c r="F1315">
        <v>1.06353997537294E-2</v>
      </c>
      <c r="G1315">
        <v>0.6</v>
      </c>
      <c r="H1315">
        <v>-6.3434703286101832E-2</v>
      </c>
      <c r="I1315">
        <v>-9.3201613697071237E-2</v>
      </c>
      <c r="J1315">
        <v>0</v>
      </c>
      <c r="K1315">
        <v>3.6043986487694253E-2</v>
      </c>
      <c r="L1315">
        <v>0</v>
      </c>
      <c r="M1315">
        <v>114647589.0924</v>
      </c>
      <c r="N1315">
        <v>0</v>
      </c>
      <c r="O1315" t="b">
        <v>1</v>
      </c>
    </row>
    <row r="1316" spans="1:15" x14ac:dyDescent="0.3">
      <c r="A1316" s="1" t="s">
        <v>1417</v>
      </c>
      <c r="B1316">
        <v>1.420700047255443E-2</v>
      </c>
      <c r="C1316">
        <v>2.8716036214007802E-4</v>
      </c>
      <c r="D1316">
        <v>4.0223066210400612E-4</v>
      </c>
      <c r="E1316">
        <v>96.462507620260439</v>
      </c>
      <c r="F1316">
        <v>3.651552619887477E-3</v>
      </c>
      <c r="G1316">
        <v>0.6</v>
      </c>
      <c r="H1316">
        <v>-8.1575800172159527E-2</v>
      </c>
      <c r="I1316">
        <v>2.9852596672118483E-4</v>
      </c>
      <c r="J1316">
        <v>0</v>
      </c>
      <c r="K1316">
        <v>4.0036963418743632E-4</v>
      </c>
      <c r="L1316">
        <v>0</v>
      </c>
      <c r="M1316">
        <v>84822877.748199999</v>
      </c>
      <c r="N1316">
        <v>0</v>
      </c>
      <c r="O1316" t="b">
        <v>0</v>
      </c>
    </row>
    <row r="1317" spans="1:15" x14ac:dyDescent="0.3">
      <c r="A1317" s="1" t="s">
        <v>1418</v>
      </c>
      <c r="B1317">
        <v>0.38012800598845869</v>
      </c>
      <c r="C1317">
        <v>9.9826676783002274E-3</v>
      </c>
      <c r="D1317">
        <v>9.0417765265713209E-3</v>
      </c>
      <c r="E1317">
        <v>49.615010367964167</v>
      </c>
      <c r="F1317">
        <v>-1.0343895542248681E-2</v>
      </c>
      <c r="G1317">
        <v>0.4</v>
      </c>
      <c r="H1317">
        <v>-0.10088311128018899</v>
      </c>
      <c r="I1317">
        <v>0.89193328656230486</v>
      </c>
      <c r="J1317">
        <v>-1.6699590708964322E-2</v>
      </c>
      <c r="K1317">
        <v>3.1454659451939371E-3</v>
      </c>
      <c r="L1317">
        <v>0</v>
      </c>
      <c r="M1317">
        <v>29169773.5616</v>
      </c>
      <c r="N1317">
        <v>0</v>
      </c>
      <c r="O1317" t="b">
        <v>0</v>
      </c>
    </row>
    <row r="1318" spans="1:15" x14ac:dyDescent="0.3">
      <c r="A1318" s="1" t="s">
        <v>1419</v>
      </c>
      <c r="B1318">
        <v>1.468127177752101</v>
      </c>
      <c r="C1318">
        <v>2.0727476743641129E-2</v>
      </c>
      <c r="D1318">
        <v>1.228293096145687E-2</v>
      </c>
      <c r="E1318">
        <v>48.959551388026497</v>
      </c>
      <c r="F1318">
        <v>-3.7766607797853569E-2</v>
      </c>
      <c r="G1318">
        <v>0.6</v>
      </c>
      <c r="H1318">
        <v>-0.1201139426706484</v>
      </c>
      <c r="I1318">
        <v>0.90687846732973976</v>
      </c>
      <c r="J1318">
        <v>-5.0408901997586852E-2</v>
      </c>
      <c r="K1318">
        <v>1.012549914432403E-2</v>
      </c>
      <c r="L1318">
        <v>0</v>
      </c>
      <c r="M1318">
        <v>170460329.55399999</v>
      </c>
      <c r="N1318">
        <v>0</v>
      </c>
      <c r="O1318" t="b">
        <v>1</v>
      </c>
    </row>
    <row r="1319" spans="1:15" x14ac:dyDescent="0.3">
      <c r="A1319" s="1" t="s">
        <v>1420</v>
      </c>
      <c r="B1319">
        <v>1.383782407928416</v>
      </c>
      <c r="C1319">
        <v>1.516307700995416E-2</v>
      </c>
      <c r="D1319">
        <v>2.607933377164141E-2</v>
      </c>
      <c r="E1319">
        <v>82.074072735114498</v>
      </c>
      <c r="F1319">
        <v>0.1247227015035741</v>
      </c>
      <c r="G1319">
        <v>0.8</v>
      </c>
      <c r="H1319">
        <v>0.22214693544064759</v>
      </c>
      <c r="I1319">
        <v>0.58934814101230959</v>
      </c>
      <c r="J1319">
        <v>0</v>
      </c>
      <c r="K1319">
        <v>2.3782813551716409E-2</v>
      </c>
      <c r="L1319">
        <v>0</v>
      </c>
      <c r="M1319">
        <v>116121301.81389999</v>
      </c>
      <c r="N1319">
        <v>0</v>
      </c>
      <c r="O1319" t="b">
        <v>1</v>
      </c>
    </row>
    <row r="1320" spans="1:15" x14ac:dyDescent="0.3">
      <c r="A1320" s="1" t="s">
        <v>1421</v>
      </c>
      <c r="B1320">
        <v>29.389690994560699</v>
      </c>
      <c r="C1320">
        <v>2.2557134848845421E-2</v>
      </c>
      <c r="D1320">
        <v>3.4929772046972132E-2</v>
      </c>
      <c r="E1320">
        <v>41.870838428200521</v>
      </c>
      <c r="F1320">
        <v>1.0854132561621819E-2</v>
      </c>
      <c r="G1320">
        <v>0.4</v>
      </c>
      <c r="H1320">
        <v>-3.8879609323533897E-2</v>
      </c>
      <c r="I1320">
        <v>0.18148525985368</v>
      </c>
      <c r="J1320">
        <v>-4.2105030988773502E-2</v>
      </c>
      <c r="K1320">
        <v>-1.1471753084171589E-2</v>
      </c>
      <c r="L1320">
        <v>0</v>
      </c>
      <c r="M1320">
        <v>352436082.74000001</v>
      </c>
      <c r="N1320">
        <v>0</v>
      </c>
      <c r="O1320" t="b">
        <v>1</v>
      </c>
    </row>
    <row r="1321" spans="1:15" x14ac:dyDescent="0.3">
      <c r="A1321" s="1" t="s">
        <v>1422</v>
      </c>
      <c r="B1321">
        <v>10.781692046273511</v>
      </c>
      <c r="C1321">
        <v>2.088665642439657E-2</v>
      </c>
      <c r="D1321">
        <v>1.8113134444013992E-2</v>
      </c>
      <c r="E1321">
        <v>52.622918351637743</v>
      </c>
      <c r="F1321">
        <v>-7.5939632798229786E-3</v>
      </c>
      <c r="G1321">
        <v>0.6</v>
      </c>
      <c r="H1321">
        <v>-0.16643084201001621</v>
      </c>
      <c r="I1321">
        <v>0.75010645704073298</v>
      </c>
      <c r="J1321">
        <v>-1.1679111621673229E-2</v>
      </c>
      <c r="K1321">
        <v>6.3555191640347619E-3</v>
      </c>
      <c r="L1321">
        <v>0</v>
      </c>
      <c r="M1321">
        <v>149448933.5</v>
      </c>
      <c r="N1321">
        <v>0</v>
      </c>
      <c r="O1321" t="b">
        <v>1</v>
      </c>
    </row>
    <row r="1322" spans="1:15" x14ac:dyDescent="0.3">
      <c r="A1322" s="1" t="s">
        <v>1423</v>
      </c>
      <c r="B1322">
        <v>5.471535134574987</v>
      </c>
      <c r="C1322">
        <v>3.383129372766331E-2</v>
      </c>
      <c r="D1322">
        <v>2.6773016756322349E-2</v>
      </c>
      <c r="E1322">
        <v>60.639308669154467</v>
      </c>
      <c r="F1322">
        <v>1.6338842455853712E-2</v>
      </c>
      <c r="G1322">
        <v>0.8</v>
      </c>
      <c r="H1322">
        <v>-8.3432216730549638E-2</v>
      </c>
      <c r="I1322">
        <v>1.037890700455455</v>
      </c>
      <c r="J1322">
        <v>0</v>
      </c>
      <c r="K1322">
        <v>1.9825289635091452E-3</v>
      </c>
      <c r="L1322">
        <v>0</v>
      </c>
      <c r="M1322">
        <v>438977012.5</v>
      </c>
      <c r="N1322">
        <v>0</v>
      </c>
      <c r="O1322" t="b">
        <v>1</v>
      </c>
    </row>
    <row r="1323" spans="1:15" x14ac:dyDescent="0.3">
      <c r="A1323" s="1" t="s">
        <v>1424</v>
      </c>
      <c r="B1323">
        <v>2.1328218055467878</v>
      </c>
      <c r="C1323">
        <v>3.5109160347644101E-2</v>
      </c>
      <c r="D1323">
        <v>4.0276024185038922E-2</v>
      </c>
      <c r="E1323">
        <v>48.490261464349253</v>
      </c>
      <c r="F1323">
        <v>6.0078002984006673E-2</v>
      </c>
      <c r="G1323">
        <v>0.2</v>
      </c>
      <c r="H1323">
        <v>7.1257384396902851E-2</v>
      </c>
      <c r="I1323">
        <v>1.1137770716098581</v>
      </c>
      <c r="J1323">
        <v>-7.6233054294686076E-2</v>
      </c>
      <c r="K1323">
        <v>3.4172043376857753E-2</v>
      </c>
      <c r="L1323">
        <v>0</v>
      </c>
      <c r="M1323">
        <v>102376358.3185</v>
      </c>
      <c r="N1323">
        <v>0</v>
      </c>
      <c r="O1323" t="b">
        <v>1</v>
      </c>
    </row>
    <row r="1324" spans="1:15" x14ac:dyDescent="0.3">
      <c r="A1324" s="1" t="s">
        <v>1425</v>
      </c>
      <c r="B1324">
        <v>1.49076411362751</v>
      </c>
      <c r="C1324">
        <v>3.4082398574017139E-2</v>
      </c>
      <c r="D1324">
        <v>3.8180155464106122E-2</v>
      </c>
      <c r="E1324">
        <v>54.844682993971183</v>
      </c>
      <c r="F1324">
        <v>3.3065658951346277E-2</v>
      </c>
      <c r="G1324">
        <v>0.6</v>
      </c>
      <c r="H1324">
        <v>1.5499734728860289E-2</v>
      </c>
      <c r="I1324">
        <v>1.951778031242174</v>
      </c>
      <c r="J1324">
        <v>-2.9509651652984251E-2</v>
      </c>
      <c r="K1324">
        <v>-2.2132796780684031E-2</v>
      </c>
      <c r="L1324">
        <v>0</v>
      </c>
      <c r="M1324">
        <v>134373928</v>
      </c>
      <c r="N1324">
        <v>0</v>
      </c>
      <c r="O1324" t="b">
        <v>1</v>
      </c>
    </row>
    <row r="1325" spans="1:15" x14ac:dyDescent="0.3">
      <c r="A1325" s="1" t="s">
        <v>1426</v>
      </c>
      <c r="B1325">
        <v>6.5963417390422787</v>
      </c>
      <c r="C1325">
        <v>5.0415329708363488E-2</v>
      </c>
      <c r="D1325">
        <v>5.0290431060837762E-2</v>
      </c>
      <c r="E1325">
        <v>61.876242341606932</v>
      </c>
      <c r="F1325">
        <v>-3.8213152967259127E-5</v>
      </c>
      <c r="G1325">
        <v>1</v>
      </c>
      <c r="H1325">
        <v>0.1138885643675883</v>
      </c>
      <c r="I1325">
        <v>4.527937247212245</v>
      </c>
      <c r="J1325">
        <v>0</v>
      </c>
      <c r="K1325">
        <v>1.5822735671806362E-2</v>
      </c>
      <c r="L1325">
        <v>0</v>
      </c>
      <c r="M1325">
        <v>117909724.89375</v>
      </c>
      <c r="N1325">
        <v>0</v>
      </c>
      <c r="O1325" t="b">
        <v>1</v>
      </c>
    </row>
    <row r="1326" spans="1:15" x14ac:dyDescent="0.3">
      <c r="A1326" s="1" t="s">
        <v>1427</v>
      </c>
      <c r="B1326">
        <v>7.8351494934346344E-2</v>
      </c>
      <c r="C1326">
        <v>1.9479034627604839E-2</v>
      </c>
      <c r="D1326">
        <v>9.5242830683556889E-3</v>
      </c>
      <c r="E1326">
        <v>40.992566440507012</v>
      </c>
      <c r="F1326">
        <v>2.9413270137328421E-2</v>
      </c>
      <c r="G1326">
        <v>0.8</v>
      </c>
      <c r="H1326">
        <v>-0.20662361662519221</v>
      </c>
      <c r="I1326">
        <v>0.49212417704389011</v>
      </c>
      <c r="J1326">
        <v>-2.0978255049238781E-2</v>
      </c>
      <c r="K1326">
        <v>4.7861830190423227E-3</v>
      </c>
      <c r="L1326">
        <v>0</v>
      </c>
      <c r="M1326">
        <v>2984415.3300200002</v>
      </c>
      <c r="N1326">
        <v>0</v>
      </c>
      <c r="O1326" t="b">
        <v>0</v>
      </c>
    </row>
    <row r="1327" spans="1:15" x14ac:dyDescent="0.3">
      <c r="A1327" s="1" t="s">
        <v>1428</v>
      </c>
      <c r="B1327">
        <v>5.7763340349086949</v>
      </c>
      <c r="C1327">
        <v>2.3733417294927749E-2</v>
      </c>
      <c r="D1327">
        <v>3.6087006541103722E-2</v>
      </c>
      <c r="E1327">
        <v>65.013324235435761</v>
      </c>
      <c r="F1327">
        <v>-1.465164390715901E-2</v>
      </c>
      <c r="G1327">
        <v>0.8</v>
      </c>
      <c r="H1327">
        <v>0.12569903125857279</v>
      </c>
      <c r="I1327">
        <v>1.563335774204516</v>
      </c>
      <c r="J1327">
        <v>-1.2260303159432721E-2</v>
      </c>
      <c r="K1327">
        <v>3.3574261714470088E-2</v>
      </c>
      <c r="L1327">
        <v>0</v>
      </c>
      <c r="M1327">
        <v>288656781.89099997</v>
      </c>
      <c r="N1327">
        <v>0</v>
      </c>
      <c r="O1327" t="b">
        <v>1</v>
      </c>
    </row>
    <row r="1328" spans="1:15" x14ac:dyDescent="0.3">
      <c r="A1328" s="1" t="s">
        <v>1429</v>
      </c>
      <c r="B1328">
        <v>4.0122010464717084</v>
      </c>
      <c r="C1328">
        <v>5.344613089745183E-2</v>
      </c>
      <c r="D1328">
        <v>4.422538963633952E-2</v>
      </c>
      <c r="E1328">
        <v>47.483869800676771</v>
      </c>
      <c r="F1328">
        <v>4.5834494288102379E-2</v>
      </c>
      <c r="G1328">
        <v>0.6</v>
      </c>
      <c r="H1328">
        <v>-7.880402281676481E-2</v>
      </c>
      <c r="I1328">
        <v>2.744594187295903</v>
      </c>
      <c r="J1328">
        <v>-3.6699602207109112E-2</v>
      </c>
      <c r="K1328">
        <v>-1.0674749604638991E-2</v>
      </c>
      <c r="L1328">
        <v>0</v>
      </c>
      <c r="M1328">
        <v>550091812.5</v>
      </c>
      <c r="N1328">
        <v>0</v>
      </c>
      <c r="O1328" t="b">
        <v>1</v>
      </c>
    </row>
    <row r="1329" spans="1:15" x14ac:dyDescent="0.3">
      <c r="A1329" s="1" t="s">
        <v>1430</v>
      </c>
      <c r="B1329">
        <v>7.5360243939891118</v>
      </c>
      <c r="C1329">
        <v>3.6954882402790788E-2</v>
      </c>
      <c r="D1329">
        <v>2.8770381267622849E-2</v>
      </c>
      <c r="E1329">
        <v>70.165200953037598</v>
      </c>
      <c r="F1329">
        <v>0.109107818822608</v>
      </c>
      <c r="G1329">
        <v>0.8</v>
      </c>
      <c r="H1329">
        <v>0.23591282304591599</v>
      </c>
      <c r="I1329">
        <v>2.939660628721009</v>
      </c>
      <c r="J1329">
        <v>0</v>
      </c>
      <c r="K1329">
        <v>2.0206517715097631E-2</v>
      </c>
      <c r="L1329">
        <v>0</v>
      </c>
      <c r="M1329">
        <v>335740417.50679988</v>
      </c>
      <c r="N1329">
        <v>0</v>
      </c>
      <c r="O1329" t="b">
        <v>1</v>
      </c>
    </row>
    <row r="1330" spans="1:15" x14ac:dyDescent="0.3">
      <c r="A1330" s="1" t="s">
        <v>1431</v>
      </c>
      <c r="B1330">
        <v>0.80970093424037193</v>
      </c>
      <c r="C1330">
        <v>2.717117228994537E-2</v>
      </c>
      <c r="D1330">
        <v>4.1610738255033621E-2</v>
      </c>
      <c r="E1330">
        <v>83.266769531810752</v>
      </c>
      <c r="F1330">
        <v>0.2283594394064303</v>
      </c>
      <c r="G1330">
        <v>0.8</v>
      </c>
      <c r="H1330">
        <v>0.19332905027772021</v>
      </c>
      <c r="I1330">
        <v>0.93511871300082194</v>
      </c>
      <c r="J1330">
        <v>0</v>
      </c>
      <c r="K1330">
        <v>4.3417366946778779E-2</v>
      </c>
      <c r="L1330">
        <v>0</v>
      </c>
      <c r="M1330">
        <v>187795109</v>
      </c>
      <c r="N1330">
        <v>0</v>
      </c>
      <c r="O1330" t="b">
        <v>1</v>
      </c>
    </row>
    <row r="1331" spans="1:15" x14ac:dyDescent="0.3">
      <c r="A1331" s="1" t="s">
        <v>1432</v>
      </c>
      <c r="B1331">
        <v>0.8655153273226861</v>
      </c>
      <c r="C1331">
        <v>1.7640141920075288E-2</v>
      </c>
      <c r="D1331">
        <v>3.4706950561600801E-2</v>
      </c>
      <c r="E1331">
        <v>80.731246355459106</v>
      </c>
      <c r="F1331">
        <v>0.1111511198677448</v>
      </c>
      <c r="G1331">
        <v>0.8</v>
      </c>
      <c r="H1331">
        <v>7.2659540593840583E-2</v>
      </c>
      <c r="I1331">
        <v>0.89809327858605015</v>
      </c>
      <c r="J1331">
        <v>0</v>
      </c>
      <c r="K1331">
        <v>3.4225381207131367E-2</v>
      </c>
      <c r="L1331">
        <v>0</v>
      </c>
      <c r="M1331">
        <v>326084742.01859999</v>
      </c>
      <c r="N1331">
        <v>0</v>
      </c>
      <c r="O1331" t="b">
        <v>1</v>
      </c>
    </row>
    <row r="1332" spans="1:15" x14ac:dyDescent="0.3">
      <c r="A1332" s="1" t="s">
        <v>1433</v>
      </c>
      <c r="B1332">
        <v>2.8252001302059511</v>
      </c>
      <c r="C1332">
        <v>2.7944610585617709E-2</v>
      </c>
      <c r="D1332">
        <v>3.6399604352126538E-2</v>
      </c>
      <c r="E1332">
        <v>71.911836735069784</v>
      </c>
      <c r="F1332">
        <v>0.18689833294200511</v>
      </c>
      <c r="G1332">
        <v>0.8</v>
      </c>
      <c r="H1332">
        <v>2.2964711100455618E-2</v>
      </c>
      <c r="I1332">
        <v>0.97990247589176294</v>
      </c>
      <c r="J1332">
        <v>0</v>
      </c>
      <c r="K1332">
        <v>2.4212339175362141E-2</v>
      </c>
      <c r="L1332">
        <v>0</v>
      </c>
      <c r="M1332">
        <v>29049752.159499999</v>
      </c>
      <c r="N1332">
        <v>0</v>
      </c>
      <c r="O1332" t="b">
        <v>0</v>
      </c>
    </row>
    <row r="1333" spans="1:15" x14ac:dyDescent="0.3">
      <c r="A1333" s="1" t="s">
        <v>1434</v>
      </c>
      <c r="B1333">
        <v>1.433524488087101E-2</v>
      </c>
      <c r="C1333">
        <v>2.8564230823080157E-4</v>
      </c>
      <c r="D1333">
        <v>1.9925875742234911E-4</v>
      </c>
      <c r="E1333">
        <v>98.392104681897962</v>
      </c>
      <c r="F1333">
        <v>3.390887788805363E-3</v>
      </c>
      <c r="G1333">
        <v>0.2</v>
      </c>
      <c r="H1333">
        <v>-8.1623837159630244E-2</v>
      </c>
      <c r="I1333">
        <v>4.7247105670462702E-4</v>
      </c>
      <c r="J1333">
        <v>0</v>
      </c>
      <c r="K1333">
        <v>0</v>
      </c>
      <c r="L1333">
        <v>0</v>
      </c>
      <c r="M1333">
        <v>75287890.569649994</v>
      </c>
      <c r="N1333">
        <v>0</v>
      </c>
      <c r="O1333" t="b">
        <v>0</v>
      </c>
    </row>
    <row r="1334" spans="1:15" x14ac:dyDescent="0.3">
      <c r="A1334" s="1" t="s">
        <v>1435</v>
      </c>
      <c r="B1334">
        <v>1.18247871739976</v>
      </c>
      <c r="C1334">
        <v>3.4715277269223972E-2</v>
      </c>
      <c r="D1334">
        <v>4.3391207849170103E-2</v>
      </c>
      <c r="E1334">
        <v>65.704332855954547</v>
      </c>
      <c r="F1334">
        <v>0.14694107070101639</v>
      </c>
      <c r="G1334">
        <v>0.6</v>
      </c>
      <c r="H1334">
        <v>8.6534421428379235E-2</v>
      </c>
      <c r="I1334">
        <v>1.010169078062805</v>
      </c>
      <c r="J1334">
        <v>0</v>
      </c>
      <c r="K1334">
        <v>1.9731701548658439E-2</v>
      </c>
      <c r="L1334">
        <v>0</v>
      </c>
      <c r="M1334">
        <v>9704477.9945500009</v>
      </c>
      <c r="N1334">
        <v>0</v>
      </c>
      <c r="O1334" t="b">
        <v>0</v>
      </c>
    </row>
    <row r="1335" spans="1:15" x14ac:dyDescent="0.3">
      <c r="A1335" s="1" t="s">
        <v>1436</v>
      </c>
      <c r="B1335">
        <v>2.5184991679261972</v>
      </c>
      <c r="C1335">
        <v>2.6887680963987439E-2</v>
      </c>
      <c r="D1335">
        <v>2.5998372966474941E-2</v>
      </c>
      <c r="E1335">
        <v>62.043731188582463</v>
      </c>
      <c r="F1335">
        <v>5.6020113079702671E-2</v>
      </c>
      <c r="G1335">
        <v>1</v>
      </c>
      <c r="H1335">
        <v>6.661433451772945E-3</v>
      </c>
      <c r="I1335">
        <v>1.077876558591716</v>
      </c>
      <c r="J1335">
        <v>0</v>
      </c>
      <c r="K1335">
        <v>1.06822159447717E-2</v>
      </c>
      <c r="L1335">
        <v>0</v>
      </c>
      <c r="M1335">
        <v>653008142.03885007</v>
      </c>
      <c r="N1335">
        <v>0</v>
      </c>
      <c r="O1335" t="b">
        <v>1</v>
      </c>
    </row>
    <row r="1336" spans="1:15" x14ac:dyDescent="0.3">
      <c r="A1336" s="1" t="s">
        <v>1437</v>
      </c>
      <c r="B1336">
        <v>7.1348249734719946</v>
      </c>
      <c r="C1336">
        <v>3.6131184349379633E-2</v>
      </c>
      <c r="D1336">
        <v>4.4816934217855847E-2</v>
      </c>
      <c r="E1336">
        <v>42.000748606871603</v>
      </c>
      <c r="F1336">
        <v>1.433121019108285E-2</v>
      </c>
      <c r="G1336">
        <v>0.2</v>
      </c>
      <c r="H1336">
        <v>-6.4559938566351076E-3</v>
      </c>
      <c r="I1336">
        <v>0.89751541129407286</v>
      </c>
      <c r="J1336">
        <v>-9.6081662546919411E-2</v>
      </c>
      <c r="K1336">
        <v>-2.2425742574257449E-2</v>
      </c>
      <c r="L1336">
        <v>0</v>
      </c>
      <c r="M1336">
        <v>188731813</v>
      </c>
      <c r="N1336">
        <v>0</v>
      </c>
      <c r="O1336" t="b">
        <v>1</v>
      </c>
    </row>
    <row r="1337" spans="1:15" x14ac:dyDescent="0.3">
      <c r="A1337" s="1" t="s">
        <v>1438</v>
      </c>
      <c r="B1337">
        <v>3.3371950449683121</v>
      </c>
      <c r="C1337">
        <v>1.8551206258057999E-2</v>
      </c>
      <c r="D1337">
        <v>1.7254893240907069E-2</v>
      </c>
      <c r="E1337">
        <v>51.964218945775492</v>
      </c>
      <c r="F1337">
        <v>-3.7437627030411091E-3</v>
      </c>
      <c r="G1337">
        <v>0.6</v>
      </c>
      <c r="H1337">
        <v>-5.3615272375471743E-2</v>
      </c>
      <c r="I1337">
        <v>2.0244102825243918E-2</v>
      </c>
      <c r="J1337">
        <v>-2.737963288367451E-2</v>
      </c>
      <c r="K1337">
        <v>1.039654010334745E-2</v>
      </c>
      <c r="L1337">
        <v>0</v>
      </c>
      <c r="M1337">
        <v>36436493.755500004</v>
      </c>
      <c r="N1337">
        <v>0</v>
      </c>
      <c r="O1337" t="b">
        <v>0</v>
      </c>
    </row>
    <row r="1338" spans="1:15" x14ac:dyDescent="0.3">
      <c r="A1338" s="1" t="s">
        <v>1439</v>
      </c>
      <c r="B1338">
        <v>0.43330677035944137</v>
      </c>
      <c r="C1338">
        <v>1.11482196151941E-2</v>
      </c>
      <c r="D1338">
        <v>9.491146913383406E-3</v>
      </c>
      <c r="E1338">
        <v>59.808325825330478</v>
      </c>
      <c r="F1338">
        <v>4.3904191183501418E-3</v>
      </c>
      <c r="G1338">
        <v>0.6</v>
      </c>
      <c r="H1338">
        <v>-9.7423975606153915E-2</v>
      </c>
      <c r="I1338">
        <v>1.038293323436988</v>
      </c>
      <c r="J1338">
        <v>0</v>
      </c>
      <c r="K1338">
        <v>3.612382804128345E-3</v>
      </c>
      <c r="L1338">
        <v>7.9365079365079361E-3</v>
      </c>
      <c r="M1338">
        <v>24858322.651700001</v>
      </c>
      <c r="N1338">
        <v>0</v>
      </c>
      <c r="O1338" t="b">
        <v>0</v>
      </c>
    </row>
    <row r="1339" spans="1:15" x14ac:dyDescent="0.3">
      <c r="A1339" s="1" t="s">
        <v>1440</v>
      </c>
      <c r="B1339">
        <v>1.5464061866950569</v>
      </c>
      <c r="C1339">
        <v>3.1306810918774637E-2</v>
      </c>
      <c r="D1339">
        <v>2.752899067115833E-2</v>
      </c>
      <c r="E1339">
        <v>46.231389051785897</v>
      </c>
      <c r="F1339">
        <v>2.6833304229966659E-2</v>
      </c>
      <c r="G1339">
        <v>0.4</v>
      </c>
      <c r="H1339">
        <v>4.7028645348502242E-2</v>
      </c>
      <c r="I1339">
        <v>5.2322311205003622E-2</v>
      </c>
      <c r="J1339">
        <v>-0.10641723515992881</v>
      </c>
      <c r="K1339">
        <v>-1.9559116008939888E-2</v>
      </c>
      <c r="L1339">
        <v>0</v>
      </c>
      <c r="M1339">
        <v>29201848.884300001</v>
      </c>
      <c r="N1339">
        <v>0</v>
      </c>
      <c r="O1339" t="b">
        <v>0</v>
      </c>
    </row>
    <row r="1340" spans="1:15" x14ac:dyDescent="0.3">
      <c r="A1340" s="1" t="s">
        <v>1441</v>
      </c>
      <c r="B1340">
        <v>0.54526156603663456</v>
      </c>
      <c r="C1340">
        <v>2.523190958059392E-2</v>
      </c>
      <c r="D1340">
        <v>1.5733456732993981E-2</v>
      </c>
      <c r="E1340">
        <v>40.517516806288903</v>
      </c>
      <c r="F1340">
        <v>-6.2472885032538013E-2</v>
      </c>
      <c r="G1340">
        <v>0.6</v>
      </c>
      <c r="H1340">
        <v>-8.8981477041018241E-3</v>
      </c>
      <c r="I1340">
        <v>0.90247586425487492</v>
      </c>
      <c r="J1340">
        <v>-9.0870845603702177E-2</v>
      </c>
      <c r="K1340">
        <v>3.7157454714351612E-3</v>
      </c>
      <c r="L1340">
        <v>0</v>
      </c>
      <c r="M1340">
        <v>7107804</v>
      </c>
      <c r="N1340">
        <v>0</v>
      </c>
      <c r="O1340" t="b">
        <v>0</v>
      </c>
    </row>
    <row r="1341" spans="1:15" x14ac:dyDescent="0.3">
      <c r="A1341" s="1" t="s">
        <v>1442</v>
      </c>
      <c r="B1341">
        <v>0.28276605032287783</v>
      </c>
      <c r="C1341">
        <v>2.5680790707566922E-3</v>
      </c>
      <c r="D1341">
        <v>4.0778145093907621E-3</v>
      </c>
      <c r="E1341">
        <v>47.075978905418623</v>
      </c>
      <c r="F1341">
        <v>-1.3513881204821889E-3</v>
      </c>
      <c r="G1341">
        <v>0.2</v>
      </c>
      <c r="H1341">
        <v>-0.1072517203421114</v>
      </c>
      <c r="I1341">
        <v>-2.1827859810640269E-3</v>
      </c>
      <c r="J1341">
        <v>-6.6310006044585368E-3</v>
      </c>
      <c r="K1341">
        <v>3.2711004200494109E-3</v>
      </c>
      <c r="L1341">
        <v>0</v>
      </c>
      <c r="M1341">
        <v>261197263.61300001</v>
      </c>
      <c r="N1341">
        <v>0</v>
      </c>
      <c r="O1341" t="b">
        <v>1</v>
      </c>
    </row>
    <row r="1342" spans="1:15" x14ac:dyDescent="0.3">
      <c r="A1342" s="1" t="s">
        <v>1443</v>
      </c>
      <c r="B1342">
        <v>2.4498538768404901</v>
      </c>
      <c r="C1342">
        <v>1.578198862882085E-2</v>
      </c>
      <c r="D1342">
        <v>1.7470737159459061E-2</v>
      </c>
      <c r="E1342">
        <v>70.646862465949724</v>
      </c>
      <c r="F1342">
        <v>6.4064160126126701E-2</v>
      </c>
      <c r="G1342">
        <v>0.8</v>
      </c>
      <c r="H1342">
        <v>7.4168795666344683E-2</v>
      </c>
      <c r="I1342">
        <v>7.0865467027585269E-2</v>
      </c>
      <c r="J1342">
        <v>0</v>
      </c>
      <c r="K1342">
        <v>1.29464198320357E-2</v>
      </c>
      <c r="L1342">
        <v>0</v>
      </c>
      <c r="M1342">
        <v>630207825.01349998</v>
      </c>
      <c r="N1342">
        <v>0</v>
      </c>
      <c r="O1342" t="b">
        <v>1</v>
      </c>
    </row>
    <row r="1343" spans="1:15" x14ac:dyDescent="0.3">
      <c r="A1343" s="1" t="s">
        <v>1444</v>
      </c>
      <c r="B1343">
        <v>5.4870869659447479</v>
      </c>
      <c r="C1343">
        <v>2.7966376487335812E-2</v>
      </c>
      <c r="D1343">
        <v>5.1130716655708681E-2</v>
      </c>
      <c r="E1343">
        <v>58.201905433779032</v>
      </c>
      <c r="F1343">
        <v>9.918262847410908E-2</v>
      </c>
      <c r="G1343">
        <v>0.6</v>
      </c>
      <c r="H1343">
        <v>-6.1165568064729621E-2</v>
      </c>
      <c r="I1343">
        <v>0.57382171865352327</v>
      </c>
      <c r="J1343">
        <v>-3.3754069054501852E-2</v>
      </c>
      <c r="K1343">
        <v>-8.6061149247351754E-4</v>
      </c>
      <c r="L1343">
        <v>0</v>
      </c>
      <c r="M1343">
        <v>168655889.9605</v>
      </c>
      <c r="N1343">
        <v>0</v>
      </c>
      <c r="O1343" t="b">
        <v>1</v>
      </c>
    </row>
    <row r="1344" spans="1:15" x14ac:dyDescent="0.3">
      <c r="A1344" s="1" t="s">
        <v>1445</v>
      </c>
      <c r="B1344">
        <v>0.56618597545310878</v>
      </c>
      <c r="C1344">
        <v>5.5785167148118004E-3</v>
      </c>
      <c r="D1344">
        <v>5.6752123278224096E-3</v>
      </c>
      <c r="E1344">
        <v>43.545746707686341</v>
      </c>
      <c r="F1344">
        <v>-5.321599027803714E-3</v>
      </c>
      <c r="G1344">
        <v>0.4</v>
      </c>
      <c r="H1344">
        <v>-9.3596952873667358E-2</v>
      </c>
      <c r="I1344">
        <v>-9.2934282764210188E-2</v>
      </c>
      <c r="J1344">
        <v>-1.8176893386087301E-2</v>
      </c>
      <c r="K1344">
        <v>3.6390245831932071E-3</v>
      </c>
      <c r="L1344">
        <v>0</v>
      </c>
      <c r="M1344">
        <v>121346326.5255</v>
      </c>
      <c r="N1344">
        <v>0</v>
      </c>
      <c r="O1344" t="b">
        <v>1</v>
      </c>
    </row>
    <row r="1345" spans="1:15" x14ac:dyDescent="0.3">
      <c r="A1345" s="1" t="s">
        <v>1446</v>
      </c>
      <c r="B1345">
        <v>0.48028719366140049</v>
      </c>
      <c r="C1345">
        <v>2.187100153285066E-2</v>
      </c>
      <c r="D1345">
        <v>2.3224043715846899E-2</v>
      </c>
      <c r="E1345">
        <v>58.905483192159167</v>
      </c>
      <c r="F1345">
        <v>6.0357315306615263E-2</v>
      </c>
      <c r="G1345">
        <v>0.4</v>
      </c>
      <c r="H1345">
        <v>8.2289693265029135E-2</v>
      </c>
      <c r="I1345">
        <v>0.69687155030792991</v>
      </c>
      <c r="J1345">
        <v>-1.7889087656529409E-2</v>
      </c>
      <c r="K1345">
        <v>2.2346368715083779E-2</v>
      </c>
      <c r="L1345">
        <v>0</v>
      </c>
      <c r="M1345">
        <v>8785843.9243999999</v>
      </c>
      <c r="N1345">
        <v>0</v>
      </c>
      <c r="O1345" t="b">
        <v>0</v>
      </c>
    </row>
    <row r="1346" spans="1:15" x14ac:dyDescent="0.3">
      <c r="A1346" s="1" t="s">
        <v>1447</v>
      </c>
      <c r="B1346">
        <v>18.082865390933929</v>
      </c>
      <c r="C1346">
        <v>5.0440349765506071E-2</v>
      </c>
      <c r="D1346">
        <v>4.9093444909344551E-2</v>
      </c>
      <c r="E1346">
        <v>42.543682440728169</v>
      </c>
      <c r="F1346">
        <v>-8.9246246475116253E-2</v>
      </c>
      <c r="G1346">
        <v>0.4</v>
      </c>
      <c r="H1346">
        <v>-9.0094957251139307E-2</v>
      </c>
      <c r="I1346">
        <v>2.1180314437073702</v>
      </c>
      <c r="J1346">
        <v>-9.0724630329469647E-2</v>
      </c>
      <c r="K1346">
        <v>2.904873988173828E-2</v>
      </c>
      <c r="L1346">
        <v>0</v>
      </c>
      <c r="M1346">
        <v>263275315.5</v>
      </c>
      <c r="N1346">
        <v>0</v>
      </c>
      <c r="O1346" t="b">
        <v>1</v>
      </c>
    </row>
    <row r="1347" spans="1:15" x14ac:dyDescent="0.3">
      <c r="A1347" s="1" t="s">
        <v>1448</v>
      </c>
      <c r="B1347">
        <v>0.61252032981281757</v>
      </c>
      <c r="C1347">
        <v>6.986172170213063E-3</v>
      </c>
      <c r="D1347">
        <v>7.4741006956286953E-3</v>
      </c>
      <c r="E1347">
        <v>42.693844798443713</v>
      </c>
      <c r="F1347">
        <v>-1.032499988712143E-2</v>
      </c>
      <c r="G1347">
        <v>0.4</v>
      </c>
      <c r="H1347">
        <v>-9.6454055816322604E-2</v>
      </c>
      <c r="I1347">
        <v>-0.1111269265780727</v>
      </c>
      <c r="J1347">
        <v>-2.2227253059021401E-2</v>
      </c>
      <c r="K1347">
        <v>3.8654201755241591E-3</v>
      </c>
      <c r="L1347">
        <v>0</v>
      </c>
      <c r="M1347">
        <v>2900105397.21</v>
      </c>
      <c r="N1347">
        <v>0</v>
      </c>
      <c r="O1347" t="b">
        <v>1</v>
      </c>
    </row>
    <row r="1348" spans="1:15" x14ac:dyDescent="0.3">
      <c r="A1348" s="1" t="s">
        <v>1449</v>
      </c>
      <c r="B1348">
        <v>3.4153781263847409</v>
      </c>
      <c r="C1348">
        <v>1.7010549488916931E-2</v>
      </c>
      <c r="D1348">
        <v>2.2711425440780961E-2</v>
      </c>
      <c r="E1348">
        <v>52.64775900742297</v>
      </c>
      <c r="F1348">
        <v>-1.5494753358830989E-2</v>
      </c>
      <c r="G1348">
        <v>0.6</v>
      </c>
      <c r="H1348">
        <v>-3.3835950855363922E-2</v>
      </c>
      <c r="I1348">
        <v>0.97297869939202852</v>
      </c>
      <c r="J1348">
        <v>-3.1405277630372819E-2</v>
      </c>
      <c r="K1348">
        <v>2.2613833146582382E-2</v>
      </c>
      <c r="L1348">
        <v>0</v>
      </c>
      <c r="M1348">
        <v>64271007.5</v>
      </c>
      <c r="N1348">
        <v>0</v>
      </c>
      <c r="O1348" t="b">
        <v>0</v>
      </c>
    </row>
    <row r="1349" spans="1:15" x14ac:dyDescent="0.3">
      <c r="A1349" s="1" t="s">
        <v>1450</v>
      </c>
      <c r="B1349">
        <v>0.57703615843289613</v>
      </c>
      <c r="C1349">
        <v>3.1792625808975003E-2</v>
      </c>
      <c r="D1349">
        <v>1.4269972451790651E-2</v>
      </c>
      <c r="E1349">
        <v>34.391796152829308</v>
      </c>
      <c r="F1349">
        <v>-0.1577726218097448</v>
      </c>
      <c r="G1349">
        <v>0.4</v>
      </c>
      <c r="H1349">
        <v>-0.28159330855779541</v>
      </c>
      <c r="I1349">
        <v>1.3843555725599059</v>
      </c>
      <c r="J1349">
        <v>-0.1253012048192772</v>
      </c>
      <c r="K1349">
        <v>-1.25136017410229E-2</v>
      </c>
      <c r="L1349">
        <v>0</v>
      </c>
      <c r="M1349">
        <v>97791720.397200003</v>
      </c>
      <c r="N1349">
        <v>0</v>
      </c>
      <c r="O1349" t="b">
        <v>1</v>
      </c>
    </row>
    <row r="1350" spans="1:15" x14ac:dyDescent="0.3">
      <c r="A1350" s="1" t="s">
        <v>1451</v>
      </c>
      <c r="B1350">
        <v>0.81512307489601799</v>
      </c>
      <c r="C1350">
        <v>2.115537836186113E-2</v>
      </c>
      <c r="D1350">
        <v>2.1793238049015989E-2</v>
      </c>
      <c r="E1350">
        <v>40.153055966093333</v>
      </c>
      <c r="F1350">
        <v>-4.0589735162000477E-2</v>
      </c>
      <c r="G1350">
        <v>0.4</v>
      </c>
      <c r="H1350">
        <v>-9.5093561414832731E-2</v>
      </c>
      <c r="I1350">
        <v>-0.32739020567210703</v>
      </c>
      <c r="J1350">
        <v>-7.0322452997722329E-2</v>
      </c>
      <c r="K1350">
        <v>1.062551803006939E-2</v>
      </c>
      <c r="L1350">
        <v>0</v>
      </c>
      <c r="M1350">
        <v>276465354.41885</v>
      </c>
      <c r="N1350">
        <v>0</v>
      </c>
      <c r="O1350" t="b">
        <v>1</v>
      </c>
    </row>
    <row r="1351" spans="1:15" x14ac:dyDescent="0.3">
      <c r="A1351" s="1" t="s">
        <v>1452</v>
      </c>
      <c r="B1351">
        <v>12.660991960334851</v>
      </c>
      <c r="C1351">
        <v>2.208136670567783E-2</v>
      </c>
      <c r="D1351">
        <v>1.9971083698565911E-2</v>
      </c>
      <c r="E1351">
        <v>51.158081285212717</v>
      </c>
      <c r="F1351">
        <v>-4.4068850198900611E-3</v>
      </c>
      <c r="G1351">
        <v>0.2</v>
      </c>
      <c r="H1351">
        <v>0.10292782886590091</v>
      </c>
      <c r="I1351">
        <v>0.53509323942331011</v>
      </c>
      <c r="J1351">
        <v>-4.0098370919975701E-2</v>
      </c>
      <c r="K1351">
        <v>1.9074126406076971E-2</v>
      </c>
      <c r="L1351">
        <v>0</v>
      </c>
      <c r="M1351">
        <v>1050616009.3049999</v>
      </c>
      <c r="N1351">
        <v>0</v>
      </c>
      <c r="O1351" t="b">
        <v>1</v>
      </c>
    </row>
    <row r="1352" spans="1:15" x14ac:dyDescent="0.3">
      <c r="A1352" s="1" t="s">
        <v>1453</v>
      </c>
      <c r="B1352">
        <v>4.7729975577603341</v>
      </c>
      <c r="C1352">
        <v>2.4554351198705329E-2</v>
      </c>
      <c r="D1352">
        <v>4.0090541965686691E-2</v>
      </c>
      <c r="E1352">
        <v>29.360709419380878</v>
      </c>
      <c r="F1352">
        <v>-4.6548129981606401E-2</v>
      </c>
      <c r="G1352">
        <v>0.2</v>
      </c>
      <c r="H1352">
        <v>-0.24439543570379249</v>
      </c>
      <c r="I1352">
        <v>-0.22781916700484009</v>
      </c>
      <c r="J1352">
        <v>-9.159945043133666E-2</v>
      </c>
      <c r="K1352">
        <v>-2.9947201900332399E-2</v>
      </c>
      <c r="L1352">
        <v>0</v>
      </c>
      <c r="M1352">
        <v>962191068.70000005</v>
      </c>
      <c r="N1352">
        <v>0</v>
      </c>
      <c r="O1352" t="b">
        <v>1</v>
      </c>
    </row>
    <row r="1353" spans="1:15" x14ac:dyDescent="0.3">
      <c r="A1353" s="1" t="s">
        <v>1454</v>
      </c>
      <c r="B1353">
        <v>4.2615761090379047</v>
      </c>
      <c r="C1353">
        <v>3.0795295041608169E-2</v>
      </c>
      <c r="D1353">
        <v>4.5366516360272807E-2</v>
      </c>
      <c r="E1353">
        <v>54.772666598546579</v>
      </c>
      <c r="F1353">
        <v>3.2701004462619698E-2</v>
      </c>
      <c r="G1353">
        <v>0.2</v>
      </c>
      <c r="H1353">
        <v>-8.3858227689953727E-2</v>
      </c>
      <c r="I1353">
        <v>0.8627019452563216</v>
      </c>
      <c r="J1353">
        <v>-2.8522889214936179E-2</v>
      </c>
      <c r="K1353">
        <v>4.2558481184314489E-2</v>
      </c>
      <c r="L1353">
        <v>0</v>
      </c>
      <c r="M1353">
        <v>175644099.76255</v>
      </c>
      <c r="N1353">
        <v>0</v>
      </c>
      <c r="O1353" t="b">
        <v>1</v>
      </c>
    </row>
    <row r="1354" spans="1:15" x14ac:dyDescent="0.3">
      <c r="A1354" s="1" t="s">
        <v>1455</v>
      </c>
      <c r="B1354">
        <v>1.411309076999459</v>
      </c>
      <c r="C1354">
        <v>3.9867488050832192E-2</v>
      </c>
      <c r="D1354">
        <v>3.1920903954802328E-2</v>
      </c>
      <c r="E1354">
        <v>50.873773956498212</v>
      </c>
      <c r="F1354">
        <v>-7.2812991094814095E-2</v>
      </c>
      <c r="G1354">
        <v>0.8</v>
      </c>
      <c r="H1354">
        <v>-0.1042682332273305</v>
      </c>
      <c r="I1354">
        <v>1.6338493146265141</v>
      </c>
      <c r="J1354">
        <v>-7.6682316118935945E-2</v>
      </c>
      <c r="K1354">
        <v>2.371312897628686E-2</v>
      </c>
      <c r="L1354">
        <v>0</v>
      </c>
      <c r="M1354">
        <v>255782249</v>
      </c>
      <c r="N1354">
        <v>0</v>
      </c>
      <c r="O1354" t="b">
        <v>1</v>
      </c>
    </row>
    <row r="1355" spans="1:15" x14ac:dyDescent="0.3">
      <c r="A1355" s="1" t="s">
        <v>1456</v>
      </c>
      <c r="B1355">
        <v>0.10025946033573439</v>
      </c>
      <c r="C1355">
        <v>2.509636101700994E-3</v>
      </c>
      <c r="D1355">
        <v>4.2127870477449729E-3</v>
      </c>
      <c r="E1355">
        <v>50.226152137639033</v>
      </c>
      <c r="F1355">
        <v>2.431441626581821E-3</v>
      </c>
      <c r="G1355">
        <v>0.2</v>
      </c>
      <c r="H1355">
        <v>-9.0234839216566345E-2</v>
      </c>
      <c r="I1355">
        <v>-1.6138918316100901E-2</v>
      </c>
      <c r="J1355">
        <v>-4.951604788211772E-3</v>
      </c>
      <c r="K1355">
        <v>2.733371987078792E-3</v>
      </c>
      <c r="L1355">
        <v>0</v>
      </c>
      <c r="M1355">
        <v>13118702.795</v>
      </c>
      <c r="N1355">
        <v>0</v>
      </c>
      <c r="O1355" t="b">
        <v>0</v>
      </c>
    </row>
    <row r="1356" spans="1:15" x14ac:dyDescent="0.3">
      <c r="A1356" s="1" t="s">
        <v>1457</v>
      </c>
      <c r="B1356">
        <v>2.0053576248291511</v>
      </c>
      <c r="C1356">
        <v>3.0060734712669891E-2</v>
      </c>
      <c r="D1356">
        <v>4.7447017097835102E-2</v>
      </c>
      <c r="E1356">
        <v>79.160704679258004</v>
      </c>
      <c r="F1356">
        <v>0.2365992233045702</v>
      </c>
      <c r="G1356">
        <v>0.8</v>
      </c>
      <c r="H1356">
        <v>4.6544931347259608E-2</v>
      </c>
      <c r="I1356">
        <v>1.283337305462803</v>
      </c>
      <c r="J1356">
        <v>0</v>
      </c>
      <c r="K1356">
        <v>3.1918053175099097E-2</v>
      </c>
      <c r="L1356">
        <v>0</v>
      </c>
      <c r="M1356">
        <v>80690823.161049992</v>
      </c>
      <c r="N1356">
        <v>0</v>
      </c>
      <c r="O1356" t="b">
        <v>0</v>
      </c>
    </row>
    <row r="1357" spans="1:15" x14ac:dyDescent="0.3">
      <c r="A1357" s="1" t="s">
        <v>1458</v>
      </c>
      <c r="B1357">
        <v>11.253255097228401</v>
      </c>
      <c r="C1357">
        <v>3.7869346807202851E-2</v>
      </c>
      <c r="D1357">
        <v>3.360142684075923E-2</v>
      </c>
      <c r="E1357">
        <v>46.220946039560808</v>
      </c>
      <c r="F1357">
        <v>-0.10031941143523219</v>
      </c>
      <c r="G1357">
        <v>0.6</v>
      </c>
      <c r="H1357">
        <v>-4.6886375195453599E-2</v>
      </c>
      <c r="I1357">
        <v>0.39095221408527009</v>
      </c>
      <c r="J1357">
        <v>-0.12564768745053151</v>
      </c>
      <c r="K1357">
        <v>1.3260772459602331E-2</v>
      </c>
      <c r="L1357">
        <v>0</v>
      </c>
      <c r="M1357">
        <v>137658129.405</v>
      </c>
      <c r="N1357">
        <v>1</v>
      </c>
      <c r="O1357" t="b">
        <v>1</v>
      </c>
    </row>
    <row r="1358" spans="1:15" x14ac:dyDescent="0.3">
      <c r="A1358" s="1" t="s">
        <v>1459</v>
      </c>
      <c r="B1358">
        <v>3.773237552902168</v>
      </c>
      <c r="C1358">
        <v>3.2135907276771861E-2</v>
      </c>
      <c r="D1358">
        <v>3.4825192692586111E-2</v>
      </c>
      <c r="E1358">
        <v>64.475476540775134</v>
      </c>
      <c r="F1358">
        <v>0.1136878847375959</v>
      </c>
      <c r="G1358">
        <v>0.8</v>
      </c>
      <c r="H1358">
        <v>5.1326013488367878E-2</v>
      </c>
      <c r="I1358">
        <v>1.5888630532251311</v>
      </c>
      <c r="J1358">
        <v>-4.0629718221453226E-3</v>
      </c>
      <c r="K1358">
        <v>-4.0629718221453226E-3</v>
      </c>
      <c r="L1358">
        <v>0</v>
      </c>
      <c r="M1358">
        <v>334220481.42049998</v>
      </c>
      <c r="N1358">
        <v>0</v>
      </c>
      <c r="O1358" t="b">
        <v>1</v>
      </c>
    </row>
    <row r="1359" spans="1:15" x14ac:dyDescent="0.3">
      <c r="A1359" s="1" t="s">
        <v>1460</v>
      </c>
      <c r="B1359">
        <v>2.3941820891560228</v>
      </c>
      <c r="C1359">
        <v>4.232890432620167E-2</v>
      </c>
      <c r="D1359">
        <v>3.8833904394162809E-2</v>
      </c>
      <c r="E1359">
        <v>59.042428663007911</v>
      </c>
      <c r="F1359">
        <v>5.2339830344305671E-3</v>
      </c>
      <c r="G1359">
        <v>0.6</v>
      </c>
      <c r="H1359">
        <v>9.9390064130537956E-2</v>
      </c>
      <c r="I1359">
        <v>4.0076710949652394</v>
      </c>
      <c r="J1359">
        <v>0</v>
      </c>
      <c r="K1359">
        <v>1.1426548216814551E-2</v>
      </c>
      <c r="L1359">
        <v>0</v>
      </c>
      <c r="M1359">
        <v>4964409266.1652002</v>
      </c>
      <c r="N1359">
        <v>0</v>
      </c>
      <c r="O1359" t="b">
        <v>1</v>
      </c>
    </row>
    <row r="1360" spans="1:15" x14ac:dyDescent="0.3">
      <c r="A1360" s="1" t="s">
        <v>1461</v>
      </c>
      <c r="B1360">
        <v>4.7767639854002093</v>
      </c>
      <c r="C1360">
        <v>2.6034248884893231E-2</v>
      </c>
      <c r="D1360">
        <v>2.4035317200784809E-2</v>
      </c>
      <c r="E1360">
        <v>68.3127060334578</v>
      </c>
      <c r="F1360">
        <v>8.260561718196846E-2</v>
      </c>
      <c r="G1360">
        <v>0.6</v>
      </c>
      <c r="H1360">
        <v>5.8729609481168871E-2</v>
      </c>
      <c r="I1360">
        <v>0.4300010284536735</v>
      </c>
      <c r="J1360">
        <v>-1.143230442593568E-3</v>
      </c>
      <c r="K1360">
        <v>-1.143230442593568E-3</v>
      </c>
      <c r="L1360">
        <v>0</v>
      </c>
      <c r="M1360">
        <v>280076062.65499997</v>
      </c>
      <c r="N1360">
        <v>0</v>
      </c>
      <c r="O1360" t="b">
        <v>1</v>
      </c>
    </row>
    <row r="1361" spans="1:15" x14ac:dyDescent="0.3">
      <c r="A1361" s="1" t="s">
        <v>1462</v>
      </c>
      <c r="B1361">
        <v>3.0518472469667719</v>
      </c>
      <c r="C1361">
        <v>2.3681412008650291E-2</v>
      </c>
      <c r="D1361">
        <v>1.6248806946481429E-2</v>
      </c>
      <c r="E1361">
        <v>33.322718828759882</v>
      </c>
      <c r="F1361">
        <v>-3.8161272987819461E-2</v>
      </c>
      <c r="G1361">
        <v>0.2</v>
      </c>
      <c r="H1361">
        <v>-0.29610869888573282</v>
      </c>
      <c r="I1361">
        <v>0.45068761203465102</v>
      </c>
      <c r="J1361">
        <v>-7.5915329346469829E-2</v>
      </c>
      <c r="K1361">
        <v>9.3280075187969214E-3</v>
      </c>
      <c r="L1361">
        <v>0</v>
      </c>
      <c r="M1361">
        <v>119970685.18350001</v>
      </c>
      <c r="N1361">
        <v>0</v>
      </c>
      <c r="O1361" t="b">
        <v>1</v>
      </c>
    </row>
    <row r="1362" spans="1:15" x14ac:dyDescent="0.3">
      <c r="A1362" s="1" t="s">
        <v>1463</v>
      </c>
      <c r="B1362">
        <v>2.0117731213572601</v>
      </c>
      <c r="C1362">
        <v>2.439695757163789E-2</v>
      </c>
      <c r="D1362">
        <v>2.35265583313123E-2</v>
      </c>
      <c r="E1362">
        <v>58.221440880014789</v>
      </c>
      <c r="F1362">
        <v>3.4629861982434118E-2</v>
      </c>
      <c r="G1362">
        <v>0.4</v>
      </c>
      <c r="H1362">
        <v>-5.2755966475920978E-2</v>
      </c>
      <c r="I1362">
        <v>1.588390393252034</v>
      </c>
      <c r="J1362">
        <v>-1.2691570881226079E-2</v>
      </c>
      <c r="K1362">
        <v>1.2524557956777869E-2</v>
      </c>
      <c r="L1362">
        <v>0</v>
      </c>
      <c r="M1362">
        <v>98959274</v>
      </c>
      <c r="N1362">
        <v>0</v>
      </c>
      <c r="O1362" t="b">
        <v>1</v>
      </c>
    </row>
    <row r="1363" spans="1:15" x14ac:dyDescent="0.3">
      <c r="A1363" s="1" t="s">
        <v>1464</v>
      </c>
      <c r="B1363">
        <v>2.1756878034707632</v>
      </c>
      <c r="C1363">
        <v>2.1266473163556031E-2</v>
      </c>
      <c r="D1363">
        <v>4.0649619768146503E-2</v>
      </c>
      <c r="E1363">
        <v>52.141009946562498</v>
      </c>
      <c r="F1363">
        <v>5.4347291971734712E-3</v>
      </c>
      <c r="G1363">
        <v>0.6</v>
      </c>
      <c r="H1363">
        <v>-7.2622403970285881E-2</v>
      </c>
      <c r="I1363">
        <v>1.0641920211916751</v>
      </c>
      <c r="J1363">
        <v>-2.834077310285887E-2</v>
      </c>
      <c r="K1363">
        <v>-1.717678252348831E-2</v>
      </c>
      <c r="L1363">
        <v>0</v>
      </c>
      <c r="M1363">
        <v>149317886.40450001</v>
      </c>
      <c r="N1363">
        <v>0</v>
      </c>
      <c r="O1363" t="b">
        <v>1</v>
      </c>
    </row>
    <row r="1364" spans="1:15" x14ac:dyDescent="0.3">
      <c r="A1364" s="1" t="s">
        <v>95</v>
      </c>
      <c r="B1364">
        <v>0.90064874730210165</v>
      </c>
      <c r="C1364">
        <v>1.6759373786790131E-2</v>
      </c>
      <c r="D1364">
        <v>1.5816896166728722E-2</v>
      </c>
      <c r="E1364">
        <v>50.828835312380967</v>
      </c>
      <c r="F1364">
        <v>7.3102155576383332E-3</v>
      </c>
      <c r="G1364">
        <v>0.4</v>
      </c>
      <c r="H1364">
        <v>-1.9359006637674439E-2</v>
      </c>
      <c r="I1364">
        <v>0.147151750711981</v>
      </c>
      <c r="J1364">
        <v>-2.6978091616874811E-2</v>
      </c>
      <c r="K1364">
        <v>-7.2048771476076467E-3</v>
      </c>
      <c r="L1364">
        <v>0</v>
      </c>
      <c r="M1364">
        <v>95670755.40990001</v>
      </c>
      <c r="N1364">
        <v>0</v>
      </c>
      <c r="O1364" t="b">
        <v>1</v>
      </c>
    </row>
    <row r="1365" spans="1:15" x14ac:dyDescent="0.3">
      <c r="A1365" s="1" t="s">
        <v>1465</v>
      </c>
      <c r="B1365">
        <v>2.3231641164098571</v>
      </c>
      <c r="C1365">
        <v>2.7627706579637291E-2</v>
      </c>
      <c r="D1365">
        <v>4.3167769080560553E-2</v>
      </c>
      <c r="E1365">
        <v>54.579457800879723</v>
      </c>
      <c r="F1365">
        <v>4.8609431077612841E-2</v>
      </c>
      <c r="G1365">
        <v>0.6</v>
      </c>
      <c r="H1365">
        <v>-8.918223266330344E-2</v>
      </c>
      <c r="I1365">
        <v>0.79866559580607477</v>
      </c>
      <c r="J1365">
        <v>-1.022285470127726E-2</v>
      </c>
      <c r="K1365">
        <v>3.7187335411288158E-2</v>
      </c>
      <c r="L1365">
        <v>0</v>
      </c>
      <c r="M1365">
        <v>163207530.73554999</v>
      </c>
      <c r="N1365">
        <v>0</v>
      </c>
      <c r="O1365" t="b">
        <v>1</v>
      </c>
    </row>
    <row r="1366" spans="1:15" x14ac:dyDescent="0.3">
      <c r="A1366" s="1" t="s">
        <v>1466</v>
      </c>
      <c r="B1366">
        <v>4.4897941665705057</v>
      </c>
      <c r="C1366">
        <v>1.6130031135514662E-2</v>
      </c>
      <c r="D1366">
        <v>1.31129872462728E-2</v>
      </c>
      <c r="E1366">
        <v>42.673415570669299</v>
      </c>
      <c r="F1366">
        <v>-1.0406112124347061E-2</v>
      </c>
      <c r="G1366">
        <v>0.2</v>
      </c>
      <c r="H1366">
        <v>-5.4796045690668253E-2</v>
      </c>
      <c r="I1366">
        <v>9.910842150850771E-2</v>
      </c>
      <c r="J1366">
        <v>-5.1162568729781421E-2</v>
      </c>
      <c r="K1366">
        <v>1.0429403725815689E-3</v>
      </c>
      <c r="L1366">
        <v>0</v>
      </c>
      <c r="M1366">
        <v>321422556.30199999</v>
      </c>
      <c r="N1366">
        <v>0</v>
      </c>
      <c r="O1366" t="b">
        <v>1</v>
      </c>
    </row>
    <row r="1367" spans="1:15" x14ac:dyDescent="0.3">
      <c r="A1367" s="1" t="s">
        <v>1467</v>
      </c>
      <c r="B1367">
        <v>0.78221089316923031</v>
      </c>
      <c r="C1367">
        <v>1.9190649979618019E-2</v>
      </c>
      <c r="D1367">
        <v>2.232580961727175E-2</v>
      </c>
      <c r="E1367">
        <v>57.889528822320749</v>
      </c>
      <c r="F1367">
        <v>-5.8536585365853711E-3</v>
      </c>
      <c r="G1367">
        <v>0.4</v>
      </c>
      <c r="H1367">
        <v>8.0906502530904811E-2</v>
      </c>
      <c r="I1367">
        <v>0.68262372269349281</v>
      </c>
      <c r="J1367">
        <v>-1.402999516207082E-2</v>
      </c>
      <c r="K1367">
        <v>3.9408866995072067E-3</v>
      </c>
      <c r="L1367">
        <v>0</v>
      </c>
      <c r="M1367">
        <v>49219607</v>
      </c>
      <c r="N1367">
        <v>0</v>
      </c>
      <c r="O1367" t="b">
        <v>0</v>
      </c>
    </row>
    <row r="1368" spans="1:15" x14ac:dyDescent="0.3">
      <c r="A1368" s="1" t="s">
        <v>1468</v>
      </c>
      <c r="B1368">
        <v>1.25368619471131</v>
      </c>
      <c r="C1368">
        <v>2.3823196655391399E-2</v>
      </c>
      <c r="D1368">
        <v>1.5133606716250549E-2</v>
      </c>
      <c r="E1368">
        <v>43.330409227206992</v>
      </c>
      <c r="F1368">
        <v>-4.2719153038764501E-2</v>
      </c>
      <c r="G1368">
        <v>0.4</v>
      </c>
      <c r="H1368">
        <v>-0.19307503089988709</v>
      </c>
      <c r="I1368">
        <v>0.47354342141505851</v>
      </c>
      <c r="J1368">
        <v>-5.4987995338204643E-2</v>
      </c>
      <c r="K1368">
        <v>9.7415617582781167E-3</v>
      </c>
      <c r="L1368">
        <v>0</v>
      </c>
      <c r="M1368">
        <v>268681291.08665001</v>
      </c>
      <c r="N1368">
        <v>0</v>
      </c>
      <c r="O1368" t="b">
        <v>1</v>
      </c>
    </row>
    <row r="1369" spans="1:15" x14ac:dyDescent="0.3">
      <c r="A1369" s="1" t="s">
        <v>1469</v>
      </c>
      <c r="B1369">
        <v>5.7878565941607327</v>
      </c>
      <c r="C1369">
        <v>4.5750190452618231E-2</v>
      </c>
      <c r="D1369">
        <v>2.3318314757726569E-2</v>
      </c>
      <c r="E1369">
        <v>78.53455815894317</v>
      </c>
      <c r="F1369">
        <v>0.28960244648318062</v>
      </c>
      <c r="G1369">
        <v>0.6</v>
      </c>
      <c r="H1369">
        <v>0.33196049418854923</v>
      </c>
      <c r="I1369">
        <v>2.8345481767659728</v>
      </c>
      <c r="J1369">
        <v>0</v>
      </c>
      <c r="K1369">
        <v>2.0241935483870991E-2</v>
      </c>
      <c r="L1369">
        <v>0</v>
      </c>
      <c r="M1369">
        <v>38149074.5</v>
      </c>
      <c r="N1369">
        <v>0</v>
      </c>
      <c r="O1369" t="b">
        <v>0</v>
      </c>
    </row>
    <row r="1370" spans="1:15" x14ac:dyDescent="0.3">
      <c r="A1370" s="1" t="s">
        <v>1470</v>
      </c>
      <c r="B1370">
        <v>17.092225585649519</v>
      </c>
      <c r="C1370">
        <v>3.7860727845053767E-2</v>
      </c>
      <c r="D1370">
        <v>2.9394174327167979E-2</v>
      </c>
      <c r="E1370">
        <v>58.047509624404213</v>
      </c>
      <c r="F1370">
        <v>1.397030748152628E-2</v>
      </c>
      <c r="G1370">
        <v>0.8</v>
      </c>
      <c r="H1370">
        <v>0.1075403465007667</v>
      </c>
      <c r="I1370">
        <v>2.598091940567131</v>
      </c>
      <c r="J1370">
        <v>-7.8021978021978189E-3</v>
      </c>
      <c r="K1370">
        <v>1.4106970370869391E-2</v>
      </c>
      <c r="L1370">
        <v>0</v>
      </c>
      <c r="M1370">
        <v>32626081020</v>
      </c>
      <c r="N1370">
        <v>0</v>
      </c>
      <c r="O1370" t="b">
        <v>1</v>
      </c>
    </row>
    <row r="1371" spans="1:15" x14ac:dyDescent="0.3">
      <c r="A1371" s="1" t="s">
        <v>1471</v>
      </c>
      <c r="B1371">
        <v>1.429520237030496</v>
      </c>
      <c r="C1371">
        <v>7.3070408157521943E-2</v>
      </c>
      <c r="D1371">
        <v>5.9508474922815892E-2</v>
      </c>
      <c r="E1371">
        <v>56.431054991779732</v>
      </c>
      <c r="F1371">
        <v>1.284643140466279E-3</v>
      </c>
      <c r="G1371">
        <v>0.8</v>
      </c>
      <c r="H1371">
        <v>0.1067341632354116</v>
      </c>
      <c r="I1371">
        <v>5.1750129682716111</v>
      </c>
      <c r="J1371">
        <v>-1.7176157343447681E-2</v>
      </c>
      <c r="K1371">
        <v>2.9267702409074389E-2</v>
      </c>
      <c r="L1371">
        <v>0</v>
      </c>
      <c r="M1371">
        <v>1977073947.42276</v>
      </c>
      <c r="N1371">
        <v>0</v>
      </c>
      <c r="O1371" t="b">
        <v>1</v>
      </c>
    </row>
    <row r="1372" spans="1:15" x14ac:dyDescent="0.3">
      <c r="A1372" s="1" t="s">
        <v>1472</v>
      </c>
      <c r="B1372">
        <v>8.8430343867044332</v>
      </c>
      <c r="C1372">
        <v>2.859001434410835E-2</v>
      </c>
      <c r="D1372">
        <v>3.7015243853154689E-2</v>
      </c>
      <c r="E1372">
        <v>66.502378878734206</v>
      </c>
      <c r="F1372">
        <v>5.0360811613889167E-2</v>
      </c>
      <c r="G1372">
        <v>0.8</v>
      </c>
      <c r="H1372">
        <v>0.13465454535218191</v>
      </c>
      <c r="I1372">
        <v>1.95258627957659</v>
      </c>
      <c r="J1372">
        <v>0</v>
      </c>
      <c r="K1372">
        <v>2.2181610281797551E-2</v>
      </c>
      <c r="L1372">
        <v>0</v>
      </c>
      <c r="M1372">
        <v>2855159197.6360002</v>
      </c>
      <c r="N1372">
        <v>0</v>
      </c>
      <c r="O1372" t="b">
        <v>1</v>
      </c>
    </row>
    <row r="1373" spans="1:15" x14ac:dyDescent="0.3">
      <c r="A1373" s="1" t="s">
        <v>1473</v>
      </c>
      <c r="B1373">
        <v>1.269415617575782</v>
      </c>
      <c r="C1373">
        <v>2.2189632454005789E-2</v>
      </c>
      <c r="D1373">
        <v>3.3292779281074582E-2</v>
      </c>
      <c r="E1373">
        <v>62.393737956508282</v>
      </c>
      <c r="F1373">
        <v>7.9427375698374103E-2</v>
      </c>
      <c r="G1373">
        <v>0.4</v>
      </c>
      <c r="H1373">
        <v>-4.8599817005078091E-3</v>
      </c>
      <c r="I1373">
        <v>0.35278825721112661</v>
      </c>
      <c r="J1373">
        <v>-1.080705346119659E-2</v>
      </c>
      <c r="K1373">
        <v>3.1479381266712007E-2</v>
      </c>
      <c r="L1373">
        <v>0</v>
      </c>
      <c r="M1373">
        <v>143297714.4499</v>
      </c>
      <c r="N1373">
        <v>0</v>
      </c>
      <c r="O1373" t="b">
        <v>1</v>
      </c>
    </row>
    <row r="1374" spans="1:15" x14ac:dyDescent="0.3">
      <c r="A1374" s="1" t="s">
        <v>1474</v>
      </c>
      <c r="B1374">
        <v>9.7783831730720419</v>
      </c>
      <c r="C1374">
        <v>2.455769544696379E-2</v>
      </c>
      <c r="D1374">
        <v>2.352453664171987E-2</v>
      </c>
      <c r="E1374">
        <v>37.203007073443729</v>
      </c>
      <c r="F1374">
        <v>-7.9261059481058216E-2</v>
      </c>
      <c r="G1374">
        <v>0.4</v>
      </c>
      <c r="H1374">
        <v>-9.7782148886957188E-2</v>
      </c>
      <c r="I1374">
        <v>0.78345065636954203</v>
      </c>
      <c r="J1374">
        <v>-5.3608565961947519E-2</v>
      </c>
      <c r="K1374">
        <v>3.5172344487977009E-4</v>
      </c>
      <c r="L1374">
        <v>0</v>
      </c>
      <c r="M1374">
        <v>513193230.52700001</v>
      </c>
      <c r="N1374">
        <v>0</v>
      </c>
      <c r="O1374" t="b">
        <v>1</v>
      </c>
    </row>
    <row r="1375" spans="1:15" x14ac:dyDescent="0.3">
      <c r="A1375" s="1" t="s">
        <v>1475</v>
      </c>
      <c r="B1375">
        <v>4.3801730782677</v>
      </c>
      <c r="C1375">
        <v>4.0947677650441237E-2</v>
      </c>
      <c r="D1375">
        <v>2.7016920631952889E-2</v>
      </c>
      <c r="E1375">
        <v>70.167510898522636</v>
      </c>
      <c r="F1375">
        <v>0.125644533305272</v>
      </c>
      <c r="G1375">
        <v>0.8</v>
      </c>
      <c r="H1375">
        <v>-7.8974536763836728E-2</v>
      </c>
      <c r="I1375">
        <v>1.0252772231275571</v>
      </c>
      <c r="J1375">
        <v>-1.880388919464315E-2</v>
      </c>
      <c r="K1375">
        <v>-1.880388919464315E-2</v>
      </c>
      <c r="L1375">
        <v>0</v>
      </c>
      <c r="M1375">
        <v>59492650</v>
      </c>
      <c r="N1375">
        <v>1</v>
      </c>
      <c r="O1375" t="b">
        <v>0</v>
      </c>
    </row>
    <row r="1376" spans="1:15" x14ac:dyDescent="0.3">
      <c r="A1376" s="1" t="s">
        <v>1476</v>
      </c>
      <c r="B1376">
        <v>1.746183567283448</v>
      </c>
      <c r="C1376">
        <v>2.3932846603064179E-2</v>
      </c>
      <c r="D1376">
        <v>5.5638704088989042E-2</v>
      </c>
      <c r="E1376">
        <v>57.788036499750177</v>
      </c>
      <c r="F1376">
        <v>1.551065174244304E-2</v>
      </c>
      <c r="G1376">
        <v>0.4</v>
      </c>
      <c r="H1376">
        <v>-0.15649881336690791</v>
      </c>
      <c r="I1376">
        <v>0.63214266833082888</v>
      </c>
      <c r="J1376">
        <v>0</v>
      </c>
      <c r="K1376">
        <v>5.1929065743944618E-2</v>
      </c>
      <c r="L1376">
        <v>0</v>
      </c>
      <c r="M1376">
        <v>58232190.331649996</v>
      </c>
      <c r="N1376">
        <v>0</v>
      </c>
      <c r="O1376" t="b">
        <v>0</v>
      </c>
    </row>
    <row r="1377" spans="1:15" x14ac:dyDescent="0.3">
      <c r="A1377" s="1" t="s">
        <v>1477</v>
      </c>
      <c r="B1377">
        <v>1.554992500708019</v>
      </c>
      <c r="C1377">
        <v>3.9647947493830153E-2</v>
      </c>
      <c r="D1377">
        <v>2.6007139214686281E-2</v>
      </c>
      <c r="E1377">
        <v>36.159541796930426</v>
      </c>
      <c r="F1377">
        <v>-9.338881183541381E-2</v>
      </c>
      <c r="G1377">
        <v>0.6</v>
      </c>
      <c r="H1377">
        <v>-0.12304588498846609</v>
      </c>
      <c r="I1377">
        <v>1.245977088801649</v>
      </c>
      <c r="J1377">
        <v>-0.1126696832579186</v>
      </c>
      <c r="K1377">
        <v>-4.5685279187817063E-3</v>
      </c>
      <c r="L1377">
        <v>0</v>
      </c>
      <c r="M1377">
        <v>538537092</v>
      </c>
      <c r="N1377">
        <v>0</v>
      </c>
      <c r="O1377" t="b">
        <v>1</v>
      </c>
    </row>
    <row r="1378" spans="1:15" x14ac:dyDescent="0.3">
      <c r="A1378" s="1" t="s">
        <v>1478</v>
      </c>
      <c r="B1378">
        <v>0.93291754411729511</v>
      </c>
      <c r="C1378">
        <v>1.420398209679195E-2</v>
      </c>
      <c r="D1378">
        <v>1.2180267965895211E-2</v>
      </c>
      <c r="E1378">
        <v>58.13779310392507</v>
      </c>
      <c r="F1378">
        <v>4.3699348482440843E-2</v>
      </c>
      <c r="G1378">
        <v>0.4</v>
      </c>
      <c r="H1378">
        <v>4.8107105767473443E-2</v>
      </c>
      <c r="I1378">
        <v>0.31110511844562549</v>
      </c>
      <c r="J1378">
        <v>-1.8529587567244429E-2</v>
      </c>
      <c r="K1378">
        <v>2.136100091547188E-3</v>
      </c>
      <c r="L1378">
        <v>0</v>
      </c>
      <c r="M1378">
        <v>86611453.737599999</v>
      </c>
      <c r="N1378">
        <v>0</v>
      </c>
      <c r="O1378" t="b">
        <v>0</v>
      </c>
    </row>
    <row r="1379" spans="1:15" x14ac:dyDescent="0.3">
      <c r="A1379" s="1" t="s">
        <v>1479</v>
      </c>
      <c r="B1379">
        <v>1.0306960952532711</v>
      </c>
      <c r="C1379">
        <v>3.045297292855095E-2</v>
      </c>
      <c r="D1379">
        <v>2.153314325390376E-2</v>
      </c>
      <c r="E1379">
        <v>48.952368060466689</v>
      </c>
      <c r="F1379">
        <v>5.9045324405087918E-2</v>
      </c>
      <c r="G1379">
        <v>0.6</v>
      </c>
      <c r="H1379">
        <v>-5.180597571025574E-2</v>
      </c>
      <c r="I1379">
        <v>-0.40988014952396828</v>
      </c>
      <c r="J1379">
        <v>-9.2127145922746734E-2</v>
      </c>
      <c r="K1379">
        <v>4.7438527327621216E-3</v>
      </c>
      <c r="L1379">
        <v>0</v>
      </c>
      <c r="M1379">
        <v>69678866.868799999</v>
      </c>
      <c r="N1379">
        <v>0</v>
      </c>
      <c r="O1379" t="b">
        <v>0</v>
      </c>
    </row>
    <row r="1380" spans="1:15" x14ac:dyDescent="0.3">
      <c r="A1380" s="1" t="s">
        <v>1480</v>
      </c>
      <c r="B1380">
        <v>4.2506432149804736</v>
      </c>
      <c r="C1380">
        <v>5.4705832882631589E-2</v>
      </c>
      <c r="D1380">
        <v>4.774774774774785E-2</v>
      </c>
      <c r="E1380">
        <v>66.713204317492909</v>
      </c>
      <c r="F1380">
        <v>0.1117470310487909</v>
      </c>
      <c r="G1380">
        <v>1</v>
      </c>
      <c r="H1380">
        <v>0.20303040037211589</v>
      </c>
      <c r="I1380">
        <v>3.387294110934902</v>
      </c>
      <c r="J1380">
        <v>0</v>
      </c>
      <c r="K1380">
        <v>1.250977326035985E-2</v>
      </c>
      <c r="L1380">
        <v>0</v>
      </c>
      <c r="M1380">
        <v>55445764</v>
      </c>
      <c r="N1380">
        <v>0</v>
      </c>
      <c r="O1380" t="b">
        <v>0</v>
      </c>
    </row>
    <row r="1381" spans="1:15" x14ac:dyDescent="0.3">
      <c r="A1381" s="1" t="s">
        <v>1481</v>
      </c>
      <c r="B1381">
        <v>5.1703402646324204</v>
      </c>
      <c r="C1381">
        <v>2.1015934739583859E-2</v>
      </c>
      <c r="D1381">
        <v>1.959190309730913E-2</v>
      </c>
      <c r="E1381">
        <v>50.823277396314062</v>
      </c>
      <c r="F1381">
        <v>5.109800905750661E-2</v>
      </c>
      <c r="G1381">
        <v>0.6</v>
      </c>
      <c r="H1381">
        <v>-4.4387727256160532E-2</v>
      </c>
      <c r="I1381">
        <v>0.64415278964006262</v>
      </c>
      <c r="J1381">
        <v>-1.3315152001283409E-2</v>
      </c>
      <c r="K1381">
        <v>-1.0895348369718061E-2</v>
      </c>
      <c r="L1381">
        <v>0</v>
      </c>
      <c r="M1381">
        <v>358800854</v>
      </c>
      <c r="N1381">
        <v>0</v>
      </c>
      <c r="O1381" t="b">
        <v>1</v>
      </c>
    </row>
    <row r="1382" spans="1:15" x14ac:dyDescent="0.3">
      <c r="A1382" s="1" t="s">
        <v>1482</v>
      </c>
      <c r="B1382">
        <v>0.26924779208026361</v>
      </c>
      <c r="C1382">
        <v>2.0274683138574071E-2</v>
      </c>
      <c r="D1382">
        <v>1.731927710843377E-2</v>
      </c>
      <c r="E1382">
        <v>35.922803355964831</v>
      </c>
      <c r="F1382">
        <v>-0.1008801624915369</v>
      </c>
      <c r="G1382">
        <v>0.4</v>
      </c>
      <c r="H1382">
        <v>-0.28170876947779072</v>
      </c>
      <c r="I1382">
        <v>3.6137339730881728E-2</v>
      </c>
      <c r="J1382">
        <v>-0.10209601081812041</v>
      </c>
      <c r="K1382">
        <v>-2.2539444027047661E-3</v>
      </c>
      <c r="L1382">
        <v>0</v>
      </c>
      <c r="M1382">
        <v>53014628.167149991</v>
      </c>
      <c r="N1382">
        <v>0</v>
      </c>
      <c r="O1382" t="b">
        <v>0</v>
      </c>
    </row>
    <row r="1383" spans="1:15" x14ac:dyDescent="0.3">
      <c r="A1383" s="1" t="s">
        <v>1483</v>
      </c>
      <c r="B1383">
        <v>2.2429694119205328</v>
      </c>
      <c r="C1383">
        <v>2.1027378262855501E-2</v>
      </c>
      <c r="D1383">
        <v>1.9574571806241819E-2</v>
      </c>
      <c r="E1383">
        <v>46.827848027395937</v>
      </c>
      <c r="F1383">
        <v>-2.3758751658811139E-2</v>
      </c>
      <c r="G1383">
        <v>0.2</v>
      </c>
      <c r="H1383">
        <v>-0.15115094652986669</v>
      </c>
      <c r="I1383">
        <v>0.17594387315614601</v>
      </c>
      <c r="J1383">
        <v>-3.127696094012522E-2</v>
      </c>
      <c r="K1383">
        <v>-2.0488735873064319E-3</v>
      </c>
      <c r="L1383">
        <v>0</v>
      </c>
      <c r="M1383">
        <v>141672348.27000001</v>
      </c>
      <c r="N1383">
        <v>0</v>
      </c>
      <c r="O1383" t="b">
        <v>1</v>
      </c>
    </row>
    <row r="1384" spans="1:15" x14ac:dyDescent="0.3">
      <c r="A1384" s="1" t="s">
        <v>1484</v>
      </c>
      <c r="B1384">
        <v>4.7866603939222028</v>
      </c>
      <c r="C1384">
        <v>3.5464624686391069E-2</v>
      </c>
      <c r="D1384">
        <v>5.0233385196710389E-2</v>
      </c>
      <c r="E1384">
        <v>64.202041195179191</v>
      </c>
      <c r="F1384">
        <v>3.3381823750095567E-2</v>
      </c>
      <c r="G1384">
        <v>0.6</v>
      </c>
      <c r="H1384">
        <v>0.13070234439397649</v>
      </c>
      <c r="I1384">
        <v>2.1867521555393772</v>
      </c>
      <c r="J1384">
        <v>0</v>
      </c>
      <c r="K1384">
        <v>4.1033551870420348E-2</v>
      </c>
      <c r="L1384">
        <v>0</v>
      </c>
      <c r="M1384">
        <v>262047720.5</v>
      </c>
      <c r="N1384">
        <v>0</v>
      </c>
      <c r="O1384" t="b">
        <v>1</v>
      </c>
    </row>
    <row r="1385" spans="1:15" x14ac:dyDescent="0.3">
      <c r="A1385" s="1" t="s">
        <v>1485</v>
      </c>
      <c r="B1385">
        <v>0.95263144625741125</v>
      </c>
      <c r="C1385">
        <v>2.4990331748620441E-2</v>
      </c>
      <c r="D1385">
        <v>3.5939139559286397E-2</v>
      </c>
      <c r="E1385">
        <v>60.238331085813698</v>
      </c>
      <c r="F1385">
        <v>6.5399664617104447E-2</v>
      </c>
      <c r="G1385">
        <v>0.4</v>
      </c>
      <c r="H1385">
        <v>4.7322332018153362E-2</v>
      </c>
      <c r="I1385">
        <v>0.94855682697890986</v>
      </c>
      <c r="J1385">
        <v>-1.2435233160621889E-2</v>
      </c>
      <c r="K1385">
        <v>2.308105206655919E-2</v>
      </c>
      <c r="L1385">
        <v>0</v>
      </c>
      <c r="M1385">
        <v>5916659.2774999999</v>
      </c>
      <c r="N1385">
        <v>0</v>
      </c>
      <c r="O1385" t="b">
        <v>0</v>
      </c>
    </row>
    <row r="1386" spans="1:15" x14ac:dyDescent="0.3">
      <c r="A1386" s="1" t="s">
        <v>1486</v>
      </c>
      <c r="B1386">
        <v>4.9066745829576366</v>
      </c>
      <c r="C1386">
        <v>2.700872231495369E-2</v>
      </c>
      <c r="D1386">
        <v>2.8733417735454389E-2</v>
      </c>
      <c r="E1386">
        <v>65.743793745426188</v>
      </c>
      <c r="F1386">
        <v>0.13133640552995371</v>
      </c>
      <c r="G1386">
        <v>0.4</v>
      </c>
      <c r="H1386">
        <v>-4.1083288310151463E-2</v>
      </c>
      <c r="I1386">
        <v>1.1390969582433039</v>
      </c>
      <c r="J1386">
        <v>-5.0930996714129151E-3</v>
      </c>
      <c r="K1386">
        <v>1.197638146167535E-2</v>
      </c>
      <c r="L1386">
        <v>0</v>
      </c>
      <c r="M1386">
        <v>1161594702.608</v>
      </c>
      <c r="N1386">
        <v>0</v>
      </c>
      <c r="O1386" t="b">
        <v>1</v>
      </c>
    </row>
    <row r="1387" spans="1:15" x14ac:dyDescent="0.3">
      <c r="A1387" s="1" t="s">
        <v>1487</v>
      </c>
      <c r="B1387">
        <v>3.7488501726646191</v>
      </c>
      <c r="C1387">
        <v>2.255490146600456E-2</v>
      </c>
      <c r="D1387">
        <v>1.552253173695934E-2</v>
      </c>
      <c r="E1387">
        <v>46.144508538816552</v>
      </c>
      <c r="F1387">
        <v>3.1745046431941322E-2</v>
      </c>
      <c r="G1387">
        <v>0.2</v>
      </c>
      <c r="H1387">
        <v>-4.0427460433324493E-2</v>
      </c>
      <c r="I1387">
        <v>0.55571876508212925</v>
      </c>
      <c r="J1387">
        <v>-5.5662558875499202E-2</v>
      </c>
      <c r="K1387">
        <v>7.6386783873902964E-3</v>
      </c>
      <c r="L1387">
        <v>0</v>
      </c>
      <c r="M1387">
        <v>175025690.67500001</v>
      </c>
      <c r="N1387">
        <v>0</v>
      </c>
      <c r="O1387" t="b">
        <v>1</v>
      </c>
    </row>
    <row r="1388" spans="1:15" x14ac:dyDescent="0.3">
      <c r="A1388" s="1" t="s">
        <v>1488</v>
      </c>
      <c r="B1388">
        <v>1.4729740778410829</v>
      </c>
      <c r="C1388">
        <v>1.7312730991404401E-2</v>
      </c>
      <c r="D1388">
        <v>1.9623791143436119E-2</v>
      </c>
      <c r="E1388">
        <v>63.846403568641151</v>
      </c>
      <c r="F1388">
        <v>3.704606593524451E-2</v>
      </c>
      <c r="G1388">
        <v>0.6</v>
      </c>
      <c r="H1388">
        <v>-1.3226556933327679E-2</v>
      </c>
      <c r="I1388">
        <v>0.76263213919565453</v>
      </c>
      <c r="J1388">
        <v>0</v>
      </c>
      <c r="K1388">
        <v>1.4302455749653831E-2</v>
      </c>
      <c r="L1388">
        <v>0</v>
      </c>
      <c r="M1388">
        <v>101731836.97025</v>
      </c>
      <c r="N1388">
        <v>0</v>
      </c>
      <c r="O1388" t="b">
        <v>1</v>
      </c>
    </row>
    <row r="1389" spans="1:15" x14ac:dyDescent="0.3">
      <c r="A1389" s="1" t="s">
        <v>1489</v>
      </c>
      <c r="B1389">
        <v>11.465779171526361</v>
      </c>
      <c r="C1389">
        <v>2.5156389423683281E-2</v>
      </c>
      <c r="D1389">
        <v>1.3603054105050661E-2</v>
      </c>
      <c r="E1389">
        <v>40.043264190591763</v>
      </c>
      <c r="F1389">
        <v>-1.8730623492938411E-2</v>
      </c>
      <c r="G1389">
        <v>0.6</v>
      </c>
      <c r="H1389">
        <v>-0.20065475099663149</v>
      </c>
      <c r="I1389">
        <v>0.22245616734687371</v>
      </c>
      <c r="J1389">
        <v>-3.5937136451128497E-2</v>
      </c>
      <c r="K1389">
        <v>5.3379212987469948E-3</v>
      </c>
      <c r="L1389">
        <v>0</v>
      </c>
      <c r="M1389">
        <v>154620050</v>
      </c>
      <c r="N1389">
        <v>0</v>
      </c>
      <c r="O1389" t="b">
        <v>1</v>
      </c>
    </row>
    <row r="1390" spans="1:15" x14ac:dyDescent="0.3">
      <c r="A1390" s="1" t="s">
        <v>1490</v>
      </c>
      <c r="B1390">
        <v>2.4057734777648649</v>
      </c>
      <c r="C1390">
        <v>4.9117465858817183E-2</v>
      </c>
      <c r="D1390">
        <v>4.4079216006533257E-2</v>
      </c>
      <c r="E1390">
        <v>70.399203663927395</v>
      </c>
      <c r="F1390">
        <v>0.13563644794806379</v>
      </c>
      <c r="G1390">
        <v>0.6</v>
      </c>
      <c r="H1390">
        <v>5.1275333712149179E-2</v>
      </c>
      <c r="I1390">
        <v>3.0669546562624421</v>
      </c>
      <c r="J1390">
        <v>-9.9049929250051294E-3</v>
      </c>
      <c r="K1390">
        <v>-9.9049929250051294E-3</v>
      </c>
      <c r="L1390">
        <v>0</v>
      </c>
      <c r="M1390">
        <v>278722997.5</v>
      </c>
      <c r="N1390">
        <v>0</v>
      </c>
      <c r="O1390" t="b">
        <v>1</v>
      </c>
    </row>
    <row r="1391" spans="1:15" x14ac:dyDescent="0.3">
      <c r="A1391" s="1" t="s">
        <v>1491</v>
      </c>
      <c r="B1391">
        <v>3.8923310446392341</v>
      </c>
      <c r="C1391">
        <v>3.6127074852786649E-2</v>
      </c>
      <c r="D1391">
        <v>3.0072396510116901E-2</v>
      </c>
      <c r="E1391">
        <v>63.156216131634743</v>
      </c>
      <c r="F1391">
        <v>0.1206573746619513</v>
      </c>
      <c r="G1391">
        <v>0.6</v>
      </c>
      <c r="H1391">
        <v>-2.7425976921264781E-2</v>
      </c>
      <c r="I1391">
        <v>1.7330362977861791</v>
      </c>
      <c r="J1391">
        <v>-6.8215339233038694E-3</v>
      </c>
      <c r="K1391">
        <v>1.9299905392620609E-2</v>
      </c>
      <c r="L1391">
        <v>0</v>
      </c>
      <c r="M1391">
        <v>565424332</v>
      </c>
      <c r="N1391">
        <v>0</v>
      </c>
      <c r="O1391" t="b">
        <v>1</v>
      </c>
    </row>
    <row r="1392" spans="1:15" x14ac:dyDescent="0.3">
      <c r="A1392" s="1" t="s">
        <v>1492</v>
      </c>
      <c r="B1392">
        <v>2.998391959158051</v>
      </c>
      <c r="C1392">
        <v>3.5627280883531967E-2</v>
      </c>
      <c r="D1392">
        <v>7.5451520912547462E-2</v>
      </c>
      <c r="E1392">
        <v>37.214361786084957</v>
      </c>
      <c r="F1392">
        <v>-0.1056323060573857</v>
      </c>
      <c r="G1392">
        <v>0.6</v>
      </c>
      <c r="H1392">
        <v>-0.123023617798159</v>
      </c>
      <c r="I1392">
        <v>1.4160340432705529</v>
      </c>
      <c r="J1392">
        <v>-0.1008547008547008</v>
      </c>
      <c r="K1392">
        <v>-5.512518244077691E-2</v>
      </c>
      <c r="L1392">
        <v>0</v>
      </c>
      <c r="M1392">
        <v>1549107739</v>
      </c>
      <c r="N1392">
        <v>0</v>
      </c>
      <c r="O1392" t="b">
        <v>1</v>
      </c>
    </row>
    <row r="1393" spans="1:15" x14ac:dyDescent="0.3">
      <c r="A1393" s="1" t="s">
        <v>1493</v>
      </c>
      <c r="B1393">
        <v>0.67478172915064816</v>
      </c>
      <c r="C1393">
        <v>1.6216816369878592E-2</v>
      </c>
      <c r="D1393">
        <v>1.6822879115597281E-2</v>
      </c>
      <c r="E1393">
        <v>71.211705728564056</v>
      </c>
      <c r="F1393">
        <v>8.274785323965661E-2</v>
      </c>
      <c r="G1393">
        <v>0.8</v>
      </c>
      <c r="H1393">
        <v>-3.2830489114012838E-2</v>
      </c>
      <c r="I1393">
        <v>0.75727786457024859</v>
      </c>
      <c r="J1393">
        <v>0</v>
      </c>
      <c r="K1393">
        <v>7.7500605473479478E-3</v>
      </c>
      <c r="L1393">
        <v>0</v>
      </c>
      <c r="M1393">
        <v>72611962</v>
      </c>
      <c r="N1393">
        <v>0</v>
      </c>
      <c r="O1393" t="b">
        <v>0</v>
      </c>
    </row>
    <row r="1394" spans="1:15" x14ac:dyDescent="0.3">
      <c r="A1394" s="1" t="s">
        <v>1494</v>
      </c>
      <c r="B1394">
        <v>0.6142623297217944</v>
      </c>
      <c r="C1394">
        <v>1.764680467014839E-2</v>
      </c>
      <c r="D1394">
        <v>1.504796214739402E-2</v>
      </c>
      <c r="E1394">
        <v>48.502914729030927</v>
      </c>
      <c r="F1394">
        <v>1.8802152998715242E-2</v>
      </c>
      <c r="G1394">
        <v>0.4</v>
      </c>
      <c r="H1394">
        <v>-0.17473228884618691</v>
      </c>
      <c r="I1394">
        <v>0.28364428263989377</v>
      </c>
      <c r="J1394">
        <v>-3.2949295312921012E-2</v>
      </c>
      <c r="K1394">
        <v>9.1701360299660806E-3</v>
      </c>
      <c r="L1394">
        <v>0</v>
      </c>
      <c r="M1394">
        <v>85374633.899399996</v>
      </c>
      <c r="N1394">
        <v>0</v>
      </c>
      <c r="O1394" t="b">
        <v>0</v>
      </c>
    </row>
    <row r="1395" spans="1:15" x14ac:dyDescent="0.3">
      <c r="A1395" s="1" t="s">
        <v>1495</v>
      </c>
      <c r="B1395">
        <v>0.92763626482167694</v>
      </c>
      <c r="C1395">
        <v>7.1798472509417718E-2</v>
      </c>
      <c r="D1395">
        <v>0.10681114551083599</v>
      </c>
      <c r="E1395">
        <v>50.625346135506312</v>
      </c>
      <c r="F1395">
        <v>-1.5455950540957939E-3</v>
      </c>
      <c r="G1395">
        <v>0.4</v>
      </c>
      <c r="H1395">
        <v>3.2159148634852877E-2</v>
      </c>
      <c r="I1395">
        <v>1.6828804661649299</v>
      </c>
      <c r="J1395">
        <v>-8.8857545839210128E-2</v>
      </c>
      <c r="K1395">
        <v>-7.4498567335243626E-2</v>
      </c>
      <c r="L1395">
        <v>0</v>
      </c>
      <c r="M1395">
        <v>80217240</v>
      </c>
      <c r="N1395">
        <v>0</v>
      </c>
      <c r="O1395" t="b">
        <v>0</v>
      </c>
    </row>
    <row r="1396" spans="1:15" x14ac:dyDescent="0.3">
      <c r="A1396" s="1" t="s">
        <v>1496</v>
      </c>
      <c r="B1396">
        <v>0.78376525925868334</v>
      </c>
      <c r="C1396">
        <v>2.106261714910251E-2</v>
      </c>
      <c r="D1396">
        <v>1.436932966418715E-2</v>
      </c>
      <c r="E1396">
        <v>61.135309670205032</v>
      </c>
      <c r="F1396">
        <v>9.7866590350532912E-2</v>
      </c>
      <c r="G1396">
        <v>0.4</v>
      </c>
      <c r="H1396">
        <v>4.8107047982355752E-2</v>
      </c>
      <c r="I1396">
        <v>0.40413636544679038</v>
      </c>
      <c r="J1396">
        <v>-4.9808742192646971E-2</v>
      </c>
      <c r="K1396">
        <v>-4.5024679302827497E-3</v>
      </c>
      <c r="L1396">
        <v>0</v>
      </c>
      <c r="M1396">
        <v>58503225.947249994</v>
      </c>
      <c r="N1396">
        <v>0</v>
      </c>
      <c r="O1396" t="b">
        <v>0</v>
      </c>
    </row>
    <row r="1397" spans="1:15" x14ac:dyDescent="0.3">
      <c r="A1397" s="1" t="s">
        <v>1497</v>
      </c>
      <c r="B1397">
        <v>1.439942995668186</v>
      </c>
      <c r="C1397">
        <v>2.6469540361547531E-2</v>
      </c>
      <c r="D1397">
        <v>6.5808823529411739E-2</v>
      </c>
      <c r="E1397">
        <v>58.395679969123307</v>
      </c>
      <c r="F1397">
        <v>3.6980556614563342E-2</v>
      </c>
      <c r="G1397">
        <v>0.2</v>
      </c>
      <c r="H1397">
        <v>-0.1202205450241688</v>
      </c>
      <c r="I1397">
        <v>0.79623570695655699</v>
      </c>
      <c r="J1397">
        <v>0</v>
      </c>
      <c r="K1397">
        <v>6.9182389937106903E-2</v>
      </c>
      <c r="L1397">
        <v>0</v>
      </c>
      <c r="M1397">
        <v>6971492</v>
      </c>
      <c r="N1397">
        <v>0</v>
      </c>
      <c r="O1397" t="b">
        <v>0</v>
      </c>
    </row>
    <row r="1398" spans="1:15" x14ac:dyDescent="0.3">
      <c r="A1398" s="1" t="s">
        <v>1498</v>
      </c>
      <c r="B1398">
        <v>1.4221630861729411</v>
      </c>
      <c r="C1398">
        <v>2.8319110741966039E-2</v>
      </c>
      <c r="D1398">
        <v>6.7834613056361001E-2</v>
      </c>
      <c r="E1398">
        <v>59.48239144325791</v>
      </c>
      <c r="F1398">
        <v>5.0136340063904328E-2</v>
      </c>
      <c r="G1398">
        <v>0.2</v>
      </c>
      <c r="H1398">
        <v>-0.1022051961208917</v>
      </c>
      <c r="I1398">
        <v>0.88297300428696823</v>
      </c>
      <c r="J1398">
        <v>0</v>
      </c>
      <c r="K1398">
        <v>7.0943114570560351E-2</v>
      </c>
      <c r="L1398">
        <v>0</v>
      </c>
      <c r="M1398">
        <v>16670536.941199999</v>
      </c>
      <c r="N1398">
        <v>0</v>
      </c>
      <c r="O1398" t="b">
        <v>0</v>
      </c>
    </row>
    <row r="1399" spans="1:15" x14ac:dyDescent="0.3">
      <c r="A1399" s="1" t="s">
        <v>1499</v>
      </c>
      <c r="B1399">
        <v>6.1001099575471072</v>
      </c>
      <c r="C1399">
        <v>2.739972312201689E-2</v>
      </c>
      <c r="D1399">
        <v>2.51713574745995E-2</v>
      </c>
      <c r="E1399">
        <v>43.698064453058883</v>
      </c>
      <c r="F1399">
        <v>1.768350574376409E-3</v>
      </c>
      <c r="G1399">
        <v>0.4</v>
      </c>
      <c r="H1399">
        <v>0.11705662978274629</v>
      </c>
      <c r="I1399">
        <v>0.54148269854493714</v>
      </c>
      <c r="J1399">
        <v>-8.6603512716262654E-2</v>
      </c>
      <c r="K1399">
        <v>-1.109132016470415E-2</v>
      </c>
      <c r="L1399">
        <v>0</v>
      </c>
      <c r="M1399">
        <v>133052282.028</v>
      </c>
      <c r="N1399">
        <v>0</v>
      </c>
      <c r="O1399" t="b">
        <v>1</v>
      </c>
    </row>
    <row r="1400" spans="1:15" x14ac:dyDescent="0.3">
      <c r="A1400" s="1" t="s">
        <v>1500</v>
      </c>
      <c r="B1400">
        <v>27.61280435123054</v>
      </c>
      <c r="C1400">
        <v>4.7315336170760933E-2</v>
      </c>
      <c r="D1400">
        <v>3.9914940429170591E-2</v>
      </c>
      <c r="E1400">
        <v>46.232283894582103</v>
      </c>
      <c r="F1400">
        <v>-7.3835069361762873E-3</v>
      </c>
      <c r="G1400">
        <v>1</v>
      </c>
      <c r="H1400">
        <v>-2.532360212329849E-2</v>
      </c>
      <c r="I1400">
        <v>1.779735316834576</v>
      </c>
      <c r="J1400">
        <v>0</v>
      </c>
      <c r="K1400">
        <v>6.6872313319077392E-4</v>
      </c>
      <c r="L1400">
        <v>0</v>
      </c>
      <c r="M1400">
        <v>44656205.699000001</v>
      </c>
      <c r="N1400">
        <v>0</v>
      </c>
      <c r="O1400" t="b">
        <v>0</v>
      </c>
    </row>
    <row r="1401" spans="1:15" x14ac:dyDescent="0.3">
      <c r="A1401" s="1" t="s">
        <v>1501</v>
      </c>
      <c r="B1401">
        <v>1.2626592629610729</v>
      </c>
      <c r="C1401">
        <v>1.9923208880308151E-2</v>
      </c>
      <c r="D1401">
        <v>1.597284789424443E-2</v>
      </c>
      <c r="E1401">
        <v>36.531423591918923</v>
      </c>
      <c r="F1401">
        <v>-6.7462121713745105E-2</v>
      </c>
      <c r="G1401">
        <v>0.4</v>
      </c>
      <c r="H1401">
        <v>-0.14542476820255981</v>
      </c>
      <c r="I1401">
        <v>-0.1957192024218283</v>
      </c>
      <c r="J1401">
        <v>-7.1432652959559917E-2</v>
      </c>
      <c r="K1401">
        <v>-2.811737864841457E-3</v>
      </c>
      <c r="L1401">
        <v>0</v>
      </c>
      <c r="M1401">
        <v>140488382.26300001</v>
      </c>
      <c r="N1401">
        <v>0</v>
      </c>
      <c r="O1401" t="b">
        <v>1</v>
      </c>
    </row>
    <row r="1402" spans="1:15" x14ac:dyDescent="0.3">
      <c r="A1402" s="1" t="s">
        <v>1502</v>
      </c>
      <c r="B1402">
        <v>2.5678043593789339</v>
      </c>
      <c r="C1402">
        <v>3.3366785296431313E-2</v>
      </c>
      <c r="D1402">
        <v>2.1144302850036861E-2</v>
      </c>
      <c r="E1402">
        <v>36.663772649638041</v>
      </c>
      <c r="F1402">
        <v>-0.1119141697863245</v>
      </c>
      <c r="G1402">
        <v>0.2</v>
      </c>
      <c r="H1402">
        <v>5.7159641407492162E-2</v>
      </c>
      <c r="I1402">
        <v>0.24743090393117451</v>
      </c>
      <c r="J1402">
        <v>-0.15480739134016069</v>
      </c>
      <c r="K1402">
        <v>-5.5462156640533333E-3</v>
      </c>
      <c r="L1402">
        <v>0</v>
      </c>
      <c r="M1402">
        <v>39359638.192000002</v>
      </c>
      <c r="N1402">
        <v>0</v>
      </c>
      <c r="O1402" t="b">
        <v>0</v>
      </c>
    </row>
    <row r="1403" spans="1:15" x14ac:dyDescent="0.3">
      <c r="A1403" s="1" t="s">
        <v>1503</v>
      </c>
      <c r="B1403">
        <v>20.163804458047281</v>
      </c>
      <c r="C1403">
        <v>3.3569973292345429E-2</v>
      </c>
      <c r="D1403">
        <v>1.548322650461992E-2</v>
      </c>
      <c r="E1403">
        <v>69.699725445352087</v>
      </c>
      <c r="F1403">
        <v>0.16278844664704969</v>
      </c>
      <c r="G1403">
        <v>0.4</v>
      </c>
      <c r="H1403">
        <v>7.6739330161490968E-2</v>
      </c>
      <c r="I1403">
        <v>0.53344997985301434</v>
      </c>
      <c r="J1403">
        <v>-3.8476209429989532E-3</v>
      </c>
      <c r="K1403">
        <v>-3.8476209429989532E-3</v>
      </c>
      <c r="L1403">
        <v>0</v>
      </c>
      <c r="M1403">
        <v>305313272</v>
      </c>
      <c r="N1403">
        <v>0</v>
      </c>
      <c r="O1403" t="b">
        <v>1</v>
      </c>
    </row>
    <row r="1404" spans="1:15" x14ac:dyDescent="0.3">
      <c r="A1404" s="1" t="s">
        <v>1504</v>
      </c>
      <c r="B1404">
        <v>3.102813588027884</v>
      </c>
      <c r="C1404">
        <v>2.6199557443450851E-2</v>
      </c>
      <c r="D1404">
        <v>5.328041881280083E-2</v>
      </c>
      <c r="E1404">
        <v>66.914672617677581</v>
      </c>
      <c r="F1404">
        <v>7.8459941355382812E-2</v>
      </c>
      <c r="G1404">
        <v>0.4</v>
      </c>
      <c r="H1404">
        <v>-5.5653639146893162E-2</v>
      </c>
      <c r="I1404">
        <v>1.262285207860538</v>
      </c>
      <c r="J1404">
        <v>0</v>
      </c>
      <c r="K1404">
        <v>4.3252290345313638E-2</v>
      </c>
      <c r="L1404">
        <v>0</v>
      </c>
      <c r="M1404">
        <v>53653982.202000007</v>
      </c>
      <c r="N1404">
        <v>0</v>
      </c>
      <c r="O1404" t="b">
        <v>0</v>
      </c>
    </row>
    <row r="1405" spans="1:15" x14ac:dyDescent="0.3">
      <c r="A1405" s="1" t="s">
        <v>1505</v>
      </c>
      <c r="B1405">
        <v>0.1840095448019804</v>
      </c>
      <c r="C1405">
        <v>2.3001193100247549E-2</v>
      </c>
      <c r="D1405">
        <v>1.749999999999996E-2</v>
      </c>
      <c r="E1405">
        <v>64.43462047263813</v>
      </c>
      <c r="F1405">
        <v>7.6716016150740307E-2</v>
      </c>
      <c r="G1405">
        <v>0.8</v>
      </c>
      <c r="H1405">
        <v>0.1229380388327807</v>
      </c>
      <c r="I1405">
        <v>1.3928955365233939</v>
      </c>
      <c r="J1405">
        <v>-1.1124845488257099E-2</v>
      </c>
      <c r="K1405">
        <v>-1.1124845488257099E-2</v>
      </c>
      <c r="L1405">
        <v>0</v>
      </c>
      <c r="M1405">
        <v>66034889.884439997</v>
      </c>
      <c r="N1405">
        <v>0</v>
      </c>
      <c r="O1405" t="b">
        <v>0</v>
      </c>
    </row>
    <row r="1406" spans="1:15" x14ac:dyDescent="0.3">
      <c r="A1406" s="1" t="s">
        <v>1506</v>
      </c>
      <c r="B1406">
        <v>8.7976699187207181</v>
      </c>
      <c r="C1406">
        <v>2.7000217650913549E-2</v>
      </c>
      <c r="D1406">
        <v>2.78022446806226E-2</v>
      </c>
      <c r="E1406">
        <v>50.398320690104192</v>
      </c>
      <c r="F1406">
        <v>2.7980742535524069E-2</v>
      </c>
      <c r="G1406">
        <v>0.2</v>
      </c>
      <c r="H1406">
        <v>-0.1065739799736391</v>
      </c>
      <c r="I1406">
        <v>0.95581371909625112</v>
      </c>
      <c r="J1406">
        <v>-2.688165620389571E-2</v>
      </c>
      <c r="K1406">
        <v>1.4739772783895599E-2</v>
      </c>
      <c r="L1406">
        <v>0</v>
      </c>
      <c r="M1406">
        <v>3121557702.6945</v>
      </c>
      <c r="N1406">
        <v>0</v>
      </c>
      <c r="O1406" t="b">
        <v>1</v>
      </c>
    </row>
    <row r="1407" spans="1:15" x14ac:dyDescent="0.3">
      <c r="A1407" s="1" t="s">
        <v>1507</v>
      </c>
      <c r="B1407">
        <v>1.5576713706172549</v>
      </c>
      <c r="C1407">
        <v>2.0975913959295111E-2</v>
      </c>
      <c r="D1407">
        <v>1.9525989765687968E-2</v>
      </c>
      <c r="E1407">
        <v>45.577006490290849</v>
      </c>
      <c r="F1407">
        <v>-3.9699987068408049E-2</v>
      </c>
      <c r="G1407">
        <v>0.6</v>
      </c>
      <c r="H1407">
        <v>-4.9217701357945717E-2</v>
      </c>
      <c r="I1407">
        <v>1.982797633576059E-2</v>
      </c>
      <c r="J1407">
        <v>-3.982415309025078E-2</v>
      </c>
      <c r="K1407">
        <v>1.1992368492777411E-2</v>
      </c>
      <c r="L1407">
        <v>0</v>
      </c>
      <c r="M1407">
        <v>91704110.718249992</v>
      </c>
      <c r="N1407">
        <v>0</v>
      </c>
      <c r="O1407" t="b">
        <v>0</v>
      </c>
    </row>
    <row r="1408" spans="1:15" x14ac:dyDescent="0.3">
      <c r="A1408" s="1" t="s">
        <v>1508</v>
      </c>
      <c r="B1408">
        <v>3.554461151565822</v>
      </c>
      <c r="C1408">
        <v>1.5174700522403989E-2</v>
      </c>
      <c r="D1408">
        <v>2.2127256271452692E-2</v>
      </c>
      <c r="E1408">
        <v>65.191265863072061</v>
      </c>
      <c r="F1408">
        <v>5.7876172540093362E-2</v>
      </c>
      <c r="G1408">
        <v>0.6</v>
      </c>
      <c r="H1408">
        <v>6.7962689148714839E-2</v>
      </c>
      <c r="I1408">
        <v>0.4485617705218311</v>
      </c>
      <c r="J1408">
        <v>-1.908949907109214E-3</v>
      </c>
      <c r="K1408">
        <v>1.6843494417336569E-2</v>
      </c>
      <c r="L1408">
        <v>0</v>
      </c>
      <c r="M1408">
        <v>706216143.20899999</v>
      </c>
      <c r="N1408">
        <v>0</v>
      </c>
      <c r="O1408" t="b">
        <v>1</v>
      </c>
    </row>
    <row r="1409" spans="1:15" x14ac:dyDescent="0.3">
      <c r="A1409" s="1" t="s">
        <v>1509</v>
      </c>
      <c r="B1409">
        <v>3.6297291111027041</v>
      </c>
      <c r="C1409">
        <v>3.0627523888742951E-2</v>
      </c>
      <c r="D1409">
        <v>3.3068381260969448E-2</v>
      </c>
      <c r="E1409">
        <v>59.374495882682389</v>
      </c>
      <c r="F1409">
        <v>1.477047959105038E-2</v>
      </c>
      <c r="G1409">
        <v>0.6</v>
      </c>
      <c r="H1409">
        <v>7.5207117350825137E-2</v>
      </c>
      <c r="I1409">
        <v>2.9759331775184941</v>
      </c>
      <c r="J1409">
        <v>0</v>
      </c>
      <c r="K1409">
        <v>1.921257675570609E-2</v>
      </c>
      <c r="L1409">
        <v>0</v>
      </c>
      <c r="M1409">
        <v>419430918.55860013</v>
      </c>
      <c r="N1409">
        <v>0</v>
      </c>
      <c r="O1409" t="b">
        <v>1</v>
      </c>
    </row>
    <row r="1410" spans="1:15" x14ac:dyDescent="0.3">
      <c r="A1410" s="1" t="s">
        <v>1510</v>
      </c>
      <c r="B1410">
        <v>2.213119147187526</v>
      </c>
      <c r="C1410">
        <v>2.2520893004423809E-2</v>
      </c>
      <c r="D1410">
        <v>3.1513306251373649E-2</v>
      </c>
      <c r="E1410">
        <v>65.785541333199532</v>
      </c>
      <c r="F1410">
        <v>8.9320909238037594E-2</v>
      </c>
      <c r="G1410">
        <v>0.8</v>
      </c>
      <c r="H1410">
        <v>0.1303809728995298</v>
      </c>
      <c r="I1410">
        <v>0.67238156573169228</v>
      </c>
      <c r="J1410">
        <v>0</v>
      </c>
      <c r="K1410">
        <v>2.7534524024873219E-2</v>
      </c>
      <c r="L1410">
        <v>0</v>
      </c>
      <c r="M1410">
        <v>590160276.77579999</v>
      </c>
      <c r="N1410">
        <v>0</v>
      </c>
      <c r="O1410" t="b">
        <v>1</v>
      </c>
    </row>
    <row r="1411" spans="1:15" x14ac:dyDescent="0.3">
      <c r="A1411" s="1" t="s">
        <v>1511</v>
      </c>
      <c r="B1411">
        <v>1.997081895830257</v>
      </c>
      <c r="C1411">
        <v>4.3875323961716818E-2</v>
      </c>
      <c r="D1411">
        <v>4.0887840201066859E-2</v>
      </c>
      <c r="E1411">
        <v>52.357186030422589</v>
      </c>
      <c r="F1411">
        <v>-2.4742886527253871E-2</v>
      </c>
      <c r="G1411">
        <v>0.4</v>
      </c>
      <c r="H1411">
        <v>4.9491016069787917E-2</v>
      </c>
      <c r="I1411">
        <v>2.014667144653512</v>
      </c>
      <c r="J1411">
        <v>-3.069099458243885E-2</v>
      </c>
      <c r="K1411">
        <v>-9.1407598651198629E-3</v>
      </c>
      <c r="L1411">
        <v>0</v>
      </c>
      <c r="M1411">
        <v>114145569.54595</v>
      </c>
      <c r="N1411">
        <v>0</v>
      </c>
      <c r="O1411" t="b">
        <v>1</v>
      </c>
    </row>
    <row r="1412" spans="1:15" x14ac:dyDescent="0.3">
      <c r="A1412" s="1" t="s">
        <v>1512</v>
      </c>
      <c r="B1412">
        <v>3.3130974625926299</v>
      </c>
      <c r="C1412">
        <v>4.1922022808966598E-2</v>
      </c>
      <c r="D1412">
        <v>4.2009363532835547E-2</v>
      </c>
      <c r="E1412">
        <v>66.198377901700951</v>
      </c>
      <c r="F1412">
        <v>0.27426636568848761</v>
      </c>
      <c r="G1412">
        <v>0.6</v>
      </c>
      <c r="H1412">
        <v>3.9884716390799872E-2</v>
      </c>
      <c r="I1412">
        <v>0.742464626226085</v>
      </c>
      <c r="J1412">
        <v>-2.0204571284252459E-3</v>
      </c>
      <c r="K1412">
        <v>2.7831967746130951E-2</v>
      </c>
      <c r="L1412">
        <v>0</v>
      </c>
      <c r="M1412">
        <v>118221714</v>
      </c>
      <c r="N1412">
        <v>0</v>
      </c>
      <c r="O1412" t="b">
        <v>1</v>
      </c>
    </row>
    <row r="1413" spans="1:15" x14ac:dyDescent="0.3">
      <c r="A1413" s="1" t="s">
        <v>1513</v>
      </c>
      <c r="B1413">
        <v>22.228003383072721</v>
      </c>
      <c r="C1413">
        <v>2.738241428284734E-2</v>
      </c>
      <c r="D1413">
        <v>3.6590774143160303E-2</v>
      </c>
      <c r="E1413">
        <v>45.415911612644209</v>
      </c>
      <c r="F1413">
        <v>-4.5911909029471509E-2</v>
      </c>
      <c r="G1413">
        <v>0.4</v>
      </c>
      <c r="H1413">
        <v>-0.1904274858326433</v>
      </c>
      <c r="I1413">
        <v>1.021170142918135</v>
      </c>
      <c r="J1413">
        <v>-5.4745358510251863E-2</v>
      </c>
      <c r="K1413">
        <v>2.999143536875493E-2</v>
      </c>
      <c r="L1413">
        <v>0</v>
      </c>
      <c r="M1413">
        <v>435011900.33899999</v>
      </c>
      <c r="N1413">
        <v>0</v>
      </c>
      <c r="O1413" t="b">
        <v>1</v>
      </c>
    </row>
    <row r="1414" spans="1:15" x14ac:dyDescent="0.3">
      <c r="A1414" s="1" t="s">
        <v>1514</v>
      </c>
      <c r="B1414">
        <v>1.7869099856057411</v>
      </c>
      <c r="C1414">
        <v>9.6262955244130251E-3</v>
      </c>
      <c r="D1414">
        <v>1.095201154998162E-2</v>
      </c>
      <c r="E1414">
        <v>61.362222997956778</v>
      </c>
      <c r="F1414">
        <v>1.058339321878865E-2</v>
      </c>
      <c r="G1414">
        <v>0.6</v>
      </c>
      <c r="H1414">
        <v>-6.5548992457633348E-2</v>
      </c>
      <c r="I1414">
        <v>0.92908782674940404</v>
      </c>
      <c r="J1414">
        <v>0</v>
      </c>
      <c r="K1414">
        <v>6.7249495628782796E-3</v>
      </c>
      <c r="L1414">
        <v>0</v>
      </c>
      <c r="M1414">
        <v>48450304.682999998</v>
      </c>
      <c r="N1414">
        <v>0</v>
      </c>
      <c r="O1414" t="b">
        <v>0</v>
      </c>
    </row>
    <row r="1415" spans="1:15" x14ac:dyDescent="0.3">
      <c r="A1415" s="1" t="s">
        <v>1515</v>
      </c>
      <c r="B1415">
        <v>0.98962537764155356</v>
      </c>
      <c r="C1415">
        <v>1.8655562925876459E-2</v>
      </c>
      <c r="D1415">
        <v>4.0330121099699932E-2</v>
      </c>
      <c r="E1415">
        <v>80.769454504213371</v>
      </c>
      <c r="F1415">
        <v>0.125684358845948</v>
      </c>
      <c r="G1415">
        <v>0.8</v>
      </c>
      <c r="H1415">
        <v>6.4378183314870205E-2</v>
      </c>
      <c r="I1415">
        <v>0.85924280701630285</v>
      </c>
      <c r="J1415">
        <v>0</v>
      </c>
      <c r="K1415">
        <v>3.8589401717433969E-2</v>
      </c>
      <c r="L1415">
        <v>0</v>
      </c>
      <c r="M1415">
        <v>412483174.82779998</v>
      </c>
      <c r="N1415">
        <v>0</v>
      </c>
      <c r="O1415" t="b">
        <v>1</v>
      </c>
    </row>
    <row r="1416" spans="1:15" x14ac:dyDescent="0.3">
      <c r="A1416" s="1" t="s">
        <v>1516</v>
      </c>
      <c r="B1416">
        <v>1.5182931560966539</v>
      </c>
      <c r="C1416">
        <v>2.008589967054708E-2</v>
      </c>
      <c r="D1416">
        <v>1.5081359968249769E-2</v>
      </c>
      <c r="E1416">
        <v>52.635858901866627</v>
      </c>
      <c r="F1416">
        <v>4.5504840940525648E-2</v>
      </c>
      <c r="G1416">
        <v>0.6</v>
      </c>
      <c r="H1416">
        <v>-0.1008007991295206</v>
      </c>
      <c r="I1416">
        <v>0.63098575896367315</v>
      </c>
      <c r="J1416">
        <v>-4.1708924949290023E-2</v>
      </c>
      <c r="K1416">
        <v>3.052016985138017E-3</v>
      </c>
      <c r="L1416">
        <v>0</v>
      </c>
      <c r="M1416">
        <v>137333163</v>
      </c>
      <c r="N1416">
        <v>0</v>
      </c>
      <c r="O1416" t="b">
        <v>1</v>
      </c>
    </row>
    <row r="1417" spans="1:15" x14ac:dyDescent="0.3">
      <c r="A1417" s="1" t="s">
        <v>1517</v>
      </c>
      <c r="B1417">
        <v>1.617944956911465E-2</v>
      </c>
      <c r="C1417">
        <v>3.243967392630579E-4</v>
      </c>
      <c r="D1417">
        <v>2.0049924311531741E-4</v>
      </c>
      <c r="E1417">
        <v>94.574793984269789</v>
      </c>
      <c r="F1417">
        <v>3.242527803871242E-3</v>
      </c>
      <c r="G1417">
        <v>0.8</v>
      </c>
      <c r="H1417">
        <v>-8.1650096237450467E-2</v>
      </c>
      <c r="I1417">
        <v>3.8206012389420362E-3</v>
      </c>
      <c r="J1417">
        <v>0</v>
      </c>
      <c r="K1417">
        <v>0</v>
      </c>
      <c r="L1417">
        <v>0</v>
      </c>
      <c r="M1417">
        <v>201557400.85589999</v>
      </c>
      <c r="N1417">
        <v>0</v>
      </c>
      <c r="O1417" t="b">
        <v>1</v>
      </c>
    </row>
    <row r="1418" spans="1:15" x14ac:dyDescent="0.3">
      <c r="A1418" s="1" t="s">
        <v>1518</v>
      </c>
      <c r="B1418">
        <v>0.1095159516870907</v>
      </c>
      <c r="C1418">
        <v>2.9553537188070928E-3</v>
      </c>
      <c r="D1418">
        <v>4.8034368860777072E-3</v>
      </c>
      <c r="E1418">
        <v>61.980307485750899</v>
      </c>
      <c r="F1418">
        <v>6.5488365018187E-3</v>
      </c>
      <c r="G1418">
        <v>0.4</v>
      </c>
      <c r="H1418">
        <v>-9.6811314825088896E-2</v>
      </c>
      <c r="I1418">
        <v>0.20719731936890509</v>
      </c>
      <c r="J1418">
        <v>-4.0192383947856852E-4</v>
      </c>
      <c r="K1418">
        <v>3.213484180290882E-3</v>
      </c>
      <c r="L1418">
        <v>0</v>
      </c>
      <c r="M1418">
        <v>384956010.15815002</v>
      </c>
      <c r="N1418">
        <v>0</v>
      </c>
      <c r="O1418" t="b">
        <v>1</v>
      </c>
    </row>
    <row r="1419" spans="1:15" x14ac:dyDescent="0.3">
      <c r="A1419" s="1" t="s">
        <v>1519</v>
      </c>
      <c r="B1419">
        <v>0.1593889691767772</v>
      </c>
      <c r="C1419">
        <v>3.0899275576401941E-3</v>
      </c>
      <c r="D1419">
        <v>4.615826021549624E-3</v>
      </c>
      <c r="E1419">
        <v>53.96860892237337</v>
      </c>
      <c r="F1419">
        <v>4.8407613533871796E-3</v>
      </c>
      <c r="G1419">
        <v>0.2</v>
      </c>
      <c r="H1419">
        <v>-9.5297970015156774E-2</v>
      </c>
      <c r="I1419">
        <v>5.0534300651052133E-2</v>
      </c>
      <c r="J1419">
        <v>-4.3602210413961062E-3</v>
      </c>
      <c r="K1419">
        <v>3.474383715139417E-3</v>
      </c>
      <c r="L1419">
        <v>0</v>
      </c>
      <c r="M1419">
        <v>56452320.288650014</v>
      </c>
      <c r="N1419">
        <v>0</v>
      </c>
      <c r="O1419" t="b">
        <v>0</v>
      </c>
    </row>
    <row r="1420" spans="1:15" x14ac:dyDescent="0.3">
      <c r="A1420" s="1" t="s">
        <v>1520</v>
      </c>
      <c r="B1420">
        <v>0.72054946941487463</v>
      </c>
      <c r="C1420">
        <v>7.7086539551064542E-3</v>
      </c>
      <c r="D1420">
        <v>6.8190960364940337E-3</v>
      </c>
      <c r="E1420">
        <v>48.028011212289002</v>
      </c>
      <c r="F1420">
        <v>5.0330789734283066E-3</v>
      </c>
      <c r="G1420">
        <v>0.4</v>
      </c>
      <c r="H1420">
        <v>-0.13041599190626951</v>
      </c>
      <c r="I1420">
        <v>0.34432506665989238</v>
      </c>
      <c r="J1420">
        <v>-1.5419748105843119E-2</v>
      </c>
      <c r="K1420">
        <v>2.1356525319062851E-3</v>
      </c>
      <c r="L1420">
        <v>0</v>
      </c>
      <c r="M1420">
        <v>189386802.55254999</v>
      </c>
      <c r="N1420">
        <v>0</v>
      </c>
      <c r="O1420" t="b">
        <v>1</v>
      </c>
    </row>
    <row r="1421" spans="1:15" x14ac:dyDescent="0.3">
      <c r="A1421" s="1" t="s">
        <v>1521</v>
      </c>
      <c r="B1421">
        <v>11.40289769505452</v>
      </c>
      <c r="C1421">
        <v>2.3517917945498731E-2</v>
      </c>
      <c r="D1421">
        <v>2.0356391535701041E-2</v>
      </c>
      <c r="E1421">
        <v>61.005582852193797</v>
      </c>
      <c r="F1421">
        <v>6.8138259202960905E-2</v>
      </c>
      <c r="G1421">
        <v>0.6</v>
      </c>
      <c r="H1421">
        <v>0.11354789196393369</v>
      </c>
      <c r="I1421">
        <v>0.18961859705607181</v>
      </c>
      <c r="J1421">
        <v>-9.094439108131791E-3</v>
      </c>
      <c r="K1421">
        <v>1.7843647661432541E-2</v>
      </c>
      <c r="L1421">
        <v>0</v>
      </c>
      <c r="M1421">
        <v>166758155</v>
      </c>
      <c r="N1421">
        <v>0</v>
      </c>
      <c r="O1421" t="b">
        <v>1</v>
      </c>
    </row>
    <row r="1422" spans="1:15" x14ac:dyDescent="0.3">
      <c r="A1422" s="1" t="s">
        <v>1522</v>
      </c>
      <c r="B1422">
        <v>0.23368613869557359</v>
      </c>
      <c r="C1422">
        <v>4.2532235722203382E-2</v>
      </c>
      <c r="D1422">
        <v>3.7433135614351437E-2</v>
      </c>
      <c r="E1422">
        <v>51.971607857426832</v>
      </c>
      <c r="F1422">
        <v>3.124906153337936E-2</v>
      </c>
      <c r="G1422">
        <v>0.4</v>
      </c>
      <c r="H1422">
        <v>-0.12614865175502391</v>
      </c>
      <c r="I1422">
        <v>1.5749805658061149</v>
      </c>
      <c r="J1422">
        <v>-4.2662889123533443E-2</v>
      </c>
      <c r="K1422">
        <v>1.081027380753063E-2</v>
      </c>
      <c r="L1422">
        <v>0</v>
      </c>
      <c r="M1422">
        <v>30289939.632155001</v>
      </c>
      <c r="N1422">
        <v>0</v>
      </c>
      <c r="O1422" t="b">
        <v>0</v>
      </c>
    </row>
    <row r="1423" spans="1:15" x14ac:dyDescent="0.3">
      <c r="A1423" s="1" t="s">
        <v>1523</v>
      </c>
      <c r="B1423">
        <v>5.4912284014093844</v>
      </c>
      <c r="C1423">
        <v>1.6892968687040499E-2</v>
      </c>
      <c r="D1423">
        <v>1.061957792407572E-2</v>
      </c>
      <c r="E1423">
        <v>40.519311518919608</v>
      </c>
      <c r="F1423">
        <v>-2.5307346326836622E-2</v>
      </c>
      <c r="G1423">
        <v>0.2</v>
      </c>
      <c r="H1423">
        <v>-0.1378461671593561</v>
      </c>
      <c r="I1423">
        <v>0.42082318004606051</v>
      </c>
      <c r="J1423">
        <v>-3.8804434285579108E-2</v>
      </c>
      <c r="K1423">
        <v>-2.3570718293086661E-3</v>
      </c>
      <c r="L1423">
        <v>0</v>
      </c>
      <c r="M1423">
        <v>1984950184.155</v>
      </c>
      <c r="N1423">
        <v>0</v>
      </c>
      <c r="O1423" t="b">
        <v>1</v>
      </c>
    </row>
    <row r="1424" spans="1:15" x14ac:dyDescent="0.3">
      <c r="A1424" s="1" t="s">
        <v>1524</v>
      </c>
      <c r="B1424">
        <v>0.27580535211364843</v>
      </c>
      <c r="C1424">
        <v>2.2355768544767281E-2</v>
      </c>
      <c r="D1424">
        <v>2.0020912532118709E-2</v>
      </c>
      <c r="E1424">
        <v>61.92705645507759</v>
      </c>
      <c r="F1424">
        <v>5.6095807153007098E-2</v>
      </c>
      <c r="G1424">
        <v>0.4</v>
      </c>
      <c r="H1424">
        <v>0.1931501506240913</v>
      </c>
      <c r="I1424">
        <v>0.87455938754189078</v>
      </c>
      <c r="J1424">
        <v>-4.2031618834637803E-2</v>
      </c>
      <c r="K1424">
        <v>1.484790155142068E-2</v>
      </c>
      <c r="L1424">
        <v>0</v>
      </c>
      <c r="M1424">
        <v>303912652.26055002</v>
      </c>
      <c r="N1424">
        <v>0</v>
      </c>
      <c r="O1424" t="b">
        <v>1</v>
      </c>
    </row>
    <row r="1425" spans="1:15" x14ac:dyDescent="0.3">
      <c r="A1425" s="1" t="s">
        <v>1525</v>
      </c>
      <c r="B1425">
        <v>3.757128207172626</v>
      </c>
      <c r="C1425">
        <v>1.431565068707683E-2</v>
      </c>
      <c r="D1425">
        <v>2.012200465614274E-2</v>
      </c>
      <c r="E1425">
        <v>64.407630467503566</v>
      </c>
      <c r="F1425">
        <v>3.1850063692264063E-2</v>
      </c>
      <c r="G1425">
        <v>0.4</v>
      </c>
      <c r="H1425">
        <v>-5.8928803278721562E-2</v>
      </c>
      <c r="I1425">
        <v>1.143321610640331</v>
      </c>
      <c r="J1425">
        <v>0</v>
      </c>
      <c r="K1425">
        <v>1.6086320239727E-2</v>
      </c>
      <c r="L1425">
        <v>0</v>
      </c>
      <c r="M1425">
        <v>171850706.40900001</v>
      </c>
      <c r="N1425">
        <v>0</v>
      </c>
      <c r="O1425" t="b">
        <v>1</v>
      </c>
    </row>
    <row r="1426" spans="1:15" x14ac:dyDescent="0.3">
      <c r="A1426" s="1" t="s">
        <v>1526</v>
      </c>
      <c r="B1426">
        <v>2.080658855140001E-2</v>
      </c>
      <c r="C1426">
        <v>2.7719905184512162E-4</v>
      </c>
      <c r="D1426">
        <v>2.637886173877916E-4</v>
      </c>
      <c r="E1426">
        <v>93.579560046735921</v>
      </c>
      <c r="F1426">
        <v>3.3029019020758281E-3</v>
      </c>
      <c r="G1426">
        <v>0.4</v>
      </c>
      <c r="H1426">
        <v>-8.1877368551365529E-2</v>
      </c>
      <c r="I1426">
        <v>1.1775912524845339E-3</v>
      </c>
      <c r="J1426">
        <v>0</v>
      </c>
      <c r="K1426">
        <v>0</v>
      </c>
      <c r="L1426">
        <v>0</v>
      </c>
      <c r="M1426">
        <v>64282655.900000013</v>
      </c>
      <c r="N1426">
        <v>0</v>
      </c>
      <c r="O1426" t="b">
        <v>0</v>
      </c>
    </row>
    <row r="1427" spans="1:15" x14ac:dyDescent="0.3">
      <c r="A1427" s="1" t="s">
        <v>1527</v>
      </c>
      <c r="B1427">
        <v>5.1233764789151106</v>
      </c>
      <c r="C1427">
        <v>1.659914687015876E-2</v>
      </c>
      <c r="D1427">
        <v>1.876864958383688E-2</v>
      </c>
      <c r="E1427">
        <v>62.17257892583428</v>
      </c>
      <c r="F1427">
        <v>2.141762718370788E-2</v>
      </c>
      <c r="G1427">
        <v>0.4</v>
      </c>
      <c r="H1427">
        <v>-3.733034456414587E-2</v>
      </c>
      <c r="I1427">
        <v>1.3767149372739811</v>
      </c>
      <c r="J1427">
        <v>0</v>
      </c>
      <c r="K1427">
        <v>9.8051404192949221E-3</v>
      </c>
      <c r="L1427">
        <v>0</v>
      </c>
      <c r="M1427">
        <v>57862869.125500001</v>
      </c>
      <c r="N1427">
        <v>0</v>
      </c>
      <c r="O1427" t="b">
        <v>0</v>
      </c>
    </row>
    <row r="1428" spans="1:15" x14ac:dyDescent="0.3">
      <c r="A1428" s="1" t="s">
        <v>1528</v>
      </c>
      <c r="B1428">
        <v>2.8709834697090209</v>
      </c>
      <c r="C1428">
        <v>1.3370139708328189E-2</v>
      </c>
      <c r="D1428">
        <v>2.3592308516236601E-2</v>
      </c>
      <c r="E1428">
        <v>65.888466266648607</v>
      </c>
      <c r="F1428">
        <v>3.9698448666550368E-2</v>
      </c>
      <c r="G1428">
        <v>0.6</v>
      </c>
      <c r="H1428">
        <v>-6.2486289734384123E-2</v>
      </c>
      <c r="I1428">
        <v>0.96179839360260755</v>
      </c>
      <c r="J1428">
        <v>0</v>
      </c>
      <c r="K1428">
        <v>2.0380912555478359E-2</v>
      </c>
      <c r="L1428">
        <v>0</v>
      </c>
      <c r="M1428">
        <v>73843239.338</v>
      </c>
      <c r="N1428">
        <v>0</v>
      </c>
      <c r="O1428" t="b">
        <v>0</v>
      </c>
    </row>
    <row r="1429" spans="1:15" x14ac:dyDescent="0.3">
      <c r="A1429" s="1" t="s">
        <v>1529</v>
      </c>
      <c r="B1429">
        <v>0.25449665540814498</v>
      </c>
      <c r="C1429">
        <v>3.0524629370733991E-3</v>
      </c>
      <c r="D1429">
        <v>4.9991484176159402E-3</v>
      </c>
      <c r="E1429">
        <v>55.800561033931942</v>
      </c>
      <c r="F1429">
        <v>7.179279027879959E-3</v>
      </c>
      <c r="G1429">
        <v>0.2</v>
      </c>
      <c r="H1429">
        <v>-9.0080125220380461E-2</v>
      </c>
      <c r="I1429">
        <v>4.2504096784215482E-2</v>
      </c>
      <c r="J1429">
        <v>-3.4138259952809502E-3</v>
      </c>
      <c r="K1429">
        <v>3.7030527311820989E-3</v>
      </c>
      <c r="L1429">
        <v>0</v>
      </c>
      <c r="M1429">
        <v>684977035.33119988</v>
      </c>
      <c r="N1429">
        <v>0</v>
      </c>
      <c r="O1429" t="b">
        <v>1</v>
      </c>
    </row>
    <row r="1430" spans="1:15" x14ac:dyDescent="0.3">
      <c r="A1430" s="1" t="s">
        <v>1530</v>
      </c>
      <c r="B1430">
        <v>0.44675309975708788</v>
      </c>
      <c r="C1430">
        <v>5.8665200288509694E-3</v>
      </c>
      <c r="D1430">
        <v>7.1592714666525821E-3</v>
      </c>
      <c r="E1430">
        <v>50.862540393346308</v>
      </c>
      <c r="F1430">
        <v>4.001344768258086E-3</v>
      </c>
      <c r="G1430">
        <v>0.2</v>
      </c>
      <c r="H1430">
        <v>-0.1115231192180743</v>
      </c>
      <c r="I1430">
        <v>9.5970640311039565E-2</v>
      </c>
      <c r="J1430">
        <v>-1.003960985527497E-2</v>
      </c>
      <c r="K1430">
        <v>5.4980022868733602E-3</v>
      </c>
      <c r="L1430">
        <v>0</v>
      </c>
      <c r="M1430">
        <v>239646988.89475</v>
      </c>
      <c r="N1430">
        <v>0</v>
      </c>
      <c r="O1430" t="b">
        <v>1</v>
      </c>
    </row>
    <row r="1431" spans="1:15" x14ac:dyDescent="0.3">
      <c r="A1431" s="1" t="s">
        <v>1531</v>
      </c>
      <c r="B1431">
        <v>5.9862869771776461</v>
      </c>
      <c r="C1431">
        <v>1.5119635330609719E-2</v>
      </c>
      <c r="D1431">
        <v>1.9261077771716151E-2</v>
      </c>
      <c r="E1431">
        <v>58.560339959715918</v>
      </c>
      <c r="F1431">
        <v>7.0583208064034508E-3</v>
      </c>
      <c r="G1431">
        <v>0.6</v>
      </c>
      <c r="H1431">
        <v>-8.190314178616806E-2</v>
      </c>
      <c r="I1431">
        <v>1.3541671886404629</v>
      </c>
      <c r="J1431">
        <v>0</v>
      </c>
      <c r="K1431">
        <v>1.494236078533917E-2</v>
      </c>
      <c r="L1431">
        <v>0</v>
      </c>
      <c r="M1431">
        <v>16238232.7305</v>
      </c>
      <c r="N1431">
        <v>0</v>
      </c>
      <c r="O1431" t="b">
        <v>0</v>
      </c>
    </row>
    <row r="1432" spans="1:15" x14ac:dyDescent="0.3">
      <c r="A1432" s="1" t="s">
        <v>1532</v>
      </c>
      <c r="B1432">
        <v>0.20927553666299131</v>
      </c>
      <c r="C1432">
        <v>2.697962261022474E-3</v>
      </c>
      <c r="D1432">
        <v>3.9629744224420772E-3</v>
      </c>
      <c r="E1432">
        <v>52.566602788994551</v>
      </c>
      <c r="F1432">
        <v>3.746190725751664E-3</v>
      </c>
      <c r="G1432">
        <v>0.2</v>
      </c>
      <c r="H1432">
        <v>-8.8339695999118728E-2</v>
      </c>
      <c r="I1432">
        <v>-2.9594312221337829E-3</v>
      </c>
      <c r="J1432">
        <v>-4.651580574999481E-3</v>
      </c>
      <c r="K1432">
        <v>3.2308046488407349E-3</v>
      </c>
      <c r="L1432">
        <v>0</v>
      </c>
      <c r="M1432">
        <v>20383949.096299998</v>
      </c>
      <c r="N1432">
        <v>0</v>
      </c>
      <c r="O1432" t="b">
        <v>0</v>
      </c>
    </row>
    <row r="1433" spans="1:15" x14ac:dyDescent="0.3">
      <c r="A1433" s="1" t="s">
        <v>1533</v>
      </c>
      <c r="B1433">
        <v>0.10731311669831479</v>
      </c>
      <c r="C1433">
        <v>1.3552750341406081E-3</v>
      </c>
      <c r="D1433">
        <v>2.5081521258672949E-3</v>
      </c>
      <c r="E1433">
        <v>60.474798837970688</v>
      </c>
      <c r="F1433">
        <v>4.9076655781894463E-3</v>
      </c>
      <c r="G1433">
        <v>0.2</v>
      </c>
      <c r="H1433">
        <v>-8.5380042625082808E-2</v>
      </c>
      <c r="I1433">
        <v>1.9589941033031209E-2</v>
      </c>
      <c r="J1433">
        <v>-5.0112658811063415E-4</v>
      </c>
      <c r="K1433">
        <v>2.13635730829087E-3</v>
      </c>
      <c r="L1433">
        <v>0</v>
      </c>
      <c r="M1433">
        <v>312746670.38250011</v>
      </c>
      <c r="N1433">
        <v>0</v>
      </c>
      <c r="O1433" t="b">
        <v>1</v>
      </c>
    </row>
    <row r="1434" spans="1:15" x14ac:dyDescent="0.3">
      <c r="A1434" s="1" t="s">
        <v>1534</v>
      </c>
      <c r="B1434">
        <v>2.010689629651726</v>
      </c>
      <c r="C1434">
        <v>9.5046946052259104E-3</v>
      </c>
      <c r="D1434">
        <v>6.7691813166813426E-3</v>
      </c>
      <c r="E1434">
        <v>50.486132021121847</v>
      </c>
      <c r="F1434">
        <v>2.0285423529355029E-2</v>
      </c>
      <c r="G1434">
        <v>0.4</v>
      </c>
      <c r="H1434">
        <v>-0.1144282351454711</v>
      </c>
      <c r="I1434">
        <v>-5.0752738299539267E-2</v>
      </c>
      <c r="J1434">
        <v>-1.5180998845480629E-2</v>
      </c>
      <c r="K1434">
        <v>4.2088736297518642E-4</v>
      </c>
      <c r="L1434">
        <v>0</v>
      </c>
      <c r="M1434">
        <v>24823244.0255</v>
      </c>
      <c r="N1434">
        <v>0</v>
      </c>
      <c r="O1434" t="b">
        <v>0</v>
      </c>
    </row>
    <row r="1435" spans="1:15" x14ac:dyDescent="0.3">
      <c r="A1435" s="1" t="s">
        <v>1535</v>
      </c>
      <c r="B1435">
        <v>2.1094786478188028</v>
      </c>
      <c r="C1435">
        <v>1.633039402220866E-2</v>
      </c>
      <c r="D1435">
        <v>1.3586220243855199E-2</v>
      </c>
      <c r="E1435">
        <v>59.637259681899224</v>
      </c>
      <c r="F1435">
        <v>2.2690386274929031E-2</v>
      </c>
      <c r="G1435">
        <v>0.6</v>
      </c>
      <c r="H1435">
        <v>-1.0668841323069431E-5</v>
      </c>
      <c r="I1435">
        <v>0.46341847460147739</v>
      </c>
      <c r="J1435">
        <v>-1.1521450001547029E-3</v>
      </c>
      <c r="K1435">
        <v>8.5178476624716559E-3</v>
      </c>
      <c r="L1435">
        <v>0</v>
      </c>
      <c r="M1435">
        <v>50146352.520000003</v>
      </c>
      <c r="N1435">
        <v>0</v>
      </c>
      <c r="O1435" t="b">
        <v>0</v>
      </c>
    </row>
    <row r="1436" spans="1:15" x14ac:dyDescent="0.3">
      <c r="A1436" s="1" t="s">
        <v>1536</v>
      </c>
      <c r="B1436">
        <v>0.53821577061466297</v>
      </c>
      <c r="C1436">
        <v>8.7515470957432659E-3</v>
      </c>
      <c r="D1436">
        <v>1.279197391848708E-2</v>
      </c>
      <c r="E1436">
        <v>64.079653482842929</v>
      </c>
      <c r="F1436">
        <v>1.9396876807786571E-2</v>
      </c>
      <c r="G1436">
        <v>0.6</v>
      </c>
      <c r="H1436">
        <v>-8.6386256075505173E-3</v>
      </c>
      <c r="I1436">
        <v>0.77298112317964673</v>
      </c>
      <c r="J1436">
        <v>0</v>
      </c>
      <c r="K1436">
        <v>1.132030172123177E-2</v>
      </c>
      <c r="L1436">
        <v>0</v>
      </c>
      <c r="M1436">
        <v>658303065.59790003</v>
      </c>
      <c r="N1436">
        <v>0</v>
      </c>
      <c r="O1436" t="b">
        <v>1</v>
      </c>
    </row>
    <row r="1437" spans="1:15" x14ac:dyDescent="0.3">
      <c r="A1437" s="1" t="s">
        <v>1537</v>
      </c>
      <c r="B1437">
        <v>7.8082772312782316</v>
      </c>
      <c r="C1437">
        <v>3.4073473692085153E-2</v>
      </c>
      <c r="D1437">
        <v>2.6051666957584211E-2</v>
      </c>
      <c r="E1437">
        <v>20.473981280213081</v>
      </c>
      <c r="F1437">
        <v>-0.22515638207945901</v>
      </c>
      <c r="G1437">
        <v>0.2</v>
      </c>
      <c r="H1437">
        <v>-0.18389309412986179</v>
      </c>
      <c r="I1437">
        <v>0.42103555173169821</v>
      </c>
      <c r="J1437">
        <v>-0.23383483784687401</v>
      </c>
      <c r="K1437">
        <v>-1.2241379310344859E-2</v>
      </c>
      <c r="L1437">
        <v>0</v>
      </c>
      <c r="M1437">
        <v>289276319.5</v>
      </c>
      <c r="N1437">
        <v>0</v>
      </c>
      <c r="O1437" t="b">
        <v>1</v>
      </c>
    </row>
    <row r="1438" spans="1:15" x14ac:dyDescent="0.3">
      <c r="A1438" s="1" t="s">
        <v>1538</v>
      </c>
      <c r="B1438">
        <v>0.61907070874189862</v>
      </c>
      <c r="C1438">
        <v>8.5136823417227125E-3</v>
      </c>
      <c r="D1438">
        <v>1.257103093180487E-2</v>
      </c>
      <c r="E1438">
        <v>62.420030788156183</v>
      </c>
      <c r="F1438">
        <v>1.010314290675463E-2</v>
      </c>
      <c r="G1438">
        <v>0.6</v>
      </c>
      <c r="H1438">
        <v>-2.069251022709084E-2</v>
      </c>
      <c r="I1438">
        <v>0.79754899225277198</v>
      </c>
      <c r="J1438">
        <v>0</v>
      </c>
      <c r="K1438">
        <v>1.106944369127905E-2</v>
      </c>
      <c r="L1438">
        <v>0</v>
      </c>
      <c r="M1438">
        <v>152838967.2956</v>
      </c>
      <c r="N1438">
        <v>0</v>
      </c>
      <c r="O1438" t="b">
        <v>1</v>
      </c>
    </row>
    <row r="1439" spans="1:15" x14ac:dyDescent="0.3">
      <c r="A1439" s="1" t="s">
        <v>1539</v>
      </c>
      <c r="B1439">
        <v>0.8137580159797535</v>
      </c>
      <c r="C1439">
        <v>4.2449557432433671E-2</v>
      </c>
      <c r="D1439">
        <v>6.7814293166405873E-2</v>
      </c>
      <c r="E1439">
        <v>69.019135135158422</v>
      </c>
      <c r="F1439">
        <v>0.31684698608964479</v>
      </c>
      <c r="G1439">
        <v>0.6</v>
      </c>
      <c r="H1439">
        <v>9.7361479801481784E-2</v>
      </c>
      <c r="I1439">
        <v>1.754921239232432</v>
      </c>
      <c r="J1439">
        <v>0</v>
      </c>
      <c r="K1439">
        <v>6.028761061946919E-2</v>
      </c>
      <c r="L1439">
        <v>0</v>
      </c>
      <c r="M1439">
        <v>103061374.8184</v>
      </c>
      <c r="N1439">
        <v>0</v>
      </c>
      <c r="O1439" t="b">
        <v>1</v>
      </c>
    </row>
    <row r="1440" spans="1:15" x14ac:dyDescent="0.3">
      <c r="A1440" s="1" t="s">
        <v>1540</v>
      </c>
      <c r="B1440">
        <v>1.6101813241424909</v>
      </c>
      <c r="C1440">
        <v>1.2254696400436031E-2</v>
      </c>
      <c r="D1440">
        <v>1.7565623739468562E-2</v>
      </c>
      <c r="E1440">
        <v>63.004509699510677</v>
      </c>
      <c r="F1440">
        <v>2.3405614231859721E-2</v>
      </c>
      <c r="G1440">
        <v>0.4</v>
      </c>
      <c r="H1440">
        <v>-9.6999313169543813E-2</v>
      </c>
      <c r="I1440">
        <v>0.70865902052962182</v>
      </c>
      <c r="J1440">
        <v>0</v>
      </c>
      <c r="K1440">
        <v>1.335009486202576E-2</v>
      </c>
      <c r="L1440">
        <v>0</v>
      </c>
      <c r="M1440">
        <v>57255827.5625</v>
      </c>
      <c r="N1440">
        <v>0</v>
      </c>
      <c r="O1440" t="b">
        <v>0</v>
      </c>
    </row>
    <row r="1441" spans="1:15" x14ac:dyDescent="0.3">
      <c r="A1441" s="1" t="s">
        <v>1541</v>
      </c>
      <c r="B1441">
        <v>0.49633984197937642</v>
      </c>
      <c r="C1441">
        <v>1.2486536905141539E-2</v>
      </c>
      <c r="D1441">
        <v>1.8948427672955969E-2</v>
      </c>
      <c r="E1441">
        <v>69.373559923958396</v>
      </c>
      <c r="F1441">
        <v>5.1937947569824949E-2</v>
      </c>
      <c r="G1441">
        <v>0.8</v>
      </c>
      <c r="H1441">
        <v>1.9537904938371559E-2</v>
      </c>
      <c r="I1441">
        <v>0.80354868397855861</v>
      </c>
      <c r="J1441">
        <v>0</v>
      </c>
      <c r="K1441">
        <v>1.681908294429868E-2</v>
      </c>
      <c r="L1441">
        <v>0</v>
      </c>
      <c r="M1441">
        <v>34500380.845799997</v>
      </c>
      <c r="N1441">
        <v>0</v>
      </c>
      <c r="O1441" t="b">
        <v>0</v>
      </c>
    </row>
    <row r="1442" spans="1:15" x14ac:dyDescent="0.3">
      <c r="A1442" s="1" t="s">
        <v>1542</v>
      </c>
      <c r="B1442">
        <v>0.1227341829477079</v>
      </c>
      <c r="C1442">
        <v>3.7418958215764603E-2</v>
      </c>
      <c r="D1442">
        <v>1.8292682926829149E-2</v>
      </c>
      <c r="E1442">
        <v>46.254568052530537</v>
      </c>
      <c r="F1442">
        <v>-7.0821529745042522E-2</v>
      </c>
      <c r="G1442">
        <v>0.6</v>
      </c>
      <c r="H1442">
        <v>-1.9459753837451101E-2</v>
      </c>
      <c r="I1442">
        <v>0.65552304659789618</v>
      </c>
      <c r="J1442">
        <v>-8.3798882681564324E-2</v>
      </c>
      <c r="K1442">
        <v>3.0581039755350758E-3</v>
      </c>
      <c r="L1442">
        <v>0</v>
      </c>
      <c r="M1442">
        <v>1790040</v>
      </c>
      <c r="N1442">
        <v>1</v>
      </c>
      <c r="O1442" t="b">
        <v>0</v>
      </c>
    </row>
    <row r="1443" spans="1:15" x14ac:dyDescent="0.3">
      <c r="A1443" s="1" t="s">
        <v>1543</v>
      </c>
      <c r="B1443">
        <v>0.48399209125286258</v>
      </c>
      <c r="C1443">
        <v>7.9956137601617433E-2</v>
      </c>
      <c r="D1443">
        <v>0.1037893881273108</v>
      </c>
      <c r="E1443">
        <v>29.674290378566312</v>
      </c>
      <c r="F1443">
        <v>-0.28504121523221448</v>
      </c>
      <c r="G1443">
        <v>0.4</v>
      </c>
      <c r="H1443">
        <v>-0.26924940106806949</v>
      </c>
      <c r="I1443">
        <v>2.8421549915660291</v>
      </c>
      <c r="J1443">
        <v>-0.2533829662054905</v>
      </c>
      <c r="K1443">
        <v>-8.4464288145052691E-2</v>
      </c>
      <c r="L1443">
        <v>1.8018018018018021E-2</v>
      </c>
      <c r="M1443">
        <v>75636955.58465001</v>
      </c>
      <c r="N1443">
        <v>3</v>
      </c>
      <c r="O1443" t="b">
        <v>0</v>
      </c>
    </row>
    <row r="1444" spans="1:15" x14ac:dyDescent="0.3">
      <c r="A1444" s="1" t="s">
        <v>1544</v>
      </c>
      <c r="B1444">
        <v>0.14345330746469301</v>
      </c>
      <c r="C1444">
        <v>2.405965843698728E-3</v>
      </c>
      <c r="D1444">
        <v>3.3342278277203562E-3</v>
      </c>
      <c r="E1444">
        <v>49.440262370336249</v>
      </c>
      <c r="F1444">
        <v>2.4159259452289921E-3</v>
      </c>
      <c r="G1444">
        <v>0.2</v>
      </c>
      <c r="H1444">
        <v>-8.8345512314814259E-2</v>
      </c>
      <c r="I1444">
        <v>-4.39939662811994E-2</v>
      </c>
      <c r="J1444">
        <v>-6.0281134138859827E-3</v>
      </c>
      <c r="K1444">
        <v>2.6738417556546601E-3</v>
      </c>
      <c r="L1444">
        <v>0</v>
      </c>
      <c r="M1444">
        <v>143052953.76644999</v>
      </c>
      <c r="N1444">
        <v>0</v>
      </c>
      <c r="O1444" t="b">
        <v>1</v>
      </c>
    </row>
    <row r="1445" spans="1:15" x14ac:dyDescent="0.3">
      <c r="A1445" s="1" t="s">
        <v>1545</v>
      </c>
      <c r="B1445">
        <v>0.74297991876391134</v>
      </c>
      <c r="C1445">
        <v>9.0788441178242373E-3</v>
      </c>
      <c r="D1445">
        <v>1.379948287070302E-2</v>
      </c>
      <c r="E1445">
        <v>62.138972221505867</v>
      </c>
      <c r="F1445">
        <v>2.0757818795043681E-2</v>
      </c>
      <c r="G1445">
        <v>0.4</v>
      </c>
      <c r="H1445">
        <v>-2.1580729405277301E-2</v>
      </c>
      <c r="I1445">
        <v>0.64305477513846765</v>
      </c>
      <c r="J1445">
        <v>0</v>
      </c>
      <c r="K1445">
        <v>1.2252955626637309E-2</v>
      </c>
      <c r="L1445">
        <v>0</v>
      </c>
      <c r="M1445">
        <v>232479752.08109999</v>
      </c>
      <c r="N1445">
        <v>0</v>
      </c>
      <c r="O1445" t="b">
        <v>1</v>
      </c>
    </row>
    <row r="1446" spans="1:15" x14ac:dyDescent="0.3">
      <c r="A1446" s="1" t="s">
        <v>1546</v>
      </c>
      <c r="B1446">
        <v>0.35224902884427428</v>
      </c>
      <c r="C1446">
        <v>6.3032291741319836E-3</v>
      </c>
      <c r="D1446">
        <v>6.7532867247989924E-3</v>
      </c>
      <c r="E1446">
        <v>43.11397040574245</v>
      </c>
      <c r="F1446">
        <v>-8.0655610836677383E-3</v>
      </c>
      <c r="G1446">
        <v>0.4</v>
      </c>
      <c r="H1446">
        <v>-9.4494158429509395E-2</v>
      </c>
      <c r="I1446">
        <v>-0.1025159453939614</v>
      </c>
      <c r="J1446">
        <v>-2.0451983937094579E-2</v>
      </c>
      <c r="K1446">
        <v>3.9252390174147056E-3</v>
      </c>
      <c r="L1446">
        <v>0</v>
      </c>
      <c r="M1446">
        <v>107723245.84649999</v>
      </c>
      <c r="N1446">
        <v>0</v>
      </c>
      <c r="O1446" t="b">
        <v>1</v>
      </c>
    </row>
    <row r="1447" spans="1:15" x14ac:dyDescent="0.3">
      <c r="A1447" s="1" t="s">
        <v>1547</v>
      </c>
      <c r="B1447">
        <v>4.991737909747071E-2</v>
      </c>
      <c r="C1447">
        <v>8.5501903163789125E-4</v>
      </c>
      <c r="D1447">
        <v>1.702591227372935E-3</v>
      </c>
      <c r="E1447">
        <v>62.358176841973147</v>
      </c>
      <c r="F1447">
        <v>3.3202493967869891E-3</v>
      </c>
      <c r="G1447">
        <v>0.2</v>
      </c>
      <c r="H1447">
        <v>-8.2869774025248588E-2</v>
      </c>
      <c r="I1447">
        <v>-2.1491785290819309E-2</v>
      </c>
      <c r="J1447">
        <v>-5.1017438376754765E-4</v>
      </c>
      <c r="K1447">
        <v>1.193579366168152E-3</v>
      </c>
      <c r="L1447">
        <v>0</v>
      </c>
      <c r="M1447">
        <v>139279953.52360001</v>
      </c>
      <c r="N1447">
        <v>0</v>
      </c>
      <c r="O1447" t="b">
        <v>1</v>
      </c>
    </row>
    <row r="1448" spans="1:15" x14ac:dyDescent="0.3">
      <c r="A1448" s="1" t="s">
        <v>1548</v>
      </c>
      <c r="B1448">
        <v>13.905949787604641</v>
      </c>
      <c r="C1448">
        <v>1.786547501523008E-2</v>
      </c>
      <c r="D1448">
        <v>1.494019553682684E-2</v>
      </c>
      <c r="E1448">
        <v>61.789731962363533</v>
      </c>
      <c r="F1448">
        <v>-1.5508370543587671E-3</v>
      </c>
      <c r="G1448">
        <v>1</v>
      </c>
      <c r="H1448">
        <v>8.8415308469790885E-2</v>
      </c>
      <c r="I1448">
        <v>1.5671349131914409</v>
      </c>
      <c r="J1448">
        <v>0</v>
      </c>
      <c r="K1448">
        <v>3.6063658740055349E-3</v>
      </c>
      <c r="L1448">
        <v>0</v>
      </c>
      <c r="M1448">
        <v>335111852.22299987</v>
      </c>
      <c r="N1448">
        <v>1</v>
      </c>
      <c r="O1448" t="b">
        <v>1</v>
      </c>
    </row>
    <row r="1449" spans="1:15" x14ac:dyDescent="0.3">
      <c r="A1449" s="1" t="s">
        <v>1549</v>
      </c>
      <c r="B1449">
        <v>3.533736429598588</v>
      </c>
      <c r="C1449">
        <v>1.248220227903225E-2</v>
      </c>
      <c r="D1449">
        <v>1.369471074029838E-2</v>
      </c>
      <c r="E1449">
        <v>52.700157483429798</v>
      </c>
      <c r="F1449">
        <v>3.6244509516837331E-2</v>
      </c>
      <c r="G1449">
        <v>0.2</v>
      </c>
      <c r="H1449">
        <v>8.5071721190617428E-2</v>
      </c>
      <c r="I1449">
        <v>0.49526183622277931</v>
      </c>
      <c r="J1449">
        <v>-3.8105172314205522E-2</v>
      </c>
      <c r="K1449">
        <v>1.294890923598202E-2</v>
      </c>
      <c r="L1449">
        <v>0</v>
      </c>
      <c r="M1449">
        <v>64763132.604000002</v>
      </c>
      <c r="N1449">
        <v>0</v>
      </c>
      <c r="O1449" t="b">
        <v>0</v>
      </c>
    </row>
    <row r="1450" spans="1:15" x14ac:dyDescent="0.3">
      <c r="A1450" s="1" t="s">
        <v>1550</v>
      </c>
      <c r="B1450">
        <v>0.42683364799437018</v>
      </c>
      <c r="C1450">
        <v>1.5624229849676969E-2</v>
      </c>
      <c r="D1450">
        <v>6.4827389297440717E-3</v>
      </c>
      <c r="E1450">
        <v>23.624169843069229</v>
      </c>
      <c r="F1450">
        <v>-8.7743727939678773E-2</v>
      </c>
      <c r="G1450">
        <v>0.2</v>
      </c>
      <c r="H1450">
        <v>-0.30896955524018588</v>
      </c>
      <c r="I1450">
        <v>0.18985915930918451</v>
      </c>
      <c r="J1450">
        <v>-9.3699719007003246E-2</v>
      </c>
      <c r="K1450">
        <v>0</v>
      </c>
      <c r="L1450">
        <v>0</v>
      </c>
      <c r="M1450">
        <v>217577871.48245001</v>
      </c>
      <c r="N1450">
        <v>0</v>
      </c>
      <c r="O1450" t="b">
        <v>1</v>
      </c>
    </row>
    <row r="1451" spans="1:15" x14ac:dyDescent="0.3">
      <c r="A1451" s="1" t="s">
        <v>1551</v>
      </c>
      <c r="B1451">
        <v>2.1069953306790068</v>
      </c>
      <c r="C1451">
        <v>9.4957606120160028E-3</v>
      </c>
      <c r="D1451">
        <v>1.3421185462936301E-2</v>
      </c>
      <c r="E1451">
        <v>61.614537202640889</v>
      </c>
      <c r="F1451">
        <v>2.5455217672613051E-2</v>
      </c>
      <c r="G1451">
        <v>0.4</v>
      </c>
      <c r="H1451">
        <v>-5.9433180995577123E-2</v>
      </c>
      <c r="I1451">
        <v>0.67824843397007917</v>
      </c>
      <c r="J1451">
        <v>0</v>
      </c>
      <c r="K1451">
        <v>1.075494130562538E-2</v>
      </c>
      <c r="L1451">
        <v>0</v>
      </c>
      <c r="M1451">
        <v>198330660.014</v>
      </c>
      <c r="N1451">
        <v>0</v>
      </c>
      <c r="O1451" t="b">
        <v>1</v>
      </c>
    </row>
    <row r="1452" spans="1:15" x14ac:dyDescent="0.3">
      <c r="A1452" s="1" t="s">
        <v>1552</v>
      </c>
      <c r="B1452">
        <v>0.78563359324332793</v>
      </c>
      <c r="C1452">
        <v>8.6582071273231878E-3</v>
      </c>
      <c r="D1452">
        <v>1.292834581975026E-2</v>
      </c>
      <c r="E1452">
        <v>57.473170157092618</v>
      </c>
      <c r="F1452">
        <v>1.7956427113015701E-2</v>
      </c>
      <c r="G1452">
        <v>0.6</v>
      </c>
      <c r="H1452">
        <v>-0.10068711892553581</v>
      </c>
      <c r="I1452">
        <v>0.67934138178276759</v>
      </c>
      <c r="J1452">
        <v>-1.4218458023633751E-3</v>
      </c>
      <c r="K1452">
        <v>1.096660549968087E-2</v>
      </c>
      <c r="L1452">
        <v>0</v>
      </c>
      <c r="M1452">
        <v>23831528.278700002</v>
      </c>
      <c r="N1452">
        <v>0</v>
      </c>
      <c r="O1452" t="b">
        <v>0</v>
      </c>
    </row>
    <row r="1453" spans="1:15" x14ac:dyDescent="0.3">
      <c r="A1453" s="1" t="s">
        <v>1553</v>
      </c>
      <c r="B1453">
        <v>2.0006518931007919</v>
      </c>
      <c r="C1453">
        <v>2.9058124809016591E-2</v>
      </c>
      <c r="D1453">
        <v>2.6448801742919571E-2</v>
      </c>
      <c r="E1453">
        <v>67.507247480364839</v>
      </c>
      <c r="F1453">
        <v>0.15462015763877221</v>
      </c>
      <c r="G1453">
        <v>0.6</v>
      </c>
      <c r="H1453">
        <v>1.36026346515776E-2</v>
      </c>
      <c r="I1453">
        <v>0.98662242678110379</v>
      </c>
      <c r="J1453">
        <v>0</v>
      </c>
      <c r="K1453">
        <v>1.5936254980079671E-2</v>
      </c>
      <c r="L1453">
        <v>0</v>
      </c>
      <c r="M1453">
        <v>129985504</v>
      </c>
      <c r="N1453">
        <v>0</v>
      </c>
      <c r="O1453" t="b">
        <v>1</v>
      </c>
    </row>
    <row r="1454" spans="1:15" x14ac:dyDescent="0.3">
      <c r="A1454" s="1" t="s">
        <v>1554</v>
      </c>
      <c r="B1454">
        <v>0.59706335021758505</v>
      </c>
      <c r="C1454">
        <v>2.957223131340193E-2</v>
      </c>
      <c r="D1454">
        <v>1.9811788013868351E-2</v>
      </c>
      <c r="E1454">
        <v>59.658547193083713</v>
      </c>
      <c r="F1454">
        <v>2.5393600812595229E-2</v>
      </c>
      <c r="G1454">
        <v>1</v>
      </c>
      <c r="H1454">
        <v>5.8347541790365838E-2</v>
      </c>
      <c r="I1454">
        <v>1.311892482419972</v>
      </c>
      <c r="J1454">
        <v>-4.928536224741098E-3</v>
      </c>
      <c r="K1454">
        <v>1.488095238095344E-3</v>
      </c>
      <c r="L1454">
        <v>0</v>
      </c>
      <c r="M1454">
        <v>46468117</v>
      </c>
      <c r="N1454">
        <v>0</v>
      </c>
      <c r="O1454" t="b">
        <v>0</v>
      </c>
    </row>
    <row r="1455" spans="1:15" x14ac:dyDescent="0.3">
      <c r="A1455" s="1" t="s">
        <v>1555</v>
      </c>
      <c r="B1455">
        <v>4.0229556501935191</v>
      </c>
      <c r="C1455">
        <v>1.3362948219062819E-2</v>
      </c>
      <c r="D1455">
        <v>2.3155391243402341E-2</v>
      </c>
      <c r="E1455">
        <v>59.912407409273463</v>
      </c>
      <c r="F1455">
        <v>1.285187041815683E-2</v>
      </c>
      <c r="G1455">
        <v>0.4</v>
      </c>
      <c r="H1455">
        <v>-4.3713140668916947E-2</v>
      </c>
      <c r="I1455">
        <v>0.97200837957148201</v>
      </c>
      <c r="J1455">
        <v>0</v>
      </c>
      <c r="K1455">
        <v>1.9761600709981449E-2</v>
      </c>
      <c r="L1455">
        <v>0</v>
      </c>
      <c r="M1455">
        <v>16967445.480999999</v>
      </c>
      <c r="N1455">
        <v>0</v>
      </c>
      <c r="O1455" t="b">
        <v>0</v>
      </c>
    </row>
    <row r="1456" spans="1:15" x14ac:dyDescent="0.3">
      <c r="A1456" s="1" t="s">
        <v>1556</v>
      </c>
      <c r="B1456">
        <v>0.3034002832683817</v>
      </c>
      <c r="C1456">
        <v>2.4408515077785509E-2</v>
      </c>
      <c r="D1456">
        <v>2.086869775786206E-2</v>
      </c>
      <c r="E1456">
        <v>45.984948415766823</v>
      </c>
      <c r="F1456">
        <v>-1.0326597557285931E-2</v>
      </c>
      <c r="G1456">
        <v>0.6</v>
      </c>
      <c r="H1456">
        <v>-3.2281437475896138E-2</v>
      </c>
      <c r="I1456">
        <v>0.59949163460845623</v>
      </c>
      <c r="J1456">
        <v>-5.7490351296224713E-2</v>
      </c>
      <c r="K1456">
        <v>1.7143184459028179E-2</v>
      </c>
      <c r="L1456">
        <v>0</v>
      </c>
      <c r="M1456">
        <v>8662454.4369200002</v>
      </c>
      <c r="N1456">
        <v>0</v>
      </c>
      <c r="O1456" t="b">
        <v>0</v>
      </c>
    </row>
    <row r="1457" spans="1:15" x14ac:dyDescent="0.3">
      <c r="A1457" s="1" t="s">
        <v>1557</v>
      </c>
      <c r="B1457">
        <v>5.5701489807330233</v>
      </c>
      <c r="C1457">
        <v>3.1648573754164903E-2</v>
      </c>
      <c r="D1457">
        <v>3.5738636363636479E-2</v>
      </c>
      <c r="E1457">
        <v>53.018058442772599</v>
      </c>
      <c r="F1457">
        <v>-1.15524803854945E-2</v>
      </c>
      <c r="G1457">
        <v>0.4</v>
      </c>
      <c r="H1457">
        <v>6.560745077465216E-2</v>
      </c>
      <c r="I1457">
        <v>0.63723183832135688</v>
      </c>
      <c r="J1457">
        <v>-4.486942930948401E-2</v>
      </c>
      <c r="K1457">
        <v>3.8786219484372442E-3</v>
      </c>
      <c r="L1457">
        <v>0</v>
      </c>
      <c r="M1457">
        <v>395222553.22750002</v>
      </c>
      <c r="N1457">
        <v>0</v>
      </c>
      <c r="O1457" t="b">
        <v>1</v>
      </c>
    </row>
    <row r="1458" spans="1:15" x14ac:dyDescent="0.3">
      <c r="A1458" s="1" t="s">
        <v>1558</v>
      </c>
      <c r="B1458">
        <v>1.9399409262519469</v>
      </c>
      <c r="C1458">
        <v>1.9871435337527089E-2</v>
      </c>
      <c r="D1458">
        <v>1.5243084222624241E-2</v>
      </c>
      <c r="E1458">
        <v>40.452263517225987</v>
      </c>
      <c r="F1458">
        <v>-5.1908614751258186E-3</v>
      </c>
      <c r="G1458">
        <v>0.2</v>
      </c>
      <c r="H1458">
        <v>-0.1823072448982154</v>
      </c>
      <c r="I1458">
        <v>0.24290422016244059</v>
      </c>
      <c r="J1458">
        <v>-5.9737833126258022E-2</v>
      </c>
      <c r="K1458">
        <v>-6.7071073768006917E-3</v>
      </c>
      <c r="L1458">
        <v>0</v>
      </c>
      <c r="M1458">
        <v>130327957.126</v>
      </c>
      <c r="N1458">
        <v>0</v>
      </c>
      <c r="O1458" t="b">
        <v>1</v>
      </c>
    </row>
    <row r="1459" spans="1:15" x14ac:dyDescent="0.3">
      <c r="A1459" s="1" t="s">
        <v>1559</v>
      </c>
      <c r="B1459">
        <v>1.8845329655922469</v>
      </c>
      <c r="C1459">
        <v>1.371077974806835E-2</v>
      </c>
      <c r="D1459">
        <v>2.3652409257251612E-2</v>
      </c>
      <c r="E1459">
        <v>71.544506353544094</v>
      </c>
      <c r="F1459">
        <v>5.1717805493916913E-2</v>
      </c>
      <c r="G1459">
        <v>0.6</v>
      </c>
      <c r="H1459">
        <v>0.2241730114501844</v>
      </c>
      <c r="I1459">
        <v>1.0687269167087581</v>
      </c>
      <c r="J1459">
        <v>0</v>
      </c>
      <c r="K1459">
        <v>2.051438159868146E-2</v>
      </c>
      <c r="L1459">
        <v>0</v>
      </c>
      <c r="M1459">
        <v>44496295.440500014</v>
      </c>
      <c r="N1459">
        <v>0</v>
      </c>
      <c r="O1459" t="b">
        <v>0</v>
      </c>
    </row>
    <row r="1460" spans="1:15" x14ac:dyDescent="0.3">
      <c r="A1460" s="1" t="s">
        <v>1560</v>
      </c>
      <c r="B1460">
        <v>0.29310258893146618</v>
      </c>
      <c r="C1460">
        <v>2.5007046356175872E-2</v>
      </c>
      <c r="D1460">
        <v>4.1422087229540647E-2</v>
      </c>
      <c r="E1460">
        <v>68.526450877126862</v>
      </c>
      <c r="F1460">
        <v>7.3500453367282503E-2</v>
      </c>
      <c r="G1460">
        <v>0.8</v>
      </c>
      <c r="H1460">
        <v>6.2766255116055519E-2</v>
      </c>
      <c r="I1460">
        <v>1.6296506275462579</v>
      </c>
      <c r="J1460">
        <v>0</v>
      </c>
      <c r="K1460">
        <v>3.2287611632699782E-2</v>
      </c>
      <c r="L1460">
        <v>0</v>
      </c>
      <c r="M1460">
        <v>78975466.233559996</v>
      </c>
      <c r="N1460">
        <v>0</v>
      </c>
      <c r="O1460" t="b">
        <v>0</v>
      </c>
    </row>
    <row r="1461" spans="1:15" x14ac:dyDescent="0.3">
      <c r="A1461" s="1" t="s">
        <v>1561</v>
      </c>
      <c r="B1461">
        <v>0.14749603069957751</v>
      </c>
      <c r="C1461">
        <v>3.1568455244266689E-3</v>
      </c>
      <c r="D1461">
        <v>4.6765376926799001E-3</v>
      </c>
      <c r="E1461">
        <v>53.464135918809859</v>
      </c>
      <c r="F1461">
        <v>3.8631109430460331E-3</v>
      </c>
      <c r="G1461">
        <v>0.2</v>
      </c>
      <c r="H1461">
        <v>-8.1909554521470931E-2</v>
      </c>
      <c r="I1461">
        <v>-3.26205716752775E-3</v>
      </c>
      <c r="J1461">
        <v>-4.18593746669782E-3</v>
      </c>
      <c r="K1461">
        <v>2.9860358281366128E-3</v>
      </c>
      <c r="L1461">
        <v>0</v>
      </c>
      <c r="M1461">
        <v>69421319.109200001</v>
      </c>
      <c r="N1461">
        <v>0</v>
      </c>
      <c r="O1461" t="b">
        <v>0</v>
      </c>
    </row>
    <row r="1462" spans="1:15" x14ac:dyDescent="0.3">
      <c r="A1462" s="1" t="s">
        <v>1562</v>
      </c>
      <c r="B1462">
        <v>5.9393662853083784</v>
      </c>
      <c r="C1462">
        <v>2.0051268817991279E-2</v>
      </c>
      <c r="D1462">
        <v>2.668723772741554E-2</v>
      </c>
      <c r="E1462">
        <v>56.689750302904237</v>
      </c>
      <c r="F1462">
        <v>1.342178551145112E-2</v>
      </c>
      <c r="G1462">
        <v>0.8</v>
      </c>
      <c r="H1462">
        <v>-7.8180422536032856E-2</v>
      </c>
      <c r="I1462">
        <v>0.55130440496914679</v>
      </c>
      <c r="J1462">
        <v>-1.5808384848219339E-3</v>
      </c>
      <c r="K1462">
        <v>1.9687424696202879E-2</v>
      </c>
      <c r="L1462">
        <v>0</v>
      </c>
      <c r="M1462">
        <v>224031020.204</v>
      </c>
      <c r="N1462">
        <v>0</v>
      </c>
      <c r="O1462" t="b">
        <v>1</v>
      </c>
    </row>
    <row r="1463" spans="1:15" x14ac:dyDescent="0.3">
      <c r="A1463" s="1" t="s">
        <v>1563</v>
      </c>
      <c r="B1463">
        <v>11.60239684250412</v>
      </c>
      <c r="C1463">
        <v>2.7412049932793201E-2</v>
      </c>
      <c r="D1463">
        <v>3.1701629498723023E-2</v>
      </c>
      <c r="E1463">
        <v>63.727255427975052</v>
      </c>
      <c r="F1463">
        <v>3.2915945735545023E-2</v>
      </c>
      <c r="G1463">
        <v>0.6</v>
      </c>
      <c r="H1463">
        <v>6.4158794654748469E-2</v>
      </c>
      <c r="I1463">
        <v>1.4647037328064541</v>
      </c>
      <c r="J1463">
        <v>0</v>
      </c>
      <c r="K1463">
        <v>2.4478029558558049E-2</v>
      </c>
      <c r="L1463">
        <v>0</v>
      </c>
      <c r="M1463">
        <v>52165737.242000014</v>
      </c>
      <c r="N1463">
        <v>0</v>
      </c>
      <c r="O1463" t="b">
        <v>0</v>
      </c>
    </row>
    <row r="1464" spans="1:15" x14ac:dyDescent="0.3">
      <c r="A1464" s="1" t="s">
        <v>1564</v>
      </c>
      <c r="B1464">
        <v>1.14312700026558</v>
      </c>
      <c r="C1464">
        <v>3.3174598575815117E-2</v>
      </c>
      <c r="D1464">
        <v>3.0379100293401441E-2</v>
      </c>
      <c r="E1464">
        <v>46.216491748042188</v>
      </c>
      <c r="F1464">
        <v>-2.8681847139144231E-2</v>
      </c>
      <c r="G1464">
        <v>0.4</v>
      </c>
      <c r="H1464">
        <v>-0.18024754223181241</v>
      </c>
      <c r="I1464">
        <v>1.1852042829174829</v>
      </c>
      <c r="J1464">
        <v>-5.2208713829904219E-2</v>
      </c>
      <c r="K1464">
        <v>2.0276492237905289E-2</v>
      </c>
      <c r="L1464">
        <v>0</v>
      </c>
      <c r="M1464">
        <v>49470033.068499997</v>
      </c>
      <c r="N1464">
        <v>0</v>
      </c>
      <c r="O1464" t="b">
        <v>0</v>
      </c>
    </row>
    <row r="1465" spans="1:15" x14ac:dyDescent="0.3">
      <c r="A1465" s="1" t="s">
        <v>1565</v>
      </c>
      <c r="B1465">
        <v>1.114846992702003</v>
      </c>
      <c r="C1465">
        <v>2.7660196667468939E-2</v>
      </c>
      <c r="D1465">
        <v>3.0896834395647211E-2</v>
      </c>
      <c r="E1465">
        <v>69.247254327883581</v>
      </c>
      <c r="F1465">
        <v>9.8291460025069499E-2</v>
      </c>
      <c r="G1465">
        <v>0.8</v>
      </c>
      <c r="H1465">
        <v>1.8938213277913431E-2</v>
      </c>
      <c r="I1465">
        <v>0.53635405365951572</v>
      </c>
      <c r="J1465">
        <v>0</v>
      </c>
      <c r="K1465">
        <v>1.065694419021024E-2</v>
      </c>
      <c r="L1465">
        <v>0</v>
      </c>
      <c r="M1465">
        <v>56899159.803900003</v>
      </c>
      <c r="N1465">
        <v>0</v>
      </c>
      <c r="O1465" t="b">
        <v>0</v>
      </c>
    </row>
    <row r="1466" spans="1:15" x14ac:dyDescent="0.3">
      <c r="A1466" s="1" t="s">
        <v>1566</v>
      </c>
      <c r="B1466">
        <v>0.98157231848542636</v>
      </c>
      <c r="C1466">
        <v>1.110830813619861E-2</v>
      </c>
      <c r="D1466">
        <v>1.076685248936789E-2</v>
      </c>
      <c r="E1466">
        <v>44.853077770284798</v>
      </c>
      <c r="F1466">
        <v>-1.119906540173621E-2</v>
      </c>
      <c r="G1466">
        <v>0.2</v>
      </c>
      <c r="H1466">
        <v>-0.15321732209061489</v>
      </c>
      <c r="I1466">
        <v>0.3920391135121486</v>
      </c>
      <c r="J1466">
        <v>-2.3756519702455181E-2</v>
      </c>
      <c r="K1466">
        <v>3.6026376941300509E-3</v>
      </c>
      <c r="L1466">
        <v>0</v>
      </c>
      <c r="M1466">
        <v>298162728.09855002</v>
      </c>
      <c r="N1466">
        <v>0</v>
      </c>
      <c r="O1466" t="b">
        <v>1</v>
      </c>
    </row>
    <row r="1467" spans="1:15" x14ac:dyDescent="0.3">
      <c r="A1467" s="1" t="s">
        <v>1567</v>
      </c>
      <c r="B1467">
        <v>3.2786485060821109</v>
      </c>
      <c r="C1467">
        <v>1.1147581052459809E-2</v>
      </c>
      <c r="D1467">
        <v>1.5412443516607619E-2</v>
      </c>
      <c r="E1467">
        <v>61.22983652070846</v>
      </c>
      <c r="F1467">
        <v>1.3696883218043739E-2</v>
      </c>
      <c r="G1467">
        <v>0.6</v>
      </c>
      <c r="H1467">
        <v>-0.12603437267947881</v>
      </c>
      <c r="I1467">
        <v>0.84363998854558575</v>
      </c>
      <c r="J1467">
        <v>0</v>
      </c>
      <c r="K1467">
        <v>1.3595572220231E-2</v>
      </c>
      <c r="L1467">
        <v>0</v>
      </c>
      <c r="M1467">
        <v>166965614.095</v>
      </c>
      <c r="N1467">
        <v>0</v>
      </c>
      <c r="O1467" t="b">
        <v>1</v>
      </c>
    </row>
    <row r="1468" spans="1:15" x14ac:dyDescent="0.3">
      <c r="A1468" s="1" t="s">
        <v>1568</v>
      </c>
      <c r="B1468">
        <v>0.23754202694172299</v>
      </c>
      <c r="C1468">
        <v>1.8912581762876031E-2</v>
      </c>
      <c r="D1468">
        <v>8.7579617834394451E-3</v>
      </c>
      <c r="E1468">
        <v>61.330045703124853</v>
      </c>
      <c r="F1468">
        <v>9.6780390684352513E-2</v>
      </c>
      <c r="G1468">
        <v>0.6</v>
      </c>
      <c r="H1468">
        <v>3.4048717655699931E-2</v>
      </c>
      <c r="I1468">
        <v>0.34668019361589902</v>
      </c>
      <c r="J1468">
        <v>-6.3291139240506666E-3</v>
      </c>
      <c r="K1468">
        <v>4.8000000000001366E-3</v>
      </c>
      <c r="L1468">
        <v>0</v>
      </c>
      <c r="M1468">
        <v>77364586.072490007</v>
      </c>
      <c r="N1468">
        <v>0</v>
      </c>
      <c r="O1468" t="b">
        <v>0</v>
      </c>
    </row>
    <row r="1469" spans="1:15" x14ac:dyDescent="0.3">
      <c r="A1469" s="1" t="s">
        <v>1569</v>
      </c>
      <c r="B1469">
        <v>1.8655166776269749</v>
      </c>
      <c r="C1469">
        <v>1.044732800355601E-2</v>
      </c>
      <c r="D1469">
        <v>1.6879102170650351E-2</v>
      </c>
      <c r="E1469">
        <v>65.675633534415596</v>
      </c>
      <c r="F1469">
        <v>2.8475982029720018E-2</v>
      </c>
      <c r="G1469">
        <v>0.8</v>
      </c>
      <c r="H1469">
        <v>-3.6074887957170863E-2</v>
      </c>
      <c r="I1469">
        <v>0.64162797442260544</v>
      </c>
      <c r="J1469">
        <v>0</v>
      </c>
      <c r="K1469">
        <v>1.5156511159876819E-2</v>
      </c>
      <c r="L1469">
        <v>0</v>
      </c>
      <c r="M1469">
        <v>46139048.797000013</v>
      </c>
      <c r="N1469">
        <v>0</v>
      </c>
      <c r="O1469" t="b">
        <v>0</v>
      </c>
    </row>
    <row r="1470" spans="1:15" x14ac:dyDescent="0.3">
      <c r="A1470" s="1" t="s">
        <v>1570</v>
      </c>
      <c r="B1470">
        <v>3.1667211698546911</v>
      </c>
      <c r="C1470">
        <v>1.019447888283749E-2</v>
      </c>
      <c r="D1470">
        <v>1.1013066950819441E-2</v>
      </c>
      <c r="E1470">
        <v>60.425875980442576</v>
      </c>
      <c r="F1470">
        <v>9.2663891948443489E-3</v>
      </c>
      <c r="G1470">
        <v>0.6</v>
      </c>
      <c r="H1470">
        <v>-0.1057812480671966</v>
      </c>
      <c r="I1470">
        <v>1.00384320839134</v>
      </c>
      <c r="J1470">
        <v>0</v>
      </c>
      <c r="K1470">
        <v>6.5258880748628734E-3</v>
      </c>
      <c r="L1470">
        <v>0</v>
      </c>
      <c r="M1470">
        <v>20370402.831</v>
      </c>
      <c r="N1470">
        <v>2</v>
      </c>
      <c r="O1470" t="b">
        <v>0</v>
      </c>
    </row>
    <row r="1471" spans="1:15" x14ac:dyDescent="0.3">
      <c r="A1471" s="1" t="s">
        <v>1571</v>
      </c>
      <c r="B1471">
        <v>1.6833179151616819</v>
      </c>
      <c r="C1471">
        <v>1.365996847489801E-2</v>
      </c>
      <c r="D1471">
        <v>1.077659660796886E-2</v>
      </c>
      <c r="E1471">
        <v>57.261770193263928</v>
      </c>
      <c r="F1471">
        <v>-4.764981424648651E-3</v>
      </c>
      <c r="G1471">
        <v>0.8</v>
      </c>
      <c r="H1471">
        <v>-1.9791738098975799E-3</v>
      </c>
      <c r="I1471">
        <v>1.2519019689023509</v>
      </c>
      <c r="J1471">
        <v>-3.3966841892438811E-3</v>
      </c>
      <c r="K1471">
        <v>1.780328588500302E-3</v>
      </c>
      <c r="L1471">
        <v>0</v>
      </c>
      <c r="M1471">
        <v>104363173.3945</v>
      </c>
      <c r="N1471">
        <v>0</v>
      </c>
      <c r="O1471" t="b">
        <v>1</v>
      </c>
    </row>
    <row r="1472" spans="1:15" x14ac:dyDescent="0.3">
      <c r="A1472" s="1" t="s">
        <v>1572</v>
      </c>
      <c r="B1472">
        <v>0.91249906890301302</v>
      </c>
      <c r="C1472">
        <v>9.8844313158928058E-3</v>
      </c>
      <c r="D1472">
        <v>1.5300573676730499E-2</v>
      </c>
      <c r="E1472">
        <v>63.476633729896228</v>
      </c>
      <c r="F1472">
        <v>2.7227136115651529E-2</v>
      </c>
      <c r="G1472">
        <v>0.4</v>
      </c>
      <c r="H1472">
        <v>-2.344586167075588E-2</v>
      </c>
      <c r="I1472">
        <v>0.72752108538564308</v>
      </c>
      <c r="J1472">
        <v>0</v>
      </c>
      <c r="K1472">
        <v>1.332004438917145E-2</v>
      </c>
      <c r="L1472">
        <v>0</v>
      </c>
      <c r="M1472">
        <v>44984114.576199993</v>
      </c>
      <c r="N1472">
        <v>0</v>
      </c>
      <c r="O1472" t="b">
        <v>0</v>
      </c>
    </row>
    <row r="1473" spans="1:15" x14ac:dyDescent="0.3">
      <c r="A1473" s="1" t="s">
        <v>1573</v>
      </c>
      <c r="B1473">
        <v>6.6853642832589708</v>
      </c>
      <c r="C1473">
        <v>1.06053597904409E-2</v>
      </c>
      <c r="D1473">
        <v>1.113621076944551E-2</v>
      </c>
      <c r="E1473">
        <v>61.011159752228551</v>
      </c>
      <c r="F1473">
        <v>9.0827306459719814E-3</v>
      </c>
      <c r="G1473">
        <v>0.6</v>
      </c>
      <c r="H1473">
        <v>1.5695101334258051E-2</v>
      </c>
      <c r="I1473">
        <v>0.99162957379706851</v>
      </c>
      <c r="J1473">
        <v>0</v>
      </c>
      <c r="K1473">
        <v>6.4646742037306471E-3</v>
      </c>
      <c r="L1473">
        <v>0</v>
      </c>
      <c r="M1473">
        <v>3608441746.2480001</v>
      </c>
      <c r="N1473">
        <v>0</v>
      </c>
      <c r="O1473" t="b">
        <v>1</v>
      </c>
    </row>
    <row r="1474" spans="1:15" x14ac:dyDescent="0.3">
      <c r="A1474" s="1" t="s">
        <v>1574</v>
      </c>
      <c r="B1474">
        <v>6.0581167073742401</v>
      </c>
      <c r="C1474">
        <v>1.3501485864440031E-2</v>
      </c>
      <c r="D1474">
        <v>1.1016269222197421E-2</v>
      </c>
      <c r="E1474">
        <v>59.077608982037049</v>
      </c>
      <c r="F1474">
        <v>1.7167822722696791E-3</v>
      </c>
      <c r="G1474">
        <v>0.8</v>
      </c>
      <c r="H1474">
        <v>9.7410636775441817E-3</v>
      </c>
      <c r="I1474">
        <v>1.22638035289268</v>
      </c>
      <c r="J1474">
        <v>0</v>
      </c>
      <c r="K1474">
        <v>3.8413094010285591E-3</v>
      </c>
      <c r="L1474">
        <v>0</v>
      </c>
      <c r="M1474">
        <v>92039340.913500011</v>
      </c>
      <c r="N1474">
        <v>0</v>
      </c>
      <c r="O1474" t="b">
        <v>0</v>
      </c>
    </row>
    <row r="1475" spans="1:15" x14ac:dyDescent="0.3">
      <c r="A1475" s="1" t="s">
        <v>1575</v>
      </c>
      <c r="B1475">
        <v>1.808482258918761</v>
      </c>
      <c r="C1475">
        <v>8.8234572040746927E-3</v>
      </c>
      <c r="D1475">
        <v>1.2724247791064611E-2</v>
      </c>
      <c r="E1475">
        <v>61.221668978002427</v>
      </c>
      <c r="F1475">
        <v>1.819672131147532E-2</v>
      </c>
      <c r="G1475">
        <v>0.4</v>
      </c>
      <c r="H1475">
        <v>-6.6107297781104407E-3</v>
      </c>
      <c r="I1475">
        <v>0.71579249622597318</v>
      </c>
      <c r="J1475">
        <v>0</v>
      </c>
      <c r="K1475">
        <v>9.8589883820616731E-3</v>
      </c>
      <c r="L1475">
        <v>0</v>
      </c>
      <c r="M1475">
        <v>15961487.528000001</v>
      </c>
      <c r="N1475">
        <v>0</v>
      </c>
      <c r="O1475" t="b">
        <v>0</v>
      </c>
    </row>
    <row r="1476" spans="1:15" x14ac:dyDescent="0.3">
      <c r="A1476" s="1" t="s">
        <v>1576</v>
      </c>
      <c r="B1476">
        <v>3.7690538287941568</v>
      </c>
      <c r="C1476">
        <v>1.321422526196383E-2</v>
      </c>
      <c r="D1476">
        <v>1.5682246070673578E-2</v>
      </c>
      <c r="E1476">
        <v>54.164374135813418</v>
      </c>
      <c r="F1476">
        <v>-8.2579397917955655E-3</v>
      </c>
      <c r="G1476">
        <v>0.4</v>
      </c>
      <c r="H1476">
        <v>-0.25198204699925741</v>
      </c>
      <c r="I1476">
        <v>1.1140074673176139</v>
      </c>
      <c r="J1476">
        <v>-6.6726334962022849E-3</v>
      </c>
      <c r="K1476">
        <v>9.220829308508538E-3</v>
      </c>
      <c r="L1476">
        <v>0</v>
      </c>
      <c r="M1476">
        <v>49751449.928499997</v>
      </c>
      <c r="N1476">
        <v>0</v>
      </c>
      <c r="O1476" t="b">
        <v>0</v>
      </c>
    </row>
    <row r="1477" spans="1:15" x14ac:dyDescent="0.3">
      <c r="A1477" s="1" t="s">
        <v>1577</v>
      </c>
      <c r="B1477">
        <v>2.6576605931843278</v>
      </c>
      <c r="C1477">
        <v>1.3765911256982649E-2</v>
      </c>
      <c r="D1477">
        <v>8.9816172090686815E-3</v>
      </c>
      <c r="E1477">
        <v>64.361428154166688</v>
      </c>
      <c r="F1477">
        <v>4.4600634137367479E-2</v>
      </c>
      <c r="G1477">
        <v>0.6</v>
      </c>
      <c r="H1477">
        <v>-3.1510806135866973E-2</v>
      </c>
      <c r="I1477">
        <v>1.0386403239525961</v>
      </c>
      <c r="J1477">
        <v>-4.6247125666381006E-3</v>
      </c>
      <c r="K1477">
        <v>4.0461195217467161E-3</v>
      </c>
      <c r="L1477">
        <v>0</v>
      </c>
      <c r="M1477">
        <v>28118780.664999999</v>
      </c>
      <c r="N1477">
        <v>3</v>
      </c>
      <c r="O1477" t="b">
        <v>0</v>
      </c>
    </row>
    <row r="1478" spans="1:15" x14ac:dyDescent="0.3">
      <c r="A1478" s="1" t="s">
        <v>1578</v>
      </c>
      <c r="B1478">
        <v>1.6606729849847801</v>
      </c>
      <c r="C1478">
        <v>2.310909872053608E-2</v>
      </c>
      <c r="D1478">
        <v>2.6538254411562111E-2</v>
      </c>
      <c r="E1478">
        <v>56.241681262278412</v>
      </c>
      <c r="F1478">
        <v>2.5101779391919932E-2</v>
      </c>
      <c r="G1478">
        <v>0.6</v>
      </c>
      <c r="H1478">
        <v>-0.1052412856999401</v>
      </c>
      <c r="I1478">
        <v>0.56197727177475765</v>
      </c>
      <c r="J1478">
        <v>0</v>
      </c>
      <c r="K1478">
        <v>1.529534598196935E-2</v>
      </c>
      <c r="L1478">
        <v>0</v>
      </c>
      <c r="M1478">
        <v>55858657.167999998</v>
      </c>
      <c r="N1478">
        <v>1</v>
      </c>
      <c r="O1478" t="b">
        <v>0</v>
      </c>
    </row>
    <row r="1479" spans="1:15" x14ac:dyDescent="0.3">
      <c r="A1479" s="1" t="s">
        <v>1579</v>
      </c>
      <c r="B1479">
        <v>0.88758860403000184</v>
      </c>
      <c r="C1479">
        <v>9.8735708838272249E-3</v>
      </c>
      <c r="D1479">
        <v>1.093604344604945E-2</v>
      </c>
      <c r="E1479">
        <v>61.173724124854083</v>
      </c>
      <c r="F1479">
        <v>4.5694043235571247E-3</v>
      </c>
      <c r="G1479">
        <v>0.8</v>
      </c>
      <c r="H1479">
        <v>-1.556890250212751E-2</v>
      </c>
      <c r="I1479">
        <v>0.95724536301689278</v>
      </c>
      <c r="J1479">
        <v>-4.3253797494391399E-4</v>
      </c>
      <c r="K1479">
        <v>7.8581078429722506E-3</v>
      </c>
      <c r="L1479">
        <v>0</v>
      </c>
      <c r="M1479">
        <v>34659308.242200002</v>
      </c>
      <c r="N1479">
        <v>0</v>
      </c>
      <c r="O1479" t="b">
        <v>0</v>
      </c>
    </row>
    <row r="1480" spans="1:15" x14ac:dyDescent="0.3">
      <c r="A1480" s="1" t="s">
        <v>1580</v>
      </c>
      <c r="B1480">
        <v>2.382589645058701</v>
      </c>
      <c r="C1480">
        <v>1.294133110125471E-2</v>
      </c>
      <c r="D1480">
        <v>9.3260984101635712E-3</v>
      </c>
      <c r="E1480">
        <v>32.324206595832067</v>
      </c>
      <c r="F1480">
        <v>-4.5939307257011452E-2</v>
      </c>
      <c r="G1480">
        <v>0.2</v>
      </c>
      <c r="H1480">
        <v>-6.3126131276495162E-2</v>
      </c>
      <c r="I1480">
        <v>0.43017408057600098</v>
      </c>
      <c r="J1480">
        <v>-5.5943840793366673E-2</v>
      </c>
      <c r="K1480">
        <v>-9.7131632354063857E-4</v>
      </c>
      <c r="L1480">
        <v>0</v>
      </c>
      <c r="M1480">
        <v>29742651.752500001</v>
      </c>
      <c r="N1480">
        <v>0</v>
      </c>
      <c r="O1480" t="b">
        <v>0</v>
      </c>
    </row>
    <row r="1481" spans="1:15" x14ac:dyDescent="0.3">
      <c r="A1481" s="1" t="s">
        <v>1581</v>
      </c>
      <c r="B1481">
        <v>4.8913635977038759</v>
      </c>
      <c r="C1481">
        <v>2.285299481257301E-2</v>
      </c>
      <c r="D1481">
        <v>2.0561961539180371E-2</v>
      </c>
      <c r="E1481">
        <v>36.976307636423037</v>
      </c>
      <c r="F1481">
        <v>7.232975214001014E-3</v>
      </c>
      <c r="G1481">
        <v>0</v>
      </c>
      <c r="H1481">
        <v>-0.18267938882825491</v>
      </c>
      <c r="I1481">
        <v>-0.3252858021171311</v>
      </c>
      <c r="J1481">
        <v>-4.7051699880678921E-2</v>
      </c>
      <c r="K1481">
        <v>-7.171285172231423E-3</v>
      </c>
      <c r="L1481">
        <v>0</v>
      </c>
      <c r="M1481">
        <v>249844489.26300001</v>
      </c>
      <c r="N1481">
        <v>0</v>
      </c>
      <c r="O1481" t="b">
        <v>1</v>
      </c>
    </row>
    <row r="1482" spans="1:15" x14ac:dyDescent="0.3">
      <c r="A1482" s="1" t="s">
        <v>1582</v>
      </c>
      <c r="B1482">
        <v>6.0559680052319678</v>
      </c>
      <c r="C1482">
        <v>2.5084573921316071E-2</v>
      </c>
      <c r="D1482">
        <v>1.6382102708120981E-2</v>
      </c>
      <c r="E1482">
        <v>39.531316411187802</v>
      </c>
      <c r="F1482">
        <v>-1.8502030710687789E-2</v>
      </c>
      <c r="G1482">
        <v>0.4</v>
      </c>
      <c r="H1482">
        <v>-0.22983545999211519</v>
      </c>
      <c r="I1482">
        <v>0.39185294240035629</v>
      </c>
      <c r="J1482">
        <v>-5.225099320069726E-2</v>
      </c>
      <c r="K1482">
        <v>-1.030326352768784E-3</v>
      </c>
      <c r="L1482">
        <v>0</v>
      </c>
      <c r="M1482">
        <v>189661350.021</v>
      </c>
      <c r="N1482">
        <v>0</v>
      </c>
      <c r="O1482" t="b">
        <v>1</v>
      </c>
    </row>
    <row r="1483" spans="1:15" x14ac:dyDescent="0.3">
      <c r="A1483" s="1" t="s">
        <v>1583</v>
      </c>
      <c r="B1483">
        <v>9.872460378097168</v>
      </c>
      <c r="C1483">
        <v>5.429798909964343E-2</v>
      </c>
      <c r="D1483">
        <v>5.4201957980420143E-2</v>
      </c>
      <c r="E1483">
        <v>54.119908932427172</v>
      </c>
      <c r="F1483">
        <v>-3.1687703040954467E-2</v>
      </c>
      <c r="G1483">
        <v>0.6</v>
      </c>
      <c r="H1483">
        <v>0.15030390947676961</v>
      </c>
      <c r="I1483">
        <v>2.744336756117483</v>
      </c>
      <c r="J1483">
        <v>-3.8091207279652983E-2</v>
      </c>
      <c r="K1483">
        <v>1.9284673169637889E-2</v>
      </c>
      <c r="L1483">
        <v>0</v>
      </c>
      <c r="M1483">
        <v>889807248.74949992</v>
      </c>
      <c r="N1483">
        <v>0</v>
      </c>
      <c r="O1483" t="b">
        <v>1</v>
      </c>
    </row>
    <row r="1484" spans="1:15" x14ac:dyDescent="0.3">
      <c r="A1484" s="1" t="s">
        <v>1584</v>
      </c>
      <c r="B1484">
        <v>11.661450209535991</v>
      </c>
      <c r="C1484">
        <v>2.622672321324215E-2</v>
      </c>
      <c r="D1484">
        <v>2.8045160129542931E-2</v>
      </c>
      <c r="E1484">
        <v>56.469650591048271</v>
      </c>
      <c r="F1484">
        <v>5.5650522317189033E-2</v>
      </c>
      <c r="G1484">
        <v>0.2</v>
      </c>
      <c r="H1484">
        <v>7.0523779573502504E-2</v>
      </c>
      <c r="I1484">
        <v>0.49944220113840121</v>
      </c>
      <c r="J1484">
        <v>-3.9923995422451619E-2</v>
      </c>
      <c r="K1484">
        <v>1.7459554701265478E-2</v>
      </c>
      <c r="L1484">
        <v>0</v>
      </c>
      <c r="M1484">
        <v>606003000</v>
      </c>
      <c r="N1484">
        <v>0</v>
      </c>
      <c r="O1484" t="b">
        <v>1</v>
      </c>
    </row>
    <row r="1485" spans="1:15" x14ac:dyDescent="0.3">
      <c r="A1485" s="1" t="s">
        <v>1585</v>
      </c>
      <c r="B1485">
        <v>0.69455749132090316</v>
      </c>
      <c r="C1485">
        <v>9.7961178613213459E-3</v>
      </c>
      <c r="D1485">
        <v>1.4910869053176861E-2</v>
      </c>
      <c r="E1485">
        <v>62.556979063916764</v>
      </c>
      <c r="F1485">
        <v>1.384610984799739E-2</v>
      </c>
      <c r="G1485">
        <v>0.6</v>
      </c>
      <c r="H1485">
        <v>-3.2542326273162447E-2</v>
      </c>
      <c r="I1485">
        <v>0.81938631826439412</v>
      </c>
      <c r="J1485">
        <v>0</v>
      </c>
      <c r="K1485">
        <v>1.341572009084846E-2</v>
      </c>
      <c r="L1485">
        <v>0</v>
      </c>
      <c r="M1485">
        <v>8445278.7458999995</v>
      </c>
      <c r="N1485">
        <v>0</v>
      </c>
      <c r="O1485" t="b">
        <v>0</v>
      </c>
    </row>
    <row r="1486" spans="1:15" x14ac:dyDescent="0.3">
      <c r="A1486" s="1" t="s">
        <v>1586</v>
      </c>
      <c r="B1486">
        <v>1.26586696098465</v>
      </c>
      <c r="C1486">
        <v>8.9703999616248357E-3</v>
      </c>
      <c r="D1486">
        <v>1.113977153547438E-2</v>
      </c>
      <c r="E1486">
        <v>61.278004624692223</v>
      </c>
      <c r="F1486">
        <v>1.8182342924759839E-2</v>
      </c>
      <c r="G1486">
        <v>0.6</v>
      </c>
      <c r="H1486">
        <v>-0.11935581127657841</v>
      </c>
      <c r="I1486">
        <v>0.75517534493577942</v>
      </c>
      <c r="J1486">
        <v>0</v>
      </c>
      <c r="K1486">
        <v>9.6445538320646396E-3</v>
      </c>
      <c r="L1486">
        <v>0</v>
      </c>
      <c r="M1486">
        <v>33862175.626999997</v>
      </c>
      <c r="N1486">
        <v>0</v>
      </c>
      <c r="O1486" t="b">
        <v>0</v>
      </c>
    </row>
    <row r="1487" spans="1:15" x14ac:dyDescent="0.3">
      <c r="A1487" s="1" t="s">
        <v>1587</v>
      </c>
      <c r="B1487">
        <v>7.8321201291901392</v>
      </c>
      <c r="C1487">
        <v>4.7484661872136173E-2</v>
      </c>
      <c r="D1487">
        <v>4.4622286892203128E-2</v>
      </c>
      <c r="E1487">
        <v>38.578631230915661</v>
      </c>
      <c r="F1487">
        <v>-0.1227435671052771</v>
      </c>
      <c r="G1487">
        <v>0.4</v>
      </c>
      <c r="H1487">
        <v>-0.13635540104695409</v>
      </c>
      <c r="I1487">
        <v>1.7655276343714481</v>
      </c>
      <c r="J1487">
        <v>-7.8089105756493526E-2</v>
      </c>
      <c r="K1487">
        <v>2.1812967474983398E-3</v>
      </c>
      <c r="L1487">
        <v>0</v>
      </c>
      <c r="M1487">
        <v>861037087.14450002</v>
      </c>
      <c r="N1487">
        <v>0</v>
      </c>
      <c r="O1487" t="b">
        <v>1</v>
      </c>
    </row>
    <row r="1488" spans="1:15" x14ac:dyDescent="0.3">
      <c r="A1488" s="1" t="s">
        <v>1588</v>
      </c>
      <c r="B1488">
        <v>1.3591499908606881</v>
      </c>
      <c r="C1488">
        <v>9.6365595171665538E-3</v>
      </c>
      <c r="D1488">
        <v>1.1677455491665481E-2</v>
      </c>
      <c r="E1488">
        <v>61.554590607785073</v>
      </c>
      <c r="F1488">
        <v>9.9461518632029122E-3</v>
      </c>
      <c r="G1488">
        <v>0.6</v>
      </c>
      <c r="H1488">
        <v>-6.1708925630714562E-2</v>
      </c>
      <c r="I1488">
        <v>0.94601889358866598</v>
      </c>
      <c r="J1488">
        <v>0</v>
      </c>
      <c r="K1488">
        <v>8.5090560668139581E-3</v>
      </c>
      <c r="L1488">
        <v>0</v>
      </c>
      <c r="M1488">
        <v>294485576.38950002</v>
      </c>
      <c r="N1488">
        <v>0</v>
      </c>
      <c r="O1488" t="b">
        <v>1</v>
      </c>
    </row>
    <row r="1489" spans="1:15" x14ac:dyDescent="0.3">
      <c r="A1489" s="1" t="s">
        <v>1589</v>
      </c>
      <c r="B1489">
        <v>8.9175138867512646E-2</v>
      </c>
      <c r="C1489">
        <v>1.7844985275286139E-3</v>
      </c>
      <c r="D1489">
        <v>1.989109923337137E-3</v>
      </c>
      <c r="E1489">
        <v>54.317407567843532</v>
      </c>
      <c r="F1489">
        <v>3.2018891145790818E-5</v>
      </c>
      <c r="G1489">
        <v>0.4</v>
      </c>
      <c r="H1489">
        <v>-7.3272127284064986E-2</v>
      </c>
      <c r="I1489">
        <v>-5.2428714899037084E-3</v>
      </c>
      <c r="J1489">
        <v>-2.7380146998661199E-3</v>
      </c>
      <c r="K1489">
        <v>1.394719703421643E-3</v>
      </c>
      <c r="L1489">
        <v>0</v>
      </c>
      <c r="M1489">
        <v>288697003.34490001</v>
      </c>
      <c r="N1489">
        <v>0</v>
      </c>
      <c r="O1489" t="b">
        <v>1</v>
      </c>
    </row>
    <row r="1490" spans="1:15" x14ac:dyDescent="0.3">
      <c r="A1490" s="1" t="s">
        <v>1590</v>
      </c>
      <c r="B1490">
        <v>3.6531471848498409</v>
      </c>
      <c r="C1490">
        <v>1.081542337686321E-2</v>
      </c>
      <c r="D1490">
        <v>1.2073232831614321E-2</v>
      </c>
      <c r="E1490">
        <v>61.426060566057863</v>
      </c>
      <c r="F1490">
        <v>1.1375171046761111E-2</v>
      </c>
      <c r="G1490">
        <v>0.6</v>
      </c>
      <c r="H1490">
        <v>-4.9102147083366382E-2</v>
      </c>
      <c r="I1490">
        <v>1.023521923444642</v>
      </c>
      <c r="J1490">
        <v>0</v>
      </c>
      <c r="K1490">
        <v>7.4355984120686447E-3</v>
      </c>
      <c r="L1490">
        <v>0</v>
      </c>
      <c r="M1490">
        <v>1047005517.284</v>
      </c>
      <c r="N1490">
        <v>0</v>
      </c>
      <c r="O1490" t="b">
        <v>1</v>
      </c>
    </row>
    <row r="1491" spans="1:15" x14ac:dyDescent="0.3">
      <c r="A1491" s="1" t="s">
        <v>1591</v>
      </c>
      <c r="B1491">
        <v>5.5770006943975443E-2</v>
      </c>
      <c r="C1491">
        <v>1.128741867756389E-3</v>
      </c>
      <c r="D1491">
        <v>2.3943006334877829E-3</v>
      </c>
      <c r="E1491">
        <v>51.898298359700462</v>
      </c>
      <c r="F1491">
        <v>1.3984596676124279E-3</v>
      </c>
      <c r="G1491">
        <v>0.2</v>
      </c>
      <c r="H1491">
        <v>-9.7614463237383708E-2</v>
      </c>
      <c r="I1491">
        <v>-1.040640448720942E-2</v>
      </c>
      <c r="J1491">
        <v>-1.1947093177219199E-3</v>
      </c>
      <c r="K1491">
        <v>1.1975708157463409E-3</v>
      </c>
      <c r="L1491">
        <v>0</v>
      </c>
      <c r="M1491">
        <v>70200575.044799998</v>
      </c>
      <c r="N1491">
        <v>0</v>
      </c>
      <c r="O1491" t="b">
        <v>0</v>
      </c>
    </row>
    <row r="1492" spans="1:15" x14ac:dyDescent="0.3">
      <c r="A1492" s="1" t="s">
        <v>1592</v>
      </c>
      <c r="B1492">
        <v>1.3660357080615271</v>
      </c>
      <c r="C1492">
        <v>1.7681753684614519E-2</v>
      </c>
      <c r="D1492">
        <v>3.9109825931180023E-2</v>
      </c>
      <c r="E1492">
        <v>48.542418448820229</v>
      </c>
      <c r="F1492">
        <v>2.3167235042876651E-2</v>
      </c>
      <c r="G1492">
        <v>0.6</v>
      </c>
      <c r="H1492">
        <v>7.4214541554631863E-2</v>
      </c>
      <c r="I1492">
        <v>-0.29355817690407299</v>
      </c>
      <c r="J1492">
        <v>-4.037045271895956E-2</v>
      </c>
      <c r="K1492">
        <v>-2.8496194178029292E-2</v>
      </c>
      <c r="L1492">
        <v>0</v>
      </c>
      <c r="M1492">
        <v>185733845.39335001</v>
      </c>
      <c r="N1492">
        <v>0</v>
      </c>
      <c r="O1492" t="b">
        <v>1</v>
      </c>
    </row>
    <row r="1493" spans="1:15" x14ac:dyDescent="0.3">
      <c r="A1493" s="1" t="s">
        <v>1593</v>
      </c>
      <c r="B1493">
        <v>0.29499022911013079</v>
      </c>
      <c r="C1493">
        <v>2.5647532896018059E-2</v>
      </c>
      <c r="D1493">
        <v>4.5688898162880201E-2</v>
      </c>
      <c r="E1493">
        <v>72.995996853548974</v>
      </c>
      <c r="F1493">
        <v>0.15384731138137231</v>
      </c>
      <c r="G1493">
        <v>0.8</v>
      </c>
      <c r="H1493">
        <v>8.7606625609867553E-2</v>
      </c>
      <c r="I1493">
        <v>0.94550714858161922</v>
      </c>
      <c r="J1493">
        <v>0</v>
      </c>
      <c r="K1493">
        <v>3.6637464849664569E-2</v>
      </c>
      <c r="L1493">
        <v>0</v>
      </c>
      <c r="M1493">
        <v>93923644.602750003</v>
      </c>
      <c r="N1493">
        <v>0</v>
      </c>
      <c r="O1493" t="b">
        <v>1</v>
      </c>
    </row>
    <row r="1494" spans="1:15" x14ac:dyDescent="0.3">
      <c r="A1494" s="1" t="s">
        <v>1594</v>
      </c>
      <c r="B1494">
        <v>1.8388507589623599</v>
      </c>
      <c r="C1494">
        <v>9.6490623486137073E-3</v>
      </c>
      <c r="D1494">
        <v>1.561081580286831E-2</v>
      </c>
      <c r="E1494">
        <v>62.574910208181521</v>
      </c>
      <c r="F1494">
        <v>2.44978926543955E-2</v>
      </c>
      <c r="G1494">
        <v>0.2</v>
      </c>
      <c r="H1494">
        <v>-3.8605782357906342E-2</v>
      </c>
      <c r="I1494">
        <v>0.56465609765861491</v>
      </c>
      <c r="J1494">
        <v>0</v>
      </c>
      <c r="K1494">
        <v>1.392347145076522E-2</v>
      </c>
      <c r="L1494">
        <v>0</v>
      </c>
      <c r="M1494">
        <v>470471436.16549999</v>
      </c>
      <c r="N1494">
        <v>0</v>
      </c>
      <c r="O1494" t="b">
        <v>1</v>
      </c>
    </row>
    <row r="1495" spans="1:15" x14ac:dyDescent="0.3">
      <c r="A1495" s="1" t="s">
        <v>1595</v>
      </c>
      <c r="B1495">
        <v>1.7114914333695239</v>
      </c>
      <c r="C1495">
        <v>1.6676001962053981E-2</v>
      </c>
      <c r="D1495">
        <v>2.338451944812539E-2</v>
      </c>
      <c r="E1495">
        <v>65.04620670642214</v>
      </c>
      <c r="F1495">
        <v>4.4713220968369161E-2</v>
      </c>
      <c r="G1495">
        <v>0.8</v>
      </c>
      <c r="H1495">
        <v>3.2153556193377827E-2</v>
      </c>
      <c r="I1495">
        <v>1.3426137154342279</v>
      </c>
      <c r="J1495">
        <v>0</v>
      </c>
      <c r="K1495">
        <v>1.3679417661757841E-2</v>
      </c>
      <c r="L1495">
        <v>0</v>
      </c>
      <c r="M1495">
        <v>145629251.69400001</v>
      </c>
      <c r="N1495">
        <v>0</v>
      </c>
      <c r="O1495" t="b">
        <v>1</v>
      </c>
    </row>
    <row r="1496" spans="1:15" x14ac:dyDescent="0.3">
      <c r="A1496" s="1" t="s">
        <v>1596</v>
      </c>
      <c r="B1496">
        <v>6.8720976295535969</v>
      </c>
      <c r="C1496">
        <v>1.394568247957205E-2</v>
      </c>
      <c r="D1496">
        <v>1.0682338425572689E-2</v>
      </c>
      <c r="E1496">
        <v>57.088563910357117</v>
      </c>
      <c r="F1496">
        <v>-4.8025462785314943E-3</v>
      </c>
      <c r="G1496">
        <v>0.6</v>
      </c>
      <c r="H1496">
        <v>1.6523725363406291E-2</v>
      </c>
      <c r="I1496">
        <v>1.2691416982870301</v>
      </c>
      <c r="J1496">
        <v>-3.2747094934212351E-3</v>
      </c>
      <c r="K1496">
        <v>4.8727402667014807E-4</v>
      </c>
      <c r="L1496">
        <v>0</v>
      </c>
      <c r="M1496">
        <v>456584805.54949999</v>
      </c>
      <c r="N1496">
        <v>0</v>
      </c>
      <c r="O1496" t="b">
        <v>1</v>
      </c>
    </row>
    <row r="1497" spans="1:15" x14ac:dyDescent="0.3">
      <c r="A1497" s="1" t="s">
        <v>1597</v>
      </c>
      <c r="B1497">
        <v>2.6247200318523119E-2</v>
      </c>
      <c r="C1497">
        <v>5.2998629599051615E-4</v>
      </c>
      <c r="D1497">
        <v>1.0015285425539621E-3</v>
      </c>
      <c r="E1497">
        <v>84.158531171242629</v>
      </c>
      <c r="F1497">
        <v>3.9184285743243397E-3</v>
      </c>
      <c r="G1497">
        <v>0.4</v>
      </c>
      <c r="H1497">
        <v>-7.9271330678222549E-2</v>
      </c>
      <c r="I1497">
        <v>2.3727862108894209E-3</v>
      </c>
      <c r="J1497">
        <v>0</v>
      </c>
      <c r="K1497">
        <v>8.0429225312972363E-4</v>
      </c>
      <c r="L1497">
        <v>0</v>
      </c>
      <c r="M1497">
        <v>46805334.25795</v>
      </c>
      <c r="N1497">
        <v>0</v>
      </c>
      <c r="O1497" t="b">
        <v>0</v>
      </c>
    </row>
    <row r="1498" spans="1:15" x14ac:dyDescent="0.3">
      <c r="A1498" s="1" t="s">
        <v>1598</v>
      </c>
      <c r="B1498">
        <v>3.321446185588635</v>
      </c>
      <c r="C1498">
        <v>1.049217910308385E-2</v>
      </c>
      <c r="D1498">
        <v>1.0740324231435139E-2</v>
      </c>
      <c r="E1498">
        <v>60.421035112289751</v>
      </c>
      <c r="F1498">
        <v>7.7772578082968558E-3</v>
      </c>
      <c r="G1498">
        <v>0.6</v>
      </c>
      <c r="H1498">
        <v>-2.9786903584567901E-2</v>
      </c>
      <c r="I1498">
        <v>1.015986144087957</v>
      </c>
      <c r="J1498">
        <v>0</v>
      </c>
      <c r="K1498">
        <v>6.2108642446203621E-3</v>
      </c>
      <c r="L1498">
        <v>0</v>
      </c>
      <c r="M1498">
        <v>67567601.258000001</v>
      </c>
      <c r="N1498">
        <v>1</v>
      </c>
      <c r="O1498" t="b">
        <v>0</v>
      </c>
    </row>
    <row r="1499" spans="1:15" x14ac:dyDescent="0.3">
      <c r="A1499" s="1" t="s">
        <v>1599</v>
      </c>
      <c r="B1499">
        <v>0.48312256373185508</v>
      </c>
      <c r="C1499">
        <v>9.0289612924371286E-3</v>
      </c>
      <c r="D1499">
        <v>1.044701643302598E-2</v>
      </c>
      <c r="E1499">
        <v>54.28087658797989</v>
      </c>
      <c r="F1499">
        <v>-1.284582063448725E-2</v>
      </c>
      <c r="G1499">
        <v>0.6</v>
      </c>
      <c r="H1499">
        <v>-7.1040967255587922E-2</v>
      </c>
      <c r="I1499">
        <v>0.88415266662550385</v>
      </c>
      <c r="J1499">
        <v>-1.3917325337751359E-2</v>
      </c>
      <c r="K1499">
        <v>8.3159338795630866E-3</v>
      </c>
      <c r="L1499">
        <v>0</v>
      </c>
      <c r="M1499">
        <v>395514397.56335002</v>
      </c>
      <c r="N1499">
        <v>0</v>
      </c>
      <c r="O1499" t="b">
        <v>1</v>
      </c>
    </row>
    <row r="1500" spans="1:15" x14ac:dyDescent="0.3">
      <c r="A1500" s="1" t="s">
        <v>1600</v>
      </c>
      <c r="B1500">
        <v>0.22083287935187379</v>
      </c>
      <c r="C1500">
        <v>3.3033791671559232E-3</v>
      </c>
      <c r="D1500">
        <v>5.0395957553110967E-3</v>
      </c>
      <c r="E1500">
        <v>55.097608802680419</v>
      </c>
      <c r="F1500">
        <v>3.2310201950016548E-3</v>
      </c>
      <c r="G1500">
        <v>0.2</v>
      </c>
      <c r="H1500">
        <v>-6.9526316913366623E-2</v>
      </c>
      <c r="I1500">
        <v>0.14983476139574009</v>
      </c>
      <c r="J1500">
        <v>-3.838577103841168E-3</v>
      </c>
      <c r="K1500">
        <v>3.4192498664120659E-3</v>
      </c>
      <c r="L1500">
        <v>0</v>
      </c>
      <c r="M1500">
        <v>33053670.482999999</v>
      </c>
      <c r="N1500">
        <v>0</v>
      </c>
      <c r="O1500" t="b">
        <v>0</v>
      </c>
    </row>
    <row r="1501" spans="1:15" x14ac:dyDescent="0.3">
      <c r="A1501" s="1" t="s">
        <v>1601</v>
      </c>
      <c r="B1501">
        <v>3.2531260947115022</v>
      </c>
      <c r="C1501">
        <v>1.5148010275435849E-2</v>
      </c>
      <c r="D1501">
        <v>2.0050662146808389E-2</v>
      </c>
      <c r="E1501">
        <v>63.402730354124969</v>
      </c>
      <c r="F1501">
        <v>2.4736128872177469E-2</v>
      </c>
      <c r="G1501">
        <v>0.4</v>
      </c>
      <c r="H1501">
        <v>-5.2662343452985858E-2</v>
      </c>
      <c r="I1501">
        <v>1.3078812231069981</v>
      </c>
      <c r="J1501">
        <v>0</v>
      </c>
      <c r="K1501">
        <v>1.297610905403168E-2</v>
      </c>
      <c r="L1501">
        <v>0</v>
      </c>
      <c r="M1501">
        <v>81368775.956</v>
      </c>
      <c r="N1501">
        <v>0</v>
      </c>
      <c r="O1501" t="b">
        <v>0</v>
      </c>
    </row>
    <row r="1502" spans="1:15" x14ac:dyDescent="0.3">
      <c r="A1502" s="1" t="s">
        <v>1602</v>
      </c>
      <c r="B1502">
        <v>0.62843445868298764</v>
      </c>
      <c r="C1502">
        <v>8.4285172267217576E-3</v>
      </c>
      <c r="D1502">
        <v>1.2380550023135451E-2</v>
      </c>
      <c r="E1502">
        <v>62.606748272435567</v>
      </c>
      <c r="F1502">
        <v>1.064860813094981E-2</v>
      </c>
      <c r="G1502">
        <v>0.6</v>
      </c>
      <c r="H1502">
        <v>-3.0405779912226118E-2</v>
      </c>
      <c r="I1502">
        <v>0.79174340326085935</v>
      </c>
      <c r="J1502">
        <v>0</v>
      </c>
      <c r="K1502">
        <v>1.0782876997387669E-2</v>
      </c>
      <c r="L1502">
        <v>0</v>
      </c>
      <c r="M1502">
        <v>277363549.9066</v>
      </c>
      <c r="N1502">
        <v>0</v>
      </c>
      <c r="O1502" t="b">
        <v>1</v>
      </c>
    </row>
    <row r="1503" spans="1:15" x14ac:dyDescent="0.3">
      <c r="A1503" s="1" t="s">
        <v>1603</v>
      </c>
      <c r="B1503">
        <v>1.460902764316296</v>
      </c>
      <c r="C1503">
        <v>1.001832882546852E-2</v>
      </c>
      <c r="D1503">
        <v>1.628686832667E-2</v>
      </c>
      <c r="E1503">
        <v>67.508361068834176</v>
      </c>
      <c r="F1503">
        <v>4.0841964011677279E-2</v>
      </c>
      <c r="G1503">
        <v>0.6</v>
      </c>
      <c r="H1503">
        <v>-2.872807649417752E-2</v>
      </c>
      <c r="I1503">
        <v>0.66893420680165683</v>
      </c>
      <c r="J1503">
        <v>0</v>
      </c>
      <c r="K1503">
        <v>1.423037064342703E-2</v>
      </c>
      <c r="L1503">
        <v>0</v>
      </c>
      <c r="M1503">
        <v>155670836.40599999</v>
      </c>
      <c r="N1503">
        <v>0</v>
      </c>
      <c r="O1503" t="b">
        <v>1</v>
      </c>
    </row>
    <row r="1504" spans="1:15" x14ac:dyDescent="0.3">
      <c r="A1504" s="1" t="s">
        <v>1604</v>
      </c>
      <c r="B1504">
        <v>0.67486638246288688</v>
      </c>
      <c r="C1504">
        <v>7.6527349765540334E-3</v>
      </c>
      <c r="D1504">
        <v>1.166961308048982E-2</v>
      </c>
      <c r="E1504">
        <v>67.49265952070445</v>
      </c>
      <c r="F1504">
        <v>2.342641152079028E-2</v>
      </c>
      <c r="G1504">
        <v>0.6</v>
      </c>
      <c r="H1504">
        <v>-2.4419903379217122E-4</v>
      </c>
      <c r="I1504">
        <v>0.57065320877682246</v>
      </c>
      <c r="J1504">
        <v>0</v>
      </c>
      <c r="K1504">
        <v>1.054475907597574E-2</v>
      </c>
      <c r="L1504">
        <v>0</v>
      </c>
      <c r="M1504">
        <v>63797244.114800014</v>
      </c>
      <c r="N1504">
        <v>0</v>
      </c>
      <c r="O1504" t="b">
        <v>0</v>
      </c>
    </row>
    <row r="1505" spans="1:15" x14ac:dyDescent="0.3">
      <c r="A1505" s="1" t="s">
        <v>1605</v>
      </c>
      <c r="B1505">
        <v>0.72872300579169735</v>
      </c>
      <c r="C1505">
        <v>1.8571301295431539E-2</v>
      </c>
      <c r="D1505">
        <v>1.452883850843026E-2</v>
      </c>
      <c r="E1505">
        <v>42.797219886158572</v>
      </c>
      <c r="F1505">
        <v>1.756428323427706E-3</v>
      </c>
      <c r="G1505">
        <v>0.4</v>
      </c>
      <c r="H1505">
        <v>-0.13513895251007929</v>
      </c>
      <c r="I1505">
        <v>0.1207936890973914</v>
      </c>
      <c r="J1505">
        <v>-4.2455892042265631E-2</v>
      </c>
      <c r="K1505">
        <v>-5.4821254324493029E-3</v>
      </c>
      <c r="L1505">
        <v>0</v>
      </c>
      <c r="M1505">
        <v>839877248.66654992</v>
      </c>
      <c r="N1505">
        <v>0</v>
      </c>
      <c r="O1505" t="b">
        <v>1</v>
      </c>
    </row>
    <row r="1506" spans="1:15" x14ac:dyDescent="0.3">
      <c r="A1506" s="1" t="s">
        <v>1606</v>
      </c>
      <c r="B1506">
        <v>5.5415946253456241</v>
      </c>
      <c r="C1506">
        <v>5.9389075397552497E-2</v>
      </c>
      <c r="D1506">
        <v>4.4261065266316679E-2</v>
      </c>
      <c r="E1506">
        <v>41.816238497885472</v>
      </c>
      <c r="F1506">
        <v>-0.17057777777777769</v>
      </c>
      <c r="G1506">
        <v>0.4</v>
      </c>
      <c r="H1506">
        <v>1.514497944864533E-2</v>
      </c>
      <c r="I1506">
        <v>2.003249707391713</v>
      </c>
      <c r="J1506">
        <v>-0.17094624611283871</v>
      </c>
      <c r="K1506">
        <v>-9.6582466567607383E-3</v>
      </c>
      <c r="L1506">
        <v>0</v>
      </c>
      <c r="M1506">
        <v>217283868</v>
      </c>
      <c r="N1506">
        <v>0</v>
      </c>
      <c r="O1506" t="b">
        <v>1</v>
      </c>
    </row>
    <row r="1507" spans="1:15" x14ac:dyDescent="0.3">
      <c r="A1507" s="1" t="s">
        <v>1607</v>
      </c>
      <c r="B1507">
        <v>4.6107255264475011</v>
      </c>
      <c r="C1507">
        <v>2.1413463402892921E-2</v>
      </c>
      <c r="D1507">
        <v>3.4465142416600453E-2</v>
      </c>
      <c r="E1507">
        <v>64.434796796306713</v>
      </c>
      <c r="F1507">
        <v>2.7805092269945542E-2</v>
      </c>
      <c r="G1507">
        <v>0.6</v>
      </c>
      <c r="H1507">
        <v>9.7900041646426503E-2</v>
      </c>
      <c r="I1507">
        <v>1.1562145064528091</v>
      </c>
      <c r="J1507">
        <v>0</v>
      </c>
      <c r="K1507">
        <v>2.8433461020414001E-2</v>
      </c>
      <c r="L1507">
        <v>0</v>
      </c>
      <c r="M1507">
        <v>183765839.51100001</v>
      </c>
      <c r="N1507">
        <v>0</v>
      </c>
      <c r="O1507" t="b">
        <v>1</v>
      </c>
    </row>
    <row r="1508" spans="1:15" x14ac:dyDescent="0.3">
      <c r="A1508" s="1" t="s">
        <v>1608</v>
      </c>
      <c r="B1508">
        <v>2.592565628746204</v>
      </c>
      <c r="C1508">
        <v>2.9999602276628141E-2</v>
      </c>
      <c r="D1508">
        <v>5.7359407544549802E-2</v>
      </c>
      <c r="E1508">
        <v>66.116204753407047</v>
      </c>
      <c r="F1508">
        <v>9.6290094444338781E-2</v>
      </c>
      <c r="G1508">
        <v>0.6</v>
      </c>
      <c r="H1508">
        <v>-3.4037370368924513E-2</v>
      </c>
      <c r="I1508">
        <v>1.4473068775669129</v>
      </c>
      <c r="J1508">
        <v>0</v>
      </c>
      <c r="K1508">
        <v>4.7790752234224021E-2</v>
      </c>
      <c r="L1508">
        <v>0</v>
      </c>
      <c r="M1508">
        <v>76597924.472200006</v>
      </c>
      <c r="N1508">
        <v>0</v>
      </c>
      <c r="O1508" t="b">
        <v>0</v>
      </c>
    </row>
    <row r="1509" spans="1:15" x14ac:dyDescent="0.3">
      <c r="A1509" s="1" t="s">
        <v>1609</v>
      </c>
      <c r="B1509">
        <v>10.04415279217015</v>
      </c>
      <c r="C1509">
        <v>2.5375556546334579E-2</v>
      </c>
      <c r="D1509">
        <v>2.877570612904852E-2</v>
      </c>
      <c r="E1509">
        <v>60.202777159224098</v>
      </c>
      <c r="F1509">
        <v>5.1119313806198052E-2</v>
      </c>
      <c r="G1509">
        <v>0.2</v>
      </c>
      <c r="H1509">
        <v>0.19622915415240819</v>
      </c>
      <c r="I1509">
        <v>0.55224498395135302</v>
      </c>
      <c r="J1509">
        <v>-4.0529403209385813E-2</v>
      </c>
      <c r="K1509">
        <v>2.5015537600994401E-2</v>
      </c>
      <c r="L1509">
        <v>0</v>
      </c>
      <c r="M1509">
        <v>185611935.5</v>
      </c>
      <c r="N1509">
        <v>0</v>
      </c>
      <c r="O1509" t="b">
        <v>1</v>
      </c>
    </row>
    <row r="1510" spans="1:15" x14ac:dyDescent="0.3">
      <c r="A1510" s="1" t="s">
        <v>1610</v>
      </c>
      <c r="B1510">
        <v>1.3274462189542999</v>
      </c>
      <c r="C1510">
        <v>4.3665994044549357E-2</v>
      </c>
      <c r="D1510">
        <v>4.243421052631588E-2</v>
      </c>
      <c r="E1510">
        <v>24.766566663543191</v>
      </c>
      <c r="F1510">
        <v>-0.15812794239822769</v>
      </c>
      <c r="G1510">
        <v>0.2</v>
      </c>
      <c r="H1510">
        <v>-0.209606605228736</v>
      </c>
      <c r="I1510">
        <v>1.2231439708974601</v>
      </c>
      <c r="J1510">
        <v>-0.1792656587473003</v>
      </c>
      <c r="K1510">
        <v>-9.8586920801846389E-4</v>
      </c>
      <c r="L1510">
        <v>0</v>
      </c>
      <c r="M1510">
        <v>60584883.75</v>
      </c>
      <c r="N1510">
        <v>0</v>
      </c>
      <c r="O1510" t="b">
        <v>0</v>
      </c>
    </row>
    <row r="1511" spans="1:15" x14ac:dyDescent="0.3">
      <c r="A1511" s="1" t="s">
        <v>1611</v>
      </c>
      <c r="B1511">
        <v>0.99761096105846414</v>
      </c>
      <c r="C1511">
        <v>3.378296515606042E-2</v>
      </c>
      <c r="D1511">
        <v>5.2488994243142469E-2</v>
      </c>
      <c r="E1511">
        <v>86.272359221848774</v>
      </c>
      <c r="F1511">
        <v>0.28503046127067022</v>
      </c>
      <c r="G1511">
        <v>0.8</v>
      </c>
      <c r="H1511">
        <v>0.27679288270211871</v>
      </c>
      <c r="I1511">
        <v>0.64811376819859867</v>
      </c>
      <c r="J1511">
        <v>0</v>
      </c>
      <c r="K1511">
        <v>4.4939844302901648E-2</v>
      </c>
      <c r="L1511">
        <v>0</v>
      </c>
      <c r="M1511">
        <v>479673772.5</v>
      </c>
      <c r="N1511">
        <v>0</v>
      </c>
      <c r="O1511" t="b">
        <v>1</v>
      </c>
    </row>
    <row r="1512" spans="1:15" x14ac:dyDescent="0.3">
      <c r="A1512" s="1" t="s">
        <v>1612</v>
      </c>
      <c r="B1512">
        <v>1.4568126323589901</v>
      </c>
      <c r="C1512">
        <v>2.2891461853535359E-2</v>
      </c>
      <c r="D1512">
        <v>2.8598365807668141E-2</v>
      </c>
      <c r="E1512">
        <v>74.936614046202934</v>
      </c>
      <c r="F1512">
        <v>0.1167537631653757</v>
      </c>
      <c r="G1512">
        <v>0.8</v>
      </c>
      <c r="H1512">
        <v>1.6854735723189781E-3</v>
      </c>
      <c r="I1512">
        <v>1.17701494566628</v>
      </c>
      <c r="J1512">
        <v>0</v>
      </c>
      <c r="K1512">
        <v>2.1063035079387449E-2</v>
      </c>
      <c r="L1512">
        <v>0</v>
      </c>
      <c r="M1512">
        <v>66688252.976099998</v>
      </c>
      <c r="N1512">
        <v>0</v>
      </c>
      <c r="O1512" t="b">
        <v>0</v>
      </c>
    </row>
    <row r="1513" spans="1:15" x14ac:dyDescent="0.3">
      <c r="A1513" s="1" t="s">
        <v>1613</v>
      </c>
      <c r="B1513">
        <v>8.664541022012612</v>
      </c>
      <c r="C1513">
        <v>3.1333435874300201E-2</v>
      </c>
      <c r="D1513">
        <v>5.0942584268443912E-2</v>
      </c>
      <c r="E1513">
        <v>66.524685992248834</v>
      </c>
      <c r="F1513">
        <v>6.2894943189680363E-2</v>
      </c>
      <c r="G1513">
        <v>0.6</v>
      </c>
      <c r="H1513">
        <v>0.14188080475983139</v>
      </c>
      <c r="I1513">
        <v>1.38729437382153</v>
      </c>
      <c r="J1513">
        <v>0</v>
      </c>
      <c r="K1513">
        <v>4.2102089653482937E-2</v>
      </c>
      <c r="L1513">
        <v>0</v>
      </c>
      <c r="M1513">
        <v>116964195.264</v>
      </c>
      <c r="N1513">
        <v>0</v>
      </c>
      <c r="O1513" t="b">
        <v>1</v>
      </c>
    </row>
    <row r="1514" spans="1:15" x14ac:dyDescent="0.3">
      <c r="A1514" s="1" t="s">
        <v>1614</v>
      </c>
      <c r="B1514">
        <v>2.6896650382457978</v>
      </c>
      <c r="C1514">
        <v>1.604285609284422E-2</v>
      </c>
      <c r="D1514">
        <v>1.268080283916379E-2</v>
      </c>
      <c r="E1514">
        <v>39.835222631447337</v>
      </c>
      <c r="F1514">
        <v>1.2476674175216919E-2</v>
      </c>
      <c r="G1514">
        <v>0</v>
      </c>
      <c r="H1514">
        <v>-0.1144613738187799</v>
      </c>
      <c r="I1514">
        <v>-0.2045974614056798</v>
      </c>
      <c r="J1514">
        <v>-5.0952132958971157E-2</v>
      </c>
      <c r="K1514">
        <v>-1.839679931413873E-3</v>
      </c>
      <c r="L1514">
        <v>0</v>
      </c>
      <c r="M1514">
        <v>188594802.44150001</v>
      </c>
      <c r="N1514">
        <v>0</v>
      </c>
      <c r="O1514" t="b">
        <v>1</v>
      </c>
    </row>
    <row r="1515" spans="1:15" x14ac:dyDescent="0.3">
      <c r="A1515" s="1" t="s">
        <v>1615</v>
      </c>
      <c r="B1515">
        <v>6.4035922250078219</v>
      </c>
      <c r="C1515">
        <v>2.8747888776690558E-2</v>
      </c>
      <c r="D1515">
        <v>1.4949494949495009E-2</v>
      </c>
      <c r="E1515">
        <v>48.963013581899659</v>
      </c>
      <c r="F1515">
        <v>-2.2897749703908451E-2</v>
      </c>
      <c r="G1515">
        <v>1</v>
      </c>
      <c r="H1515">
        <v>-3.8563566756972631E-2</v>
      </c>
      <c r="I1515">
        <v>0.93633250655136546</v>
      </c>
      <c r="J1515">
        <v>-4.6814155505156441E-2</v>
      </c>
      <c r="K1515">
        <v>2.249718785151789E-3</v>
      </c>
      <c r="L1515">
        <v>0</v>
      </c>
      <c r="M1515">
        <v>521701971</v>
      </c>
      <c r="N1515">
        <v>0</v>
      </c>
      <c r="O1515" t="b">
        <v>1</v>
      </c>
    </row>
    <row r="1516" spans="1:15" x14ac:dyDescent="0.3">
      <c r="A1516" s="1" t="s">
        <v>1616</v>
      </c>
      <c r="B1516">
        <v>9.6097842329981145</v>
      </c>
      <c r="C1516">
        <v>5.2840788027240918E-2</v>
      </c>
      <c r="D1516">
        <v>7.4583615138868381E-2</v>
      </c>
      <c r="E1516">
        <v>69.046919840256976</v>
      </c>
      <c r="F1516">
        <v>4.5207675994413547E-2</v>
      </c>
      <c r="G1516">
        <v>0.8</v>
      </c>
      <c r="H1516">
        <v>0.26027022938036859</v>
      </c>
      <c r="I1516">
        <v>2.5811468964569411</v>
      </c>
      <c r="J1516">
        <v>0</v>
      </c>
      <c r="K1516">
        <v>7.3197646628387902E-2</v>
      </c>
      <c r="L1516">
        <v>0</v>
      </c>
      <c r="M1516">
        <v>441040245.83504999</v>
      </c>
      <c r="N1516">
        <v>0</v>
      </c>
      <c r="O1516" t="b">
        <v>1</v>
      </c>
    </row>
    <row r="1517" spans="1:15" x14ac:dyDescent="0.3">
      <c r="A1517" s="1" t="s">
        <v>1617</v>
      </c>
      <c r="B1517">
        <v>0.2670654659012599</v>
      </c>
      <c r="C1517">
        <v>1.6654742999941369E-2</v>
      </c>
      <c r="D1517">
        <v>1.8203474811978499E-2</v>
      </c>
      <c r="E1517">
        <v>49.507832386533543</v>
      </c>
      <c r="F1517">
        <v>-4.2416859253420307E-2</v>
      </c>
      <c r="G1517">
        <v>0.4</v>
      </c>
      <c r="H1517">
        <v>-4.6903738880168702E-2</v>
      </c>
      <c r="I1517">
        <v>0.51834153501284685</v>
      </c>
      <c r="J1517">
        <v>-6.3637212996052628E-2</v>
      </c>
      <c r="K1517">
        <v>0</v>
      </c>
      <c r="L1517">
        <v>0</v>
      </c>
      <c r="M1517">
        <v>11753120.7247</v>
      </c>
      <c r="N1517">
        <v>0</v>
      </c>
      <c r="O1517" t="b">
        <v>0</v>
      </c>
    </row>
    <row r="1518" spans="1:15" x14ac:dyDescent="0.3">
      <c r="A1518" s="1" t="s">
        <v>1618</v>
      </c>
      <c r="B1518">
        <v>1.5360294692135901</v>
      </c>
      <c r="C1518">
        <v>1.4942793054201511E-2</v>
      </c>
      <c r="D1518">
        <v>1.100258769967119E-2</v>
      </c>
      <c r="E1518">
        <v>23.684373506152369</v>
      </c>
      <c r="F1518">
        <v>-7.0494619766705902E-2</v>
      </c>
      <c r="G1518">
        <v>0</v>
      </c>
      <c r="H1518">
        <v>-0.1247973519919689</v>
      </c>
      <c r="I1518">
        <v>-1.130642165140173E-2</v>
      </c>
      <c r="J1518">
        <v>-7.6440674920486673E-2</v>
      </c>
      <c r="K1518">
        <v>-9.3576832265215293E-3</v>
      </c>
      <c r="L1518">
        <v>0</v>
      </c>
      <c r="M1518">
        <v>222347681.646</v>
      </c>
      <c r="N1518">
        <v>0</v>
      </c>
      <c r="O1518" t="b">
        <v>1</v>
      </c>
    </row>
    <row r="1519" spans="1:15" x14ac:dyDescent="0.3">
      <c r="A1519" s="1" t="s">
        <v>1619</v>
      </c>
      <c r="B1519">
        <v>4.1181745285438236</v>
      </c>
      <c r="C1519">
        <v>2.1629749511769401E-2</v>
      </c>
      <c r="D1519">
        <v>3.3966406504406722E-2</v>
      </c>
      <c r="E1519">
        <v>42.665284384153331</v>
      </c>
      <c r="F1519">
        <v>5.252542230449464E-5</v>
      </c>
      <c r="G1519">
        <v>0.4</v>
      </c>
      <c r="H1519">
        <v>9.6770954605031642E-2</v>
      </c>
      <c r="I1519">
        <v>0.22832568110774859</v>
      </c>
      <c r="J1519">
        <v>-8.2367797034952117E-2</v>
      </c>
      <c r="K1519">
        <v>-2.416097750989199E-2</v>
      </c>
      <c r="L1519">
        <v>0</v>
      </c>
      <c r="M1519">
        <v>416948617.15499997</v>
      </c>
      <c r="N1519">
        <v>0</v>
      </c>
      <c r="O1519" t="b">
        <v>1</v>
      </c>
    </row>
    <row r="1520" spans="1:15" x14ac:dyDescent="0.3">
      <c r="A1520" s="1" t="s">
        <v>1620</v>
      </c>
      <c r="B1520">
        <v>0.71697280511190831</v>
      </c>
      <c r="C1520">
        <v>1.8464403943134391E-2</v>
      </c>
      <c r="D1520">
        <v>1.570950296162759E-2</v>
      </c>
      <c r="E1520">
        <v>49.397911024552478</v>
      </c>
      <c r="F1520">
        <v>-8.6801123308655193E-3</v>
      </c>
      <c r="G1520">
        <v>0.2</v>
      </c>
      <c r="H1520">
        <v>-1.1296320860124821E-2</v>
      </c>
      <c r="I1520">
        <v>0.33299773459761622</v>
      </c>
      <c r="J1520">
        <v>-3.6476426799007422E-2</v>
      </c>
      <c r="K1520">
        <v>-7.720020586722276E-4</v>
      </c>
      <c r="L1520">
        <v>0</v>
      </c>
      <c r="M1520">
        <v>44186244.892549999</v>
      </c>
      <c r="N1520">
        <v>0</v>
      </c>
      <c r="O1520" t="b">
        <v>0</v>
      </c>
    </row>
    <row r="1521" spans="1:15" x14ac:dyDescent="0.3">
      <c r="A1521" s="1" t="s">
        <v>1621</v>
      </c>
      <c r="B1521">
        <v>1.4026535021069291</v>
      </c>
      <c r="C1521">
        <v>2.4534782265295239E-2</v>
      </c>
      <c r="D1521">
        <v>1.7491691446562881E-2</v>
      </c>
      <c r="E1521">
        <v>56.011589042429819</v>
      </c>
      <c r="F1521">
        <v>4.2107181917608427E-2</v>
      </c>
      <c r="G1521">
        <v>0.4</v>
      </c>
      <c r="H1521">
        <v>-6.4570471485827629E-3</v>
      </c>
      <c r="I1521">
        <v>0.89865200718831384</v>
      </c>
      <c r="J1521">
        <v>-3.7217918491074482E-2</v>
      </c>
      <c r="K1521">
        <v>-5.566185423551917E-3</v>
      </c>
      <c r="L1521">
        <v>0</v>
      </c>
      <c r="M1521">
        <v>2196898.4215000002</v>
      </c>
      <c r="N1521">
        <v>1</v>
      </c>
      <c r="O1521" t="b">
        <v>0</v>
      </c>
    </row>
    <row r="1522" spans="1:15" x14ac:dyDescent="0.3">
      <c r="A1522" s="1" t="s">
        <v>1622</v>
      </c>
      <c r="B1522">
        <v>1.9911916269857299</v>
      </c>
      <c r="C1522">
        <v>2.1956021909645278E-2</v>
      </c>
      <c r="D1522">
        <v>2.9551218436431881E-2</v>
      </c>
      <c r="E1522">
        <v>66.958820240535488</v>
      </c>
      <c r="F1522">
        <v>5.3310104529616709E-2</v>
      </c>
      <c r="G1522">
        <v>0.6</v>
      </c>
      <c r="H1522">
        <v>8.2045692679877921E-2</v>
      </c>
      <c r="I1522">
        <v>0.94999660303523215</v>
      </c>
      <c r="J1522">
        <v>0</v>
      </c>
      <c r="K1522">
        <v>2.024974687816394E-2</v>
      </c>
      <c r="L1522">
        <v>0</v>
      </c>
      <c r="M1522">
        <v>1183554891.1148</v>
      </c>
      <c r="N1522">
        <v>0</v>
      </c>
      <c r="O1522" t="b">
        <v>1</v>
      </c>
    </row>
    <row r="1523" spans="1:15" x14ac:dyDescent="0.3">
      <c r="A1523" s="1" t="s">
        <v>1623</v>
      </c>
      <c r="B1523">
        <v>12.8910121350974</v>
      </c>
      <c r="C1523">
        <v>5.2193290854936743E-2</v>
      </c>
      <c r="D1523">
        <v>4.4245422817487619E-2</v>
      </c>
      <c r="E1523">
        <v>47.736593680737798</v>
      </c>
      <c r="F1523">
        <v>4.0440464054324998E-2</v>
      </c>
      <c r="G1523">
        <v>0.2</v>
      </c>
      <c r="H1523">
        <v>-5.8510432923688092E-2</v>
      </c>
      <c r="I1523">
        <v>1.289936505425342</v>
      </c>
      <c r="J1523">
        <v>-0.1004330549495376</v>
      </c>
      <c r="K1523">
        <v>-7.6868304366117801E-4</v>
      </c>
      <c r="L1523">
        <v>0</v>
      </c>
      <c r="M1523">
        <v>198717674.65200001</v>
      </c>
      <c r="N1523">
        <v>0</v>
      </c>
      <c r="O1523" t="b">
        <v>1</v>
      </c>
    </row>
    <row r="1524" spans="1:15" x14ac:dyDescent="0.3">
      <c r="A1524" s="1" t="s">
        <v>1624</v>
      </c>
      <c r="B1524">
        <v>4.8096747343692639E-2</v>
      </c>
      <c r="C1524">
        <v>1.6642473129305412E-2</v>
      </c>
      <c r="D1524">
        <v>2.0761245674740501E-2</v>
      </c>
      <c r="E1524">
        <v>76.11060676673236</v>
      </c>
      <c r="F1524">
        <v>0.10305343511450379</v>
      </c>
      <c r="G1524">
        <v>0.8</v>
      </c>
      <c r="H1524">
        <v>-1.170277933038423E-2</v>
      </c>
      <c r="I1524">
        <v>0.39193342467566822</v>
      </c>
      <c r="J1524">
        <v>0</v>
      </c>
      <c r="K1524">
        <v>1.048951048951063E-2</v>
      </c>
      <c r="L1524">
        <v>0</v>
      </c>
      <c r="M1524">
        <v>17001371.548390001</v>
      </c>
      <c r="N1524">
        <v>0</v>
      </c>
      <c r="O1524" t="b">
        <v>0</v>
      </c>
    </row>
    <row r="1525" spans="1:15" x14ac:dyDescent="0.3">
      <c r="A1525" s="1" t="s">
        <v>1625</v>
      </c>
      <c r="B1525">
        <v>2.9355676942815112</v>
      </c>
      <c r="C1525">
        <v>4.0563883628093683E-2</v>
      </c>
      <c r="D1525">
        <v>6.3109895120839032E-2</v>
      </c>
      <c r="E1525">
        <v>64.269114392792275</v>
      </c>
      <c r="F1525">
        <v>0.12567371032594729</v>
      </c>
      <c r="G1525">
        <v>0.6</v>
      </c>
      <c r="H1525">
        <v>-0.14894454432603671</v>
      </c>
      <c r="I1525">
        <v>1.8108515189750409</v>
      </c>
      <c r="J1525">
        <v>0</v>
      </c>
      <c r="K1525">
        <v>6.2682543248708145E-2</v>
      </c>
      <c r="L1525">
        <v>0</v>
      </c>
      <c r="M1525">
        <v>83881733.092000008</v>
      </c>
      <c r="N1525">
        <v>0</v>
      </c>
      <c r="O1525" t="b">
        <v>0</v>
      </c>
    </row>
    <row r="1526" spans="1:15" x14ac:dyDescent="0.3">
      <c r="A1526" s="1" t="s">
        <v>1626</v>
      </c>
      <c r="B1526">
        <v>3.5010818128061039</v>
      </c>
      <c r="C1526">
        <v>1.6739573573062889E-2</v>
      </c>
      <c r="D1526">
        <v>1.0662204159693951E-2</v>
      </c>
      <c r="E1526">
        <v>45.82907732292712</v>
      </c>
      <c r="F1526">
        <v>4.7331470520485919E-2</v>
      </c>
      <c r="G1526">
        <v>0.2</v>
      </c>
      <c r="H1526">
        <v>-9.1144669680911561E-2</v>
      </c>
      <c r="I1526">
        <v>-0.31907272415857552</v>
      </c>
      <c r="J1526">
        <v>-3.6312784809543357E-2</v>
      </c>
      <c r="K1526">
        <v>-7.6441641584246156E-4</v>
      </c>
      <c r="L1526">
        <v>0</v>
      </c>
      <c r="M1526">
        <v>359787731.58749998</v>
      </c>
      <c r="N1526">
        <v>0</v>
      </c>
      <c r="O1526" t="b">
        <v>1</v>
      </c>
    </row>
    <row r="1527" spans="1:15" x14ac:dyDescent="0.3">
      <c r="A1527" s="1" t="s">
        <v>1627</v>
      </c>
      <c r="B1527">
        <v>1.44483322089147</v>
      </c>
      <c r="C1527">
        <v>2.4079189194136829E-2</v>
      </c>
      <c r="D1527">
        <v>2.5785205505021329E-2</v>
      </c>
      <c r="E1527">
        <v>49.33741820044083</v>
      </c>
      <c r="F1527">
        <v>-1.650510959592455E-3</v>
      </c>
      <c r="G1527">
        <v>0.2</v>
      </c>
      <c r="H1527">
        <v>-1.2671305437139331E-2</v>
      </c>
      <c r="I1527">
        <v>0.32924057104898119</v>
      </c>
      <c r="J1527">
        <v>-4.9639279350623733E-2</v>
      </c>
      <c r="K1527">
        <v>-1.7059602128273069E-2</v>
      </c>
      <c r="L1527">
        <v>0</v>
      </c>
      <c r="M1527">
        <v>402127121.99204999</v>
      </c>
      <c r="N1527">
        <v>0</v>
      </c>
      <c r="O1527" t="b">
        <v>1</v>
      </c>
    </row>
    <row r="1528" spans="1:15" x14ac:dyDescent="0.3">
      <c r="A1528" s="1" t="s">
        <v>1628</v>
      </c>
      <c r="B1528">
        <v>0.87886421202313547</v>
      </c>
      <c r="C1528">
        <v>3.1625310347397267E-2</v>
      </c>
      <c r="D1528">
        <v>2.6815497716796411E-2</v>
      </c>
      <c r="E1528">
        <v>38.954092387790517</v>
      </c>
      <c r="F1528">
        <v>-5.54271496842349E-2</v>
      </c>
      <c r="G1528">
        <v>0.6</v>
      </c>
      <c r="H1528">
        <v>-0.21938204694582461</v>
      </c>
      <c r="I1528">
        <v>8.3839249475621477E-2</v>
      </c>
      <c r="J1528">
        <v>-8.8628641891094206E-2</v>
      </c>
      <c r="K1528">
        <v>1.30394208266198E-2</v>
      </c>
      <c r="L1528">
        <v>0</v>
      </c>
      <c r="M1528">
        <v>50831469.633699998</v>
      </c>
      <c r="N1528">
        <v>0</v>
      </c>
      <c r="O1528" t="b">
        <v>0</v>
      </c>
    </row>
    <row r="1529" spans="1:15" x14ac:dyDescent="0.3">
      <c r="A1529" s="1" t="s">
        <v>1629</v>
      </c>
      <c r="B1529">
        <v>4.3135477131745166</v>
      </c>
      <c r="C1529">
        <v>2.886416702806097E-2</v>
      </c>
      <c r="D1529">
        <v>4.0590726899219123E-2</v>
      </c>
      <c r="E1529">
        <v>54.780982887746191</v>
      </c>
      <c r="F1529">
        <v>1.612826457969296E-2</v>
      </c>
      <c r="G1529">
        <v>0.2</v>
      </c>
      <c r="H1529">
        <v>-1.2414114727257069E-2</v>
      </c>
      <c r="I1529">
        <v>0.74975860432719477</v>
      </c>
      <c r="J1529">
        <v>-2.4192284587457809E-2</v>
      </c>
      <c r="K1529">
        <v>3.3149438637243733E-2</v>
      </c>
      <c r="L1529">
        <v>0</v>
      </c>
      <c r="M1529">
        <v>80872586.68900001</v>
      </c>
      <c r="N1529">
        <v>1</v>
      </c>
      <c r="O1529" t="b">
        <v>0</v>
      </c>
    </row>
    <row r="1530" spans="1:15" x14ac:dyDescent="0.3">
      <c r="A1530" s="1" t="s">
        <v>1630</v>
      </c>
      <c r="B1530">
        <v>2.3366384172414079</v>
      </c>
      <c r="C1530">
        <v>2.0687369785227169E-2</v>
      </c>
      <c r="D1530">
        <v>2.8632138114209778E-2</v>
      </c>
      <c r="E1530">
        <v>63.125244410566523</v>
      </c>
      <c r="F1530">
        <v>0.105056157789692</v>
      </c>
      <c r="G1530">
        <v>0.6</v>
      </c>
      <c r="H1530">
        <v>5.0410713345715057E-2</v>
      </c>
      <c r="I1530">
        <v>-0.31265603101507289</v>
      </c>
      <c r="J1530">
        <v>-1.6765904105296211E-2</v>
      </c>
      <c r="K1530">
        <v>-1.6337763224356761E-2</v>
      </c>
      <c r="L1530">
        <v>0</v>
      </c>
      <c r="M1530">
        <v>1573054612.4495001</v>
      </c>
      <c r="N1530">
        <v>0</v>
      </c>
      <c r="O1530" t="b">
        <v>1</v>
      </c>
    </row>
    <row r="1531" spans="1:15" x14ac:dyDescent="0.3">
      <c r="A1531" s="1" t="s">
        <v>1631</v>
      </c>
      <c r="B1531">
        <v>0.9655006522806473</v>
      </c>
      <c r="C1531">
        <v>1.48378997398282E-2</v>
      </c>
      <c r="D1531">
        <v>1.81819858336957E-2</v>
      </c>
      <c r="E1531">
        <v>44.791540575521843</v>
      </c>
      <c r="F1531">
        <v>-1.2861492436780919E-2</v>
      </c>
      <c r="G1531">
        <v>0.4</v>
      </c>
      <c r="H1531">
        <v>-0.1055718048948055</v>
      </c>
      <c r="I1531">
        <v>0.16391075722504009</v>
      </c>
      <c r="J1531">
        <v>-2.7838202864945871E-2</v>
      </c>
      <c r="K1531">
        <v>1.4760602213856441E-2</v>
      </c>
      <c r="L1531">
        <v>0</v>
      </c>
      <c r="M1531">
        <v>71706224.723250002</v>
      </c>
      <c r="N1531">
        <v>0</v>
      </c>
      <c r="O1531" t="b">
        <v>0</v>
      </c>
    </row>
    <row r="1532" spans="1:15" x14ac:dyDescent="0.3">
      <c r="A1532" s="1" t="s">
        <v>1632</v>
      </c>
      <c r="B1532">
        <v>3.6626385251226861</v>
      </c>
      <c r="C1532">
        <v>3.2461566295512591E-2</v>
      </c>
      <c r="D1532">
        <v>4.1744216963573458E-2</v>
      </c>
      <c r="E1532">
        <v>63.212662274286693</v>
      </c>
      <c r="F1532">
        <v>0.10282474831394769</v>
      </c>
      <c r="G1532">
        <v>0.6</v>
      </c>
      <c r="H1532">
        <v>1.332687764951288E-2</v>
      </c>
      <c r="I1532">
        <v>0.65880527592302163</v>
      </c>
      <c r="J1532">
        <v>0</v>
      </c>
      <c r="K1532">
        <v>3.2579848082730838E-2</v>
      </c>
      <c r="L1532">
        <v>0</v>
      </c>
      <c r="M1532">
        <v>154026220</v>
      </c>
      <c r="N1532">
        <v>0</v>
      </c>
      <c r="O1532" t="b">
        <v>1</v>
      </c>
    </row>
    <row r="1533" spans="1:15" x14ac:dyDescent="0.3">
      <c r="A1533" s="1" t="s">
        <v>1633</v>
      </c>
      <c r="B1533">
        <v>1.671102425392661</v>
      </c>
      <c r="C1533">
        <v>2.5150879856488648E-2</v>
      </c>
      <c r="D1533">
        <v>1.9973481068763909E-2</v>
      </c>
      <c r="E1533">
        <v>27.015332278613538</v>
      </c>
      <c r="F1533">
        <v>-0.1087815261873751</v>
      </c>
      <c r="G1533">
        <v>0.4</v>
      </c>
      <c r="H1533">
        <v>-0.11261142859698151</v>
      </c>
      <c r="I1533">
        <v>-8.6412614026668472E-2</v>
      </c>
      <c r="J1533">
        <v>-0.1345715000234452</v>
      </c>
      <c r="K1533">
        <v>9.7091067135532949E-3</v>
      </c>
      <c r="L1533">
        <v>0</v>
      </c>
      <c r="M1533">
        <v>119539400.16240001</v>
      </c>
      <c r="N1533">
        <v>0</v>
      </c>
      <c r="O1533" t="b">
        <v>1</v>
      </c>
    </row>
    <row r="1534" spans="1:15" x14ac:dyDescent="0.3">
      <c r="A1534" s="1" t="s">
        <v>1634</v>
      </c>
      <c r="B1534">
        <v>6.1207584397682151</v>
      </c>
      <c r="C1534">
        <v>3.2816968558420978E-2</v>
      </c>
      <c r="D1534">
        <v>4.5696791627348347E-2</v>
      </c>
      <c r="E1534">
        <v>55.265473589384023</v>
      </c>
      <c r="F1534">
        <v>-3.8786217132726668E-2</v>
      </c>
      <c r="G1534">
        <v>0.8</v>
      </c>
      <c r="H1534">
        <v>-9.7513181172321481E-2</v>
      </c>
      <c r="I1534">
        <v>1.0377021863516931</v>
      </c>
      <c r="J1534">
        <v>-2.496249091679004E-2</v>
      </c>
      <c r="K1534">
        <v>3.6678839216732539E-2</v>
      </c>
      <c r="L1534">
        <v>0</v>
      </c>
      <c r="M1534">
        <v>243801010.66249999</v>
      </c>
      <c r="N1534">
        <v>0</v>
      </c>
      <c r="O1534" t="b">
        <v>1</v>
      </c>
    </row>
    <row r="1535" spans="1:15" x14ac:dyDescent="0.3">
      <c r="A1535" s="1" t="s">
        <v>1635</v>
      </c>
      <c r="B1535">
        <v>11.01010566065341</v>
      </c>
      <c r="C1535">
        <v>3.1262012506540288E-2</v>
      </c>
      <c r="D1535">
        <v>4.6395675037195973E-2</v>
      </c>
      <c r="E1535">
        <v>53.867062345121809</v>
      </c>
      <c r="F1535">
        <v>1.1711781586907669E-2</v>
      </c>
      <c r="G1535">
        <v>0.2</v>
      </c>
      <c r="H1535">
        <v>-0.1116880031342934</v>
      </c>
      <c r="I1535">
        <v>1.188168808249106</v>
      </c>
      <c r="J1535">
        <v>-2.4444060489844381E-3</v>
      </c>
      <c r="K1535">
        <v>4.7227962712418803E-2</v>
      </c>
      <c r="L1535">
        <v>0</v>
      </c>
      <c r="M1535">
        <v>129805044.846</v>
      </c>
      <c r="N1535">
        <v>0</v>
      </c>
      <c r="O1535" t="b">
        <v>1</v>
      </c>
    </row>
    <row r="1536" spans="1:15" x14ac:dyDescent="0.3">
      <c r="A1536" s="1" t="s">
        <v>1636</v>
      </c>
      <c r="B1536">
        <v>8.1666233692803925</v>
      </c>
      <c r="C1536">
        <v>3.0619173087780231E-2</v>
      </c>
      <c r="D1536">
        <v>1.9852577273204521E-2</v>
      </c>
      <c r="E1536">
        <v>44.835739937325243</v>
      </c>
      <c r="F1536">
        <v>-3.0123636363636349E-2</v>
      </c>
      <c r="G1536">
        <v>0.2</v>
      </c>
      <c r="H1536">
        <v>-1.3986514299052861E-2</v>
      </c>
      <c r="I1536">
        <v>0.78112007831978647</v>
      </c>
      <c r="J1536">
        <v>-6.1024467523323363E-2</v>
      </c>
      <c r="K1536">
        <v>3.34428030260292E-3</v>
      </c>
      <c r="L1536">
        <v>0</v>
      </c>
      <c r="M1536">
        <v>154495669.24900001</v>
      </c>
      <c r="N1536">
        <v>0</v>
      </c>
      <c r="O1536" t="b">
        <v>1</v>
      </c>
    </row>
    <row r="1537" spans="1:15" x14ac:dyDescent="0.3">
      <c r="A1537" s="1" t="s">
        <v>1637</v>
      </c>
      <c r="B1537">
        <v>3.2789339699093412</v>
      </c>
      <c r="C1537">
        <v>2.3249904062322489E-2</v>
      </c>
      <c r="D1537">
        <v>3.8289725590299979E-2</v>
      </c>
      <c r="E1537">
        <v>66.935188165205687</v>
      </c>
      <c r="F1537">
        <v>7.157510827444713E-2</v>
      </c>
      <c r="G1537">
        <v>0.6</v>
      </c>
      <c r="H1537">
        <v>9.4558101148782049E-4</v>
      </c>
      <c r="I1537">
        <v>1.212987586395095</v>
      </c>
      <c r="J1537">
        <v>0</v>
      </c>
      <c r="K1537">
        <v>3.57667450058754E-2</v>
      </c>
      <c r="L1537">
        <v>0</v>
      </c>
      <c r="M1537">
        <v>50709954.8235</v>
      </c>
      <c r="N1537">
        <v>0</v>
      </c>
      <c r="O1537" t="b">
        <v>0</v>
      </c>
    </row>
    <row r="1538" spans="1:15" x14ac:dyDescent="0.3">
      <c r="A1538" s="1" t="s">
        <v>1638</v>
      </c>
      <c r="B1538">
        <v>0.84189286381926975</v>
      </c>
      <c r="C1538">
        <v>2.2865469394375511E-2</v>
      </c>
      <c r="D1538">
        <v>1.372374346132741E-2</v>
      </c>
      <c r="E1538">
        <v>34.955017576620897</v>
      </c>
      <c r="F1538">
        <v>-4.5189564856594422E-2</v>
      </c>
      <c r="G1538">
        <v>0.2</v>
      </c>
      <c r="H1538">
        <v>-5.7896434468784667E-2</v>
      </c>
      <c r="I1538">
        <v>-0.23145451298533179</v>
      </c>
      <c r="J1538">
        <v>-7.3779378803238926E-2</v>
      </c>
      <c r="K1538">
        <v>-1.8786240772918909E-3</v>
      </c>
      <c r="L1538">
        <v>0</v>
      </c>
      <c r="M1538">
        <v>63040645.340750001</v>
      </c>
      <c r="N1538">
        <v>0</v>
      </c>
      <c r="O1538" t="b">
        <v>0</v>
      </c>
    </row>
    <row r="1539" spans="1:15" x14ac:dyDescent="0.3">
      <c r="A1539" s="1" t="s">
        <v>1639</v>
      </c>
      <c r="B1539">
        <v>6.1590412955208267</v>
      </c>
      <c r="C1539">
        <v>2.2436736751779832E-2</v>
      </c>
      <c r="D1539">
        <v>3.7099236085054388E-2</v>
      </c>
      <c r="E1539">
        <v>52.855293348803457</v>
      </c>
      <c r="F1539">
        <v>-1.4150806123043309E-3</v>
      </c>
      <c r="G1539">
        <v>0.2</v>
      </c>
      <c r="H1539">
        <v>-8.345898890067921E-2</v>
      </c>
      <c r="I1539">
        <v>0.89172427125073939</v>
      </c>
      <c r="J1539">
        <v>-8.4594851344956812E-3</v>
      </c>
      <c r="K1539">
        <v>2.8505164875102681E-2</v>
      </c>
      <c r="L1539">
        <v>0</v>
      </c>
      <c r="M1539">
        <v>38669137.976000004</v>
      </c>
      <c r="N1539">
        <v>0</v>
      </c>
      <c r="O1539" t="b">
        <v>0</v>
      </c>
    </row>
    <row r="1540" spans="1:15" x14ac:dyDescent="0.3">
      <c r="A1540" s="1" t="s">
        <v>1640</v>
      </c>
      <c r="B1540">
        <v>5.7612239821544264</v>
      </c>
      <c r="C1540">
        <v>1.8340195594049698E-2</v>
      </c>
      <c r="D1540">
        <v>3.2604231992385227E-2</v>
      </c>
      <c r="E1540">
        <v>40.772816227994113</v>
      </c>
      <c r="F1540">
        <v>-2.0553561796316622E-2</v>
      </c>
      <c r="G1540">
        <v>0.6</v>
      </c>
      <c r="H1540">
        <v>-0.13937871352501491</v>
      </c>
      <c r="I1540">
        <v>-0.1126852783843319</v>
      </c>
      <c r="J1540">
        <v>-2.8679121599475721E-2</v>
      </c>
      <c r="K1540">
        <v>-2.2406801709141218E-2</v>
      </c>
      <c r="L1540">
        <v>0</v>
      </c>
      <c r="M1540">
        <v>187140213.43450001</v>
      </c>
      <c r="N1540">
        <v>0</v>
      </c>
      <c r="O1540" t="b">
        <v>1</v>
      </c>
    </row>
    <row r="1541" spans="1:15" x14ac:dyDescent="0.3">
      <c r="A1541" s="1" t="s">
        <v>1641</v>
      </c>
      <c r="B1541">
        <v>9.3719127241423514</v>
      </c>
      <c r="C1541">
        <v>3.232217885016659E-2</v>
      </c>
      <c r="D1541">
        <v>2.0334330046593619E-2</v>
      </c>
      <c r="E1541">
        <v>57.638625977365592</v>
      </c>
      <c r="F1541">
        <v>7.0032032357109086E-2</v>
      </c>
      <c r="G1541">
        <v>0.6</v>
      </c>
      <c r="H1541">
        <v>0.11921740445398329</v>
      </c>
      <c r="I1541">
        <v>1.2445511305124921</v>
      </c>
      <c r="J1541">
        <v>-4.3700095315679643E-2</v>
      </c>
      <c r="K1541">
        <v>8.4444830884271571E-3</v>
      </c>
      <c r="L1541">
        <v>0</v>
      </c>
      <c r="M1541">
        <v>103658339.7</v>
      </c>
      <c r="N1541">
        <v>0</v>
      </c>
      <c r="O1541" t="b">
        <v>1</v>
      </c>
    </row>
    <row r="1542" spans="1:15" x14ac:dyDescent="0.3">
      <c r="A1542" s="1" t="s">
        <v>1642</v>
      </c>
      <c r="B1542">
        <v>0.57346452134587744</v>
      </c>
      <c r="C1542">
        <v>2.4900760805292119E-2</v>
      </c>
      <c r="D1542">
        <v>4.2987407729048993E-2</v>
      </c>
      <c r="E1542">
        <v>59.815932575476637</v>
      </c>
      <c r="F1542">
        <v>2.5104602510460209E-2</v>
      </c>
      <c r="G1542">
        <v>0.6</v>
      </c>
      <c r="H1542">
        <v>-0.1511009310387566</v>
      </c>
      <c r="I1542">
        <v>0.24912183567496571</v>
      </c>
      <c r="J1542">
        <v>0</v>
      </c>
      <c r="K1542">
        <v>4.1139240506329111E-2</v>
      </c>
      <c r="L1542">
        <v>0</v>
      </c>
      <c r="M1542">
        <v>103621077.61489999</v>
      </c>
      <c r="N1542">
        <v>0</v>
      </c>
      <c r="O1542" t="b">
        <v>1</v>
      </c>
    </row>
    <row r="1543" spans="1:15" x14ac:dyDescent="0.3">
      <c r="A1543" s="1" t="s">
        <v>1643</v>
      </c>
      <c r="B1543">
        <v>4.5371130345996056</v>
      </c>
      <c r="C1543">
        <v>3.6788098974301721E-2</v>
      </c>
      <c r="D1543">
        <v>1.391377674712771E-2</v>
      </c>
      <c r="E1543">
        <v>47.670392473786848</v>
      </c>
      <c r="F1543">
        <v>-3.8976724614869118E-2</v>
      </c>
      <c r="G1543">
        <v>0.2</v>
      </c>
      <c r="H1543">
        <v>-1.808815711436294E-2</v>
      </c>
      <c r="I1543">
        <v>0.96341981930441478</v>
      </c>
      <c r="J1543">
        <v>-7.1302710843373585E-2</v>
      </c>
      <c r="K1543">
        <v>-4.9939491730536254E-3</v>
      </c>
      <c r="L1543">
        <v>0</v>
      </c>
      <c r="M1543">
        <v>187929625.021</v>
      </c>
      <c r="N1543">
        <v>0</v>
      </c>
      <c r="O1543" t="b">
        <v>1</v>
      </c>
    </row>
    <row r="1544" spans="1:15" x14ac:dyDescent="0.3">
      <c r="A1544" s="1" t="s">
        <v>1644</v>
      </c>
      <c r="B1544">
        <v>5.0522243058517518</v>
      </c>
      <c r="C1544">
        <v>2.1624154914233779E-2</v>
      </c>
      <c r="D1544">
        <v>2.5496708583363979E-2</v>
      </c>
      <c r="E1544">
        <v>53.442785505309061</v>
      </c>
      <c r="F1544">
        <v>-1.4085814597258771E-2</v>
      </c>
      <c r="G1544">
        <v>0.6</v>
      </c>
      <c r="H1544">
        <v>2.470998653596548E-2</v>
      </c>
      <c r="I1544">
        <v>1.393379641658566</v>
      </c>
      <c r="J1544">
        <v>-9.9916947744876916E-3</v>
      </c>
      <c r="K1544">
        <v>1.124918303836164E-2</v>
      </c>
      <c r="L1544">
        <v>0</v>
      </c>
      <c r="M1544">
        <v>26426027.2465</v>
      </c>
      <c r="N1544">
        <v>0</v>
      </c>
      <c r="O1544" t="b">
        <v>0</v>
      </c>
    </row>
    <row r="1545" spans="1:15" x14ac:dyDescent="0.3">
      <c r="A1545" s="1" t="s">
        <v>1645</v>
      </c>
      <c r="B1545">
        <v>2.5768989258656472</v>
      </c>
      <c r="C1545">
        <v>2.1183241203025512E-2</v>
      </c>
      <c r="D1545">
        <v>1.6227147178745259E-2</v>
      </c>
      <c r="E1545">
        <v>62.605231920201923</v>
      </c>
      <c r="F1545">
        <v>0.1086423578517592</v>
      </c>
      <c r="G1545">
        <v>0.8</v>
      </c>
      <c r="H1545">
        <v>0.25485786276191608</v>
      </c>
      <c r="I1545">
        <v>0.95740714303126107</v>
      </c>
      <c r="J1545">
        <v>-1.301398760263528E-2</v>
      </c>
      <c r="K1545">
        <v>7.1032370229322517E-3</v>
      </c>
      <c r="L1545">
        <v>0</v>
      </c>
      <c r="M1545">
        <v>879242107.27574992</v>
      </c>
      <c r="N1545">
        <v>0</v>
      </c>
      <c r="O1545" t="b">
        <v>1</v>
      </c>
    </row>
    <row r="1546" spans="1:15" x14ac:dyDescent="0.3">
      <c r="A1546" s="1" t="s">
        <v>1646</v>
      </c>
      <c r="B1546">
        <v>1.365597495820867</v>
      </c>
      <c r="C1546">
        <v>1.8441933271043529E-2</v>
      </c>
      <c r="D1546">
        <v>1.661748718745136E-2</v>
      </c>
      <c r="E1546">
        <v>26.748677143770522</v>
      </c>
      <c r="F1546">
        <v>-7.1890173743673458E-2</v>
      </c>
      <c r="G1546">
        <v>0</v>
      </c>
      <c r="H1546">
        <v>-1.3343446473626151E-2</v>
      </c>
      <c r="I1546">
        <v>2.2839935932346352E-2</v>
      </c>
      <c r="J1546">
        <v>-9.1218699796639879E-2</v>
      </c>
      <c r="K1546">
        <v>-1.4526217726909761E-2</v>
      </c>
      <c r="L1546">
        <v>0</v>
      </c>
      <c r="M1546">
        <v>255365151.80114999</v>
      </c>
      <c r="N1546">
        <v>0</v>
      </c>
      <c r="O1546" t="b">
        <v>1</v>
      </c>
    </row>
    <row r="1547" spans="1:15" x14ac:dyDescent="0.3">
      <c r="A1547" s="1" t="s">
        <v>1647</v>
      </c>
      <c r="B1547">
        <v>0.6130850711444169</v>
      </c>
      <c r="C1547">
        <v>1.3929699340746711E-2</v>
      </c>
      <c r="D1547">
        <v>2.2377581067325781E-2</v>
      </c>
      <c r="E1547">
        <v>54.462109673071552</v>
      </c>
      <c r="F1547">
        <v>2.135401437833884E-2</v>
      </c>
      <c r="G1547">
        <v>0.2</v>
      </c>
      <c r="H1547">
        <v>-0.18064751106303659</v>
      </c>
      <c r="I1547">
        <v>0.78495609676115696</v>
      </c>
      <c r="J1547">
        <v>-1.0289990645462989E-2</v>
      </c>
      <c r="K1547">
        <v>1.9588947163587059E-2</v>
      </c>
      <c r="L1547">
        <v>0</v>
      </c>
      <c r="M1547">
        <v>513667012.93935001</v>
      </c>
      <c r="N1547">
        <v>0</v>
      </c>
      <c r="O1547" t="b">
        <v>1</v>
      </c>
    </row>
    <row r="1548" spans="1:15" x14ac:dyDescent="0.3">
      <c r="A1548" s="1" t="s">
        <v>1648</v>
      </c>
      <c r="B1548">
        <v>1.384122404573511</v>
      </c>
      <c r="C1548">
        <v>1.1861330721673389E-2</v>
      </c>
      <c r="D1548">
        <v>8.7923765125287982E-3</v>
      </c>
      <c r="E1548">
        <v>62.290930763730252</v>
      </c>
      <c r="F1548">
        <v>3.345909276086223E-2</v>
      </c>
      <c r="G1548">
        <v>0.8</v>
      </c>
      <c r="H1548">
        <v>-0.10079004917952079</v>
      </c>
      <c r="I1548">
        <v>0.75207636259222566</v>
      </c>
      <c r="J1548">
        <v>-5.1390982595589385E-4</v>
      </c>
      <c r="K1548">
        <v>5.8441222611063104E-3</v>
      </c>
      <c r="L1548">
        <v>0</v>
      </c>
      <c r="M1548">
        <v>535414038.11809999</v>
      </c>
      <c r="N1548">
        <v>0</v>
      </c>
      <c r="O1548" t="b">
        <v>1</v>
      </c>
    </row>
    <row r="1549" spans="1:15" x14ac:dyDescent="0.3">
      <c r="A1549" s="1" t="s">
        <v>1649</v>
      </c>
      <c r="B1549">
        <v>0.75689057081286149</v>
      </c>
      <c r="C1549">
        <v>1.6529712376644998E-2</v>
      </c>
      <c r="D1549">
        <v>1.3859011961205229E-2</v>
      </c>
      <c r="E1549">
        <v>59.619791172277097</v>
      </c>
      <c r="F1549">
        <v>2.2246680299688348E-2</v>
      </c>
      <c r="G1549">
        <v>0.6</v>
      </c>
      <c r="H1549">
        <v>-2.0639130927131251E-3</v>
      </c>
      <c r="I1549">
        <v>0.39831117474841288</v>
      </c>
      <c r="J1549">
        <v>0</v>
      </c>
      <c r="K1549">
        <v>1.0504549396761041E-2</v>
      </c>
      <c r="L1549">
        <v>0</v>
      </c>
      <c r="M1549">
        <v>1291223441.90905</v>
      </c>
      <c r="N1549">
        <v>0</v>
      </c>
      <c r="O1549" t="b">
        <v>1</v>
      </c>
    </row>
    <row r="1550" spans="1:15" x14ac:dyDescent="0.3">
      <c r="A1550" s="1" t="s">
        <v>1650</v>
      </c>
      <c r="B1550">
        <v>0.66687877192103784</v>
      </c>
      <c r="C1550">
        <v>1.241806723214905E-2</v>
      </c>
      <c r="D1550">
        <v>1.6142697798790628E-2</v>
      </c>
      <c r="E1550">
        <v>60.631602022693102</v>
      </c>
      <c r="F1550">
        <v>1.7368406096371251E-2</v>
      </c>
      <c r="G1550">
        <v>0.6</v>
      </c>
      <c r="H1550">
        <v>-0.102070768278425</v>
      </c>
      <c r="I1550">
        <v>0.66211820234002383</v>
      </c>
      <c r="J1550">
        <v>0</v>
      </c>
      <c r="K1550">
        <v>1.1449418394406941E-2</v>
      </c>
      <c r="L1550">
        <v>0</v>
      </c>
      <c r="M1550">
        <v>1967763621.61555</v>
      </c>
      <c r="N1550">
        <v>0</v>
      </c>
      <c r="O1550" t="b">
        <v>1</v>
      </c>
    </row>
    <row r="1551" spans="1:15" x14ac:dyDescent="0.3">
      <c r="A1551" s="1" t="s">
        <v>1651</v>
      </c>
      <c r="B1551">
        <v>0.73217442456166815</v>
      </c>
      <c r="C1551">
        <v>1.227409683768638E-2</v>
      </c>
      <c r="D1551">
        <v>9.0390934084356098E-3</v>
      </c>
      <c r="E1551">
        <v>58.776457439777111</v>
      </c>
      <c r="F1551">
        <v>1.507667614695229E-3</v>
      </c>
      <c r="G1551">
        <v>0.6</v>
      </c>
      <c r="H1551">
        <v>7.3656704285233507E-2</v>
      </c>
      <c r="I1551">
        <v>1.1150835447165419</v>
      </c>
      <c r="J1551">
        <v>0</v>
      </c>
      <c r="K1551">
        <v>2.684381003928316E-3</v>
      </c>
      <c r="L1551">
        <v>0</v>
      </c>
      <c r="M1551">
        <v>85809634.288199991</v>
      </c>
      <c r="N1551">
        <v>0</v>
      </c>
      <c r="O1551" t="b">
        <v>0</v>
      </c>
    </row>
    <row r="1552" spans="1:15" x14ac:dyDescent="0.3">
      <c r="A1552" s="1" t="s">
        <v>1652</v>
      </c>
      <c r="B1552">
        <v>2.0107777610302429</v>
      </c>
      <c r="C1552">
        <v>1.29288018223861E-2</v>
      </c>
      <c r="D1552">
        <v>2.2169784024638858E-2</v>
      </c>
      <c r="E1552">
        <v>59.934216187955478</v>
      </c>
      <c r="F1552">
        <v>1.2057992894048301E-2</v>
      </c>
      <c r="G1552">
        <v>0.4</v>
      </c>
      <c r="H1552">
        <v>-6.1760144151935252E-2</v>
      </c>
      <c r="I1552">
        <v>0.83253608899683318</v>
      </c>
      <c r="J1552">
        <v>0</v>
      </c>
      <c r="K1552">
        <v>1.8266693728435038E-2</v>
      </c>
      <c r="L1552">
        <v>0</v>
      </c>
      <c r="M1552">
        <v>1380073415.4575</v>
      </c>
      <c r="N1552">
        <v>0</v>
      </c>
      <c r="O1552" t="b">
        <v>1</v>
      </c>
    </row>
    <row r="1553" spans="1:15" x14ac:dyDescent="0.3">
      <c r="A1553" s="1" t="s">
        <v>1653</v>
      </c>
      <c r="B1553">
        <v>2.657514491548171</v>
      </c>
      <c r="C1553">
        <v>1.789511795258187E-2</v>
      </c>
      <c r="D1553">
        <v>1.613413689774746E-2</v>
      </c>
      <c r="E1553">
        <v>63.201121022735357</v>
      </c>
      <c r="F1553">
        <v>6.5337770518025806E-3</v>
      </c>
      <c r="G1553">
        <v>1</v>
      </c>
      <c r="H1553">
        <v>0.1182706747264885</v>
      </c>
      <c r="I1553">
        <v>1.5284461027578009</v>
      </c>
      <c r="J1553">
        <v>0</v>
      </c>
      <c r="K1553">
        <v>4.7971528322823254E-3</v>
      </c>
      <c r="L1553">
        <v>0</v>
      </c>
      <c r="M1553">
        <v>1460986324.5495</v>
      </c>
      <c r="N1553">
        <v>0</v>
      </c>
      <c r="O1553" t="b">
        <v>1</v>
      </c>
    </row>
    <row r="1554" spans="1:15" x14ac:dyDescent="0.3">
      <c r="A1554" s="1" t="s">
        <v>1654</v>
      </c>
      <c r="B1554">
        <v>0.80003021301086807</v>
      </c>
      <c r="C1554">
        <v>1.0309999845495899E-2</v>
      </c>
      <c r="D1554">
        <v>5.7527626534361453E-3</v>
      </c>
      <c r="E1554">
        <v>52.034175669842398</v>
      </c>
      <c r="F1554">
        <v>2.3420735752429641E-2</v>
      </c>
      <c r="G1554">
        <v>0.6</v>
      </c>
      <c r="H1554">
        <v>-0.1016501537718047</v>
      </c>
      <c r="I1554">
        <v>-6.5476583635553184E-2</v>
      </c>
      <c r="J1554">
        <v>-1.448850178375705E-2</v>
      </c>
      <c r="K1554">
        <v>2.9494903017088792E-3</v>
      </c>
      <c r="L1554">
        <v>0</v>
      </c>
      <c r="M1554">
        <v>1061443383.0157501</v>
      </c>
      <c r="N1554">
        <v>0</v>
      </c>
      <c r="O1554" t="b">
        <v>1</v>
      </c>
    </row>
    <row r="1555" spans="1:15" x14ac:dyDescent="0.3">
      <c r="A1555" s="1" t="s">
        <v>1655</v>
      </c>
      <c r="B1555">
        <v>0.44931174536357071</v>
      </c>
      <c r="C1555">
        <v>1.1193253466219841E-2</v>
      </c>
      <c r="D1555">
        <v>9.314596188962642E-3</v>
      </c>
      <c r="E1555">
        <v>41.812573504119577</v>
      </c>
      <c r="F1555">
        <v>-1.6004726162052289E-2</v>
      </c>
      <c r="G1555">
        <v>0.2</v>
      </c>
      <c r="H1555">
        <v>-0.15507227961849709</v>
      </c>
      <c r="I1555">
        <v>0.3441457632391185</v>
      </c>
      <c r="J1555">
        <v>-2.685870271423452E-2</v>
      </c>
      <c r="K1555">
        <v>1.9744297617205748E-3</v>
      </c>
      <c r="L1555">
        <v>0</v>
      </c>
      <c r="M1555">
        <v>239652178.58465001</v>
      </c>
      <c r="N1555">
        <v>0</v>
      </c>
      <c r="O1555" t="b">
        <v>1</v>
      </c>
    </row>
    <row r="1556" spans="1:15" x14ac:dyDescent="0.3">
      <c r="A1556" s="1" t="s">
        <v>1656</v>
      </c>
      <c r="B1556">
        <v>0.57371745904964377</v>
      </c>
      <c r="C1556">
        <v>1.352714799833171E-2</v>
      </c>
      <c r="D1556">
        <v>9.5939149727791283E-3</v>
      </c>
      <c r="E1556">
        <v>32.426133803132977</v>
      </c>
      <c r="F1556">
        <v>-4.6841781169797203E-2</v>
      </c>
      <c r="G1556">
        <v>0.2</v>
      </c>
      <c r="H1556">
        <v>-6.3136627209568558E-2</v>
      </c>
      <c r="I1556">
        <v>0.39865769638861293</v>
      </c>
      <c r="J1556">
        <v>-5.7043443461247678E-2</v>
      </c>
      <c r="K1556">
        <v>-4.6662785956852471E-4</v>
      </c>
      <c r="L1556">
        <v>0</v>
      </c>
      <c r="M1556">
        <v>861830071.16659999</v>
      </c>
      <c r="N1556">
        <v>0</v>
      </c>
      <c r="O1556" t="b">
        <v>1</v>
      </c>
    </row>
    <row r="1557" spans="1:15" x14ac:dyDescent="0.3">
      <c r="A1557" s="1" t="s">
        <v>1657</v>
      </c>
      <c r="B1557">
        <v>2.012414181630247</v>
      </c>
      <c r="C1557">
        <v>1.328370033090364E-2</v>
      </c>
      <c r="D1557">
        <v>1.518862008647142E-2</v>
      </c>
      <c r="E1557">
        <v>51.715512646189232</v>
      </c>
      <c r="F1557">
        <v>3.3002625208823362E-2</v>
      </c>
      <c r="G1557">
        <v>0.2</v>
      </c>
      <c r="H1557">
        <v>6.9633737113483252E-2</v>
      </c>
      <c r="I1557">
        <v>0.42303832248360212</v>
      </c>
      <c r="J1557">
        <v>-4.1759173165841212E-2</v>
      </c>
      <c r="K1557">
        <v>1.453885510701558E-2</v>
      </c>
      <c r="L1557">
        <v>0</v>
      </c>
      <c r="M1557">
        <v>1555399902.036</v>
      </c>
      <c r="N1557">
        <v>0</v>
      </c>
      <c r="O1557" t="b">
        <v>1</v>
      </c>
    </row>
    <row r="1558" spans="1:15" x14ac:dyDescent="0.3">
      <c r="A1558" s="1" t="s">
        <v>1658</v>
      </c>
      <c r="B1558">
        <v>1.857774951920161</v>
      </c>
      <c r="C1558">
        <v>1.554974723929391E-2</v>
      </c>
      <c r="D1558">
        <v>1.920936111087862E-2</v>
      </c>
      <c r="E1558">
        <v>57.385765887526553</v>
      </c>
      <c r="F1558">
        <v>1.920432055281696E-3</v>
      </c>
      <c r="G1558">
        <v>0.4</v>
      </c>
      <c r="H1558">
        <v>-7.6065695330328892E-2</v>
      </c>
      <c r="I1558">
        <v>1.273712930874654</v>
      </c>
      <c r="J1558">
        <v>-5.4376014321799726E-4</v>
      </c>
      <c r="K1558">
        <v>1.465854756384455E-2</v>
      </c>
      <c r="L1558">
        <v>0</v>
      </c>
      <c r="M1558">
        <v>1006353872.9345</v>
      </c>
      <c r="N1558">
        <v>0</v>
      </c>
      <c r="O1558" t="b">
        <v>1</v>
      </c>
    </row>
    <row r="1559" spans="1:15" x14ac:dyDescent="0.3">
      <c r="A1559" s="1" t="s">
        <v>1659</v>
      </c>
      <c r="B1559">
        <v>1.3810656632358549</v>
      </c>
      <c r="C1559">
        <v>1.336183267287662E-2</v>
      </c>
      <c r="D1559">
        <v>2.1246335587612089E-2</v>
      </c>
      <c r="E1559">
        <v>56.121559468841973</v>
      </c>
      <c r="F1559">
        <v>1.0836079842739821E-2</v>
      </c>
      <c r="G1559">
        <v>0.4</v>
      </c>
      <c r="H1559">
        <v>-0.19178524520189899</v>
      </c>
      <c r="I1559">
        <v>0.94829471428400558</v>
      </c>
      <c r="J1559">
        <v>0</v>
      </c>
      <c r="K1559">
        <v>1.709275550569744E-2</v>
      </c>
      <c r="L1559">
        <v>0</v>
      </c>
      <c r="M1559">
        <v>27896146.856249999</v>
      </c>
      <c r="N1559">
        <v>0</v>
      </c>
      <c r="O1559" t="b">
        <v>0</v>
      </c>
    </row>
    <row r="1560" spans="1:15" x14ac:dyDescent="0.3">
      <c r="A1560" s="1" t="s">
        <v>1660</v>
      </c>
      <c r="B1560">
        <v>2.1096078091475992</v>
      </c>
      <c r="C1560">
        <v>1.508392661948261E-2</v>
      </c>
      <c r="D1560">
        <v>1.677415664459669E-2</v>
      </c>
      <c r="E1560">
        <v>60.919183329819468</v>
      </c>
      <c r="F1560">
        <v>1.7430271638707581E-2</v>
      </c>
      <c r="G1560">
        <v>0.8</v>
      </c>
      <c r="H1560">
        <v>-3.6815795580414083E-2</v>
      </c>
      <c r="I1560">
        <v>1.1858300267956929</v>
      </c>
      <c r="J1560">
        <v>0</v>
      </c>
      <c r="K1560">
        <v>1.3382991210845629E-2</v>
      </c>
      <c r="L1560">
        <v>0</v>
      </c>
      <c r="M1560">
        <v>32235164.960999999</v>
      </c>
      <c r="N1560">
        <v>0</v>
      </c>
      <c r="O1560" t="b">
        <v>0</v>
      </c>
    </row>
    <row r="1561" spans="1:15" x14ac:dyDescent="0.3">
      <c r="A1561" s="1" t="s">
        <v>1661</v>
      </c>
      <c r="B1561">
        <v>2.265353210291337</v>
      </c>
      <c r="C1561">
        <v>1.907697990948342E-2</v>
      </c>
      <c r="D1561">
        <v>1.3549701889715989E-2</v>
      </c>
      <c r="E1561">
        <v>61.101216989428423</v>
      </c>
      <c r="F1561">
        <v>2.000532559118362E-2</v>
      </c>
      <c r="G1561">
        <v>0.4</v>
      </c>
      <c r="H1561">
        <v>3.3446382918871857E-2</v>
      </c>
      <c r="I1561">
        <v>0.13091723190268781</v>
      </c>
      <c r="J1561">
        <v>0</v>
      </c>
      <c r="K1561">
        <v>1.090519039389792E-2</v>
      </c>
      <c r="L1561">
        <v>0</v>
      </c>
      <c r="M1561">
        <v>1682098559.872</v>
      </c>
      <c r="N1561">
        <v>0</v>
      </c>
      <c r="O1561" t="b">
        <v>1</v>
      </c>
    </row>
    <row r="1562" spans="1:15" x14ac:dyDescent="0.3">
      <c r="A1562" s="1" t="s">
        <v>1662</v>
      </c>
      <c r="B1562">
        <v>0.7771810577757563</v>
      </c>
      <c r="C1562">
        <v>4.3515176807153208E-2</v>
      </c>
      <c r="D1562">
        <v>2.9115341545352721E-2</v>
      </c>
      <c r="E1562">
        <v>46.539435178997138</v>
      </c>
      <c r="F1562">
        <v>-4.6520815315459707E-2</v>
      </c>
      <c r="G1562">
        <v>0.4</v>
      </c>
      <c r="H1562">
        <v>-4.7544805873120571E-2</v>
      </c>
      <c r="I1562">
        <v>1.2347206360790941</v>
      </c>
      <c r="J1562">
        <v>-9.8912741858177111E-2</v>
      </c>
      <c r="K1562">
        <v>-1.1185682326622091E-3</v>
      </c>
      <c r="L1562">
        <v>0</v>
      </c>
      <c r="M1562">
        <v>103033978.507</v>
      </c>
      <c r="N1562">
        <v>0</v>
      </c>
      <c r="O1562" t="b">
        <v>1</v>
      </c>
    </row>
    <row r="1563" spans="1:15" x14ac:dyDescent="0.3">
      <c r="A1563" s="1" t="s">
        <v>1663</v>
      </c>
      <c r="B1563">
        <v>1.0968555252696131</v>
      </c>
      <c r="C1563">
        <v>5.5819619606596073E-2</v>
      </c>
      <c r="D1563">
        <v>1.679389312977091E-2</v>
      </c>
      <c r="E1563">
        <v>41.649620148560707</v>
      </c>
      <c r="F1563">
        <v>-0.24539170506912439</v>
      </c>
      <c r="G1563">
        <v>0.6</v>
      </c>
      <c r="H1563">
        <v>-1.661325825435242E-2</v>
      </c>
      <c r="I1563">
        <v>2.5525690743625349</v>
      </c>
      <c r="J1563">
        <v>-0.29996437477734239</v>
      </c>
      <c r="K1563">
        <v>-8.0767289247855034E-3</v>
      </c>
      <c r="L1563">
        <v>0</v>
      </c>
      <c r="M1563">
        <v>149719655</v>
      </c>
      <c r="N1563">
        <v>0</v>
      </c>
      <c r="O1563" t="b">
        <v>1</v>
      </c>
    </row>
    <row r="1564" spans="1:15" x14ac:dyDescent="0.3">
      <c r="A1564" s="1" t="s">
        <v>1664</v>
      </c>
      <c r="B1564">
        <v>5.7148468552932963</v>
      </c>
      <c r="C1564">
        <v>3.7990074156041317E-2</v>
      </c>
      <c r="D1564">
        <v>5.4045070797048428E-2</v>
      </c>
      <c r="E1564">
        <v>64.736839600699255</v>
      </c>
      <c r="F1564">
        <v>7.9124820659971284E-2</v>
      </c>
      <c r="G1564">
        <v>0.8</v>
      </c>
      <c r="H1564">
        <v>5.1247238092766163E-2</v>
      </c>
      <c r="I1564">
        <v>0.96693530600896027</v>
      </c>
      <c r="J1564">
        <v>0</v>
      </c>
      <c r="K1564">
        <v>5.38741768249964E-2</v>
      </c>
      <c r="L1564">
        <v>0</v>
      </c>
      <c r="M1564">
        <v>164855881</v>
      </c>
      <c r="N1564">
        <v>0</v>
      </c>
      <c r="O1564" t="b">
        <v>1</v>
      </c>
    </row>
    <row r="1565" spans="1:15" x14ac:dyDescent="0.3">
      <c r="A1565" s="1" t="s">
        <v>1665</v>
      </c>
      <c r="B1565">
        <v>2.4194961449431092</v>
      </c>
      <c r="C1565">
        <v>1.7533597200874759E-2</v>
      </c>
      <c r="D1565">
        <v>1.8493825729027719E-2</v>
      </c>
      <c r="E1565">
        <v>38.389896427553893</v>
      </c>
      <c r="F1565">
        <v>-8.0758085467808161E-2</v>
      </c>
      <c r="G1565">
        <v>0.2</v>
      </c>
      <c r="H1565">
        <v>-0.12758688094862519</v>
      </c>
      <c r="I1565">
        <v>0.6745453825062373</v>
      </c>
      <c r="J1565">
        <v>-7.3518550845295572E-2</v>
      </c>
      <c r="K1565">
        <v>1.1026691186706289E-2</v>
      </c>
      <c r="L1565">
        <v>0</v>
      </c>
      <c r="M1565">
        <v>169255039.81150001</v>
      </c>
      <c r="N1565">
        <v>0</v>
      </c>
      <c r="O1565" t="b">
        <v>1</v>
      </c>
    </row>
    <row r="1566" spans="1:15" x14ac:dyDescent="0.3">
      <c r="A1566" s="1" t="s">
        <v>1666</v>
      </c>
      <c r="B1566">
        <v>2.689569342429408</v>
      </c>
      <c r="C1566">
        <v>4.2495960537674328E-2</v>
      </c>
      <c r="D1566">
        <v>3.7415073471322523E-2</v>
      </c>
      <c r="E1566">
        <v>46.026744851743558</v>
      </c>
      <c r="F1566">
        <v>-5.2544910179640691E-2</v>
      </c>
      <c r="G1566">
        <v>0.6</v>
      </c>
      <c r="H1566">
        <v>-0.11474136785696309</v>
      </c>
      <c r="I1566">
        <v>2.0676594951171978</v>
      </c>
      <c r="J1566">
        <v>-5.2544910179640691E-2</v>
      </c>
      <c r="K1566">
        <v>2.7935682962481719E-2</v>
      </c>
      <c r="L1566">
        <v>0</v>
      </c>
      <c r="M1566">
        <v>494030340.5</v>
      </c>
      <c r="N1566">
        <v>0</v>
      </c>
      <c r="O1566" t="b">
        <v>1</v>
      </c>
    </row>
    <row r="1567" spans="1:15" x14ac:dyDescent="0.3">
      <c r="A1567" s="1" t="s">
        <v>1667</v>
      </c>
      <c r="B1567">
        <v>0.3518358464182415</v>
      </c>
      <c r="C1567">
        <v>3.04883749062601E-2</v>
      </c>
      <c r="D1567">
        <v>1.8630849220103971E-2</v>
      </c>
      <c r="E1567">
        <v>47.89327204587137</v>
      </c>
      <c r="F1567">
        <v>-8.9905362776025233E-2</v>
      </c>
      <c r="G1567">
        <v>0.6</v>
      </c>
      <c r="H1567">
        <v>-0.133258720283811</v>
      </c>
      <c r="I1567">
        <v>2.36575383640049</v>
      </c>
      <c r="J1567">
        <v>-8.7747035573122578E-2</v>
      </c>
      <c r="K1567">
        <v>6.1028770706188507E-3</v>
      </c>
      <c r="L1567">
        <v>0</v>
      </c>
      <c r="M1567">
        <v>85401733.5</v>
      </c>
      <c r="N1567">
        <v>0</v>
      </c>
      <c r="O1567" t="b">
        <v>0</v>
      </c>
    </row>
    <row r="1568" spans="1:15" x14ac:dyDescent="0.3">
      <c r="A1568" s="1" t="s">
        <v>1668</v>
      </c>
      <c r="B1568">
        <v>1.4889214389688561</v>
      </c>
      <c r="C1568">
        <v>4.1278664789821347E-2</v>
      </c>
      <c r="D1568">
        <v>2.8555586359855872E-2</v>
      </c>
      <c r="E1568">
        <v>53.368472651868601</v>
      </c>
      <c r="F1568">
        <v>-3.0636925557645859E-2</v>
      </c>
      <c r="G1568">
        <v>0.4</v>
      </c>
      <c r="H1568">
        <v>9.1796073911342188E-2</v>
      </c>
      <c r="I1568">
        <v>1.4691470045703421</v>
      </c>
      <c r="J1568">
        <v>-6.7235583139384603E-2</v>
      </c>
      <c r="K1568">
        <v>9.5158130422614562E-3</v>
      </c>
      <c r="L1568">
        <v>0</v>
      </c>
      <c r="M1568">
        <v>61891739.5</v>
      </c>
      <c r="N1568">
        <v>0</v>
      </c>
      <c r="O1568" t="b">
        <v>0</v>
      </c>
    </row>
    <row r="1569" spans="1:15" x14ac:dyDescent="0.3">
      <c r="A1569" s="1" t="s">
        <v>1669</v>
      </c>
      <c r="B1569">
        <v>2.6304576256995111</v>
      </c>
      <c r="C1569">
        <v>1.8365270025130991E-2</v>
      </c>
      <c r="D1569">
        <v>1.8976471409621019E-2</v>
      </c>
      <c r="E1569">
        <v>42.222030794667972</v>
      </c>
      <c r="F1569">
        <v>-2.487677350834672E-2</v>
      </c>
      <c r="G1569">
        <v>0.4</v>
      </c>
      <c r="H1569">
        <v>-6.8846269320130257E-2</v>
      </c>
      <c r="I1569">
        <v>-7.5850932311003483E-2</v>
      </c>
      <c r="J1569">
        <v>-6.1223954748936597E-2</v>
      </c>
      <c r="K1569">
        <v>5.9416788403192644E-3</v>
      </c>
      <c r="L1569">
        <v>0</v>
      </c>
      <c r="M1569">
        <v>273523580.59249997</v>
      </c>
      <c r="N1569">
        <v>0</v>
      </c>
      <c r="O1569" t="b">
        <v>1</v>
      </c>
    </row>
    <row r="1570" spans="1:15" x14ac:dyDescent="0.3">
      <c r="A1570" s="1" t="s">
        <v>1670</v>
      </c>
      <c r="B1570">
        <v>1.0568268843120789</v>
      </c>
      <c r="C1570">
        <v>2.263977335764231E-2</v>
      </c>
      <c r="D1570">
        <v>2.7909109020760402E-2</v>
      </c>
      <c r="E1570">
        <v>54.248874224778078</v>
      </c>
      <c r="F1570">
        <v>4.800188586053622E-2</v>
      </c>
      <c r="G1570">
        <v>0.2</v>
      </c>
      <c r="H1570">
        <v>-4.1047889560224416E-3</v>
      </c>
      <c r="I1570">
        <v>0.1891996868476658</v>
      </c>
      <c r="J1570">
        <v>-2.8760527980292161E-2</v>
      </c>
      <c r="K1570">
        <v>2.0214095884183662E-2</v>
      </c>
      <c r="L1570">
        <v>0</v>
      </c>
      <c r="M1570">
        <v>89362115.252400011</v>
      </c>
      <c r="N1570">
        <v>0</v>
      </c>
      <c r="O1570" t="b">
        <v>0</v>
      </c>
    </row>
    <row r="1571" spans="1:15" x14ac:dyDescent="0.3">
      <c r="A1571" s="1" t="s">
        <v>1671</v>
      </c>
      <c r="B1571">
        <v>2.408333249723166</v>
      </c>
      <c r="C1571">
        <v>3.1885783790853509E-2</v>
      </c>
      <c r="D1571">
        <v>3.4291010194624702E-2</v>
      </c>
      <c r="E1571">
        <v>55.940787389951552</v>
      </c>
      <c r="F1571">
        <v>3.3949349760438167E-2</v>
      </c>
      <c r="G1571">
        <v>0.4</v>
      </c>
      <c r="H1571">
        <v>-0.1294020185149215</v>
      </c>
      <c r="I1571">
        <v>0.71710567229385247</v>
      </c>
      <c r="J1571">
        <v>-6.3149585580845047E-3</v>
      </c>
      <c r="K1571">
        <v>1.260222549939671E-2</v>
      </c>
      <c r="L1571">
        <v>0</v>
      </c>
      <c r="M1571">
        <v>173409547</v>
      </c>
      <c r="N1571">
        <v>0</v>
      </c>
      <c r="O1571" t="b">
        <v>1</v>
      </c>
    </row>
    <row r="1572" spans="1:15" x14ac:dyDescent="0.3">
      <c r="A1572" s="1" t="s">
        <v>1672</v>
      </c>
      <c r="B1572">
        <v>2.3264757141023531</v>
      </c>
      <c r="C1572">
        <v>2.5058116416736529E-2</v>
      </c>
      <c r="D1572">
        <v>2.0517388457097531E-2</v>
      </c>
      <c r="E1572">
        <v>47.206111065247519</v>
      </c>
      <c r="F1572">
        <v>4.9137350443189787E-2</v>
      </c>
      <c r="G1572">
        <v>0.6</v>
      </c>
      <c r="H1572">
        <v>-9.2225149386234689E-2</v>
      </c>
      <c r="I1572">
        <v>0.38043899928182973</v>
      </c>
      <c r="J1572">
        <v>-4.5720382274281213E-2</v>
      </c>
      <c r="K1572">
        <v>8.8866769391928724E-3</v>
      </c>
      <c r="L1572">
        <v>0</v>
      </c>
      <c r="M1572">
        <v>171017182.50960001</v>
      </c>
      <c r="N1572">
        <v>0</v>
      </c>
      <c r="O1572" t="b">
        <v>1</v>
      </c>
    </row>
    <row r="1573" spans="1:15" x14ac:dyDescent="0.3">
      <c r="A1573" s="1" t="s">
        <v>1673</v>
      </c>
      <c r="B1573">
        <v>7.7828698587361904</v>
      </c>
      <c r="C1573">
        <v>2.8687319788928089E-2</v>
      </c>
      <c r="D1573">
        <v>3.7854773313675039E-2</v>
      </c>
      <c r="E1573">
        <v>60.594552909534059</v>
      </c>
      <c r="F1573">
        <v>4.093926255611402E-2</v>
      </c>
      <c r="G1573">
        <v>0.8</v>
      </c>
      <c r="H1573">
        <v>-0.12071258469835799</v>
      </c>
      <c r="I1573">
        <v>2.025081182224282</v>
      </c>
      <c r="J1573">
        <v>0</v>
      </c>
      <c r="K1573">
        <v>2.2847232694917841E-2</v>
      </c>
      <c r="L1573">
        <v>0</v>
      </c>
      <c r="M1573">
        <v>146584302</v>
      </c>
      <c r="N1573">
        <v>0</v>
      </c>
      <c r="O1573" t="b">
        <v>1</v>
      </c>
    </row>
    <row r="1574" spans="1:15" x14ac:dyDescent="0.3">
      <c r="A1574" s="1" t="s">
        <v>1674</v>
      </c>
      <c r="B1574">
        <v>2.275039049419247</v>
      </c>
      <c r="C1574">
        <v>3.1016210626029269E-2</v>
      </c>
      <c r="D1574">
        <v>3.4083162917518749E-2</v>
      </c>
      <c r="E1574">
        <v>56.058260836494519</v>
      </c>
      <c r="F1574">
        <v>3.57243716464275E-2</v>
      </c>
      <c r="G1574">
        <v>0.4</v>
      </c>
      <c r="H1574">
        <v>-0.12521467499840319</v>
      </c>
      <c r="I1574">
        <v>0.70097382415139964</v>
      </c>
      <c r="J1574">
        <v>-7.0393935291730436E-3</v>
      </c>
      <c r="K1574">
        <v>1.3821700069108539E-2</v>
      </c>
      <c r="L1574">
        <v>0</v>
      </c>
      <c r="M1574">
        <v>36844536</v>
      </c>
      <c r="N1574">
        <v>0</v>
      </c>
      <c r="O1574" t="b">
        <v>0</v>
      </c>
    </row>
    <row r="1575" spans="1:15" x14ac:dyDescent="0.3">
      <c r="A1575" s="1" t="s">
        <v>1675</v>
      </c>
      <c r="B1575">
        <v>1.435382690252794</v>
      </c>
      <c r="C1575">
        <v>2.4570434844987239E-2</v>
      </c>
      <c r="D1575">
        <v>5.2515358846678482E-2</v>
      </c>
      <c r="E1575">
        <v>75.766123954536539</v>
      </c>
      <c r="F1575">
        <v>0.1280976335074491</v>
      </c>
      <c r="G1575">
        <v>0.8</v>
      </c>
      <c r="H1575">
        <v>-5.8862771084910162E-3</v>
      </c>
      <c r="I1575">
        <v>1.4986389547223551</v>
      </c>
      <c r="J1575">
        <v>0</v>
      </c>
      <c r="K1575">
        <v>4.8841355363769663E-2</v>
      </c>
      <c r="L1575">
        <v>0</v>
      </c>
      <c r="M1575">
        <v>73386003.22330001</v>
      </c>
      <c r="N1575">
        <v>0</v>
      </c>
      <c r="O1575" t="b">
        <v>0</v>
      </c>
    </row>
    <row r="1576" spans="1:15" x14ac:dyDescent="0.3">
      <c r="A1576" s="1" t="s">
        <v>1676</v>
      </c>
      <c r="B1576">
        <v>2.5002608026068982</v>
      </c>
      <c r="C1576">
        <v>2.839592052932309E-2</v>
      </c>
      <c r="D1576">
        <v>1.837592277115286E-2</v>
      </c>
      <c r="E1576">
        <v>61.136402566256258</v>
      </c>
      <c r="F1576">
        <v>5.8802308802308863E-2</v>
      </c>
      <c r="G1576">
        <v>0.8</v>
      </c>
      <c r="H1576">
        <v>5.9708314308424464E-4</v>
      </c>
      <c r="I1576">
        <v>0.95925669640434352</v>
      </c>
      <c r="J1576">
        <v>-1.167358850600519E-2</v>
      </c>
      <c r="K1576">
        <v>4.7928791509757041E-3</v>
      </c>
      <c r="L1576">
        <v>0</v>
      </c>
      <c r="M1576">
        <v>197077347.5</v>
      </c>
      <c r="N1576">
        <v>0</v>
      </c>
      <c r="O1576" t="b">
        <v>1</v>
      </c>
    </row>
    <row r="1577" spans="1:15" x14ac:dyDescent="0.3">
      <c r="A1577" s="1" t="s">
        <v>1677</v>
      </c>
      <c r="B1577">
        <v>9.515656753541764</v>
      </c>
      <c r="C1577">
        <v>3.9112403935804042E-2</v>
      </c>
      <c r="D1577">
        <v>2.5771712770767442E-2</v>
      </c>
      <c r="E1577">
        <v>28.571519300292859</v>
      </c>
      <c r="F1577">
        <v>-0.26029188203101239</v>
      </c>
      <c r="G1577">
        <v>0.6</v>
      </c>
      <c r="H1577">
        <v>-0.1214977141320311</v>
      </c>
      <c r="I1577">
        <v>1.278087692455369</v>
      </c>
      <c r="J1577">
        <v>-0.26562830148812222</v>
      </c>
      <c r="K1577">
        <v>1.152215958190927E-3</v>
      </c>
      <c r="L1577">
        <v>0</v>
      </c>
      <c r="M1577">
        <v>420709050</v>
      </c>
      <c r="N1577">
        <v>0</v>
      </c>
      <c r="O1577" t="b">
        <v>1</v>
      </c>
    </row>
    <row r="1578" spans="1:15" x14ac:dyDescent="0.3">
      <c r="A1578" s="1" t="s">
        <v>1678</v>
      </c>
      <c r="B1578">
        <v>0.46560022844277021</v>
      </c>
      <c r="C1578">
        <v>2.230954616400432E-2</v>
      </c>
      <c r="D1578">
        <v>1.485385721130804E-2</v>
      </c>
      <c r="E1578">
        <v>61.970173234182411</v>
      </c>
      <c r="F1578">
        <v>0.1030655391120507</v>
      </c>
      <c r="G1578">
        <v>0.4</v>
      </c>
      <c r="H1578">
        <v>4.2169242930752471E-2</v>
      </c>
      <c r="I1578">
        <v>0.77121816501594709</v>
      </c>
      <c r="J1578">
        <v>-3.7361623616236073E-2</v>
      </c>
      <c r="K1578">
        <v>-9.5739588319765367E-4</v>
      </c>
      <c r="L1578">
        <v>0</v>
      </c>
      <c r="M1578">
        <v>36049670</v>
      </c>
      <c r="N1578">
        <v>0</v>
      </c>
      <c r="O1578" t="b">
        <v>0</v>
      </c>
    </row>
    <row r="1579" spans="1:15" x14ac:dyDescent="0.3">
      <c r="A1579" s="1" t="s">
        <v>1679</v>
      </c>
      <c r="B1579">
        <v>3.2984768019374129</v>
      </c>
      <c r="C1579">
        <v>2.8055906385559111E-2</v>
      </c>
      <c r="D1579">
        <v>2.40541643984758E-2</v>
      </c>
      <c r="E1579">
        <v>36.453119901185623</v>
      </c>
      <c r="F1579">
        <v>-1.436104660423709E-2</v>
      </c>
      <c r="G1579">
        <v>0.2</v>
      </c>
      <c r="H1579">
        <v>-0.21266894070516459</v>
      </c>
      <c r="I1579">
        <v>1.0866152731641769</v>
      </c>
      <c r="J1579">
        <v>-7.8873349786500624E-2</v>
      </c>
      <c r="K1579">
        <v>2.0041992746707479E-2</v>
      </c>
      <c r="L1579">
        <v>0</v>
      </c>
      <c r="M1579">
        <v>456223010.63150001</v>
      </c>
      <c r="N1579">
        <v>0</v>
      </c>
      <c r="O1579" t="b">
        <v>1</v>
      </c>
    </row>
    <row r="1580" spans="1:15" x14ac:dyDescent="0.3">
      <c r="A1580" s="1" t="s">
        <v>1680</v>
      </c>
      <c r="B1580">
        <v>1.0663449796666731</v>
      </c>
      <c r="C1580">
        <v>2.2805225533304382E-2</v>
      </c>
      <c r="D1580">
        <v>2.5180286919253669E-2</v>
      </c>
      <c r="E1580">
        <v>50.34399427715794</v>
      </c>
      <c r="F1580">
        <v>-1.315683948824653E-2</v>
      </c>
      <c r="G1580">
        <v>0.2</v>
      </c>
      <c r="H1580">
        <v>-6.9345208953904766E-2</v>
      </c>
      <c r="I1580">
        <v>0.95555795964287282</v>
      </c>
      <c r="J1580">
        <v>-2.6385707741639949E-2</v>
      </c>
      <c r="K1580">
        <v>2.0248391911116489E-2</v>
      </c>
      <c r="L1580">
        <v>0</v>
      </c>
      <c r="M1580">
        <v>32573141.030299999</v>
      </c>
      <c r="N1580">
        <v>0</v>
      </c>
      <c r="O1580" t="b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937"/>
  <sheetViews>
    <sheetView workbookViewId="0">
      <selection activeCell="I21" sqref="I21"/>
    </sheetView>
  </sheetViews>
  <sheetFormatPr defaultRowHeight="14.4" x14ac:dyDescent="0.3"/>
  <cols>
    <col min="2" max="2" width="13.77734375" bestFit="1" customWidth="1"/>
    <col min="3" max="3" width="20.44140625" bestFit="1" customWidth="1"/>
    <col min="4" max="4" width="14.6640625" bestFit="1" customWidth="1"/>
    <col min="5" max="5" width="12.88671875" bestFit="1" customWidth="1"/>
    <col min="7" max="7" width="20.44140625" bestFit="1" customWidth="1"/>
    <col min="8" max="9" width="17.44140625" bestFit="1" customWidth="1"/>
    <col min="10" max="11" width="16.6640625" bestFit="1" customWidth="1"/>
  </cols>
  <sheetData>
    <row r="1" spans="1:11" ht="15" thickBot="1" x14ac:dyDescent="0.35">
      <c r="A1" s="1" t="s">
        <v>90</v>
      </c>
      <c r="B1" s="1" t="s">
        <v>1681</v>
      </c>
      <c r="C1" s="1" t="s">
        <v>1682</v>
      </c>
      <c r="D1" s="1" t="s">
        <v>1683</v>
      </c>
      <c r="E1" s="1" t="s">
        <v>1684</v>
      </c>
      <c r="G1" s="1" t="s">
        <v>73</v>
      </c>
      <c r="H1" s="21" t="s">
        <v>1754</v>
      </c>
      <c r="I1" s="21" t="s">
        <v>1755</v>
      </c>
      <c r="J1" t="s">
        <v>1758</v>
      </c>
      <c r="K1" t="s">
        <v>1757</v>
      </c>
    </row>
    <row r="2" spans="1:11" ht="15" thickBot="1" x14ac:dyDescent="0.35">
      <c r="A2" s="1" t="s">
        <v>1317</v>
      </c>
      <c r="B2">
        <v>0.95657721744238478</v>
      </c>
      <c r="C2">
        <v>4.613981514451479E-2</v>
      </c>
      <c r="D2">
        <v>1.9140588046960601E-4</v>
      </c>
      <c r="E2" t="b">
        <v>0</v>
      </c>
      <c r="G2" s="2">
        <v>45986</v>
      </c>
      <c r="H2" s="10"/>
      <c r="I2" s="10"/>
      <c r="J2" s="38">
        <v>2.913032716915433E-2</v>
      </c>
      <c r="K2" s="38">
        <v>4.8618632721300403E-2</v>
      </c>
    </row>
    <row r="3" spans="1:11" x14ac:dyDescent="0.3">
      <c r="A3" s="1" t="s">
        <v>358</v>
      </c>
      <c r="B3">
        <v>0.80342187590340874</v>
      </c>
      <c r="C3">
        <v>8.9628194068422733</v>
      </c>
      <c r="D3">
        <v>4.4269075494057793E-2</v>
      </c>
      <c r="E3" t="b">
        <v>0</v>
      </c>
      <c r="G3" s="30">
        <v>45987</v>
      </c>
      <c r="H3" s="32">
        <v>3.6363636363636376E-2</v>
      </c>
      <c r="I3" s="35">
        <v>-1.0451444331542992E-2</v>
      </c>
      <c r="J3" s="39">
        <v>2.8728017693601161E-2</v>
      </c>
      <c r="K3" s="39">
        <v>4.7068661231600618E-2</v>
      </c>
    </row>
    <row r="4" spans="1:11" x14ac:dyDescent="0.3">
      <c r="A4" s="1" t="s">
        <v>1312</v>
      </c>
      <c r="B4">
        <v>0.77779858396332358</v>
      </c>
      <c r="C4">
        <v>3.8384814451660171E-2</v>
      </c>
      <c r="D4">
        <v>1.958356512971941E-4</v>
      </c>
      <c r="E4" t="b">
        <v>0</v>
      </c>
      <c r="G4" s="30">
        <v>45989</v>
      </c>
      <c r="H4" s="33">
        <v>5.546123372948486E-2</v>
      </c>
      <c r="I4" s="36">
        <v>1.6869590729059469E-2</v>
      </c>
      <c r="J4" s="39">
        <v>2.9219122728445499E-2</v>
      </c>
      <c r="K4" s="39">
        <v>4.5083585720526731E-2</v>
      </c>
    </row>
    <row r="5" spans="1:11" x14ac:dyDescent="0.3">
      <c r="A5" s="1" t="s">
        <v>271</v>
      </c>
      <c r="B5">
        <v>0.74474592964236519</v>
      </c>
      <c r="C5">
        <v>4.1575560906164898E-2</v>
      </c>
      <c r="D5">
        <v>2.2152841389478921E-4</v>
      </c>
      <c r="E5" t="b">
        <v>0</v>
      </c>
      <c r="G5" s="30">
        <v>45992</v>
      </c>
      <c r="H5" s="33">
        <v>3.5388739946380587E-2</v>
      </c>
      <c r="I5" s="36">
        <v>-1.0386612810155627E-2</v>
      </c>
      <c r="J5" s="39">
        <v>2.9755775340355159E-2</v>
      </c>
      <c r="K5" s="39">
        <v>4.4856855589243932E-2</v>
      </c>
    </row>
    <row r="6" spans="1:11" x14ac:dyDescent="0.3">
      <c r="A6" s="1" t="s">
        <v>1611</v>
      </c>
      <c r="B6">
        <v>0.74282695577155911</v>
      </c>
      <c r="C6">
        <v>6.4852986218868534</v>
      </c>
      <c r="D6">
        <v>3.4645097073629692E-2</v>
      </c>
      <c r="E6" t="b">
        <v>0</v>
      </c>
      <c r="G6" s="30">
        <v>45993</v>
      </c>
      <c r="H6" s="33">
        <v>1.5535991714137998E-2</v>
      </c>
      <c r="I6" s="36">
        <v>1.1661807580174877E-2</v>
      </c>
      <c r="J6" s="39">
        <v>2.9393138645331669E-2</v>
      </c>
      <c r="K6" s="39">
        <v>4.3457537890580211E-2</v>
      </c>
    </row>
    <row r="7" spans="1:11" x14ac:dyDescent="0.3">
      <c r="A7" s="1" t="s">
        <v>1420</v>
      </c>
      <c r="B7">
        <v>0.71614177666480705</v>
      </c>
      <c r="C7">
        <v>2.6285048090122318</v>
      </c>
      <c r="D7">
        <v>1.456495763662102E-2</v>
      </c>
      <c r="E7" t="b">
        <v>0</v>
      </c>
      <c r="G7" s="30">
        <v>45994</v>
      </c>
      <c r="H7" s="33">
        <v>0</v>
      </c>
      <c r="I7" s="36">
        <v>2.8962536023054541E-2</v>
      </c>
      <c r="J7" s="39">
        <v>2.8604913072245941E-2</v>
      </c>
      <c r="K7" s="39">
        <v>4.2458429876649391E-2</v>
      </c>
    </row>
    <row r="8" spans="1:11" x14ac:dyDescent="0.3">
      <c r="A8" s="1" t="s">
        <v>980</v>
      </c>
      <c r="B8">
        <v>0.70179493073285881</v>
      </c>
      <c r="C8">
        <v>7.0490946641879724</v>
      </c>
      <c r="D8">
        <v>3.985864908506967E-2</v>
      </c>
      <c r="E8" t="b">
        <v>0</v>
      </c>
      <c r="G8" s="30">
        <v>45995</v>
      </c>
      <c r="H8" s="33">
        <v>-2.9066802651708357E-2</v>
      </c>
      <c r="I8" s="36">
        <v>-1.3723568127713026E-2</v>
      </c>
      <c r="J8" s="39">
        <v>3.0245537550673988E-2</v>
      </c>
      <c r="K8" s="39">
        <v>4.2286600887801389E-2</v>
      </c>
    </row>
    <row r="9" spans="1:11" x14ac:dyDescent="0.3">
      <c r="A9" s="1" t="s">
        <v>1330</v>
      </c>
      <c r="B9">
        <v>0.67397835419136132</v>
      </c>
      <c r="C9">
        <v>4.7363484396653854</v>
      </c>
      <c r="D9">
        <v>2.7886701959866231E-2</v>
      </c>
      <c r="E9" t="b">
        <v>0</v>
      </c>
      <c r="G9" s="30">
        <v>45996</v>
      </c>
      <c r="H9" s="33">
        <v>2.3109243697479132E-2</v>
      </c>
      <c r="I9" s="36">
        <v>0.22490416015902293</v>
      </c>
      <c r="J9" s="39">
        <v>2.9907507533524589E-2</v>
      </c>
      <c r="K9" s="39">
        <v>4.8475044219031677E-2</v>
      </c>
    </row>
    <row r="10" spans="1:11" x14ac:dyDescent="0.3">
      <c r="A10" s="1" t="s">
        <v>484</v>
      </c>
      <c r="B10">
        <v>0.66862303780250421</v>
      </c>
      <c r="C10">
        <v>5.077985181661357</v>
      </c>
      <c r="D10">
        <v>3.0137661594924869E-2</v>
      </c>
      <c r="E10" t="b">
        <v>0</v>
      </c>
      <c r="G10" s="30">
        <v>45999</v>
      </c>
      <c r="H10" s="33">
        <v>-5.1334702258728493E-3</v>
      </c>
      <c r="I10" s="36">
        <v>3.2803987481163643E-2</v>
      </c>
      <c r="J10" s="39">
        <v>2.890969043118741E-2</v>
      </c>
      <c r="K10" s="39">
        <v>4.747895369735948E-2</v>
      </c>
    </row>
    <row r="11" spans="1:11" x14ac:dyDescent="0.3">
      <c r="A11" s="1" t="s">
        <v>1002</v>
      </c>
      <c r="B11">
        <v>0.66374077578098722</v>
      </c>
      <c r="C11">
        <v>4.2656158124139448E-2</v>
      </c>
      <c r="D11">
        <v>2.5502496595514098E-4</v>
      </c>
      <c r="E11" t="b">
        <v>0</v>
      </c>
      <c r="G11" s="30">
        <v>46000</v>
      </c>
      <c r="H11" s="33">
        <v>3.5603715170278605E-2</v>
      </c>
      <c r="I11" s="36">
        <v>2.4803591470258235E-2</v>
      </c>
      <c r="J11" s="39">
        <v>2.848426011542942E-2</v>
      </c>
      <c r="K11" s="39">
        <v>4.6540726307282468E-2</v>
      </c>
    </row>
    <row r="12" spans="1:11" ht="15" thickBot="1" x14ac:dyDescent="0.35">
      <c r="A12" s="1" t="s">
        <v>91</v>
      </c>
      <c r="B12" s="41">
        <v>0.65245412652371537</v>
      </c>
      <c r="C12" s="41">
        <v>4.7925881264805001</v>
      </c>
      <c r="D12" s="41">
        <v>2.914872644371546E-2</v>
      </c>
      <c r="E12" t="b">
        <v>0</v>
      </c>
      <c r="G12" s="31">
        <v>46001</v>
      </c>
      <c r="H12" s="34">
        <v>2.291978076731449E-2</v>
      </c>
      <c r="I12" s="37">
        <v>-1.5332384185740788E-2</v>
      </c>
      <c r="J12" s="40">
        <v>2.825770060092091E-2</v>
      </c>
      <c r="K12" s="40">
        <v>4.6458552479887449E-2</v>
      </c>
    </row>
    <row r="13" spans="1:11" x14ac:dyDescent="0.3">
      <c r="A13" s="1" t="s">
        <v>92</v>
      </c>
      <c r="B13" s="41">
        <v>0.63471211607987676</v>
      </c>
      <c r="C13" s="41">
        <v>7.3108139324870534</v>
      </c>
      <c r="D13" s="41">
        <v>4.5707598238296697E-2</v>
      </c>
      <c r="E13" t="b">
        <v>0</v>
      </c>
      <c r="G13" s="8" t="s">
        <v>1756</v>
      </c>
      <c r="H13" s="10">
        <f>AVERAGE(H3:H12)</f>
        <v>1.9018206851113086E-2</v>
      </c>
      <c r="I13" s="10">
        <f>AVERAGE(I3:I12)</f>
        <v>2.9011166398758125E-2</v>
      </c>
      <c r="J13" s="42">
        <f>AVERAGE(J2:J12)</f>
        <v>2.9148726443715467E-2</v>
      </c>
      <c r="K13" s="42">
        <f>AVERAGE(K2:K12)</f>
        <v>4.5707598238296704E-2</v>
      </c>
    </row>
    <row r="14" spans="1:11" x14ac:dyDescent="0.3">
      <c r="A14" s="1" t="s">
        <v>1132</v>
      </c>
      <c r="B14">
        <v>0.63041847627710135</v>
      </c>
      <c r="C14">
        <v>8.6892818205396267</v>
      </c>
      <c r="D14">
        <v>5.4695854203481727E-2</v>
      </c>
      <c r="E14" t="b">
        <v>0</v>
      </c>
      <c r="G14" s="8" t="s">
        <v>1759</v>
      </c>
      <c r="H14">
        <v>252</v>
      </c>
      <c r="I14">
        <v>252</v>
      </c>
    </row>
    <row r="15" spans="1:11" x14ac:dyDescent="0.3">
      <c r="A15" s="1" t="s">
        <v>268</v>
      </c>
      <c r="B15">
        <v>0.62176811634238283</v>
      </c>
      <c r="C15">
        <v>3.0641254403752129</v>
      </c>
      <c r="D15">
        <v>1.9555888470970222E-2</v>
      </c>
      <c r="E15" t="b">
        <v>0</v>
      </c>
      <c r="G15" s="43" t="str">
        <f>C1</f>
        <v>Lookback_Return_Ann</v>
      </c>
      <c r="H15" s="41">
        <f>H13*H14</f>
        <v>4.7925881264804975</v>
      </c>
      <c r="I15" s="41">
        <f>I13*I14</f>
        <v>7.3108139324870471</v>
      </c>
    </row>
    <row r="16" spans="1:11" x14ac:dyDescent="0.3">
      <c r="A16" s="1" t="s">
        <v>1089</v>
      </c>
      <c r="B16">
        <v>0.62170250987796283</v>
      </c>
      <c r="C16">
        <v>5.0068682941866403</v>
      </c>
      <c r="D16">
        <v>3.1958251191283121E-2</v>
      </c>
      <c r="E16" t="b">
        <v>0</v>
      </c>
      <c r="G16" s="44" t="s">
        <v>1681</v>
      </c>
      <c r="H16" s="41">
        <f>H13/J13</f>
        <v>0.65245412652371493</v>
      </c>
      <c r="I16" s="41">
        <f>I13/K13</f>
        <v>0.63471211607987621</v>
      </c>
    </row>
    <row r="17" spans="1:5" x14ac:dyDescent="0.3">
      <c r="A17" s="1" t="s">
        <v>1431</v>
      </c>
      <c r="B17">
        <v>0.61886381064191276</v>
      </c>
      <c r="C17">
        <v>4.5222653478074424</v>
      </c>
      <c r="D17">
        <v>2.8997490406363291E-2</v>
      </c>
      <c r="E17" t="b">
        <v>0</v>
      </c>
    </row>
    <row r="18" spans="1:5" x14ac:dyDescent="0.3">
      <c r="A18" s="1" t="s">
        <v>1001</v>
      </c>
      <c r="B18">
        <v>0.60975777576141232</v>
      </c>
      <c r="C18">
        <v>4.7432691775554163</v>
      </c>
      <c r="D18">
        <v>3.086880968894103E-2</v>
      </c>
      <c r="E18" t="b">
        <v>0</v>
      </c>
    </row>
    <row r="19" spans="1:5" x14ac:dyDescent="0.3">
      <c r="A19" s="1" t="s">
        <v>983</v>
      </c>
      <c r="B19">
        <v>0.60866150523530649</v>
      </c>
      <c r="C19">
        <v>6.9789000624753283</v>
      </c>
      <c r="D19">
        <v>4.5499916831867271E-2</v>
      </c>
      <c r="E19" t="b">
        <v>0</v>
      </c>
    </row>
    <row r="20" spans="1:5" x14ac:dyDescent="0.3">
      <c r="A20" s="1" t="s">
        <v>1266</v>
      </c>
      <c r="B20">
        <v>0.59809560412079299</v>
      </c>
      <c r="C20">
        <v>2.0701584352428171</v>
      </c>
      <c r="D20">
        <v>1.37351192166723E-2</v>
      </c>
      <c r="E20" t="b">
        <v>0</v>
      </c>
    </row>
    <row r="21" spans="1:5" x14ac:dyDescent="0.3">
      <c r="A21" s="1" t="s">
        <v>444</v>
      </c>
      <c r="B21">
        <v>0.56484889214173351</v>
      </c>
      <c r="C21">
        <v>7.4483678495468038</v>
      </c>
      <c r="D21">
        <v>5.2327296179883187E-2</v>
      </c>
      <c r="E21" t="b">
        <v>0</v>
      </c>
    </row>
    <row r="22" spans="1:5" x14ac:dyDescent="0.3">
      <c r="A22" s="1" t="s">
        <v>903</v>
      </c>
      <c r="B22">
        <v>0.55479204950612926</v>
      </c>
      <c r="C22">
        <v>3.1056229908392221</v>
      </c>
      <c r="D22">
        <v>2.2213549686353879E-2</v>
      </c>
      <c r="E22" t="b">
        <v>0</v>
      </c>
    </row>
    <row r="23" spans="1:5" x14ac:dyDescent="0.3">
      <c r="A23" s="1" t="s">
        <v>1394</v>
      </c>
      <c r="B23">
        <v>0.55312281570530175</v>
      </c>
      <c r="C23">
        <v>4.0877226647719898</v>
      </c>
      <c r="D23">
        <v>2.932643750180355E-2</v>
      </c>
      <c r="E23" t="b">
        <v>0</v>
      </c>
    </row>
    <row r="24" spans="1:5" x14ac:dyDescent="0.3">
      <c r="A24" s="1" t="s">
        <v>868</v>
      </c>
      <c r="B24">
        <v>0.5443524871018588</v>
      </c>
      <c r="C24">
        <v>3.614435567010708</v>
      </c>
      <c r="D24">
        <v>2.634873289208408E-2</v>
      </c>
      <c r="E24" t="b">
        <v>0</v>
      </c>
    </row>
    <row r="25" spans="1:5" x14ac:dyDescent="0.3">
      <c r="A25" s="1" t="s">
        <v>636</v>
      </c>
      <c r="B25">
        <v>0.54105486377338208</v>
      </c>
      <c r="C25">
        <v>5.9432430032731141</v>
      </c>
      <c r="D25">
        <v>4.358947532151624E-2</v>
      </c>
      <c r="E25" t="b">
        <v>0</v>
      </c>
    </row>
    <row r="26" spans="1:5" x14ac:dyDescent="0.3">
      <c r="A26" s="1" t="s">
        <v>1401</v>
      </c>
      <c r="B26">
        <v>0.53813259643121247</v>
      </c>
      <c r="C26">
        <v>2.9731687962126072</v>
      </c>
      <c r="D26">
        <v>2.192450141861586E-2</v>
      </c>
      <c r="E26" t="b">
        <v>0</v>
      </c>
    </row>
    <row r="27" spans="1:5" x14ac:dyDescent="0.3">
      <c r="A27" s="1" t="s">
        <v>301</v>
      </c>
      <c r="B27">
        <v>0.53589168283835176</v>
      </c>
      <c r="C27">
        <v>4.178217472384374E-2</v>
      </c>
      <c r="D27">
        <v>3.0939513703963698E-4</v>
      </c>
      <c r="E27" t="b">
        <v>0</v>
      </c>
    </row>
    <row r="28" spans="1:5" x14ac:dyDescent="0.3">
      <c r="A28" s="1" t="s">
        <v>559</v>
      </c>
      <c r="B28">
        <v>0.5278104083995051</v>
      </c>
      <c r="C28">
        <v>6.4713622138561382</v>
      </c>
      <c r="D28">
        <v>4.8653850656362851E-2</v>
      </c>
      <c r="E28" t="b">
        <v>0</v>
      </c>
    </row>
    <row r="29" spans="1:5" x14ac:dyDescent="0.3">
      <c r="A29" s="1" t="s">
        <v>1270</v>
      </c>
      <c r="B29">
        <v>0.52053676188000253</v>
      </c>
      <c r="C29">
        <v>5.6379338067236127</v>
      </c>
      <c r="D29">
        <v>4.298015978829501E-2</v>
      </c>
      <c r="E29" t="b">
        <v>0</v>
      </c>
    </row>
    <row r="30" spans="1:5" x14ac:dyDescent="0.3">
      <c r="A30" s="1" t="s">
        <v>1127</v>
      </c>
      <c r="B30">
        <v>0.51644801077276647</v>
      </c>
      <c r="C30">
        <v>5.561571740339458</v>
      </c>
      <c r="D30">
        <v>4.2733689873852003E-2</v>
      </c>
      <c r="E30" t="b">
        <v>0</v>
      </c>
    </row>
    <row r="31" spans="1:5" x14ac:dyDescent="0.3">
      <c r="A31" s="1" t="s">
        <v>1517</v>
      </c>
      <c r="B31">
        <v>0.51193238990415801</v>
      </c>
      <c r="C31">
        <v>4.0053220685771863E-2</v>
      </c>
      <c r="D31">
        <v>3.1047332628713432E-4</v>
      </c>
      <c r="E31" t="b">
        <v>0</v>
      </c>
    </row>
    <row r="32" spans="1:5" x14ac:dyDescent="0.3">
      <c r="A32" s="1" t="s">
        <v>908</v>
      </c>
      <c r="B32">
        <v>0.50779432733034136</v>
      </c>
      <c r="C32">
        <v>4.0532662939252653</v>
      </c>
      <c r="D32">
        <v>3.1675009328718681E-2</v>
      </c>
      <c r="E32" t="b">
        <v>0</v>
      </c>
    </row>
    <row r="33" spans="1:5" x14ac:dyDescent="0.3">
      <c r="A33" s="1" t="s">
        <v>1095</v>
      </c>
      <c r="B33">
        <v>0.5077812398851399</v>
      </c>
      <c r="C33">
        <v>4.1588494891361938</v>
      </c>
      <c r="D33">
        <v>3.2500946652477262E-2</v>
      </c>
      <c r="E33" t="b">
        <v>0</v>
      </c>
    </row>
    <row r="34" spans="1:5" x14ac:dyDescent="0.3">
      <c r="A34" s="1" t="s">
        <v>545</v>
      </c>
      <c r="B34">
        <v>0.50696922172438774</v>
      </c>
      <c r="C34">
        <v>4.0659546357618588</v>
      </c>
      <c r="D34">
        <v>3.1825878035006673E-2</v>
      </c>
      <c r="E34" t="b">
        <v>0</v>
      </c>
    </row>
    <row r="35" spans="1:5" x14ac:dyDescent="0.3">
      <c r="A35" s="1" t="s">
        <v>689</v>
      </c>
      <c r="B35">
        <v>0.50585148583522399</v>
      </c>
      <c r="C35">
        <v>6.2420053569361524</v>
      </c>
      <c r="D35">
        <v>4.8966669508988932E-2</v>
      </c>
      <c r="E35" t="b">
        <v>0</v>
      </c>
    </row>
    <row r="36" spans="1:5" x14ac:dyDescent="0.3">
      <c r="A36" s="1" t="s">
        <v>1398</v>
      </c>
      <c r="B36">
        <v>0.50567263110965155</v>
      </c>
      <c r="C36">
        <v>2.6632559366471229</v>
      </c>
      <c r="D36">
        <v>2.089983773866572E-2</v>
      </c>
      <c r="E36" t="b">
        <v>0</v>
      </c>
    </row>
    <row r="37" spans="1:5" x14ac:dyDescent="0.3">
      <c r="A37" s="1" t="s">
        <v>400</v>
      </c>
      <c r="B37">
        <v>0.50552644507656186</v>
      </c>
      <c r="C37">
        <v>4.1097046566966329</v>
      </c>
      <c r="D37">
        <v>3.2260135886300327E-2</v>
      </c>
      <c r="E37" t="b">
        <v>0</v>
      </c>
    </row>
    <row r="38" spans="1:5" x14ac:dyDescent="0.3">
      <c r="A38" s="1" t="s">
        <v>197</v>
      </c>
      <c r="B38">
        <v>0.49848970115221392</v>
      </c>
      <c r="C38">
        <v>3.9541856932943031</v>
      </c>
      <c r="D38">
        <v>3.1477507022430677E-2</v>
      </c>
      <c r="E38" t="b">
        <v>0</v>
      </c>
    </row>
    <row r="39" spans="1:5" x14ac:dyDescent="0.3">
      <c r="A39" s="1" t="s">
        <v>1344</v>
      </c>
      <c r="B39">
        <v>0.49556676157437329</v>
      </c>
      <c r="C39">
        <v>4.3446715402492329</v>
      </c>
      <c r="D39">
        <v>3.4789984755195603E-2</v>
      </c>
      <c r="E39" t="b">
        <v>0</v>
      </c>
    </row>
    <row r="40" spans="1:5" x14ac:dyDescent="0.3">
      <c r="A40" s="1" t="s">
        <v>464</v>
      </c>
      <c r="B40">
        <v>0.49369990313263951</v>
      </c>
      <c r="C40">
        <v>4.2023515212298301</v>
      </c>
      <c r="D40">
        <v>3.377760051056386E-2</v>
      </c>
      <c r="E40" t="b">
        <v>0</v>
      </c>
    </row>
    <row r="41" spans="1:5" x14ac:dyDescent="0.3">
      <c r="A41" s="1" t="s">
        <v>257</v>
      </c>
      <c r="B41">
        <v>0.49090758792762479</v>
      </c>
      <c r="C41">
        <v>2.3930536286091009</v>
      </c>
      <c r="D41">
        <v>1.9344261102300721E-2</v>
      </c>
      <c r="E41" t="b">
        <v>0</v>
      </c>
    </row>
    <row r="42" spans="1:5" x14ac:dyDescent="0.3">
      <c r="A42" s="1" t="s">
        <v>1503</v>
      </c>
      <c r="B42">
        <v>0.4891644567776679</v>
      </c>
      <c r="C42">
        <v>3.8006607589771022</v>
      </c>
      <c r="D42">
        <v>3.0832140254321461E-2</v>
      </c>
      <c r="E42" t="b">
        <v>0</v>
      </c>
    </row>
    <row r="43" spans="1:5" x14ac:dyDescent="0.3">
      <c r="A43" s="1" t="s">
        <v>706</v>
      </c>
      <c r="B43">
        <v>0.48501410948951518</v>
      </c>
      <c r="C43">
        <v>2.7247816771681062</v>
      </c>
      <c r="D43">
        <v>2.2293425060208032E-2</v>
      </c>
      <c r="E43" t="b">
        <v>0</v>
      </c>
    </row>
    <row r="44" spans="1:5" x14ac:dyDescent="0.3">
      <c r="A44" s="1" t="s">
        <v>653</v>
      </c>
      <c r="B44">
        <v>0.48130550119176191</v>
      </c>
      <c r="C44">
        <v>2.610679781085262</v>
      </c>
      <c r="D44">
        <v>2.1524458738742779E-2</v>
      </c>
      <c r="E44" t="b">
        <v>0</v>
      </c>
    </row>
    <row r="45" spans="1:5" x14ac:dyDescent="0.3">
      <c r="A45" s="1" t="s">
        <v>499</v>
      </c>
      <c r="B45">
        <v>0.48088542653681871</v>
      </c>
      <c r="C45">
        <v>4.1889016310010714</v>
      </c>
      <c r="D45">
        <v>3.4566706750828978E-2</v>
      </c>
      <c r="E45" t="b">
        <v>0</v>
      </c>
    </row>
    <row r="46" spans="1:5" x14ac:dyDescent="0.3">
      <c r="A46" s="1" t="s">
        <v>1515</v>
      </c>
      <c r="B46">
        <v>0.47290031527073928</v>
      </c>
      <c r="C46">
        <v>2.3171648171384551</v>
      </c>
      <c r="D46">
        <v>1.944405233784605E-2</v>
      </c>
      <c r="E46" t="b">
        <v>0</v>
      </c>
    </row>
    <row r="47" spans="1:5" x14ac:dyDescent="0.3">
      <c r="A47" s="1" t="s">
        <v>824</v>
      </c>
      <c r="B47">
        <v>0.47240346723812188</v>
      </c>
      <c r="C47">
        <v>4.8527928113883227</v>
      </c>
      <c r="D47">
        <v>4.076412572391052E-2</v>
      </c>
      <c r="E47" t="b">
        <v>0</v>
      </c>
    </row>
    <row r="48" spans="1:5" x14ac:dyDescent="0.3">
      <c r="A48" s="1" t="s">
        <v>409</v>
      </c>
      <c r="B48">
        <v>0.47238565869115368</v>
      </c>
      <c r="C48">
        <v>2.8403307976330119</v>
      </c>
      <c r="D48">
        <v>2.3860068042900199E-2</v>
      </c>
      <c r="E48" t="b">
        <v>0</v>
      </c>
    </row>
    <row r="49" spans="1:5" x14ac:dyDescent="0.3">
      <c r="A49" s="1" t="s">
        <v>1338</v>
      </c>
      <c r="B49">
        <v>0.46889858239362953</v>
      </c>
      <c r="C49">
        <v>4.9778561207443177</v>
      </c>
      <c r="D49">
        <v>4.2127227605816102E-2</v>
      </c>
      <c r="E49" t="b">
        <v>0</v>
      </c>
    </row>
    <row r="50" spans="1:5" x14ac:dyDescent="0.3">
      <c r="A50" s="1" t="s">
        <v>962</v>
      </c>
      <c r="B50">
        <v>0.46715304565649218</v>
      </c>
      <c r="C50">
        <v>3.7974226692062412</v>
      </c>
      <c r="D50">
        <v>3.2257389128307022E-2</v>
      </c>
      <c r="E50" t="b">
        <v>0</v>
      </c>
    </row>
    <row r="51" spans="1:5" x14ac:dyDescent="0.3">
      <c r="A51" s="1" t="s">
        <v>208</v>
      </c>
      <c r="B51">
        <v>0.46567625396118911</v>
      </c>
      <c r="C51">
        <v>3.7759983803435802</v>
      </c>
      <c r="D51">
        <v>3.2177119682309997E-2</v>
      </c>
      <c r="E51" t="b">
        <v>0</v>
      </c>
    </row>
    <row r="52" spans="1:5" x14ac:dyDescent="0.3">
      <c r="A52" s="1" t="s">
        <v>1430</v>
      </c>
      <c r="B52">
        <v>0.45933914569133621</v>
      </c>
      <c r="C52">
        <v>5.0707260239995922</v>
      </c>
      <c r="D52">
        <v>4.3806257000761822E-2</v>
      </c>
      <c r="E52" t="b">
        <v>0</v>
      </c>
    </row>
    <row r="53" spans="1:5" x14ac:dyDescent="0.3">
      <c r="A53" s="1" t="s">
        <v>633</v>
      </c>
      <c r="B53">
        <v>0.45742365885863601</v>
      </c>
      <c r="C53">
        <v>2.4166646269161749</v>
      </c>
      <c r="D53">
        <v>2.0965113653342578E-2</v>
      </c>
      <c r="E53" t="b">
        <v>0</v>
      </c>
    </row>
    <row r="54" spans="1:5" x14ac:dyDescent="0.3">
      <c r="A54" s="1" t="s">
        <v>1213</v>
      </c>
      <c r="B54">
        <v>0.45666464690208519</v>
      </c>
      <c r="C54">
        <v>5.275094586582604</v>
      </c>
      <c r="D54">
        <v>4.5838702794547027E-2</v>
      </c>
      <c r="E54" t="b">
        <v>0</v>
      </c>
    </row>
    <row r="55" spans="1:5" x14ac:dyDescent="0.3">
      <c r="A55" s="1" t="s">
        <v>191</v>
      </c>
      <c r="B55">
        <v>0.44849422423776841</v>
      </c>
      <c r="C55">
        <v>6.0695023845238438</v>
      </c>
      <c r="D55">
        <v>5.3702646814789028E-2</v>
      </c>
      <c r="E55" t="b">
        <v>0</v>
      </c>
    </row>
    <row r="56" spans="1:5" x14ac:dyDescent="0.3">
      <c r="A56" s="1" t="s">
        <v>279</v>
      </c>
      <c r="B56">
        <v>0.44807016503876318</v>
      </c>
      <c r="C56">
        <v>2.065803481567476</v>
      </c>
      <c r="D56">
        <v>1.8295422241857619E-2</v>
      </c>
      <c r="E56" t="b">
        <v>0</v>
      </c>
    </row>
    <row r="57" spans="1:5" x14ac:dyDescent="0.3">
      <c r="A57" s="1" t="s">
        <v>561</v>
      </c>
      <c r="B57">
        <v>0.44637877341773652</v>
      </c>
      <c r="C57">
        <v>3.3277712854775272</v>
      </c>
      <c r="D57">
        <v>2.9583489169812519E-2</v>
      </c>
      <c r="E57" t="b">
        <v>0</v>
      </c>
    </row>
    <row r="58" spans="1:5" x14ac:dyDescent="0.3">
      <c r="A58" s="1" t="s">
        <v>1111</v>
      </c>
      <c r="B58">
        <v>0.44510604493231282</v>
      </c>
      <c r="C58">
        <v>5.2811334330918811</v>
      </c>
      <c r="D58">
        <v>4.7082889440273661E-2</v>
      </c>
      <c r="E58" t="b">
        <v>0</v>
      </c>
    </row>
    <row r="59" spans="1:5" x14ac:dyDescent="0.3">
      <c r="A59" s="1" t="s">
        <v>404</v>
      </c>
      <c r="B59">
        <v>0.44482930119417818</v>
      </c>
      <c r="C59">
        <v>7.2617203212156447</v>
      </c>
      <c r="D59">
        <v>6.4780693186475738E-2</v>
      </c>
      <c r="E59" t="b">
        <v>0</v>
      </c>
    </row>
    <row r="60" spans="1:5" x14ac:dyDescent="0.3">
      <c r="A60" s="1" t="s">
        <v>756</v>
      </c>
      <c r="B60">
        <v>0.44327748652703608</v>
      </c>
      <c r="C60">
        <v>4.2769066576905974</v>
      </c>
      <c r="D60">
        <v>3.8287195565023108E-2</v>
      </c>
      <c r="E60" t="b">
        <v>0</v>
      </c>
    </row>
    <row r="61" spans="1:5" x14ac:dyDescent="0.3">
      <c r="A61" s="1" t="s">
        <v>1196</v>
      </c>
      <c r="B61">
        <v>0.43778944584224661</v>
      </c>
      <c r="C61">
        <v>4.0077071798368419E-2</v>
      </c>
      <c r="D61">
        <v>3.6327051899095309E-4</v>
      </c>
      <c r="E61" t="b">
        <v>0</v>
      </c>
    </row>
    <row r="62" spans="1:5" x14ac:dyDescent="0.3">
      <c r="A62" s="1" t="s">
        <v>190</v>
      </c>
      <c r="B62">
        <v>0.43729517979183219</v>
      </c>
      <c r="C62">
        <v>3.386402106384574</v>
      </c>
      <c r="D62">
        <v>3.0730051959779639E-2</v>
      </c>
      <c r="E62" t="b">
        <v>0</v>
      </c>
    </row>
    <row r="63" spans="1:5" x14ac:dyDescent="0.3">
      <c r="A63" s="1" t="s">
        <v>140</v>
      </c>
      <c r="B63">
        <v>0.43436471400136389</v>
      </c>
      <c r="C63">
        <v>6.3239206429466908</v>
      </c>
      <c r="D63">
        <v>5.7773853117860763E-2</v>
      </c>
      <c r="E63" t="b">
        <v>0</v>
      </c>
    </row>
    <row r="64" spans="1:5" x14ac:dyDescent="0.3">
      <c r="A64" s="1" t="s">
        <v>1392</v>
      </c>
      <c r="B64">
        <v>0.43016278006655129</v>
      </c>
      <c r="C64">
        <v>3.617245773237781</v>
      </c>
      <c r="D64">
        <v>3.3369111785031609E-2</v>
      </c>
      <c r="E64" t="b">
        <v>0</v>
      </c>
    </row>
    <row r="65" spans="1:5" x14ac:dyDescent="0.3">
      <c r="A65" s="1" t="s">
        <v>207</v>
      </c>
      <c r="B65">
        <v>0.42938316787444553</v>
      </c>
      <c r="C65">
        <v>9.5880626011357908</v>
      </c>
      <c r="D65">
        <v>8.8610523913107878E-2</v>
      </c>
      <c r="E65" t="b">
        <v>0</v>
      </c>
    </row>
    <row r="66" spans="1:5" x14ac:dyDescent="0.3">
      <c r="A66" s="1" t="s">
        <v>900</v>
      </c>
      <c r="B66">
        <v>0.42790755323257967</v>
      </c>
      <c r="C66">
        <v>1.927589618300557</v>
      </c>
      <c r="D66">
        <v>1.7875742305088042E-2</v>
      </c>
      <c r="E66" t="b">
        <v>0</v>
      </c>
    </row>
    <row r="67" spans="1:5" x14ac:dyDescent="0.3">
      <c r="A67" s="1" t="s">
        <v>719</v>
      </c>
      <c r="B67">
        <v>0.42617499401043651</v>
      </c>
      <c r="C67">
        <v>2.7480767128434791</v>
      </c>
      <c r="D67">
        <v>2.5588235992420529E-2</v>
      </c>
      <c r="E67" t="b">
        <v>0</v>
      </c>
    </row>
    <row r="68" spans="1:5" x14ac:dyDescent="0.3">
      <c r="A68" s="1" t="s">
        <v>1486</v>
      </c>
      <c r="B68">
        <v>0.42027739645954099</v>
      </c>
      <c r="C68">
        <v>2.985077945664111</v>
      </c>
      <c r="D68">
        <v>2.81850689644913E-2</v>
      </c>
      <c r="E68" t="b">
        <v>0</v>
      </c>
    </row>
    <row r="69" spans="1:5" x14ac:dyDescent="0.3">
      <c r="A69" s="1" t="s">
        <v>612</v>
      </c>
      <c r="B69">
        <v>0.41861606395508782</v>
      </c>
      <c r="C69">
        <v>2.3510728191030439</v>
      </c>
      <c r="D69">
        <v>2.2286899255401369E-2</v>
      </c>
      <c r="E69" t="b">
        <v>0</v>
      </c>
    </row>
    <row r="70" spans="1:5" x14ac:dyDescent="0.3">
      <c r="A70" s="1" t="s">
        <v>429</v>
      </c>
      <c r="B70">
        <v>0.41789306788997349</v>
      </c>
      <c r="C70">
        <v>3.1144555887705581</v>
      </c>
      <c r="D70">
        <v>2.9574433506380841E-2</v>
      </c>
      <c r="E70" t="b">
        <v>0</v>
      </c>
    </row>
    <row r="71" spans="1:5" x14ac:dyDescent="0.3">
      <c r="A71" s="1" t="s">
        <v>175</v>
      </c>
      <c r="B71">
        <v>0.41611124820091699</v>
      </c>
      <c r="C71">
        <v>2.3912847713625109</v>
      </c>
      <c r="D71">
        <v>2.2804539228900501E-2</v>
      </c>
      <c r="E71" t="b">
        <v>0</v>
      </c>
    </row>
    <row r="72" spans="1:5" x14ac:dyDescent="0.3">
      <c r="A72" s="1" t="s">
        <v>1237</v>
      </c>
      <c r="B72">
        <v>0.41342620519394602</v>
      </c>
      <c r="C72">
        <v>1.79589360677578</v>
      </c>
      <c r="D72">
        <v>1.7237808929665501E-2</v>
      </c>
      <c r="E72" t="b">
        <v>0</v>
      </c>
    </row>
    <row r="73" spans="1:5" x14ac:dyDescent="0.3">
      <c r="A73" s="1" t="s">
        <v>1410</v>
      </c>
      <c r="B73">
        <v>0.41012193772501732</v>
      </c>
      <c r="C73">
        <v>2.5514737130901559</v>
      </c>
      <c r="D73">
        <v>2.4687525234639709E-2</v>
      </c>
      <c r="E73" t="b">
        <v>0</v>
      </c>
    </row>
    <row r="74" spans="1:5" x14ac:dyDescent="0.3">
      <c r="A74" s="1" t="s">
        <v>901</v>
      </c>
      <c r="B74">
        <v>0.40983816611856128</v>
      </c>
      <c r="C74">
        <v>2.2257942048707591</v>
      </c>
      <c r="D74">
        <v>2.155123025667632E-2</v>
      </c>
      <c r="E74" t="b">
        <v>0</v>
      </c>
    </row>
    <row r="75" spans="1:5" x14ac:dyDescent="0.3">
      <c r="A75" s="1" t="s">
        <v>125</v>
      </c>
      <c r="B75">
        <v>0.4091346256894558</v>
      </c>
      <c r="C75">
        <v>2.9210439622872002</v>
      </c>
      <c r="D75">
        <v>2.8331614013986421E-2</v>
      </c>
      <c r="E75" t="b">
        <v>0</v>
      </c>
    </row>
    <row r="76" spans="1:5" x14ac:dyDescent="0.3">
      <c r="A76" s="1" t="s">
        <v>403</v>
      </c>
      <c r="B76">
        <v>0.4073855773063455</v>
      </c>
      <c r="C76">
        <v>2.622750211719421</v>
      </c>
      <c r="D76">
        <v>2.5547637214383079E-2</v>
      </c>
      <c r="E76" t="b">
        <v>0</v>
      </c>
    </row>
    <row r="77" spans="1:5" x14ac:dyDescent="0.3">
      <c r="A77" s="1" t="s">
        <v>350</v>
      </c>
      <c r="B77">
        <v>0.40700731336677959</v>
      </c>
      <c r="C77">
        <v>2.7602571211363891</v>
      </c>
      <c r="D77">
        <v>2.6912050262055009E-2</v>
      </c>
      <c r="E77" t="b">
        <v>0</v>
      </c>
    </row>
    <row r="78" spans="1:5" x14ac:dyDescent="0.3">
      <c r="A78" s="1" t="s">
        <v>733</v>
      </c>
      <c r="B78">
        <v>0.4057399267389537</v>
      </c>
      <c r="C78">
        <v>2.092126237986641</v>
      </c>
      <c r="D78">
        <v>2.04616003968477E-2</v>
      </c>
      <c r="E78" t="b">
        <v>0</v>
      </c>
    </row>
    <row r="79" spans="1:5" x14ac:dyDescent="0.3">
      <c r="A79" s="1" t="s">
        <v>1328</v>
      </c>
      <c r="B79">
        <v>0.40317013140533853</v>
      </c>
      <c r="C79">
        <v>2.9319922305449868</v>
      </c>
      <c r="D79">
        <v>2.8858511326704611E-2</v>
      </c>
      <c r="E79" t="b">
        <v>0</v>
      </c>
    </row>
    <row r="80" spans="1:5" x14ac:dyDescent="0.3">
      <c r="A80" s="1" t="s">
        <v>730</v>
      </c>
      <c r="B80">
        <v>0.40263413821572802</v>
      </c>
      <c r="C80">
        <v>3.2827653205082719</v>
      </c>
      <c r="D80">
        <v>3.2354053651987617E-2</v>
      </c>
      <c r="E80" t="b">
        <v>0</v>
      </c>
    </row>
    <row r="81" spans="1:5" x14ac:dyDescent="0.3">
      <c r="A81" s="1" t="s">
        <v>914</v>
      </c>
      <c r="B81">
        <v>0.40243484837730892</v>
      </c>
      <c r="C81">
        <v>3.3185634253009568</v>
      </c>
      <c r="D81">
        <v>3.2723066937300371E-2</v>
      </c>
      <c r="E81" t="b">
        <v>0</v>
      </c>
    </row>
    <row r="82" spans="1:5" x14ac:dyDescent="0.3">
      <c r="A82" s="1" t="s">
        <v>440</v>
      </c>
      <c r="B82">
        <v>0.39803816027801892</v>
      </c>
      <c r="C82">
        <v>2.1574103005856489</v>
      </c>
      <c r="D82">
        <v>2.150836990220047E-2</v>
      </c>
      <c r="E82" t="b">
        <v>0</v>
      </c>
    </row>
    <row r="83" spans="1:5" x14ac:dyDescent="0.3">
      <c r="A83" s="1" t="s">
        <v>1231</v>
      </c>
      <c r="B83">
        <v>0.39687841840208732</v>
      </c>
      <c r="C83">
        <v>2.164945989192784</v>
      </c>
      <c r="D83">
        <v>2.164656759936482E-2</v>
      </c>
      <c r="E83" t="b">
        <v>0</v>
      </c>
    </row>
    <row r="84" spans="1:5" x14ac:dyDescent="0.3">
      <c r="A84" s="1" t="s">
        <v>360</v>
      </c>
      <c r="B84">
        <v>0.39599609009804237</v>
      </c>
      <c r="C84">
        <v>3.2368799081870132</v>
      </c>
      <c r="D84">
        <v>3.2436586778532318E-2</v>
      </c>
      <c r="E84" t="b">
        <v>0</v>
      </c>
    </row>
    <row r="85" spans="1:5" x14ac:dyDescent="0.3">
      <c r="A85" s="1" t="s">
        <v>1240</v>
      </c>
      <c r="B85">
        <v>0.38948010548428302</v>
      </c>
      <c r="C85">
        <v>7.9118568523000423</v>
      </c>
      <c r="D85">
        <v>8.0610683083179854E-2</v>
      </c>
      <c r="E85" t="b">
        <v>0</v>
      </c>
    </row>
    <row r="86" spans="1:5" x14ac:dyDescent="0.3">
      <c r="A86" s="1" t="s">
        <v>591</v>
      </c>
      <c r="B86">
        <v>0.38741845693777088</v>
      </c>
      <c r="C86">
        <v>1.5680043778544139</v>
      </c>
      <c r="D86">
        <v>1.606077223021881E-2</v>
      </c>
      <c r="E86" t="b">
        <v>0</v>
      </c>
    </row>
    <row r="87" spans="1:5" x14ac:dyDescent="0.3">
      <c r="A87" s="1" t="s">
        <v>204</v>
      </c>
      <c r="B87">
        <v>0.38549803416599882</v>
      </c>
      <c r="C87">
        <v>2.8208184277846229</v>
      </c>
      <c r="D87">
        <v>2.9037045400237081E-2</v>
      </c>
      <c r="E87" t="b">
        <v>0</v>
      </c>
    </row>
    <row r="88" spans="1:5" x14ac:dyDescent="0.3">
      <c r="A88" s="1" t="s">
        <v>146</v>
      </c>
      <c r="B88">
        <v>0.38479801060467139</v>
      </c>
      <c r="C88">
        <v>2.0104104162231931</v>
      </c>
      <c r="D88">
        <v>2.073248533551527E-2</v>
      </c>
      <c r="E88" t="b">
        <v>0</v>
      </c>
    </row>
    <row r="89" spans="1:5" x14ac:dyDescent="0.3">
      <c r="A89" s="1" t="s">
        <v>239</v>
      </c>
      <c r="B89">
        <v>0.38339025558494821</v>
      </c>
      <c r="C89">
        <v>2.7558932722747538</v>
      </c>
      <c r="D89">
        <v>2.85246801515684E-2</v>
      </c>
      <c r="E89" t="b">
        <v>0</v>
      </c>
    </row>
    <row r="90" spans="1:5" x14ac:dyDescent="0.3">
      <c r="A90" s="1" t="s">
        <v>1203</v>
      </c>
      <c r="B90">
        <v>0.3803437512479762</v>
      </c>
      <c r="C90">
        <v>2.922270335934563</v>
      </c>
      <c r="D90">
        <v>3.0489026883795529E-2</v>
      </c>
      <c r="E90" t="b">
        <v>0</v>
      </c>
    </row>
    <row r="91" spans="1:5" x14ac:dyDescent="0.3">
      <c r="A91" s="1" t="s">
        <v>1034</v>
      </c>
      <c r="B91">
        <v>0.37937828779678989</v>
      </c>
      <c r="C91">
        <v>1.88196295500897</v>
      </c>
      <c r="D91">
        <v>1.9685119587870361E-2</v>
      </c>
      <c r="E91" t="b">
        <v>0</v>
      </c>
    </row>
    <row r="92" spans="1:5" x14ac:dyDescent="0.3">
      <c r="A92" s="1" t="s">
        <v>955</v>
      </c>
      <c r="B92">
        <v>0.37855187098697141</v>
      </c>
      <c r="C92">
        <v>2.679093258652455</v>
      </c>
      <c r="D92">
        <v>2.8084189432882128E-2</v>
      </c>
      <c r="E92" t="b">
        <v>0</v>
      </c>
    </row>
    <row r="93" spans="1:5" x14ac:dyDescent="0.3">
      <c r="A93" s="1" t="s">
        <v>1171</v>
      </c>
      <c r="B93">
        <v>0.37804588262132321</v>
      </c>
      <c r="C93">
        <v>1.841677919788939</v>
      </c>
      <c r="D93">
        <v>1.933163684464357E-2</v>
      </c>
      <c r="E93" t="b">
        <v>0</v>
      </c>
    </row>
    <row r="94" spans="1:5" x14ac:dyDescent="0.3">
      <c r="A94" s="1" t="s">
        <v>1383</v>
      </c>
      <c r="B94">
        <v>0.37421588385160909</v>
      </c>
      <c r="C94">
        <v>0.17014587778546231</v>
      </c>
      <c r="D94">
        <v>1.804258140394572E-3</v>
      </c>
      <c r="E94" t="b">
        <v>0</v>
      </c>
    </row>
    <row r="95" spans="1:5" x14ac:dyDescent="0.3">
      <c r="A95" s="1" t="s">
        <v>1110</v>
      </c>
      <c r="B95">
        <v>0.37376204879806069</v>
      </c>
      <c r="C95">
        <v>3.9652260021256192</v>
      </c>
      <c r="D95">
        <v>4.2099041003652721E-2</v>
      </c>
      <c r="E95" t="b">
        <v>0</v>
      </c>
    </row>
    <row r="96" spans="1:5" x14ac:dyDescent="0.3">
      <c r="A96" s="1" t="s">
        <v>718</v>
      </c>
      <c r="B96">
        <v>0.37128306863875288</v>
      </c>
      <c r="C96">
        <v>2.198006199690306</v>
      </c>
      <c r="D96">
        <v>2.3492175003149311E-2</v>
      </c>
      <c r="E96" t="b">
        <v>0</v>
      </c>
    </row>
    <row r="97" spans="1:5" x14ac:dyDescent="0.3">
      <c r="A97" s="1" t="s">
        <v>330</v>
      </c>
      <c r="B97">
        <v>0.37034593974981678</v>
      </c>
      <c r="C97">
        <v>2.382179590526333</v>
      </c>
      <c r="D97">
        <v>2.5525036455335982E-2</v>
      </c>
      <c r="E97" t="b">
        <v>0</v>
      </c>
    </row>
    <row r="98" spans="1:5" x14ac:dyDescent="0.3">
      <c r="A98" s="1" t="s">
        <v>1432</v>
      </c>
      <c r="B98">
        <v>0.36904970749026522</v>
      </c>
      <c r="C98">
        <v>1.724342507401738</v>
      </c>
      <c r="D98">
        <v>1.8541212359059891E-2</v>
      </c>
      <c r="E98" t="b">
        <v>0</v>
      </c>
    </row>
    <row r="99" spans="1:5" x14ac:dyDescent="0.3">
      <c r="A99" s="1" t="s">
        <v>1512</v>
      </c>
      <c r="B99">
        <v>0.36774008620217968</v>
      </c>
      <c r="C99">
        <v>3.9898586306316139</v>
      </c>
      <c r="D99">
        <v>4.3054246566613233E-2</v>
      </c>
      <c r="E99" t="b">
        <v>0</v>
      </c>
    </row>
    <row r="100" spans="1:5" x14ac:dyDescent="0.3">
      <c r="A100" s="1" t="s">
        <v>1352</v>
      </c>
      <c r="B100">
        <v>0.36569379988552358</v>
      </c>
      <c r="C100">
        <v>8.246829945520517</v>
      </c>
      <c r="D100">
        <v>8.948884467571451E-2</v>
      </c>
      <c r="E100" t="b">
        <v>0</v>
      </c>
    </row>
    <row r="101" spans="1:5" x14ac:dyDescent="0.3">
      <c r="A101" s="1" t="s">
        <v>436</v>
      </c>
      <c r="B101">
        <v>0.36519826493385871</v>
      </c>
      <c r="C101">
        <v>1.6467940549717781</v>
      </c>
      <c r="D101">
        <v>1.78941075876205E-2</v>
      </c>
      <c r="E101" t="b">
        <v>0</v>
      </c>
    </row>
    <row r="102" spans="1:5" x14ac:dyDescent="0.3">
      <c r="A102" s="1" t="s">
        <v>705</v>
      </c>
      <c r="B102">
        <v>0.3637656678392589</v>
      </c>
      <c r="C102">
        <v>3.2533567000710009</v>
      </c>
      <c r="D102">
        <v>3.5490280630076212E-2</v>
      </c>
      <c r="E102" t="b">
        <v>0</v>
      </c>
    </row>
    <row r="103" spans="1:5" x14ac:dyDescent="0.3">
      <c r="A103" s="1" t="s">
        <v>1593</v>
      </c>
      <c r="B103">
        <v>0.36306731798023922</v>
      </c>
      <c r="C103">
        <v>2.3939797037332649</v>
      </c>
      <c r="D103">
        <v>2.6165724615775099E-2</v>
      </c>
      <c r="E103" t="b">
        <v>0</v>
      </c>
    </row>
    <row r="104" spans="1:5" x14ac:dyDescent="0.3">
      <c r="A104" s="1" t="s">
        <v>1154</v>
      </c>
      <c r="B104">
        <v>0.36001085756816148</v>
      </c>
      <c r="C104">
        <v>1.859038149878333</v>
      </c>
      <c r="D104">
        <v>2.0491425078738031E-2</v>
      </c>
      <c r="E104" t="b">
        <v>0</v>
      </c>
    </row>
    <row r="105" spans="1:5" x14ac:dyDescent="0.3">
      <c r="A105" s="1" t="s">
        <v>885</v>
      </c>
      <c r="B105">
        <v>0.35921984088253212</v>
      </c>
      <c r="C105">
        <v>1.695415950506715</v>
      </c>
      <c r="D105">
        <v>1.8729035280763921E-2</v>
      </c>
      <c r="E105" t="b">
        <v>0</v>
      </c>
    </row>
    <row r="106" spans="1:5" x14ac:dyDescent="0.3">
      <c r="A106" s="1" t="s">
        <v>613</v>
      </c>
      <c r="B106">
        <v>0.35880891217590632</v>
      </c>
      <c r="C106">
        <v>3.151200214951539</v>
      </c>
      <c r="D106">
        <v>3.4850758533037027E-2</v>
      </c>
      <c r="E106" t="b">
        <v>0</v>
      </c>
    </row>
    <row r="107" spans="1:5" x14ac:dyDescent="0.3">
      <c r="A107" s="1" t="s">
        <v>242</v>
      </c>
      <c r="B107">
        <v>0.35695960537953308</v>
      </c>
      <c r="C107">
        <v>2.292884819354994</v>
      </c>
      <c r="D107">
        <v>2.548957682054977E-2</v>
      </c>
      <c r="E107" t="b">
        <v>0</v>
      </c>
    </row>
    <row r="108" spans="1:5" x14ac:dyDescent="0.3">
      <c r="A108" s="1" t="s">
        <v>1239</v>
      </c>
      <c r="B108">
        <v>0.35520312346555472</v>
      </c>
      <c r="C108">
        <v>1.9614614099561489</v>
      </c>
      <c r="D108">
        <v>2.1913030909454581E-2</v>
      </c>
      <c r="E108" t="b">
        <v>0</v>
      </c>
    </row>
    <row r="109" spans="1:5" x14ac:dyDescent="0.3">
      <c r="A109" s="1" t="s">
        <v>281</v>
      </c>
      <c r="B109">
        <v>0.35238163853018589</v>
      </c>
      <c r="C109">
        <v>0.15657687576528451</v>
      </c>
      <c r="D109">
        <v>1.763249672099965E-3</v>
      </c>
      <c r="E109" t="b">
        <v>0</v>
      </c>
    </row>
    <row r="110" spans="1:5" x14ac:dyDescent="0.3">
      <c r="A110" s="1" t="s">
        <v>454</v>
      </c>
      <c r="B110">
        <v>0.35201022114886349</v>
      </c>
      <c r="C110">
        <v>3.0231459899969821</v>
      </c>
      <c r="D110">
        <v>3.4080291851364408E-2</v>
      </c>
      <c r="E110" t="b">
        <v>0</v>
      </c>
    </row>
    <row r="111" spans="1:5" x14ac:dyDescent="0.3">
      <c r="A111" s="1" t="s">
        <v>1428</v>
      </c>
      <c r="B111">
        <v>0.35144855704612671</v>
      </c>
      <c r="C111">
        <v>2.387925396980302</v>
      </c>
      <c r="D111">
        <v>2.696239390511378E-2</v>
      </c>
      <c r="E111" t="b">
        <v>0</v>
      </c>
    </row>
    <row r="112" spans="1:5" x14ac:dyDescent="0.3">
      <c r="A112" s="1" t="s">
        <v>1028</v>
      </c>
      <c r="B112">
        <v>0.35042785374839303</v>
      </c>
      <c r="C112">
        <v>2.1043107729546611</v>
      </c>
      <c r="D112">
        <v>2.3829268951926739E-2</v>
      </c>
      <c r="E112" t="b">
        <v>0</v>
      </c>
    </row>
    <row r="113" spans="1:5" x14ac:dyDescent="0.3">
      <c r="A113" s="1" t="s">
        <v>1123</v>
      </c>
      <c r="B113">
        <v>0.3501074540809796</v>
      </c>
      <c r="C113">
        <v>3.5080441275051299</v>
      </c>
      <c r="D113">
        <v>3.9761535687161877E-2</v>
      </c>
      <c r="E113" t="b">
        <v>0</v>
      </c>
    </row>
    <row r="114" spans="1:5" x14ac:dyDescent="0.3">
      <c r="A114" s="1" t="s">
        <v>120</v>
      </c>
      <c r="B114">
        <v>0.34659807137112542</v>
      </c>
      <c r="C114">
        <v>2.26959451083777</v>
      </c>
      <c r="D114">
        <v>2.598493231174312E-2</v>
      </c>
      <c r="E114" t="b">
        <v>0</v>
      </c>
    </row>
    <row r="115" spans="1:5" x14ac:dyDescent="0.3">
      <c r="A115" s="1" t="s">
        <v>1353</v>
      </c>
      <c r="B115">
        <v>0.34635609316560179</v>
      </c>
      <c r="C115">
        <v>2.7847124510435761</v>
      </c>
      <c r="D115">
        <v>3.1904870312232103E-2</v>
      </c>
      <c r="E115" t="b">
        <v>0</v>
      </c>
    </row>
    <row r="116" spans="1:5" x14ac:dyDescent="0.3">
      <c r="A116" s="1" t="s">
        <v>644</v>
      </c>
      <c r="B116">
        <v>0.34634417039610488</v>
      </c>
      <c r="C116">
        <v>4.7535250521562986</v>
      </c>
      <c r="D116">
        <v>5.4463727886167497E-2</v>
      </c>
      <c r="E116" t="b">
        <v>0</v>
      </c>
    </row>
    <row r="117" spans="1:5" x14ac:dyDescent="0.3">
      <c r="A117" s="1" t="s">
        <v>928</v>
      </c>
      <c r="B117">
        <v>0.34534223903448708</v>
      </c>
      <c r="C117">
        <v>2.6781599894250459</v>
      </c>
      <c r="D117">
        <v>3.077416488457304E-2</v>
      </c>
      <c r="E117" t="b">
        <v>0</v>
      </c>
    </row>
    <row r="118" spans="1:5" x14ac:dyDescent="0.3">
      <c r="A118" s="1" t="s">
        <v>166</v>
      </c>
      <c r="B118">
        <v>0.34482483708813177</v>
      </c>
      <c r="C118">
        <v>3.2362267569456389</v>
      </c>
      <c r="D118">
        <v>3.7242588958686131E-2</v>
      </c>
      <c r="E118" t="b">
        <v>0</v>
      </c>
    </row>
    <row r="119" spans="1:5" x14ac:dyDescent="0.3">
      <c r="A119" s="1" t="s">
        <v>1282</v>
      </c>
      <c r="B119">
        <v>0.34356892509491321</v>
      </c>
      <c r="C119">
        <v>2.7778971869490969</v>
      </c>
      <c r="D119">
        <v>3.2084978385245412E-2</v>
      </c>
      <c r="E119" t="b">
        <v>0</v>
      </c>
    </row>
    <row r="120" spans="1:5" x14ac:dyDescent="0.3">
      <c r="A120" s="1" t="s">
        <v>158</v>
      </c>
      <c r="B120">
        <v>0.34139967164008328</v>
      </c>
      <c r="C120">
        <v>2.798468234190604</v>
      </c>
      <c r="D120">
        <v>3.2527953591785792E-2</v>
      </c>
      <c r="E120" t="b">
        <v>0</v>
      </c>
    </row>
    <row r="121" spans="1:5" x14ac:dyDescent="0.3">
      <c r="A121" s="1" t="s">
        <v>357</v>
      </c>
      <c r="B121">
        <v>0.33884311610564799</v>
      </c>
      <c r="C121">
        <v>1.9431301555555489</v>
      </c>
      <c r="D121">
        <v>2.275635414772037E-2</v>
      </c>
      <c r="E121" t="b">
        <v>0</v>
      </c>
    </row>
    <row r="122" spans="1:5" x14ac:dyDescent="0.3">
      <c r="A122" s="1" t="s">
        <v>289</v>
      </c>
      <c r="B122">
        <v>0.33537476058270749</v>
      </c>
      <c r="C122">
        <v>9.2327233642742019</v>
      </c>
      <c r="D122">
        <v>0.10924433032591579</v>
      </c>
      <c r="E122" t="b">
        <v>0</v>
      </c>
    </row>
    <row r="123" spans="1:5" x14ac:dyDescent="0.3">
      <c r="A123" s="1" t="s">
        <v>1186</v>
      </c>
      <c r="B123">
        <v>0.33344169248775152</v>
      </c>
      <c r="C123">
        <v>1.4641553010013439</v>
      </c>
      <c r="D123">
        <v>1.7424755854584958E-2</v>
      </c>
      <c r="E123" t="b">
        <v>0</v>
      </c>
    </row>
    <row r="124" spans="1:5" x14ac:dyDescent="0.3">
      <c r="A124" s="1" t="s">
        <v>1141</v>
      </c>
      <c r="B124">
        <v>0.33335841058453342</v>
      </c>
      <c r="C124">
        <v>2.017137887164151</v>
      </c>
      <c r="D124">
        <v>2.401173983046926E-2</v>
      </c>
      <c r="E124" t="b">
        <v>0</v>
      </c>
    </row>
    <row r="125" spans="1:5" x14ac:dyDescent="0.3">
      <c r="A125" s="1" t="s">
        <v>869</v>
      </c>
      <c r="B125">
        <v>0.33139709915167032</v>
      </c>
      <c r="C125">
        <v>3.0476630665619502</v>
      </c>
      <c r="D125">
        <v>3.6493684129234073E-2</v>
      </c>
      <c r="E125" t="b">
        <v>0</v>
      </c>
    </row>
    <row r="126" spans="1:5" x14ac:dyDescent="0.3">
      <c r="A126" s="1" t="s">
        <v>161</v>
      </c>
      <c r="B126">
        <v>0.33025710897908189</v>
      </c>
      <c r="C126">
        <v>2.2592070360423868</v>
      </c>
      <c r="D126">
        <v>2.7145841958091901E-2</v>
      </c>
      <c r="E126" t="b">
        <v>0</v>
      </c>
    </row>
    <row r="127" spans="1:5" x14ac:dyDescent="0.3">
      <c r="A127" s="1" t="s">
        <v>236</v>
      </c>
      <c r="B127">
        <v>0.33001980088500033</v>
      </c>
      <c r="C127">
        <v>2.306659144492492</v>
      </c>
      <c r="D127">
        <v>2.7735939719360239E-2</v>
      </c>
      <c r="E127" t="b">
        <v>0</v>
      </c>
    </row>
    <row r="128" spans="1:5" x14ac:dyDescent="0.3">
      <c r="A128" s="1" t="s">
        <v>958</v>
      </c>
      <c r="B128">
        <v>0.32917891340962951</v>
      </c>
      <c r="C128">
        <v>3.7000291267544618</v>
      </c>
      <c r="D128">
        <v>4.4603875481621737E-2</v>
      </c>
      <c r="E128" t="b">
        <v>0</v>
      </c>
    </row>
    <row r="129" spans="1:5" x14ac:dyDescent="0.3">
      <c r="A129" s="1" t="s">
        <v>1106</v>
      </c>
      <c r="B129">
        <v>0.3291576244801907</v>
      </c>
      <c r="C129">
        <v>3.5119099286254651</v>
      </c>
      <c r="D129">
        <v>4.2338835481713757E-2</v>
      </c>
      <c r="E129" t="b">
        <v>0</v>
      </c>
    </row>
    <row r="130" spans="1:5" x14ac:dyDescent="0.3">
      <c r="A130" s="1" t="s">
        <v>1524</v>
      </c>
      <c r="B130">
        <v>0.3285949003704563</v>
      </c>
      <c r="C130">
        <v>1.666229262081931</v>
      </c>
      <c r="D130">
        <v>2.0122104371745091E-2</v>
      </c>
      <c r="E130" t="b">
        <v>0</v>
      </c>
    </row>
    <row r="131" spans="1:5" x14ac:dyDescent="0.3">
      <c r="A131" s="1" t="s">
        <v>326</v>
      </c>
      <c r="B131">
        <v>0.32857171089175552</v>
      </c>
      <c r="C131">
        <v>2.2421692121583172</v>
      </c>
      <c r="D131">
        <v>2.707931504357447E-2</v>
      </c>
      <c r="E131" t="b">
        <v>0</v>
      </c>
    </row>
    <row r="132" spans="1:5" x14ac:dyDescent="0.3">
      <c r="A132" s="1" t="s">
        <v>1335</v>
      </c>
      <c r="B132">
        <v>0.32722289061873577</v>
      </c>
      <c r="C132">
        <v>2.4284826667071391</v>
      </c>
      <c r="D132">
        <v>2.945037237698922E-2</v>
      </c>
      <c r="E132" t="b">
        <v>0</v>
      </c>
    </row>
    <row r="133" spans="1:5" x14ac:dyDescent="0.3">
      <c r="A133" s="1" t="s">
        <v>426</v>
      </c>
      <c r="B133">
        <v>0.32628038050846098</v>
      </c>
      <c r="C133">
        <v>1.9236211130174941</v>
      </c>
      <c r="D133">
        <v>2.339526852105912E-2</v>
      </c>
      <c r="E133" t="b">
        <v>0</v>
      </c>
    </row>
    <row r="134" spans="1:5" x14ac:dyDescent="0.3">
      <c r="A134" s="1" t="s">
        <v>943</v>
      </c>
      <c r="B134">
        <v>0.32573044947562979</v>
      </c>
      <c r="C134">
        <v>6.0006360896676396</v>
      </c>
      <c r="D134">
        <v>7.3103537029482191E-2</v>
      </c>
      <c r="E134" t="b">
        <v>0</v>
      </c>
    </row>
    <row r="135" spans="1:5" x14ac:dyDescent="0.3">
      <c r="A135" s="1" t="s">
        <v>1355</v>
      </c>
      <c r="B135">
        <v>0.32418185626340518</v>
      </c>
      <c r="C135">
        <v>0.79680677330619654</v>
      </c>
      <c r="D135">
        <v>9.7535737395951384E-3</v>
      </c>
      <c r="E135" t="b">
        <v>0</v>
      </c>
    </row>
    <row r="136" spans="1:5" x14ac:dyDescent="0.3">
      <c r="A136" s="1" t="s">
        <v>1101</v>
      </c>
      <c r="B136">
        <v>0.32362815726232252</v>
      </c>
      <c r="C136">
        <v>2.6114653354886852</v>
      </c>
      <c r="D136">
        <v>3.2021186809498697E-2</v>
      </c>
      <c r="E136" t="b">
        <v>0</v>
      </c>
    </row>
    <row r="137" spans="1:5" x14ac:dyDescent="0.3">
      <c r="A137" s="1" t="s">
        <v>592</v>
      </c>
      <c r="B137">
        <v>0.32174036361547842</v>
      </c>
      <c r="C137">
        <v>1.9050140555346069</v>
      </c>
      <c r="D137">
        <v>2.3495900546968582E-2</v>
      </c>
      <c r="E137" t="b">
        <v>0</v>
      </c>
    </row>
    <row r="138" spans="1:5" x14ac:dyDescent="0.3">
      <c r="A138" s="1" t="s">
        <v>1536</v>
      </c>
      <c r="B138">
        <v>0.31863231949398341</v>
      </c>
      <c r="C138">
        <v>0.78592751680344453</v>
      </c>
      <c r="D138">
        <v>9.7879587113702902E-3</v>
      </c>
      <c r="E138" t="b">
        <v>0</v>
      </c>
    </row>
    <row r="139" spans="1:5" x14ac:dyDescent="0.3">
      <c r="A139" s="1" t="s">
        <v>399</v>
      </c>
      <c r="B139">
        <v>0.31850327918853139</v>
      </c>
      <c r="C139">
        <v>1.5046482287655669</v>
      </c>
      <c r="D139">
        <v>1.8746514383894169E-2</v>
      </c>
      <c r="E139" t="b">
        <v>0</v>
      </c>
    </row>
    <row r="140" spans="1:5" x14ac:dyDescent="0.3">
      <c r="A140" s="1" t="s">
        <v>108</v>
      </c>
      <c r="B140">
        <v>0.31805294469447598</v>
      </c>
      <c r="C140">
        <v>3.387913231279585</v>
      </c>
      <c r="D140">
        <v>4.227000676582271E-2</v>
      </c>
      <c r="E140" t="b">
        <v>0</v>
      </c>
    </row>
    <row r="141" spans="1:5" x14ac:dyDescent="0.3">
      <c r="A141" s="1" t="s">
        <v>109</v>
      </c>
      <c r="B141">
        <v>0.31547529289947229</v>
      </c>
      <c r="C141">
        <v>3.0103104582432518</v>
      </c>
      <c r="D141">
        <v>3.7865648088665861E-2</v>
      </c>
      <c r="E141" t="b">
        <v>0</v>
      </c>
    </row>
    <row r="142" spans="1:5" x14ac:dyDescent="0.3">
      <c r="A142" s="1" t="s">
        <v>1026</v>
      </c>
      <c r="B142">
        <v>0.31463548555665288</v>
      </c>
      <c r="C142">
        <v>4.2344539995347112</v>
      </c>
      <c r="D142">
        <v>5.3405892400578907E-2</v>
      </c>
      <c r="E142" t="b">
        <v>0</v>
      </c>
    </row>
    <row r="143" spans="1:5" x14ac:dyDescent="0.3">
      <c r="A143" s="1" t="s">
        <v>1288</v>
      </c>
      <c r="B143">
        <v>0.31275422267472441</v>
      </c>
      <c r="C143">
        <v>0.78173534970077463</v>
      </c>
      <c r="D143">
        <v>9.9187290807607187E-3</v>
      </c>
      <c r="E143" t="b">
        <v>0</v>
      </c>
    </row>
    <row r="144" spans="1:5" x14ac:dyDescent="0.3">
      <c r="A144" s="1" t="s">
        <v>603</v>
      </c>
      <c r="B144">
        <v>0.30645134613703923</v>
      </c>
      <c r="C144">
        <v>0.83471147634545106</v>
      </c>
      <c r="D144">
        <v>1.080872109099415E-2</v>
      </c>
      <c r="E144" t="b">
        <v>0</v>
      </c>
    </row>
    <row r="145" spans="1:5" x14ac:dyDescent="0.3">
      <c r="A145" s="1" t="s">
        <v>538</v>
      </c>
      <c r="B145">
        <v>0.30579819283986859</v>
      </c>
      <c r="C145">
        <v>0.70848647292921374</v>
      </c>
      <c r="D145">
        <v>9.1938223425925541E-3</v>
      </c>
      <c r="E145" t="b">
        <v>0</v>
      </c>
    </row>
    <row r="146" spans="1:5" x14ac:dyDescent="0.3">
      <c r="A146" s="1" t="s">
        <v>1436</v>
      </c>
      <c r="B146">
        <v>0.30578724533906088</v>
      </c>
      <c r="C146">
        <v>2.2623918591400809</v>
      </c>
      <c r="D146">
        <v>2.9359450433661671E-2</v>
      </c>
      <c r="E146" t="b">
        <v>0</v>
      </c>
    </row>
    <row r="147" spans="1:5" x14ac:dyDescent="0.3">
      <c r="A147" s="1" t="s">
        <v>1632</v>
      </c>
      <c r="B147">
        <v>0.30374246817078709</v>
      </c>
      <c r="C147">
        <v>2.5037174433469298</v>
      </c>
      <c r="D147">
        <v>3.2709903029963197E-2</v>
      </c>
      <c r="E147" t="b">
        <v>0</v>
      </c>
    </row>
    <row r="148" spans="1:5" x14ac:dyDescent="0.3">
      <c r="A148" s="1" t="s">
        <v>606</v>
      </c>
      <c r="B148">
        <v>0.30345075295047358</v>
      </c>
      <c r="C148">
        <v>2.1990974880860441</v>
      </c>
      <c r="D148">
        <v>2.875780418676057E-2</v>
      </c>
      <c r="E148" t="b">
        <v>0</v>
      </c>
    </row>
    <row r="149" spans="1:5" x14ac:dyDescent="0.3">
      <c r="A149" s="1" t="s">
        <v>339</v>
      </c>
      <c r="B149">
        <v>0.3014122119873856</v>
      </c>
      <c r="C149">
        <v>2.1146330930217041</v>
      </c>
      <c r="D149">
        <v>2.7840282606518042E-2</v>
      </c>
      <c r="E149" t="b">
        <v>0</v>
      </c>
    </row>
    <row r="150" spans="1:5" x14ac:dyDescent="0.3">
      <c r="A150" s="1" t="s">
        <v>414</v>
      </c>
      <c r="B150">
        <v>0.299397792637144</v>
      </c>
      <c r="C150">
        <v>0.89880563050558071</v>
      </c>
      <c r="D150">
        <v>1.191287677349525E-2</v>
      </c>
      <c r="E150" t="b">
        <v>0</v>
      </c>
    </row>
    <row r="151" spans="1:5" x14ac:dyDescent="0.3">
      <c r="A151" s="1" t="s">
        <v>801</v>
      </c>
      <c r="B151">
        <v>0.29797286188625338</v>
      </c>
      <c r="C151">
        <v>1.638834597349841</v>
      </c>
      <c r="D151">
        <v>2.1825181840646749E-2</v>
      </c>
      <c r="E151" t="b">
        <v>0</v>
      </c>
    </row>
    <row r="152" spans="1:5" x14ac:dyDescent="0.3">
      <c r="A152" s="1" t="s">
        <v>1074</v>
      </c>
      <c r="B152">
        <v>0.295667680658457</v>
      </c>
      <c r="C152">
        <v>1.6110257615633781</v>
      </c>
      <c r="D152">
        <v>2.162211086800565E-2</v>
      </c>
      <c r="E152" t="b">
        <v>0</v>
      </c>
    </row>
    <row r="153" spans="1:5" x14ac:dyDescent="0.3">
      <c r="A153" s="1" t="s">
        <v>504</v>
      </c>
      <c r="B153">
        <v>0.29550691263314027</v>
      </c>
      <c r="C153">
        <v>1.365580050801938</v>
      </c>
      <c r="D153">
        <v>1.833787374811997E-2</v>
      </c>
      <c r="E153" t="b">
        <v>0</v>
      </c>
    </row>
    <row r="154" spans="1:5" x14ac:dyDescent="0.3">
      <c r="A154" s="1" t="s">
        <v>135</v>
      </c>
      <c r="B154">
        <v>0.29511763570350757</v>
      </c>
      <c r="C154">
        <v>1.439997941058184</v>
      </c>
      <c r="D154">
        <v>1.936271117874698E-2</v>
      </c>
      <c r="E154" t="b">
        <v>0</v>
      </c>
    </row>
    <row r="155" spans="1:5" x14ac:dyDescent="0.3">
      <c r="A155" s="1" t="s">
        <v>818</v>
      </c>
      <c r="B155">
        <v>0.29256883309014969</v>
      </c>
      <c r="C155">
        <v>3.5748337011893789</v>
      </c>
      <c r="D155">
        <v>4.8487215370003757E-2</v>
      </c>
      <c r="E155" t="b">
        <v>0</v>
      </c>
    </row>
    <row r="156" spans="1:5" x14ac:dyDescent="0.3">
      <c r="A156" s="1" t="s">
        <v>1545</v>
      </c>
      <c r="B156">
        <v>0.29199605812417972</v>
      </c>
      <c r="C156">
        <v>0.73838915645824721</v>
      </c>
      <c r="D156">
        <v>1.0034778274249929E-2</v>
      </c>
      <c r="E156" t="b">
        <v>0</v>
      </c>
    </row>
    <row r="157" spans="1:5" x14ac:dyDescent="0.3">
      <c r="A157" s="1" t="s">
        <v>728</v>
      </c>
      <c r="B157">
        <v>0.29132896720901658</v>
      </c>
      <c r="C157">
        <v>1.4285623982797671</v>
      </c>
      <c r="D157">
        <v>1.9458752969816719E-2</v>
      </c>
      <c r="E157" t="b">
        <v>0</v>
      </c>
    </row>
    <row r="158" spans="1:5" x14ac:dyDescent="0.3">
      <c r="A158" s="1" t="s">
        <v>1235</v>
      </c>
      <c r="B158">
        <v>0.29030516245434312</v>
      </c>
      <c r="C158">
        <v>2.1935766140058441</v>
      </c>
      <c r="D158">
        <v>2.9984548085901831E-2</v>
      </c>
      <c r="E158" t="b">
        <v>0</v>
      </c>
    </row>
    <row r="159" spans="1:5" x14ac:dyDescent="0.3">
      <c r="A159" s="1" t="s">
        <v>997</v>
      </c>
      <c r="B159">
        <v>0.28982778086160049</v>
      </c>
      <c r="C159">
        <v>2.200908146342317</v>
      </c>
      <c r="D159">
        <v>3.013431790258906E-2</v>
      </c>
      <c r="E159" t="b">
        <v>0</v>
      </c>
    </row>
    <row r="160" spans="1:5" x14ac:dyDescent="0.3">
      <c r="A160" s="1" t="s">
        <v>1538</v>
      </c>
      <c r="B160">
        <v>0.28973046083077603</v>
      </c>
      <c r="C160">
        <v>0.69443621776814135</v>
      </c>
      <c r="D160">
        <v>9.5112514885593476E-3</v>
      </c>
      <c r="E160" t="b">
        <v>0</v>
      </c>
    </row>
    <row r="161" spans="1:5" x14ac:dyDescent="0.3">
      <c r="A161" s="1" t="s">
        <v>123</v>
      </c>
      <c r="B161">
        <v>0.28959552062546451</v>
      </c>
      <c r="C161">
        <v>1.8418505897546971</v>
      </c>
      <c r="D161">
        <v>2.523841147797886E-2</v>
      </c>
      <c r="E161" t="b">
        <v>0</v>
      </c>
    </row>
    <row r="162" spans="1:5" x14ac:dyDescent="0.3">
      <c r="A162" s="1" t="s">
        <v>715</v>
      </c>
      <c r="B162">
        <v>0.28894307196713942</v>
      </c>
      <c r="C162">
        <v>2.1049835082697421</v>
      </c>
      <c r="D162">
        <v>2.8909186515295782E-2</v>
      </c>
      <c r="E162" t="b">
        <v>0</v>
      </c>
    </row>
    <row r="163" spans="1:5" x14ac:dyDescent="0.3">
      <c r="A163" s="1" t="s">
        <v>535</v>
      </c>
      <c r="B163">
        <v>0.28871481828917989</v>
      </c>
      <c r="C163">
        <v>0.69298088900627564</v>
      </c>
      <c r="D163">
        <v>9.5247073877897121E-3</v>
      </c>
      <c r="E163" t="b">
        <v>0</v>
      </c>
    </row>
    <row r="164" spans="1:5" x14ac:dyDescent="0.3">
      <c r="A164" s="1" t="s">
        <v>790</v>
      </c>
      <c r="B164">
        <v>0.28836689577941499</v>
      </c>
      <c r="C164">
        <v>0.68006103692460584</v>
      </c>
      <c r="D164">
        <v>9.3584074591394825E-3</v>
      </c>
      <c r="E164" t="b">
        <v>0</v>
      </c>
    </row>
    <row r="165" spans="1:5" x14ac:dyDescent="0.3">
      <c r="A165" s="1" t="s">
        <v>1602</v>
      </c>
      <c r="B165">
        <v>0.28829721114996398</v>
      </c>
      <c r="C165">
        <v>0.68293146927840143</v>
      </c>
      <c r="D165">
        <v>9.4001794266398257E-3</v>
      </c>
      <c r="E165" t="b">
        <v>0</v>
      </c>
    </row>
    <row r="166" spans="1:5" x14ac:dyDescent="0.3">
      <c r="A166" s="1" t="s">
        <v>282</v>
      </c>
      <c r="B166">
        <v>0.28432942780815718</v>
      </c>
      <c r="C166">
        <v>1.938451098783462</v>
      </c>
      <c r="D166">
        <v>2.705406304339298E-2</v>
      </c>
      <c r="E166" t="b">
        <v>0</v>
      </c>
    </row>
    <row r="167" spans="1:5" x14ac:dyDescent="0.3">
      <c r="A167" s="1" t="s">
        <v>1005</v>
      </c>
      <c r="B167">
        <v>0.28432191053289979</v>
      </c>
      <c r="C167">
        <v>3.0422603902120979</v>
      </c>
      <c r="D167">
        <v>4.2460540038204618E-2</v>
      </c>
      <c r="E167" t="b">
        <v>0</v>
      </c>
    </row>
    <row r="168" spans="1:5" x14ac:dyDescent="0.3">
      <c r="A168" s="1" t="s">
        <v>904</v>
      </c>
      <c r="B168">
        <v>0.28393047323289922</v>
      </c>
      <c r="C168">
        <v>2.1581202749109121</v>
      </c>
      <c r="D168">
        <v>3.016220572372243E-2</v>
      </c>
      <c r="E168" t="b">
        <v>0</v>
      </c>
    </row>
    <row r="169" spans="1:5" x14ac:dyDescent="0.3">
      <c r="A169" s="1" t="s">
        <v>917</v>
      </c>
      <c r="B169">
        <v>0.28354550005650297</v>
      </c>
      <c r="C169">
        <v>1.429288108894784</v>
      </c>
      <c r="D169">
        <v>2.0003061973368309E-2</v>
      </c>
      <c r="E169" t="b">
        <v>0</v>
      </c>
    </row>
    <row r="170" spans="1:5" x14ac:dyDescent="0.3">
      <c r="A170" s="1" t="s">
        <v>424</v>
      </c>
      <c r="B170">
        <v>0.28335413618614569</v>
      </c>
      <c r="C170">
        <v>6.2244986074255042</v>
      </c>
      <c r="D170">
        <v>8.7171451356831312E-2</v>
      </c>
      <c r="E170" t="b">
        <v>0</v>
      </c>
    </row>
    <row r="171" spans="1:5" x14ac:dyDescent="0.3">
      <c r="A171" s="1" t="s">
        <v>1038</v>
      </c>
      <c r="B171">
        <v>0.28317054528545188</v>
      </c>
      <c r="C171">
        <v>1.1881976456610639</v>
      </c>
      <c r="D171">
        <v>1.665099036946616E-2</v>
      </c>
      <c r="E171" t="b">
        <v>0</v>
      </c>
    </row>
    <row r="172" spans="1:5" x14ac:dyDescent="0.3">
      <c r="A172" s="1" t="s">
        <v>860</v>
      </c>
      <c r="B172">
        <v>0.2827378313963953</v>
      </c>
      <c r="C172">
        <v>0.67122621239818114</v>
      </c>
      <c r="D172">
        <v>9.4207275616075264E-3</v>
      </c>
      <c r="E172" t="b">
        <v>0</v>
      </c>
    </row>
    <row r="173" spans="1:5" x14ac:dyDescent="0.3">
      <c r="A173" s="1" t="s">
        <v>640</v>
      </c>
      <c r="B173">
        <v>0.28248950005765577</v>
      </c>
      <c r="C173">
        <v>2.7885981591062281</v>
      </c>
      <c r="D173">
        <v>3.9172662022767098E-2</v>
      </c>
      <c r="E173" t="b">
        <v>0</v>
      </c>
    </row>
    <row r="174" spans="1:5" x14ac:dyDescent="0.3">
      <c r="A174" s="1" t="s">
        <v>114</v>
      </c>
      <c r="B174">
        <v>0.28188320523001381</v>
      </c>
      <c r="C174">
        <v>1.8827393118009199</v>
      </c>
      <c r="D174">
        <v>2.650455084454334E-2</v>
      </c>
      <c r="E174" t="b">
        <v>0</v>
      </c>
    </row>
    <row r="175" spans="1:5" x14ac:dyDescent="0.3">
      <c r="A175" s="1" t="s">
        <v>1006</v>
      </c>
      <c r="B175">
        <v>0.28186900518944019</v>
      </c>
      <c r="C175">
        <v>1.753296440168574</v>
      </c>
      <c r="D175">
        <v>2.4683542454582551E-2</v>
      </c>
      <c r="E175" t="b">
        <v>0</v>
      </c>
    </row>
    <row r="176" spans="1:5" x14ac:dyDescent="0.3">
      <c r="A176" s="1" t="s">
        <v>685</v>
      </c>
      <c r="B176">
        <v>0.28048202251139998</v>
      </c>
      <c r="C176">
        <v>2.6510305560134322</v>
      </c>
      <c r="D176">
        <v>3.7506726561896672E-2</v>
      </c>
      <c r="E176" t="b">
        <v>0</v>
      </c>
    </row>
    <row r="177" spans="1:5" x14ac:dyDescent="0.3">
      <c r="A177" s="1" t="s">
        <v>1040</v>
      </c>
      <c r="B177">
        <v>0.27967362539041041</v>
      </c>
      <c r="C177">
        <v>4.1713214520321342</v>
      </c>
      <c r="D177">
        <v>5.9186356531769693E-2</v>
      </c>
      <c r="E177" t="b">
        <v>0</v>
      </c>
    </row>
    <row r="178" spans="1:5" x14ac:dyDescent="0.3">
      <c r="A178" s="1" t="s">
        <v>1630</v>
      </c>
      <c r="B178">
        <v>0.27891953182740348</v>
      </c>
      <c r="C178">
        <v>1.4359280208745271</v>
      </c>
      <c r="D178">
        <v>2.0429286646330789E-2</v>
      </c>
      <c r="E178" t="b">
        <v>0</v>
      </c>
    </row>
    <row r="179" spans="1:5" x14ac:dyDescent="0.3">
      <c r="A179" s="1" t="s">
        <v>1622</v>
      </c>
      <c r="B179">
        <v>0.27891053324782672</v>
      </c>
      <c r="C179">
        <v>1.6294167619967921</v>
      </c>
      <c r="D179">
        <v>2.318284453598592E-2</v>
      </c>
      <c r="E179" t="b">
        <v>0</v>
      </c>
    </row>
    <row r="180" spans="1:5" x14ac:dyDescent="0.3">
      <c r="A180" s="1" t="s">
        <v>1653</v>
      </c>
      <c r="B180">
        <v>0.27867132045667292</v>
      </c>
      <c r="C180">
        <v>1.488881377898164</v>
      </c>
      <c r="D180">
        <v>2.1201533858675011E-2</v>
      </c>
      <c r="E180" t="b">
        <v>0</v>
      </c>
    </row>
    <row r="181" spans="1:5" x14ac:dyDescent="0.3">
      <c r="A181" s="1" t="s">
        <v>1169</v>
      </c>
      <c r="B181">
        <v>0.27805268123512061</v>
      </c>
      <c r="C181">
        <v>3.5426575780542851</v>
      </c>
      <c r="D181">
        <v>5.0559357780086869E-2</v>
      </c>
      <c r="E181" t="b">
        <v>0</v>
      </c>
    </row>
    <row r="182" spans="1:5" x14ac:dyDescent="0.3">
      <c r="A182" s="1" t="s">
        <v>627</v>
      </c>
      <c r="B182">
        <v>0.27781414799676019</v>
      </c>
      <c r="C182">
        <v>1.658367040962579</v>
      </c>
      <c r="D182">
        <v>2.3687856210973409E-2</v>
      </c>
      <c r="E182" t="b">
        <v>0</v>
      </c>
    </row>
    <row r="183" spans="1:5" x14ac:dyDescent="0.3">
      <c r="A183" s="1" t="s">
        <v>189</v>
      </c>
      <c r="B183">
        <v>0.27764371291335871</v>
      </c>
      <c r="C183">
        <v>6.9825400070168486</v>
      </c>
      <c r="D183">
        <v>9.9798737744093605E-2</v>
      </c>
      <c r="E183" t="b">
        <v>0</v>
      </c>
    </row>
    <row r="184" spans="1:5" x14ac:dyDescent="0.3">
      <c r="A184" s="1" t="s">
        <v>1426</v>
      </c>
      <c r="B184">
        <v>0.27750269646912751</v>
      </c>
      <c r="C184">
        <v>4.3739526626626928</v>
      </c>
      <c r="D184">
        <v>6.25469778543115E-2</v>
      </c>
      <c r="E184" t="b">
        <v>0</v>
      </c>
    </row>
    <row r="185" spans="1:5" x14ac:dyDescent="0.3">
      <c r="A185" s="1" t="s">
        <v>1472</v>
      </c>
      <c r="B185">
        <v>0.27629282169367281</v>
      </c>
      <c r="C185">
        <v>2.1850877909321862</v>
      </c>
      <c r="D185">
        <v>3.1383310084557713E-2</v>
      </c>
      <c r="E185" t="b">
        <v>0</v>
      </c>
    </row>
    <row r="186" spans="1:5" x14ac:dyDescent="0.3">
      <c r="A186" s="1" t="s">
        <v>1539</v>
      </c>
      <c r="B186">
        <v>0.27396832351333977</v>
      </c>
      <c r="C186">
        <v>2.9506464545793691</v>
      </c>
      <c r="D186">
        <v>4.2738205468958033E-2</v>
      </c>
      <c r="E186" t="b">
        <v>0</v>
      </c>
    </row>
    <row r="187" spans="1:5" x14ac:dyDescent="0.3">
      <c r="A187" s="1" t="s">
        <v>585</v>
      </c>
      <c r="B187">
        <v>0.27167531234474562</v>
      </c>
      <c r="C187">
        <v>2.420873869651039</v>
      </c>
      <c r="D187">
        <v>3.5360748302718827E-2</v>
      </c>
      <c r="E187" t="b">
        <v>0</v>
      </c>
    </row>
    <row r="188" spans="1:5" x14ac:dyDescent="0.3">
      <c r="A188" s="1" t="s">
        <v>1217</v>
      </c>
      <c r="B188">
        <v>0.27129726595664228</v>
      </c>
      <c r="C188">
        <v>1.29517046157792</v>
      </c>
      <c r="D188">
        <v>1.894440515498336E-2</v>
      </c>
      <c r="E188" t="b">
        <v>0</v>
      </c>
    </row>
    <row r="189" spans="1:5" x14ac:dyDescent="0.3">
      <c r="A189" s="1" t="s">
        <v>1045</v>
      </c>
      <c r="B189">
        <v>0.27119841882370849</v>
      </c>
      <c r="C189">
        <v>2.084440180136359</v>
      </c>
      <c r="D189">
        <v>3.0500133637545411E-2</v>
      </c>
      <c r="E189" t="b">
        <v>0</v>
      </c>
    </row>
    <row r="190" spans="1:5" x14ac:dyDescent="0.3">
      <c r="A190" s="1" t="s">
        <v>1459</v>
      </c>
      <c r="B190">
        <v>0.27016550246361248</v>
      </c>
      <c r="C190">
        <v>2.3860678717809201</v>
      </c>
      <c r="D190">
        <v>3.5047121909997418E-2</v>
      </c>
      <c r="E190" t="b">
        <v>0</v>
      </c>
    </row>
    <row r="191" spans="1:5" x14ac:dyDescent="0.3">
      <c r="A191" s="1" t="s">
        <v>455</v>
      </c>
      <c r="B191">
        <v>0.26942098105106771</v>
      </c>
      <c r="C191">
        <v>3.106713417901402</v>
      </c>
      <c r="D191">
        <v>4.5758232342262617E-2</v>
      </c>
      <c r="E191" t="b">
        <v>0</v>
      </c>
    </row>
    <row r="192" spans="1:5" x14ac:dyDescent="0.3">
      <c r="A192" s="1" t="s">
        <v>560</v>
      </c>
      <c r="B192">
        <v>0.26824145841558428</v>
      </c>
      <c r="C192">
        <v>1.4080910710313199</v>
      </c>
      <c r="D192">
        <v>2.083072099774411E-2</v>
      </c>
      <c r="E192" t="b">
        <v>0</v>
      </c>
    </row>
    <row r="193" spans="1:5" x14ac:dyDescent="0.3">
      <c r="A193" s="1" t="s">
        <v>1616</v>
      </c>
      <c r="B193">
        <v>0.26812393487089647</v>
      </c>
      <c r="C193">
        <v>4.1370782741284957</v>
      </c>
      <c r="D193">
        <v>6.1229062918954108E-2</v>
      </c>
      <c r="E193" t="b">
        <v>0</v>
      </c>
    </row>
    <row r="194" spans="1:5" x14ac:dyDescent="0.3">
      <c r="A194" s="1" t="s">
        <v>1461</v>
      </c>
      <c r="B194">
        <v>0.26764651516853821</v>
      </c>
      <c r="C194">
        <v>1.8039550784927381</v>
      </c>
      <c r="D194">
        <v>2.6746292191672801E-2</v>
      </c>
      <c r="E194" t="b">
        <v>0</v>
      </c>
    </row>
    <row r="195" spans="1:5" x14ac:dyDescent="0.3">
      <c r="A195" s="1" t="s">
        <v>1298</v>
      </c>
      <c r="B195">
        <v>0.2663109038195855</v>
      </c>
      <c r="C195">
        <v>1.3867865348922039</v>
      </c>
      <c r="D195">
        <v>2.0664272815262921E-2</v>
      </c>
      <c r="E195" t="b">
        <v>0</v>
      </c>
    </row>
    <row r="196" spans="1:5" x14ac:dyDescent="0.3">
      <c r="A196" s="1" t="s">
        <v>579</v>
      </c>
      <c r="B196">
        <v>0.26572533194599418</v>
      </c>
      <c r="C196">
        <v>3.246926639617536</v>
      </c>
      <c r="D196">
        <v>4.8488525455715567E-2</v>
      </c>
      <c r="E196" t="b">
        <v>0</v>
      </c>
    </row>
    <row r="197" spans="1:5" x14ac:dyDescent="0.3">
      <c r="A197" s="1" t="s">
        <v>286</v>
      </c>
      <c r="B197">
        <v>0.26548904642478521</v>
      </c>
      <c r="C197">
        <v>1.426487898211666</v>
      </c>
      <c r="D197">
        <v>2.1321656539033191E-2</v>
      </c>
      <c r="E197" t="b">
        <v>0</v>
      </c>
    </row>
    <row r="198" spans="1:5" x14ac:dyDescent="0.3">
      <c r="A198" s="1" t="s">
        <v>1193</v>
      </c>
      <c r="B198">
        <v>0.26536281813735502</v>
      </c>
      <c r="C198">
        <v>1.7813618523357471</v>
      </c>
      <c r="D198">
        <v>2.663860856259306E-2</v>
      </c>
      <c r="E198" t="b">
        <v>0</v>
      </c>
    </row>
    <row r="199" spans="1:5" x14ac:dyDescent="0.3">
      <c r="A199" s="1" t="s">
        <v>1490</v>
      </c>
      <c r="B199">
        <v>0.26377187272509989</v>
      </c>
      <c r="C199">
        <v>3.6239694670243621</v>
      </c>
      <c r="D199">
        <v>5.4519957225834241E-2</v>
      </c>
      <c r="E199" t="b">
        <v>0</v>
      </c>
    </row>
    <row r="200" spans="1:5" x14ac:dyDescent="0.3">
      <c r="A200" s="1" t="s">
        <v>428</v>
      </c>
      <c r="B200">
        <v>0.26311003310127429</v>
      </c>
      <c r="C200">
        <v>2.3454422117169909</v>
      </c>
      <c r="D200">
        <v>3.5374213040267513E-2</v>
      </c>
      <c r="E200" t="b">
        <v>0</v>
      </c>
    </row>
    <row r="201" spans="1:5" x14ac:dyDescent="0.3">
      <c r="A201" s="1" t="s">
        <v>1673</v>
      </c>
      <c r="B201">
        <v>0.26254449622776621</v>
      </c>
      <c r="C201">
        <v>2.1493202813606098</v>
      </c>
      <c r="D201">
        <v>3.2486107528831E-2</v>
      </c>
      <c r="E201" t="b">
        <v>0</v>
      </c>
    </row>
    <row r="202" spans="1:5" x14ac:dyDescent="0.3">
      <c r="A202" s="1" t="s">
        <v>755</v>
      </c>
      <c r="B202">
        <v>0.26094298982894121</v>
      </c>
      <c r="C202">
        <v>4.2929880451078262</v>
      </c>
      <c r="D202">
        <v>6.5285014388903689E-2</v>
      </c>
      <c r="E202" t="b">
        <v>0</v>
      </c>
    </row>
    <row r="203" spans="1:5" x14ac:dyDescent="0.3">
      <c r="A203" s="1" t="s">
        <v>1408</v>
      </c>
      <c r="B203">
        <v>0.26067244759494468</v>
      </c>
      <c r="C203">
        <v>2.105439872303251</v>
      </c>
      <c r="D203">
        <v>3.2051412434543521E-2</v>
      </c>
      <c r="E203" t="b">
        <v>0</v>
      </c>
    </row>
    <row r="204" spans="1:5" x14ac:dyDescent="0.3">
      <c r="A204" s="1" t="s">
        <v>1039</v>
      </c>
      <c r="B204">
        <v>0.25965420183797772</v>
      </c>
      <c r="C204">
        <v>2.6978795465213259</v>
      </c>
      <c r="D204">
        <v>4.1231265046251207E-2</v>
      </c>
      <c r="E204" t="b">
        <v>0</v>
      </c>
    </row>
    <row r="205" spans="1:5" x14ac:dyDescent="0.3">
      <c r="A205" s="1" t="s">
        <v>710</v>
      </c>
      <c r="B205">
        <v>0.25915729403474869</v>
      </c>
      <c r="C205">
        <v>2.956542460080676</v>
      </c>
      <c r="D205">
        <v>4.527100575434076E-2</v>
      </c>
      <c r="E205" t="b">
        <v>0</v>
      </c>
    </row>
    <row r="206" spans="1:5" x14ac:dyDescent="0.3">
      <c r="A206" s="1" t="s">
        <v>990</v>
      </c>
      <c r="B206">
        <v>0.25915322420876208</v>
      </c>
      <c r="C206">
        <v>1.336885675298435</v>
      </c>
      <c r="D206">
        <v>2.0470908291040021E-2</v>
      </c>
      <c r="E206" t="b">
        <v>0</v>
      </c>
    </row>
    <row r="207" spans="1:5" x14ac:dyDescent="0.3">
      <c r="A207" s="1" t="s">
        <v>1050</v>
      </c>
      <c r="B207">
        <v>0.25660220213610851</v>
      </c>
      <c r="C207">
        <v>2.4256024003562051</v>
      </c>
      <c r="D207">
        <v>3.7511004467195859E-2</v>
      </c>
      <c r="E207" t="b">
        <v>0</v>
      </c>
    </row>
    <row r="208" spans="1:5" x14ac:dyDescent="0.3">
      <c r="A208" s="1" t="s">
        <v>519</v>
      </c>
      <c r="B208">
        <v>0.25626886667493631</v>
      </c>
      <c r="C208">
        <v>1.787127879290241</v>
      </c>
      <c r="D208">
        <v>2.7673191015303251E-2</v>
      </c>
      <c r="E208" t="b">
        <v>0</v>
      </c>
    </row>
    <row r="209" spans="1:5" x14ac:dyDescent="0.3">
      <c r="A209" s="1" t="s">
        <v>896</v>
      </c>
      <c r="B209">
        <v>0.25622536120798878</v>
      </c>
      <c r="C209">
        <v>2.9393890138748231E-2</v>
      </c>
      <c r="D209">
        <v>4.5523370768448381E-4</v>
      </c>
      <c r="E209" t="b">
        <v>0</v>
      </c>
    </row>
    <row r="210" spans="1:5" x14ac:dyDescent="0.3">
      <c r="A210" s="1" t="s">
        <v>416</v>
      </c>
      <c r="B210">
        <v>0.2519362025377842</v>
      </c>
      <c r="C210">
        <v>1.691932989223484</v>
      </c>
      <c r="D210">
        <v>2.6649682462761379E-2</v>
      </c>
      <c r="E210" t="b">
        <v>0</v>
      </c>
    </row>
    <row r="211" spans="1:5" x14ac:dyDescent="0.3">
      <c r="A211" s="1" t="s">
        <v>521</v>
      </c>
      <c r="B211">
        <v>0.25172721053558489</v>
      </c>
      <c r="C211">
        <v>2.3052768807973298</v>
      </c>
      <c r="D211">
        <v>3.634062487994303E-2</v>
      </c>
      <c r="E211" t="b">
        <v>0</v>
      </c>
    </row>
    <row r="212" spans="1:5" x14ac:dyDescent="0.3">
      <c r="A212" s="1" t="s">
        <v>415</v>
      </c>
      <c r="B212">
        <v>0.25082838820766101</v>
      </c>
      <c r="C212">
        <v>1.1824114700405759</v>
      </c>
      <c r="D212">
        <v>1.8706451218005359E-2</v>
      </c>
      <c r="E212" t="b">
        <v>0</v>
      </c>
    </row>
    <row r="213" spans="1:5" x14ac:dyDescent="0.3">
      <c r="A213" s="1" t="s">
        <v>626</v>
      </c>
      <c r="B213">
        <v>0.25036773604879298</v>
      </c>
      <c r="C213">
        <v>1.8566228742687629</v>
      </c>
      <c r="D213">
        <v>2.9426918997790829E-2</v>
      </c>
      <c r="E213" t="b">
        <v>0</v>
      </c>
    </row>
    <row r="214" spans="1:5" x14ac:dyDescent="0.3">
      <c r="A214" s="1" t="s">
        <v>850</v>
      </c>
      <c r="B214">
        <v>0.24947991042275211</v>
      </c>
      <c r="C214">
        <v>1.042745958903619</v>
      </c>
      <c r="D214">
        <v>1.6586028038443241E-2</v>
      </c>
      <c r="E214" t="b">
        <v>0</v>
      </c>
    </row>
    <row r="215" spans="1:5" x14ac:dyDescent="0.3">
      <c r="A215" s="1" t="s">
        <v>1548</v>
      </c>
      <c r="B215">
        <v>0.2482208180657571</v>
      </c>
      <c r="C215">
        <v>1.331443263254664</v>
      </c>
      <c r="D215">
        <v>2.128550318255603E-2</v>
      </c>
      <c r="E215" t="b">
        <v>0</v>
      </c>
    </row>
    <row r="216" spans="1:5" x14ac:dyDescent="0.3">
      <c r="A216" s="1" t="s">
        <v>725</v>
      </c>
      <c r="B216">
        <v>0.24714009046671301</v>
      </c>
      <c r="C216">
        <v>0.19717890699488719</v>
      </c>
      <c r="D216">
        <v>3.1660422987658862E-3</v>
      </c>
      <c r="E216" t="b">
        <v>0</v>
      </c>
    </row>
    <row r="217" spans="1:5" x14ac:dyDescent="0.3">
      <c r="A217" s="1" t="s">
        <v>957</v>
      </c>
      <c r="B217">
        <v>0.24708761727593451</v>
      </c>
      <c r="C217">
        <v>2.6485247207023028</v>
      </c>
      <c r="D217">
        <v>4.2535594655917587E-2</v>
      </c>
      <c r="E217" t="b">
        <v>0</v>
      </c>
    </row>
    <row r="218" spans="1:5" x14ac:dyDescent="0.3">
      <c r="A218" s="1" t="s">
        <v>746</v>
      </c>
      <c r="B218">
        <v>0.24527583884282611</v>
      </c>
      <c r="C218">
        <v>3.702622786780934</v>
      </c>
      <c r="D218">
        <v>5.990377052998816E-2</v>
      </c>
      <c r="E218" t="b">
        <v>0</v>
      </c>
    </row>
    <row r="219" spans="1:5" x14ac:dyDescent="0.3">
      <c r="A219" s="1" t="s">
        <v>380</v>
      </c>
      <c r="B219">
        <v>0.24488190862443071</v>
      </c>
      <c r="C219">
        <v>3.1984278035829852</v>
      </c>
      <c r="D219">
        <v>5.1829773359075189E-2</v>
      </c>
      <c r="E219" t="b">
        <v>0</v>
      </c>
    </row>
    <row r="220" spans="1:5" x14ac:dyDescent="0.3">
      <c r="A220" s="1" t="s">
        <v>1603</v>
      </c>
      <c r="B220">
        <v>0.24127992077690771</v>
      </c>
      <c r="C220">
        <v>0.64679502783732312</v>
      </c>
      <c r="D220">
        <v>1.06376317084237E-2</v>
      </c>
      <c r="E220" t="b">
        <v>0</v>
      </c>
    </row>
    <row r="221" spans="1:5" x14ac:dyDescent="0.3">
      <c r="A221" s="1" t="s">
        <v>1248</v>
      </c>
      <c r="B221">
        <v>0.2411230189234356</v>
      </c>
      <c r="C221">
        <v>2.750992564565069</v>
      </c>
      <c r="D221">
        <v>4.5274139357216997E-2</v>
      </c>
      <c r="E221" t="b">
        <v>0</v>
      </c>
    </row>
    <row r="222" spans="1:5" x14ac:dyDescent="0.3">
      <c r="A222" s="1" t="s">
        <v>465</v>
      </c>
      <c r="B222">
        <v>0.241117410714874</v>
      </c>
      <c r="C222">
        <v>2.8687704285824691</v>
      </c>
      <c r="D222">
        <v>4.7213552947007333E-2</v>
      </c>
      <c r="E222" t="b">
        <v>0</v>
      </c>
    </row>
    <row r="223" spans="1:5" x14ac:dyDescent="0.3">
      <c r="A223" s="1" t="s">
        <v>1153</v>
      </c>
      <c r="B223">
        <v>0.24084606337853759</v>
      </c>
      <c r="C223">
        <v>0.38991314630829588</v>
      </c>
      <c r="D223">
        <v>6.4243291686293218E-3</v>
      </c>
      <c r="E223" t="b">
        <v>0</v>
      </c>
    </row>
    <row r="224" spans="1:5" x14ac:dyDescent="0.3">
      <c r="A224" s="1" t="s">
        <v>814</v>
      </c>
      <c r="B224">
        <v>0.23905425171362951</v>
      </c>
      <c r="C224">
        <v>1.1565459606789461</v>
      </c>
      <c r="D224">
        <v>1.9198437446869561E-2</v>
      </c>
      <c r="E224" t="b">
        <v>0</v>
      </c>
    </row>
    <row r="225" spans="1:5" x14ac:dyDescent="0.3">
      <c r="A225" s="1" t="s">
        <v>1649</v>
      </c>
      <c r="B225">
        <v>0.23756908255000991</v>
      </c>
      <c r="C225">
        <v>1.058868306735234</v>
      </c>
      <c r="D225">
        <v>1.768689054551504E-2</v>
      </c>
      <c r="E225" t="b">
        <v>0</v>
      </c>
    </row>
    <row r="226" spans="1:5" x14ac:dyDescent="0.3">
      <c r="A226" s="1" t="s">
        <v>319</v>
      </c>
      <c r="B226">
        <v>0.23658163608445129</v>
      </c>
      <c r="C226">
        <v>0.94067067985259878</v>
      </c>
      <c r="D226">
        <v>1.5778148380091291E-2</v>
      </c>
      <c r="E226" t="b">
        <v>0</v>
      </c>
    </row>
    <row r="227" spans="1:5" x14ac:dyDescent="0.3">
      <c r="A227" s="1" t="s">
        <v>194</v>
      </c>
      <c r="B227">
        <v>0.23617284656615531</v>
      </c>
      <c r="C227">
        <v>2.29732913285671</v>
      </c>
      <c r="D227">
        <v>3.8600480878272607E-2</v>
      </c>
      <c r="E227" t="b">
        <v>0</v>
      </c>
    </row>
    <row r="228" spans="1:5" x14ac:dyDescent="0.3">
      <c r="A228" s="1" t="s">
        <v>394</v>
      </c>
      <c r="B228">
        <v>0.23603436209861639</v>
      </c>
      <c r="C228">
        <v>1.499778996920448</v>
      </c>
      <c r="D228">
        <v>2.5214565807782481E-2</v>
      </c>
      <c r="E228" t="b">
        <v>0</v>
      </c>
    </row>
    <row r="229" spans="1:5" x14ac:dyDescent="0.3">
      <c r="A229" s="1" t="s">
        <v>968</v>
      </c>
      <c r="B229">
        <v>0.23551480757608531</v>
      </c>
      <c r="C229">
        <v>1.7981567852955569</v>
      </c>
      <c r="D229">
        <v>3.0297639762997441E-2</v>
      </c>
      <c r="E229" t="b">
        <v>0</v>
      </c>
    </row>
    <row r="230" spans="1:5" x14ac:dyDescent="0.3">
      <c r="A230" s="1" t="s">
        <v>1400</v>
      </c>
      <c r="B230">
        <v>0.23542209267847089</v>
      </c>
      <c r="C230">
        <v>3.4625925756888019</v>
      </c>
      <c r="D230">
        <v>5.8365154147575753E-2</v>
      </c>
      <c r="E230" t="b">
        <v>0</v>
      </c>
    </row>
    <row r="231" spans="1:5" x14ac:dyDescent="0.3">
      <c r="A231" s="1" t="s">
        <v>433</v>
      </c>
      <c r="B231">
        <v>0.23151012009146149</v>
      </c>
      <c r="C231">
        <v>1.2756364860339491</v>
      </c>
      <c r="D231">
        <v>2.1865348891676649E-2</v>
      </c>
      <c r="E231" t="b">
        <v>0</v>
      </c>
    </row>
    <row r="232" spans="1:5" x14ac:dyDescent="0.3">
      <c r="A232" s="1" t="s">
        <v>876</v>
      </c>
      <c r="B232">
        <v>0.2311648426383468</v>
      </c>
      <c r="C232">
        <v>2.148318103366071</v>
      </c>
      <c r="D232">
        <v>3.6878756048953222E-2</v>
      </c>
      <c r="E232" t="b">
        <v>0</v>
      </c>
    </row>
    <row r="233" spans="1:5" x14ac:dyDescent="0.3">
      <c r="A233" s="1" t="s">
        <v>1661</v>
      </c>
      <c r="B233">
        <v>0.2310132853416666</v>
      </c>
      <c r="C233">
        <v>1.0991611478717069</v>
      </c>
      <c r="D233">
        <v>1.8880951285297289E-2</v>
      </c>
      <c r="E233" t="b">
        <v>0</v>
      </c>
    </row>
    <row r="234" spans="1:5" x14ac:dyDescent="0.3">
      <c r="A234" s="1" t="s">
        <v>1103</v>
      </c>
      <c r="B234">
        <v>0.23088862425302889</v>
      </c>
      <c r="C234">
        <v>1.611815656049943</v>
      </c>
      <c r="D234">
        <v>2.7702074512794671E-2</v>
      </c>
      <c r="E234" t="b">
        <v>0</v>
      </c>
    </row>
    <row r="235" spans="1:5" x14ac:dyDescent="0.3">
      <c r="A235" s="1" t="s">
        <v>1115</v>
      </c>
      <c r="B235">
        <v>0.23067377679491841</v>
      </c>
      <c r="C235">
        <v>3.1760200162243568</v>
      </c>
      <c r="D235">
        <v>5.463670039894182E-2</v>
      </c>
      <c r="E235" t="b">
        <v>0</v>
      </c>
    </row>
    <row r="236" spans="1:5" x14ac:dyDescent="0.3">
      <c r="A236" s="1" t="s">
        <v>1510</v>
      </c>
      <c r="B236">
        <v>0.2306141035722187</v>
      </c>
      <c r="C236">
        <v>1.364557993356035</v>
      </c>
      <c r="D236">
        <v>2.3480405526681201E-2</v>
      </c>
      <c r="E236" t="b">
        <v>0</v>
      </c>
    </row>
    <row r="237" spans="1:5" x14ac:dyDescent="0.3">
      <c r="A237" s="1" t="s">
        <v>460</v>
      </c>
      <c r="B237">
        <v>0.22985107512252359</v>
      </c>
      <c r="C237">
        <v>1.518697713059445</v>
      </c>
      <c r="D237">
        <v>2.6219491134482902E-2</v>
      </c>
      <c r="E237" t="b">
        <v>0</v>
      </c>
    </row>
    <row r="238" spans="1:5" x14ac:dyDescent="0.3">
      <c r="A238" s="1" t="s">
        <v>909</v>
      </c>
      <c r="B238">
        <v>0.22975707147000959</v>
      </c>
      <c r="C238">
        <v>1.9910180298921429</v>
      </c>
      <c r="D238">
        <v>3.4387908704764297E-2</v>
      </c>
      <c r="E238" t="b">
        <v>0</v>
      </c>
    </row>
    <row r="239" spans="1:5" x14ac:dyDescent="0.3">
      <c r="A239" s="1" t="s">
        <v>1018</v>
      </c>
      <c r="B239">
        <v>0.22874892547289619</v>
      </c>
      <c r="C239">
        <v>2.2875114918092989</v>
      </c>
      <c r="D239">
        <v>3.9682925443400033E-2</v>
      </c>
      <c r="E239" t="b">
        <v>0</v>
      </c>
    </row>
    <row r="240" spans="1:5" x14ac:dyDescent="0.3">
      <c r="A240" s="1" t="s">
        <v>493</v>
      </c>
      <c r="B240">
        <v>0.2286444137373625</v>
      </c>
      <c r="C240">
        <v>1.3343674565391299</v>
      </c>
      <c r="D240">
        <v>2.3158706866998731E-2</v>
      </c>
      <c r="E240" t="b">
        <v>0</v>
      </c>
    </row>
    <row r="241" spans="1:5" x14ac:dyDescent="0.3">
      <c r="A241" s="1" t="s">
        <v>1069</v>
      </c>
      <c r="B241">
        <v>0.22810385321214771</v>
      </c>
      <c r="C241">
        <v>1.759481269203796</v>
      </c>
      <c r="D241">
        <v>3.0609165212535139E-2</v>
      </c>
      <c r="E241" t="b">
        <v>0</v>
      </c>
    </row>
    <row r="242" spans="1:5" x14ac:dyDescent="0.3">
      <c r="A242" s="1" t="s">
        <v>432</v>
      </c>
      <c r="B242">
        <v>0.22732688896851971</v>
      </c>
      <c r="C242">
        <v>5.5755713662747839</v>
      </c>
      <c r="D242">
        <v>9.7328051687572359E-2</v>
      </c>
      <c r="E242" t="b">
        <v>0</v>
      </c>
    </row>
    <row r="243" spans="1:5" x14ac:dyDescent="0.3">
      <c r="A243" s="1" t="s">
        <v>185</v>
      </c>
      <c r="B243">
        <v>0.2270269398379626</v>
      </c>
      <c r="C243">
        <v>2.316468899290494</v>
      </c>
      <c r="D243">
        <v>4.0490070951523689E-2</v>
      </c>
      <c r="E243" t="b">
        <v>0</v>
      </c>
    </row>
    <row r="244" spans="1:5" x14ac:dyDescent="0.3">
      <c r="A244" s="1" t="s">
        <v>554</v>
      </c>
      <c r="B244">
        <v>0.22578269451847419</v>
      </c>
      <c r="C244">
        <v>1.8076334549169331</v>
      </c>
      <c r="D244">
        <v>3.1770143614951951E-2</v>
      </c>
      <c r="E244" t="b">
        <v>0</v>
      </c>
    </row>
    <row r="245" spans="1:5" x14ac:dyDescent="0.3">
      <c r="A245" s="1" t="s">
        <v>863</v>
      </c>
      <c r="B245">
        <v>0.22477599599549</v>
      </c>
      <c r="C245">
        <v>1.165482445418762</v>
      </c>
      <c r="D245">
        <v>2.0575730600059881E-2</v>
      </c>
      <c r="E245" t="b">
        <v>0</v>
      </c>
    </row>
    <row r="246" spans="1:5" x14ac:dyDescent="0.3">
      <c r="A246" s="1" t="s">
        <v>1423</v>
      </c>
      <c r="B246">
        <v>0.22234160187651439</v>
      </c>
      <c r="C246">
        <v>2.0758287299216098</v>
      </c>
      <c r="D246">
        <v>3.7048467427620559E-2</v>
      </c>
      <c r="E246" t="b">
        <v>0</v>
      </c>
    </row>
    <row r="247" spans="1:5" x14ac:dyDescent="0.3">
      <c r="A247" s="1" t="s">
        <v>1508</v>
      </c>
      <c r="B247">
        <v>0.22157192141952531</v>
      </c>
      <c r="C247">
        <v>0.84498205234025581</v>
      </c>
      <c r="D247">
        <v>1.5133250462516059E-2</v>
      </c>
      <c r="E247" t="b">
        <v>0</v>
      </c>
    </row>
    <row r="248" spans="1:5" x14ac:dyDescent="0.3">
      <c r="A248" s="1" t="s">
        <v>1491</v>
      </c>
      <c r="B248">
        <v>0.22104666776084489</v>
      </c>
      <c r="C248">
        <v>2.2187300471234179</v>
      </c>
      <c r="D248">
        <v>3.9830884596313287E-2</v>
      </c>
      <c r="E248" t="b">
        <v>0</v>
      </c>
    </row>
    <row r="249" spans="1:5" x14ac:dyDescent="0.3">
      <c r="A249" s="1" t="s">
        <v>581</v>
      </c>
      <c r="B249">
        <v>0.2203635125941717</v>
      </c>
      <c r="C249">
        <v>3.8018167908735698</v>
      </c>
      <c r="D249">
        <v>6.8462216767902581E-2</v>
      </c>
      <c r="E249" t="b">
        <v>0</v>
      </c>
    </row>
    <row r="250" spans="1:5" x14ac:dyDescent="0.3">
      <c r="A250" s="1" t="s">
        <v>1163</v>
      </c>
      <c r="B250">
        <v>0.21965968147665321</v>
      </c>
      <c r="C250">
        <v>2.1907436766226751</v>
      </c>
      <c r="D250">
        <v>3.9576800028771827E-2</v>
      </c>
      <c r="E250" t="b">
        <v>0</v>
      </c>
    </row>
    <row r="251" spans="1:5" x14ac:dyDescent="0.3">
      <c r="A251" s="1" t="s">
        <v>634</v>
      </c>
      <c r="B251">
        <v>0.21846735264178779</v>
      </c>
      <c r="C251">
        <v>2.122653519200461</v>
      </c>
      <c r="D251">
        <v>3.8556004588048018E-2</v>
      </c>
      <c r="E251" t="b">
        <v>0</v>
      </c>
    </row>
    <row r="252" spans="1:5" x14ac:dyDescent="0.3">
      <c r="A252" s="1" t="s">
        <v>371</v>
      </c>
      <c r="B252">
        <v>0.2183454664704135</v>
      </c>
      <c r="C252">
        <v>1.5529455006148021</v>
      </c>
      <c r="D252">
        <v>2.8223540634546979E-2</v>
      </c>
      <c r="E252" t="b">
        <v>0</v>
      </c>
    </row>
    <row r="253" spans="1:5" x14ac:dyDescent="0.3">
      <c r="A253" s="1" t="s">
        <v>266</v>
      </c>
      <c r="B253">
        <v>0.21833312627927201</v>
      </c>
      <c r="C253">
        <v>1.5802024791210389</v>
      </c>
      <c r="D253">
        <v>2.8720537580705821E-2</v>
      </c>
      <c r="E253" t="b">
        <v>0</v>
      </c>
    </row>
    <row r="254" spans="1:5" x14ac:dyDescent="0.3">
      <c r="A254" s="1" t="s">
        <v>949</v>
      </c>
      <c r="B254">
        <v>0.21824711152569751</v>
      </c>
      <c r="C254">
        <v>1.070441740570093</v>
      </c>
      <c r="D254">
        <v>1.9463188562299949E-2</v>
      </c>
      <c r="E254" t="b">
        <v>0</v>
      </c>
    </row>
    <row r="255" spans="1:5" x14ac:dyDescent="0.3">
      <c r="A255" s="1" t="s">
        <v>1151</v>
      </c>
      <c r="B255">
        <v>0.21794203867621051</v>
      </c>
      <c r="C255">
        <v>0.87710613999479281</v>
      </c>
      <c r="D255">
        <v>1.597020905996591E-2</v>
      </c>
      <c r="E255" t="b">
        <v>0</v>
      </c>
    </row>
    <row r="256" spans="1:5" x14ac:dyDescent="0.3">
      <c r="A256" s="1" t="s">
        <v>203</v>
      </c>
      <c r="B256">
        <v>0.21727774933289079</v>
      </c>
      <c r="C256">
        <v>1.9570589236764431</v>
      </c>
      <c r="D256">
        <v>3.574276180524795E-2</v>
      </c>
      <c r="E256" t="b">
        <v>0</v>
      </c>
    </row>
    <row r="257" spans="1:5" x14ac:dyDescent="0.3">
      <c r="A257" s="1" t="s">
        <v>1238</v>
      </c>
      <c r="B257">
        <v>0.2168764408671994</v>
      </c>
      <c r="C257">
        <v>3.0285296688763359</v>
      </c>
      <c r="D257">
        <v>5.5413925221377093E-2</v>
      </c>
      <c r="E257" t="b">
        <v>0</v>
      </c>
    </row>
    <row r="258" spans="1:5" x14ac:dyDescent="0.3">
      <c r="A258" s="1" t="s">
        <v>664</v>
      </c>
      <c r="B258">
        <v>0.216585413874959</v>
      </c>
      <c r="C258">
        <v>2.6732229290443139</v>
      </c>
      <c r="D258">
        <v>4.8978494472078873E-2</v>
      </c>
      <c r="E258" t="b">
        <v>0</v>
      </c>
    </row>
    <row r="259" spans="1:5" x14ac:dyDescent="0.3">
      <c r="A259" s="1" t="s">
        <v>1409</v>
      </c>
      <c r="B259">
        <v>0.21613232569100579</v>
      </c>
      <c r="C259">
        <v>2.0531515538470679</v>
      </c>
      <c r="D259">
        <v>3.769647494853879E-2</v>
      </c>
      <c r="E259" t="b">
        <v>0</v>
      </c>
    </row>
    <row r="260" spans="1:5" x14ac:dyDescent="0.3">
      <c r="A260" s="1" t="s">
        <v>1595</v>
      </c>
      <c r="B260">
        <v>0.21532013217178619</v>
      </c>
      <c r="C260">
        <v>0.99375548360088173</v>
      </c>
      <c r="D260">
        <v>1.831447018677829E-2</v>
      </c>
      <c r="E260" t="b">
        <v>0</v>
      </c>
    </row>
    <row r="261" spans="1:5" x14ac:dyDescent="0.3">
      <c r="A261" s="1" t="s">
        <v>1642</v>
      </c>
      <c r="B261">
        <v>0.21458006828563711</v>
      </c>
      <c r="C261">
        <v>1.273461973505924</v>
      </c>
      <c r="D261">
        <v>2.3550279250813641E-2</v>
      </c>
      <c r="E261" t="b">
        <v>0</v>
      </c>
    </row>
    <row r="262" spans="1:5" x14ac:dyDescent="0.3">
      <c r="A262" s="1" t="s">
        <v>1122</v>
      </c>
      <c r="B262">
        <v>0.21440497470972519</v>
      </c>
      <c r="C262">
        <v>1.690796831355649</v>
      </c>
      <c r="D262">
        <v>3.1293636001786078E-2</v>
      </c>
      <c r="E262" t="b">
        <v>0</v>
      </c>
    </row>
    <row r="263" spans="1:5" x14ac:dyDescent="0.3">
      <c r="A263" s="1" t="s">
        <v>505</v>
      </c>
      <c r="B263">
        <v>0.2138720227290751</v>
      </c>
      <c r="C263">
        <v>1.921305603413558</v>
      </c>
      <c r="D263">
        <v>3.5648555092371831E-2</v>
      </c>
      <c r="E263" t="b">
        <v>0</v>
      </c>
    </row>
    <row r="264" spans="1:5" x14ac:dyDescent="0.3">
      <c r="A264" s="1" t="s">
        <v>526</v>
      </c>
      <c r="B264">
        <v>0.21349824341258469</v>
      </c>
      <c r="C264">
        <v>0.25419082900468298</v>
      </c>
      <c r="D264">
        <v>4.7245998363663446E-3</v>
      </c>
      <c r="E264" t="b">
        <v>0</v>
      </c>
    </row>
    <row r="265" spans="1:5" x14ac:dyDescent="0.3">
      <c r="A265" s="1" t="s">
        <v>1181</v>
      </c>
      <c r="B265">
        <v>0.21318632876621399</v>
      </c>
      <c r="C265">
        <v>1.5862993958827929</v>
      </c>
      <c r="D265">
        <v>2.9527404074085169E-2</v>
      </c>
      <c r="E265" t="b">
        <v>0</v>
      </c>
    </row>
    <row r="266" spans="1:5" x14ac:dyDescent="0.3">
      <c r="A266" s="1" t="s">
        <v>849</v>
      </c>
      <c r="B266">
        <v>0.21247379006445161</v>
      </c>
      <c r="C266">
        <v>0.98705431084445694</v>
      </c>
      <c r="D266">
        <v>1.8434660504255879E-2</v>
      </c>
      <c r="E266" t="b">
        <v>0</v>
      </c>
    </row>
    <row r="267" spans="1:5" x14ac:dyDescent="0.3">
      <c r="A267" s="1" t="s">
        <v>1607</v>
      </c>
      <c r="B267">
        <v>0.21222464997760951</v>
      </c>
      <c r="C267">
        <v>1.1582956512686671</v>
      </c>
      <c r="D267">
        <v>2.165823487065777E-2</v>
      </c>
      <c r="E267" t="b">
        <v>0</v>
      </c>
    </row>
    <row r="268" spans="1:5" x14ac:dyDescent="0.3">
      <c r="A268" s="1" t="s">
        <v>767</v>
      </c>
      <c r="B268">
        <v>0.21142926553868871</v>
      </c>
      <c r="C268">
        <v>2.0007668142046611</v>
      </c>
      <c r="D268">
        <v>3.7551806415208222E-2</v>
      </c>
      <c r="E268" t="b">
        <v>0</v>
      </c>
    </row>
    <row r="269" spans="1:5" x14ac:dyDescent="0.3">
      <c r="A269" s="1" t="s">
        <v>199</v>
      </c>
      <c r="B269">
        <v>0.21085467636104149</v>
      </c>
      <c r="C269">
        <v>1.87971531551989</v>
      </c>
      <c r="D269">
        <v>3.5375965516777873E-2</v>
      </c>
      <c r="E269" t="b">
        <v>0</v>
      </c>
    </row>
    <row r="270" spans="1:5" x14ac:dyDescent="0.3">
      <c r="A270" s="1" t="s">
        <v>687</v>
      </c>
      <c r="B270">
        <v>0.21019983847163451</v>
      </c>
      <c r="C270">
        <v>1.440389905181038</v>
      </c>
      <c r="D270">
        <v>2.7192375591853449E-2</v>
      </c>
      <c r="E270" t="b">
        <v>0</v>
      </c>
    </row>
    <row r="271" spans="1:5" x14ac:dyDescent="0.3">
      <c r="A271" s="1" t="s">
        <v>495</v>
      </c>
      <c r="B271">
        <v>0.2099988425103268</v>
      </c>
      <c r="C271">
        <v>2.3318485860330722</v>
      </c>
      <c r="D271">
        <v>4.4063897182852821E-2</v>
      </c>
      <c r="E271" t="b">
        <v>0</v>
      </c>
    </row>
    <row r="272" spans="1:5" x14ac:dyDescent="0.3">
      <c r="A272" s="1" t="s">
        <v>1407</v>
      </c>
      <c r="B272">
        <v>0.20983165602165699</v>
      </c>
      <c r="C272">
        <v>1.636851847663279</v>
      </c>
      <c r="D272">
        <v>3.095550005697539E-2</v>
      </c>
      <c r="E272" t="b">
        <v>0</v>
      </c>
    </row>
    <row r="273" spans="1:5" x14ac:dyDescent="0.3">
      <c r="A273" s="1" t="s">
        <v>534</v>
      </c>
      <c r="B273">
        <v>0.20738093296545609</v>
      </c>
      <c r="C273">
        <v>0.59963453190626614</v>
      </c>
      <c r="D273">
        <v>1.147406406516413E-2</v>
      </c>
      <c r="E273" t="b">
        <v>0</v>
      </c>
    </row>
    <row r="274" spans="1:5" x14ac:dyDescent="0.3">
      <c r="A274" s="1" t="s">
        <v>223</v>
      </c>
      <c r="B274">
        <v>0.20538460548009321</v>
      </c>
      <c r="C274">
        <v>1.1295928103601851</v>
      </c>
      <c r="D274">
        <v>2.182496171874683E-2</v>
      </c>
      <c r="E274" t="b">
        <v>0</v>
      </c>
    </row>
    <row r="275" spans="1:5" x14ac:dyDescent="0.3">
      <c r="A275" s="1" t="s">
        <v>684</v>
      </c>
      <c r="B275">
        <v>0.20516791957086741</v>
      </c>
      <c r="C275">
        <v>1.7906198415614381</v>
      </c>
      <c r="D275">
        <v>3.4633261899680662E-2</v>
      </c>
      <c r="E275" t="b">
        <v>0</v>
      </c>
    </row>
    <row r="276" spans="1:5" x14ac:dyDescent="0.3">
      <c r="A276" s="1" t="s">
        <v>1159</v>
      </c>
      <c r="B276">
        <v>0.20501027535664759</v>
      </c>
      <c r="C276">
        <v>1.098265442457544</v>
      </c>
      <c r="D276">
        <v>2.125842810876958E-2</v>
      </c>
      <c r="E276" t="b">
        <v>0</v>
      </c>
    </row>
    <row r="277" spans="1:5" x14ac:dyDescent="0.3">
      <c r="A277" s="1" t="s">
        <v>878</v>
      </c>
      <c r="B277">
        <v>0.20464587923359209</v>
      </c>
      <c r="C277">
        <v>0.71408537163416375</v>
      </c>
      <c r="D277">
        <v>1.3846709839805269E-2</v>
      </c>
      <c r="E277" t="b">
        <v>0</v>
      </c>
    </row>
    <row r="278" spans="1:5" x14ac:dyDescent="0.3">
      <c r="A278" s="1" t="s">
        <v>1567</v>
      </c>
      <c r="B278">
        <v>0.20405640319842491</v>
      </c>
      <c r="C278">
        <v>0.63362970256140949</v>
      </c>
      <c r="D278">
        <v>1.2322100861240229E-2</v>
      </c>
      <c r="E278" t="b">
        <v>0</v>
      </c>
    </row>
    <row r="279" spans="1:5" x14ac:dyDescent="0.3">
      <c r="A279" s="1" t="s">
        <v>1652</v>
      </c>
      <c r="B279">
        <v>0.20194433395463049</v>
      </c>
      <c r="C279">
        <v>0.68850238056880375</v>
      </c>
      <c r="D279">
        <v>1.3529234766538559E-2</v>
      </c>
      <c r="E279" t="b">
        <v>0</v>
      </c>
    </row>
    <row r="280" spans="1:5" x14ac:dyDescent="0.3">
      <c r="A280" s="1" t="s">
        <v>1027</v>
      </c>
      <c r="B280">
        <v>0.20190539652072831</v>
      </c>
      <c r="C280">
        <v>2.8174870602924171</v>
      </c>
      <c r="D280">
        <v>5.5374964712058897E-2</v>
      </c>
      <c r="E280" t="b">
        <v>0</v>
      </c>
    </row>
    <row r="281" spans="1:5" x14ac:dyDescent="0.3">
      <c r="A281" s="1" t="s">
        <v>792</v>
      </c>
      <c r="B281">
        <v>0.1992820277057312</v>
      </c>
      <c r="C281">
        <v>0.55360423840684669</v>
      </c>
      <c r="D281">
        <v>1.1023784940326589E-2</v>
      </c>
      <c r="E281" t="b">
        <v>0</v>
      </c>
    </row>
    <row r="282" spans="1:5" x14ac:dyDescent="0.3">
      <c r="A282" s="1" t="s">
        <v>1047</v>
      </c>
      <c r="B282">
        <v>0.1990889124458434</v>
      </c>
      <c r="C282">
        <v>0.86683212505615437</v>
      </c>
      <c r="D282">
        <v>1.727775785102955E-2</v>
      </c>
      <c r="E282" t="b">
        <v>0</v>
      </c>
    </row>
    <row r="283" spans="1:5" x14ac:dyDescent="0.3">
      <c r="A283" s="1" t="s">
        <v>1247</v>
      </c>
      <c r="B283">
        <v>0.19895237428862711</v>
      </c>
      <c r="C283">
        <v>1.2098158243319099</v>
      </c>
      <c r="D283">
        <v>2.4130681842463361E-2</v>
      </c>
      <c r="E283" t="b">
        <v>0</v>
      </c>
    </row>
    <row r="284" spans="1:5" x14ac:dyDescent="0.3">
      <c r="A284" s="1" t="s">
        <v>1588</v>
      </c>
      <c r="B284">
        <v>0.19890264205448741</v>
      </c>
      <c r="C284">
        <v>0.55645624059222376</v>
      </c>
      <c r="D284">
        <v>1.1101711179305871E-2</v>
      </c>
      <c r="E284" t="b">
        <v>0</v>
      </c>
    </row>
    <row r="285" spans="1:5" x14ac:dyDescent="0.3">
      <c r="A285" s="1" t="s">
        <v>423</v>
      </c>
      <c r="B285">
        <v>0.19852606932748509</v>
      </c>
      <c r="C285">
        <v>1.468128097120331</v>
      </c>
      <c r="D285">
        <v>2.934579406643361E-2</v>
      </c>
      <c r="E285" t="b">
        <v>0</v>
      </c>
    </row>
    <row r="286" spans="1:5" x14ac:dyDescent="0.3">
      <c r="A286" s="1" t="s">
        <v>1099</v>
      </c>
      <c r="B286">
        <v>0.19749426426232811</v>
      </c>
      <c r="C286">
        <v>1.036845749186865</v>
      </c>
      <c r="D286">
        <v>2.0833350649681961E-2</v>
      </c>
      <c r="E286" t="b">
        <v>0</v>
      </c>
    </row>
    <row r="287" spans="1:5" x14ac:dyDescent="0.3">
      <c r="A287" s="1" t="s">
        <v>1650</v>
      </c>
      <c r="B287">
        <v>0.19701809059947301</v>
      </c>
      <c r="C287">
        <v>0.64591248264012346</v>
      </c>
      <c r="D287">
        <v>1.300969248347947E-2</v>
      </c>
      <c r="E287" t="b">
        <v>0</v>
      </c>
    </row>
    <row r="288" spans="1:5" x14ac:dyDescent="0.3">
      <c r="A288" s="1" t="s">
        <v>121</v>
      </c>
      <c r="B288">
        <v>0.19669327909084161</v>
      </c>
      <c r="C288">
        <v>0.57008421225371952</v>
      </c>
      <c r="D288">
        <v>1.150135351838818E-2</v>
      </c>
      <c r="E288" t="b">
        <v>0</v>
      </c>
    </row>
    <row r="289" spans="1:5" x14ac:dyDescent="0.3">
      <c r="A289" s="1" t="s">
        <v>590</v>
      </c>
      <c r="B289">
        <v>0.1966058030172978</v>
      </c>
      <c r="C289">
        <v>0.61177370220907745</v>
      </c>
      <c r="D289">
        <v>1.2347923531285601E-2</v>
      </c>
      <c r="E289" t="b">
        <v>0</v>
      </c>
    </row>
    <row r="290" spans="1:5" x14ac:dyDescent="0.3">
      <c r="A290" s="1" t="s">
        <v>1444</v>
      </c>
      <c r="B290">
        <v>0.19647634394200281</v>
      </c>
      <c r="C290">
        <v>1.288137876881486</v>
      </c>
      <c r="D290">
        <v>2.6016660016343202E-2</v>
      </c>
      <c r="E290" t="b">
        <v>0</v>
      </c>
    </row>
    <row r="291" spans="1:5" x14ac:dyDescent="0.3">
      <c r="A291" s="1" t="s">
        <v>1077</v>
      </c>
      <c r="B291">
        <v>0.1962095797973421</v>
      </c>
      <c r="C291">
        <v>1.3083094849300669</v>
      </c>
      <c r="D291">
        <v>2.6459994005595289E-2</v>
      </c>
      <c r="E291" t="b">
        <v>0</v>
      </c>
    </row>
    <row r="292" spans="1:5" x14ac:dyDescent="0.3">
      <c r="A292" s="1" t="s">
        <v>1525</v>
      </c>
      <c r="B292">
        <v>0.19534168458669901</v>
      </c>
      <c r="C292">
        <v>0.78214705030454934</v>
      </c>
      <c r="D292">
        <v>1.588886746162781E-2</v>
      </c>
      <c r="E292" t="b">
        <v>0</v>
      </c>
    </row>
    <row r="293" spans="1:5" x14ac:dyDescent="0.3">
      <c r="A293" s="1" t="s">
        <v>807</v>
      </c>
      <c r="B293">
        <v>0.19477403476107669</v>
      </c>
      <c r="C293">
        <v>0.82991090573115733</v>
      </c>
      <c r="D293">
        <v>1.6908297089007249E-2</v>
      </c>
      <c r="E293" t="b">
        <v>0</v>
      </c>
    </row>
    <row r="294" spans="1:5" x14ac:dyDescent="0.3">
      <c r="A294" s="1" t="s">
        <v>847</v>
      </c>
      <c r="B294">
        <v>0.19226193389480331</v>
      </c>
      <c r="C294">
        <v>0.51481690374703426</v>
      </c>
      <c r="D294">
        <v>1.062573427736445E-2</v>
      </c>
      <c r="E294" t="b">
        <v>0</v>
      </c>
    </row>
    <row r="295" spans="1:5" x14ac:dyDescent="0.3">
      <c r="A295" s="1" t="s">
        <v>517</v>
      </c>
      <c r="B295">
        <v>0.1908988645944954</v>
      </c>
      <c r="C295">
        <v>3.123968659665644</v>
      </c>
      <c r="D295">
        <v>6.4938579162071589E-2</v>
      </c>
      <c r="E295" t="b">
        <v>0</v>
      </c>
    </row>
    <row r="296" spans="1:5" x14ac:dyDescent="0.3">
      <c r="A296" s="1" t="s">
        <v>1207</v>
      </c>
      <c r="B296">
        <v>0.1899945555437354</v>
      </c>
      <c r="C296">
        <v>0.72175587200567781</v>
      </c>
      <c r="D296">
        <v>1.507469829859328E-2</v>
      </c>
      <c r="E296" t="b">
        <v>0</v>
      </c>
    </row>
    <row r="297" spans="1:5" x14ac:dyDescent="0.3">
      <c r="A297" s="1" t="s">
        <v>804</v>
      </c>
      <c r="B297">
        <v>0.18931217716376139</v>
      </c>
      <c r="C297">
        <v>0.69669497538341307</v>
      </c>
      <c r="D297">
        <v>1.4603723025890211E-2</v>
      </c>
      <c r="E297" t="b">
        <v>0</v>
      </c>
    </row>
    <row r="298" spans="1:5" x14ac:dyDescent="0.3">
      <c r="A298" s="1" t="s">
        <v>842</v>
      </c>
      <c r="B298">
        <v>0.1892617695473873</v>
      </c>
      <c r="C298">
        <v>0.46874005142498232</v>
      </c>
      <c r="D298">
        <v>9.828078716557857E-3</v>
      </c>
      <c r="E298" t="b">
        <v>0</v>
      </c>
    </row>
    <row r="299" spans="1:5" x14ac:dyDescent="0.3">
      <c r="A299" s="1" t="s">
        <v>1648</v>
      </c>
      <c r="B299">
        <v>0.18856398524021481</v>
      </c>
      <c r="C299">
        <v>0.60792128376947963</v>
      </c>
      <c r="D299">
        <v>1.2793461294483711E-2</v>
      </c>
      <c r="E299" t="b">
        <v>0</v>
      </c>
    </row>
    <row r="300" spans="1:5" x14ac:dyDescent="0.3">
      <c r="A300" s="1" t="s">
        <v>1209</v>
      </c>
      <c r="B300">
        <v>0.1881579364552817</v>
      </c>
      <c r="C300">
        <v>1.520899158649679</v>
      </c>
      <c r="D300">
        <v>3.2075788219861172E-2</v>
      </c>
      <c r="E300" t="b">
        <v>0</v>
      </c>
    </row>
    <row r="301" spans="1:5" x14ac:dyDescent="0.3">
      <c r="A301" s="1" t="s">
        <v>438</v>
      </c>
      <c r="B301">
        <v>0.18802515407637549</v>
      </c>
      <c r="C301">
        <v>1.164826211220626</v>
      </c>
      <c r="D301">
        <v>2.4583552438547141E-2</v>
      </c>
      <c r="E301" t="b">
        <v>0</v>
      </c>
    </row>
    <row r="302" spans="1:5" x14ac:dyDescent="0.3">
      <c r="A302" s="1" t="s">
        <v>987</v>
      </c>
      <c r="B302">
        <v>0.1879427287091904</v>
      </c>
      <c r="C302">
        <v>0.69152681899173807</v>
      </c>
      <c r="D302">
        <v>1.4601012034171971E-2</v>
      </c>
      <c r="E302" t="b">
        <v>0</v>
      </c>
    </row>
    <row r="303" spans="1:5" x14ac:dyDescent="0.3">
      <c r="A303" s="1" t="s">
        <v>1613</v>
      </c>
      <c r="B303">
        <v>0.1875589357044567</v>
      </c>
      <c r="C303">
        <v>1.6177532427137551</v>
      </c>
      <c r="D303">
        <v>3.4227405380302778E-2</v>
      </c>
      <c r="E303" t="b">
        <v>0</v>
      </c>
    </row>
    <row r="304" spans="1:5" x14ac:dyDescent="0.3">
      <c r="A304" s="1" t="s">
        <v>1594</v>
      </c>
      <c r="B304">
        <v>0.1874477240930692</v>
      </c>
      <c r="C304">
        <v>0.47568215698166999</v>
      </c>
      <c r="D304">
        <v>1.007015484558723E-2</v>
      </c>
      <c r="E304" t="b">
        <v>0</v>
      </c>
    </row>
    <row r="305" spans="1:5" x14ac:dyDescent="0.3">
      <c r="A305" s="1" t="s">
        <v>322</v>
      </c>
      <c r="B305">
        <v>0.18741914801639101</v>
      </c>
      <c r="C305">
        <v>2.128917381496426</v>
      </c>
      <c r="D305">
        <v>4.5075889718958699E-2</v>
      </c>
      <c r="E305" t="b">
        <v>0</v>
      </c>
    </row>
    <row r="306" spans="1:5" x14ac:dyDescent="0.3">
      <c r="A306" s="1" t="s">
        <v>1259</v>
      </c>
      <c r="B306">
        <v>0.18735623379405791</v>
      </c>
      <c r="C306">
        <v>0.53129132172238447</v>
      </c>
      <c r="D306">
        <v>1.1252888964672461E-2</v>
      </c>
      <c r="E306" t="b">
        <v>0</v>
      </c>
    </row>
    <row r="307" spans="1:5" x14ac:dyDescent="0.3">
      <c r="A307" s="1" t="s">
        <v>853</v>
      </c>
      <c r="B307">
        <v>0.18706969542380919</v>
      </c>
      <c r="C307">
        <v>0.61421318077267872</v>
      </c>
      <c r="D307">
        <v>1.302912204156431E-2</v>
      </c>
      <c r="E307" t="b">
        <v>0</v>
      </c>
    </row>
    <row r="308" spans="1:5" x14ac:dyDescent="0.3">
      <c r="A308" s="1" t="s">
        <v>238</v>
      </c>
      <c r="B308">
        <v>0.18689942029828641</v>
      </c>
      <c r="C308">
        <v>0.8967643116888746</v>
      </c>
      <c r="D308">
        <v>1.9040126142545039E-2</v>
      </c>
      <c r="E308" t="b">
        <v>0</v>
      </c>
    </row>
    <row r="309" spans="1:5" x14ac:dyDescent="0.3">
      <c r="A309" s="1" t="s">
        <v>1664</v>
      </c>
      <c r="B309">
        <v>0.18689001667704699</v>
      </c>
      <c r="C309">
        <v>1.9141508928313209</v>
      </c>
      <c r="D309">
        <v>4.0643352766352718E-2</v>
      </c>
      <c r="E309" t="b">
        <v>0</v>
      </c>
    </row>
    <row r="310" spans="1:5" x14ac:dyDescent="0.3">
      <c r="A310" s="1" t="s">
        <v>235</v>
      </c>
      <c r="B310">
        <v>0.1864896289159948</v>
      </c>
      <c r="C310">
        <v>1.825523849719956</v>
      </c>
      <c r="D310">
        <v>3.8844745967383708E-2</v>
      </c>
      <c r="E310" t="b">
        <v>0</v>
      </c>
    </row>
    <row r="311" spans="1:5" x14ac:dyDescent="0.3">
      <c r="A311" s="1" t="s">
        <v>555</v>
      </c>
      <c r="B311">
        <v>0.18622723556326809</v>
      </c>
      <c r="C311">
        <v>1.16710750920982</v>
      </c>
      <c r="D311">
        <v>2.4869504134519719E-2</v>
      </c>
      <c r="E311" t="b">
        <v>0</v>
      </c>
    </row>
    <row r="312" spans="1:5" x14ac:dyDescent="0.3">
      <c r="A312" s="1" t="s">
        <v>490</v>
      </c>
      <c r="B312">
        <v>0.18589091882365921</v>
      </c>
      <c r="C312">
        <v>0.54291694111088606</v>
      </c>
      <c r="D312">
        <v>1.158976629750982E-2</v>
      </c>
      <c r="E312" t="b">
        <v>0</v>
      </c>
    </row>
    <row r="313" spans="1:5" x14ac:dyDescent="0.3">
      <c r="A313" s="1" t="s">
        <v>1365</v>
      </c>
      <c r="B313">
        <v>0.18235622541916971</v>
      </c>
      <c r="C313">
        <v>0.76522183784987785</v>
      </c>
      <c r="D313">
        <v>1.665199302991912E-2</v>
      </c>
      <c r="E313" t="b">
        <v>0</v>
      </c>
    </row>
    <row r="314" spans="1:5" x14ac:dyDescent="0.3">
      <c r="A314" s="1" t="s">
        <v>1379</v>
      </c>
      <c r="B314">
        <v>0.18106650842136421</v>
      </c>
      <c r="C314">
        <v>0.46620812523624888</v>
      </c>
      <c r="D314">
        <v>1.0217418224555E-2</v>
      </c>
      <c r="E314" t="b">
        <v>0</v>
      </c>
    </row>
    <row r="315" spans="1:5" x14ac:dyDescent="0.3">
      <c r="A315" s="1" t="s">
        <v>292</v>
      </c>
      <c r="B315">
        <v>0.1809977406851519</v>
      </c>
      <c r="C315">
        <v>1.1415641036336139</v>
      </c>
      <c r="D315">
        <v>2.5028026687583919E-2</v>
      </c>
      <c r="E315" t="b">
        <v>0</v>
      </c>
    </row>
    <row r="316" spans="1:5" x14ac:dyDescent="0.3">
      <c r="A316" s="1" t="s">
        <v>227</v>
      </c>
      <c r="B316">
        <v>0.1801984887091162</v>
      </c>
      <c r="C316">
        <v>1.845959841914695</v>
      </c>
      <c r="D316">
        <v>4.0650937310246563E-2</v>
      </c>
      <c r="E316" t="b">
        <v>0</v>
      </c>
    </row>
    <row r="317" spans="1:5" x14ac:dyDescent="0.3">
      <c r="A317" s="1" t="s">
        <v>374</v>
      </c>
      <c r="B317">
        <v>0.17984071413329089</v>
      </c>
      <c r="C317">
        <v>1.558680170041419</v>
      </c>
      <c r="D317">
        <v>3.4392872602926672E-2</v>
      </c>
      <c r="E317" t="b">
        <v>0</v>
      </c>
    </row>
    <row r="318" spans="1:5" x14ac:dyDescent="0.3">
      <c r="A318" s="1" t="s">
        <v>601</v>
      </c>
      <c r="B318">
        <v>0.1789085992224958</v>
      </c>
      <c r="C318">
        <v>1.555365564491739</v>
      </c>
      <c r="D318">
        <v>3.4498540596721868E-2</v>
      </c>
      <c r="E318" t="b">
        <v>0</v>
      </c>
    </row>
    <row r="319" spans="1:5" x14ac:dyDescent="0.3">
      <c r="A319" s="1" t="s">
        <v>218</v>
      </c>
      <c r="B319">
        <v>0.1781853916522505</v>
      </c>
      <c r="C319">
        <v>1.8275499021564929</v>
      </c>
      <c r="D319">
        <v>4.0700206027933707E-2</v>
      </c>
      <c r="E319" t="b">
        <v>0</v>
      </c>
    </row>
    <row r="320" spans="1:5" x14ac:dyDescent="0.3">
      <c r="A320" s="1" t="s">
        <v>1422</v>
      </c>
      <c r="B320">
        <v>0.17779599610110669</v>
      </c>
      <c r="C320">
        <v>0.93720778979070829</v>
      </c>
      <c r="D320">
        <v>2.0917673133654779E-2</v>
      </c>
      <c r="E320" t="b">
        <v>0</v>
      </c>
    </row>
    <row r="321" spans="1:5" x14ac:dyDescent="0.3">
      <c r="A321" s="1" t="s">
        <v>1208</v>
      </c>
      <c r="B321">
        <v>0.17720546094901879</v>
      </c>
      <c r="C321">
        <v>0.76768107806955532</v>
      </c>
      <c r="D321">
        <v>1.7191081291108849E-2</v>
      </c>
      <c r="E321" t="b">
        <v>0</v>
      </c>
    </row>
    <row r="322" spans="1:5" x14ac:dyDescent="0.3">
      <c r="A322" s="1" t="s">
        <v>1470</v>
      </c>
      <c r="B322">
        <v>0.17657473952720359</v>
      </c>
      <c r="C322">
        <v>1.903812946516561</v>
      </c>
      <c r="D322">
        <v>4.2785357067813799E-2</v>
      </c>
      <c r="E322" t="b">
        <v>0</v>
      </c>
    </row>
    <row r="323" spans="1:5" x14ac:dyDescent="0.3">
      <c r="A323" s="1" t="s">
        <v>1511</v>
      </c>
      <c r="B323">
        <v>0.17623344132503471</v>
      </c>
      <c r="C323">
        <v>2.160671377143121</v>
      </c>
      <c r="D323">
        <v>4.8651905688134378E-2</v>
      </c>
      <c r="E323" t="b">
        <v>0</v>
      </c>
    </row>
    <row r="324" spans="1:5" x14ac:dyDescent="0.3">
      <c r="A324" s="1" t="s">
        <v>1206</v>
      </c>
      <c r="B324">
        <v>0.17621218582572479</v>
      </c>
      <c r="C324">
        <v>0.76633502101142192</v>
      </c>
      <c r="D324">
        <v>1.7257671334649619E-2</v>
      </c>
      <c r="E324" t="b">
        <v>0</v>
      </c>
    </row>
    <row r="325" spans="1:5" x14ac:dyDescent="0.3">
      <c r="A325" s="1" t="s">
        <v>435</v>
      </c>
      <c r="B325">
        <v>0.17586940841205631</v>
      </c>
      <c r="C325">
        <v>1.30985340738074</v>
      </c>
      <c r="D325">
        <v>2.9555060363262581E-2</v>
      </c>
      <c r="E325" t="b">
        <v>0</v>
      </c>
    </row>
    <row r="326" spans="1:5" x14ac:dyDescent="0.3">
      <c r="A326" s="1" t="s">
        <v>960</v>
      </c>
      <c r="B326">
        <v>0.17549640769807981</v>
      </c>
      <c r="C326">
        <v>1.4505127183182609</v>
      </c>
      <c r="D326">
        <v>3.279840838891581E-2</v>
      </c>
      <c r="E326" t="b">
        <v>0</v>
      </c>
    </row>
    <row r="327" spans="1:5" x14ac:dyDescent="0.3">
      <c r="A327" s="1" t="s">
        <v>269</v>
      </c>
      <c r="B327">
        <v>0.17497710557294829</v>
      </c>
      <c r="C327">
        <v>1.796356210224374</v>
      </c>
      <c r="D327">
        <v>4.0739030607913972E-2</v>
      </c>
      <c r="E327" t="b">
        <v>0</v>
      </c>
    </row>
    <row r="328" spans="1:5" x14ac:dyDescent="0.3">
      <c r="A328" s="1" t="s">
        <v>618</v>
      </c>
      <c r="B328">
        <v>0.1746484827431688</v>
      </c>
      <c r="C328">
        <v>0.9630912979554096</v>
      </c>
      <c r="D328">
        <v>2.1882760187058679E-2</v>
      </c>
      <c r="E328" t="b">
        <v>0</v>
      </c>
    </row>
    <row r="329" spans="1:5" x14ac:dyDescent="0.3">
      <c r="A329" s="1" t="s">
        <v>851</v>
      </c>
      <c r="B329">
        <v>0.1740789104429174</v>
      </c>
      <c r="C329">
        <v>0.93240214171192193</v>
      </c>
      <c r="D329">
        <v>2.1254777442268689E-2</v>
      </c>
      <c r="E329" t="b">
        <v>0</v>
      </c>
    </row>
    <row r="330" spans="1:5" x14ac:dyDescent="0.3">
      <c r="A330" s="1" t="s">
        <v>1024</v>
      </c>
      <c r="B330">
        <v>0.17367494046234841</v>
      </c>
      <c r="C330">
        <v>1.9101665683101401</v>
      </c>
      <c r="D330">
        <v>4.3644903775660583E-2</v>
      </c>
      <c r="E330" t="b">
        <v>0</v>
      </c>
    </row>
    <row r="331" spans="1:5" x14ac:dyDescent="0.3">
      <c r="A331" s="1" t="s">
        <v>1286</v>
      </c>
      <c r="B331">
        <v>0.17365042844884621</v>
      </c>
      <c r="C331">
        <v>0.49272865972737168</v>
      </c>
      <c r="D331">
        <v>1.125981937793827E-2</v>
      </c>
      <c r="E331" t="b">
        <v>0</v>
      </c>
    </row>
    <row r="332" spans="1:5" x14ac:dyDescent="0.3">
      <c r="A332" s="1" t="s">
        <v>1202</v>
      </c>
      <c r="B332">
        <v>0.17350874810327771</v>
      </c>
      <c r="C332">
        <v>4.8978567861231426</v>
      </c>
      <c r="D332">
        <v>0.1120170587358738</v>
      </c>
      <c r="E332" t="b">
        <v>0</v>
      </c>
    </row>
    <row r="333" spans="1:5" x14ac:dyDescent="0.3">
      <c r="A333" s="1" t="s">
        <v>1251</v>
      </c>
      <c r="B333">
        <v>0.1734679298819268</v>
      </c>
      <c r="C333">
        <v>0.81749329346178512</v>
      </c>
      <c r="D333">
        <v>1.870098414161522E-2</v>
      </c>
      <c r="E333" t="b">
        <v>0</v>
      </c>
    </row>
    <row r="334" spans="1:5" x14ac:dyDescent="0.3">
      <c r="A334" s="1" t="s">
        <v>1274</v>
      </c>
      <c r="B334">
        <v>0.17329659224592939</v>
      </c>
      <c r="C334">
        <v>0.84433344729935467</v>
      </c>
      <c r="D334">
        <v>1.933407639095637E-2</v>
      </c>
      <c r="E334" t="b">
        <v>0</v>
      </c>
    </row>
    <row r="335" spans="1:5" x14ac:dyDescent="0.3">
      <c r="A335" s="1" t="s">
        <v>1205</v>
      </c>
      <c r="B335">
        <v>0.1729902227045704</v>
      </c>
      <c r="C335">
        <v>1.4739484778424681</v>
      </c>
      <c r="D335">
        <v>3.3811170393075282E-2</v>
      </c>
      <c r="E335" t="b">
        <v>0</v>
      </c>
    </row>
    <row r="336" spans="1:5" x14ac:dyDescent="0.3">
      <c r="A336" s="1" t="s">
        <v>1471</v>
      </c>
      <c r="B336">
        <v>0.17289218322290439</v>
      </c>
      <c r="C336">
        <v>3.672054876230185</v>
      </c>
      <c r="D336">
        <v>8.4281695462541578E-2</v>
      </c>
      <c r="E336" t="b">
        <v>0</v>
      </c>
    </row>
    <row r="337" spans="1:5" x14ac:dyDescent="0.3">
      <c r="A337" s="1" t="s">
        <v>1460</v>
      </c>
      <c r="B337">
        <v>0.17272683903054009</v>
      </c>
      <c r="C337">
        <v>2.1802851798749678</v>
      </c>
      <c r="D337">
        <v>5.0090219710640323E-2</v>
      </c>
      <c r="E337" t="b">
        <v>0</v>
      </c>
    </row>
    <row r="338" spans="1:5" x14ac:dyDescent="0.3">
      <c r="A338" s="1" t="s">
        <v>1051</v>
      </c>
      <c r="B338">
        <v>0.17228810289563731</v>
      </c>
      <c r="C338">
        <v>1.993243311674453</v>
      </c>
      <c r="D338">
        <v>4.5909703272077287E-2</v>
      </c>
      <c r="E338" t="b">
        <v>0</v>
      </c>
    </row>
    <row r="339" spans="1:5" x14ac:dyDescent="0.3">
      <c r="A339" s="1" t="s">
        <v>496</v>
      </c>
      <c r="B339">
        <v>0.1695613477811484</v>
      </c>
      <c r="C339">
        <v>1.6540174775916501</v>
      </c>
      <c r="D339">
        <v>3.8709066098519262E-2</v>
      </c>
      <c r="E339" t="b">
        <v>0</v>
      </c>
    </row>
    <row r="340" spans="1:5" x14ac:dyDescent="0.3">
      <c r="A340" s="1" t="s">
        <v>155</v>
      </c>
      <c r="B340">
        <v>0.1693730326751024</v>
      </c>
      <c r="C340">
        <v>3.7518613389965081</v>
      </c>
      <c r="D340">
        <v>8.7902651394162035E-2</v>
      </c>
      <c r="E340" t="b">
        <v>0</v>
      </c>
    </row>
    <row r="341" spans="1:5" x14ac:dyDescent="0.3">
      <c r="A341" s="1" t="s">
        <v>938</v>
      </c>
      <c r="B341">
        <v>0.16795351923119031</v>
      </c>
      <c r="C341">
        <v>0.8902387395534701</v>
      </c>
      <c r="D341">
        <v>2.103375640532824E-2</v>
      </c>
      <c r="E341" t="b">
        <v>0</v>
      </c>
    </row>
    <row r="342" spans="1:5" x14ac:dyDescent="0.3">
      <c r="A342" s="1" t="s">
        <v>780</v>
      </c>
      <c r="B342">
        <v>0.16595796849563099</v>
      </c>
      <c r="C342">
        <v>0.71439301001366018</v>
      </c>
      <c r="D342">
        <v>1.7081993245502001E-2</v>
      </c>
      <c r="E342" t="b">
        <v>0</v>
      </c>
    </row>
    <row r="343" spans="1:5" x14ac:dyDescent="0.3">
      <c r="A343" s="1" t="s">
        <v>209</v>
      </c>
      <c r="B343">
        <v>0.1658566442107422</v>
      </c>
      <c r="C343">
        <v>1.390466232484791</v>
      </c>
      <c r="D343">
        <v>3.3268025957223273E-2</v>
      </c>
      <c r="E343" t="b">
        <v>0</v>
      </c>
    </row>
    <row r="344" spans="1:5" x14ac:dyDescent="0.3">
      <c r="A344" s="1" t="s">
        <v>708</v>
      </c>
      <c r="B344">
        <v>0.1658162825083547</v>
      </c>
      <c r="C344">
        <v>1.302974073810502</v>
      </c>
      <c r="D344">
        <v>3.1182293805616129E-2</v>
      </c>
      <c r="E344" t="b">
        <v>0</v>
      </c>
    </row>
    <row r="345" spans="1:5" x14ac:dyDescent="0.3">
      <c r="A345" s="1" t="s">
        <v>765</v>
      </c>
      <c r="B345">
        <v>0.16456332118929601</v>
      </c>
      <c r="C345">
        <v>1.151920626788365</v>
      </c>
      <c r="D345">
        <v>2.7777232285610031E-2</v>
      </c>
      <c r="E345" t="b">
        <v>0</v>
      </c>
    </row>
    <row r="346" spans="1:5" x14ac:dyDescent="0.3">
      <c r="A346" s="1" t="s">
        <v>1072</v>
      </c>
      <c r="B346">
        <v>0.1642986698210302</v>
      </c>
      <c r="C346">
        <v>0.97397775071941606</v>
      </c>
      <c r="D346">
        <v>2.352417751460505E-2</v>
      </c>
      <c r="E346" t="b">
        <v>0</v>
      </c>
    </row>
    <row r="347" spans="1:5" x14ac:dyDescent="0.3">
      <c r="A347" s="1" t="s">
        <v>228</v>
      </c>
      <c r="B347">
        <v>0.16394036937029399</v>
      </c>
      <c r="C347">
        <v>0.91076454458630174</v>
      </c>
      <c r="D347">
        <v>2.2045485392535001E-2</v>
      </c>
      <c r="E347" t="b">
        <v>0</v>
      </c>
    </row>
    <row r="348" spans="1:5" x14ac:dyDescent="0.3">
      <c r="A348" s="1" t="s">
        <v>1094</v>
      </c>
      <c r="B348">
        <v>0.16282457721552901</v>
      </c>
      <c r="C348">
        <v>1.4487003384770001</v>
      </c>
      <c r="D348">
        <v>3.5306775950430309E-2</v>
      </c>
      <c r="E348" t="b">
        <v>0</v>
      </c>
    </row>
    <row r="349" spans="1:5" x14ac:dyDescent="0.3">
      <c r="A349" s="1" t="s">
        <v>1316</v>
      </c>
      <c r="B349">
        <v>0.16154636356212221</v>
      </c>
      <c r="C349">
        <v>1.836790673614789</v>
      </c>
      <c r="D349">
        <v>4.5119256903736207E-2</v>
      </c>
      <c r="E349" t="b">
        <v>0</v>
      </c>
    </row>
    <row r="350" spans="1:5" x14ac:dyDescent="0.3">
      <c r="A350" s="1" t="s">
        <v>524</v>
      </c>
      <c r="B350">
        <v>0.16125643586600549</v>
      </c>
      <c r="C350">
        <v>0.5213773910563424</v>
      </c>
      <c r="D350">
        <v>1.283023458819599E-2</v>
      </c>
      <c r="E350" t="b">
        <v>0</v>
      </c>
    </row>
    <row r="351" spans="1:5" x14ac:dyDescent="0.3">
      <c r="A351" s="1" t="s">
        <v>355</v>
      </c>
      <c r="B351">
        <v>0.16110203901326761</v>
      </c>
      <c r="C351">
        <v>2.4213695515710492</v>
      </c>
      <c r="D351">
        <v>5.9643002599363913E-2</v>
      </c>
      <c r="E351" t="b">
        <v>0</v>
      </c>
    </row>
    <row r="352" spans="1:5" x14ac:dyDescent="0.3">
      <c r="A352" s="1" t="s">
        <v>835</v>
      </c>
      <c r="B352">
        <v>0.16031361441018979</v>
      </c>
      <c r="C352">
        <v>0.51221417307844108</v>
      </c>
      <c r="D352">
        <v>1.2678872798124959E-2</v>
      </c>
      <c r="E352" t="b">
        <v>0</v>
      </c>
    </row>
    <row r="353" spans="1:5" x14ac:dyDescent="0.3">
      <c r="A353" s="1" t="s">
        <v>1284</v>
      </c>
      <c r="B353">
        <v>0.15976677293218311</v>
      </c>
      <c r="C353">
        <v>0.51363411922278734</v>
      </c>
      <c r="D353">
        <v>1.275753771844434E-2</v>
      </c>
      <c r="E353" t="b">
        <v>0</v>
      </c>
    </row>
    <row r="354" spans="1:5" x14ac:dyDescent="0.3">
      <c r="A354" s="1" t="s">
        <v>1311</v>
      </c>
      <c r="B354">
        <v>0.1583308848112446</v>
      </c>
      <c r="C354">
        <v>0.59867436532977769</v>
      </c>
      <c r="D354">
        <v>1.5004602094809329E-2</v>
      </c>
      <c r="E354" t="b">
        <v>0</v>
      </c>
    </row>
    <row r="355" spans="1:5" x14ac:dyDescent="0.3">
      <c r="A355" s="1" t="s">
        <v>200</v>
      </c>
      <c r="B355">
        <v>0.15763950850499939</v>
      </c>
      <c r="C355">
        <v>1.8818372749279979</v>
      </c>
      <c r="D355">
        <v>4.737142550532903E-2</v>
      </c>
      <c r="E355" t="b">
        <v>0</v>
      </c>
    </row>
    <row r="356" spans="1:5" x14ac:dyDescent="0.3">
      <c r="A356" s="1" t="s">
        <v>703</v>
      </c>
      <c r="B356">
        <v>0.15658973608834681</v>
      </c>
      <c r="C356">
        <v>0.59491781718721359</v>
      </c>
      <c r="D356">
        <v>1.5076243487032971E-2</v>
      </c>
      <c r="E356" t="b">
        <v>0</v>
      </c>
    </row>
    <row r="357" spans="1:5" x14ac:dyDescent="0.3">
      <c r="A357" s="1" t="s">
        <v>1590</v>
      </c>
      <c r="B357">
        <v>0.1562148619731869</v>
      </c>
      <c r="C357">
        <v>0.49605373293458582</v>
      </c>
      <c r="D357">
        <v>1.2601023803501719E-2</v>
      </c>
      <c r="E357" t="b">
        <v>0</v>
      </c>
    </row>
    <row r="358" spans="1:5" x14ac:dyDescent="0.3">
      <c r="A358" s="1" t="s">
        <v>772</v>
      </c>
      <c r="B358">
        <v>0.15601756425531149</v>
      </c>
      <c r="C358">
        <v>0.59301182785407103</v>
      </c>
      <c r="D358">
        <v>1.5083055233784949E-2</v>
      </c>
      <c r="E358" t="b">
        <v>0</v>
      </c>
    </row>
    <row r="359" spans="1:5" x14ac:dyDescent="0.3">
      <c r="A359" s="1" t="s">
        <v>782</v>
      </c>
      <c r="B359">
        <v>0.15597050565073611</v>
      </c>
      <c r="C359">
        <v>1.6567614373499939</v>
      </c>
      <c r="D359">
        <v>4.2151880708371829E-2</v>
      </c>
      <c r="E359" t="b">
        <v>0</v>
      </c>
    </row>
    <row r="360" spans="1:5" x14ac:dyDescent="0.3">
      <c r="A360" s="1" t="s">
        <v>1393</v>
      </c>
      <c r="B360">
        <v>0.15579159142249421</v>
      </c>
      <c r="C360">
        <v>1.0830910448859969</v>
      </c>
      <c r="D360">
        <v>2.7588012277205771E-2</v>
      </c>
      <c r="E360" t="b">
        <v>0</v>
      </c>
    </row>
    <row r="361" spans="1:5" x14ac:dyDescent="0.3">
      <c r="A361" s="1" t="s">
        <v>702</v>
      </c>
      <c r="B361">
        <v>0.15436294716264021</v>
      </c>
      <c r="C361">
        <v>0.59206909201315461</v>
      </c>
      <c r="D361">
        <v>1.522049537824813E-2</v>
      </c>
      <c r="E361" t="b">
        <v>0</v>
      </c>
    </row>
    <row r="362" spans="1:5" x14ac:dyDescent="0.3">
      <c r="A362" s="1" t="s">
        <v>1299</v>
      </c>
      <c r="B362">
        <v>0.1540316324761703</v>
      </c>
      <c r="C362">
        <v>0.4908523107923517</v>
      </c>
      <c r="D362">
        <v>1.264562738715193E-2</v>
      </c>
      <c r="E362" t="b">
        <v>0</v>
      </c>
    </row>
    <row r="363" spans="1:5" x14ac:dyDescent="0.3">
      <c r="A363" s="1" t="s">
        <v>346</v>
      </c>
      <c r="B363">
        <v>0.15356784697664511</v>
      </c>
      <c r="C363">
        <v>1.895252695296564</v>
      </c>
      <c r="D363">
        <v>4.8974080037069261E-2</v>
      </c>
      <c r="E363" t="b">
        <v>0</v>
      </c>
    </row>
    <row r="364" spans="1:5" x14ac:dyDescent="0.3">
      <c r="A364" s="1" t="s">
        <v>1222</v>
      </c>
      <c r="B364">
        <v>0.15337553038093571</v>
      </c>
      <c r="C364">
        <v>2.2725276714123188</v>
      </c>
      <c r="D364">
        <v>5.8796647207355328E-2</v>
      </c>
      <c r="E364" t="b">
        <v>0</v>
      </c>
    </row>
    <row r="365" spans="1:5" x14ac:dyDescent="0.3">
      <c r="A365" s="1" t="s">
        <v>671</v>
      </c>
      <c r="B365">
        <v>0.15294322154910031</v>
      </c>
      <c r="C365">
        <v>0.74869330356684638</v>
      </c>
      <c r="D365">
        <v>1.9425543301574252E-2</v>
      </c>
      <c r="E365" t="b">
        <v>0</v>
      </c>
    </row>
    <row r="366" spans="1:5" x14ac:dyDescent="0.3">
      <c r="A366" s="1" t="s">
        <v>1100</v>
      </c>
      <c r="B366">
        <v>0.15282615547027761</v>
      </c>
      <c r="C366">
        <v>4.4773393503678864</v>
      </c>
      <c r="D366">
        <v>0.1162577151119428</v>
      </c>
      <c r="E366" t="b">
        <v>0</v>
      </c>
    </row>
    <row r="367" spans="1:5" x14ac:dyDescent="0.3">
      <c r="A367" s="1" t="s">
        <v>776</v>
      </c>
      <c r="B367">
        <v>0.15231727397431671</v>
      </c>
      <c r="C367">
        <v>1.424968169464107</v>
      </c>
      <c r="D367">
        <v>3.7124059836213988E-2</v>
      </c>
      <c r="E367" t="b">
        <v>0</v>
      </c>
    </row>
    <row r="368" spans="1:5" x14ac:dyDescent="0.3">
      <c r="A368" s="1" t="s">
        <v>846</v>
      </c>
      <c r="B368">
        <v>0.1522594772478168</v>
      </c>
      <c r="C368">
        <v>0.4761974324451187</v>
      </c>
      <c r="D368">
        <v>1.241086850637923E-2</v>
      </c>
      <c r="E368" t="b">
        <v>0</v>
      </c>
    </row>
    <row r="369" spans="1:5" x14ac:dyDescent="0.3">
      <c r="A369" s="1" t="s">
        <v>1212</v>
      </c>
      <c r="B369">
        <v>0.15221600551151851</v>
      </c>
      <c r="C369">
        <v>0.42912106653322279</v>
      </c>
      <c r="D369">
        <v>1.1187137445956549E-2</v>
      </c>
      <c r="E369" t="b">
        <v>0</v>
      </c>
    </row>
    <row r="370" spans="1:5" x14ac:dyDescent="0.3">
      <c r="A370" s="1" t="s">
        <v>954</v>
      </c>
      <c r="B370">
        <v>0.15217898881482619</v>
      </c>
      <c r="C370">
        <v>0.86191460124219432</v>
      </c>
      <c r="D370">
        <v>2.2475481426921851E-2</v>
      </c>
      <c r="E370" t="b">
        <v>0</v>
      </c>
    </row>
    <row r="371" spans="1:5" x14ac:dyDescent="0.3">
      <c r="A371" s="1" t="s">
        <v>1658</v>
      </c>
      <c r="B371">
        <v>0.15208728811535041</v>
      </c>
      <c r="C371">
        <v>0.65017823518617623</v>
      </c>
      <c r="D371">
        <v>1.696441822207425E-2</v>
      </c>
      <c r="E371" t="b">
        <v>0</v>
      </c>
    </row>
    <row r="372" spans="1:5" x14ac:dyDescent="0.3">
      <c r="A372" s="1" t="s">
        <v>1584</v>
      </c>
      <c r="B372">
        <v>0.15130273396041591</v>
      </c>
      <c r="C372">
        <v>0.9395586747351552</v>
      </c>
      <c r="D372">
        <v>2.4642036147216301E-2</v>
      </c>
      <c r="E372" t="b">
        <v>0</v>
      </c>
    </row>
    <row r="373" spans="1:5" x14ac:dyDescent="0.3">
      <c r="A373" s="1" t="s">
        <v>1059</v>
      </c>
      <c r="B373">
        <v>0.15108087474383769</v>
      </c>
      <c r="C373">
        <v>1.0244718445013521</v>
      </c>
      <c r="D373">
        <v>2.6908531402137451E-2</v>
      </c>
      <c r="E373" t="b">
        <v>0</v>
      </c>
    </row>
    <row r="374" spans="1:5" x14ac:dyDescent="0.3">
      <c r="A374" s="1" t="s">
        <v>757</v>
      </c>
      <c r="B374">
        <v>0.15069982256838951</v>
      </c>
      <c r="C374">
        <v>1.228275621676165</v>
      </c>
      <c r="D374">
        <v>3.2343167541648003E-2</v>
      </c>
      <c r="E374" t="b">
        <v>0</v>
      </c>
    </row>
    <row r="375" spans="1:5" x14ac:dyDescent="0.3">
      <c r="A375" s="1" t="s">
        <v>12</v>
      </c>
      <c r="B375">
        <v>0.14944610824819149</v>
      </c>
      <c r="C375">
        <v>0.46637298563830909</v>
      </c>
      <c r="D375">
        <v>1.2383637637938059E-2</v>
      </c>
      <c r="E375" t="b">
        <v>0</v>
      </c>
    </row>
    <row r="376" spans="1:5" x14ac:dyDescent="0.3">
      <c r="A376" s="1" t="s">
        <v>1573</v>
      </c>
      <c r="B376">
        <v>0.14892749643752881</v>
      </c>
      <c r="C376">
        <v>0.46480597983907862</v>
      </c>
      <c r="D376">
        <v>1.238500759151823E-2</v>
      </c>
      <c r="E376" t="b">
        <v>0</v>
      </c>
    </row>
    <row r="377" spans="1:5" x14ac:dyDescent="0.3">
      <c r="A377" s="1" t="s">
        <v>1455</v>
      </c>
      <c r="B377">
        <v>0.1489124252519301</v>
      </c>
      <c r="C377">
        <v>1.621216773921613</v>
      </c>
      <c r="D377">
        <v>4.3202572825137377E-2</v>
      </c>
      <c r="E377" t="b">
        <v>0</v>
      </c>
    </row>
    <row r="378" spans="1:5" x14ac:dyDescent="0.3">
      <c r="A378" s="1" t="s">
        <v>843</v>
      </c>
      <c r="B378">
        <v>0.1487968307439306</v>
      </c>
      <c r="C378">
        <v>0.4637346899231195</v>
      </c>
      <c r="D378">
        <v>1.236731329762885E-2</v>
      </c>
      <c r="E378" t="b">
        <v>0</v>
      </c>
    </row>
    <row r="379" spans="1:5" x14ac:dyDescent="0.3">
      <c r="A379" s="1" t="s">
        <v>375</v>
      </c>
      <c r="B379">
        <v>0.14858141985722581</v>
      </c>
      <c r="C379">
        <v>1.3913967031928269</v>
      </c>
      <c r="D379">
        <v>3.7160874449618533E-2</v>
      </c>
      <c r="E379" t="b">
        <v>0</v>
      </c>
    </row>
    <row r="380" spans="1:5" x14ac:dyDescent="0.3">
      <c r="A380" s="1" t="s">
        <v>1378</v>
      </c>
      <c r="B380">
        <v>0.14830648898632609</v>
      </c>
      <c r="C380">
        <v>0.461114592187163</v>
      </c>
      <c r="D380">
        <v>1.233809675337422E-2</v>
      </c>
      <c r="E380" t="b">
        <v>0</v>
      </c>
    </row>
    <row r="381" spans="1:5" x14ac:dyDescent="0.3">
      <c r="A381" s="1" t="s">
        <v>352</v>
      </c>
      <c r="B381">
        <v>0.14816110525687889</v>
      </c>
      <c r="C381">
        <v>1.095444032850446</v>
      </c>
      <c r="D381">
        <v>2.9339684816890151E-2</v>
      </c>
      <c r="E381" t="b">
        <v>0</v>
      </c>
    </row>
    <row r="382" spans="1:5" x14ac:dyDescent="0.3">
      <c r="A382" s="1" t="s">
        <v>688</v>
      </c>
      <c r="B382">
        <v>0.14812690329141059</v>
      </c>
      <c r="C382">
        <v>0.81557855100491095</v>
      </c>
      <c r="D382">
        <v>2.1848987250351361E-2</v>
      </c>
      <c r="E382" t="b">
        <v>0</v>
      </c>
    </row>
    <row r="383" spans="1:5" x14ac:dyDescent="0.3">
      <c r="A383" s="1" t="s">
        <v>1012</v>
      </c>
      <c r="B383">
        <v>0.14661692581250349</v>
      </c>
      <c r="C383">
        <v>1.9667161301189471</v>
      </c>
      <c r="D383">
        <v>5.3230069069611037E-2</v>
      </c>
      <c r="E383" t="b">
        <v>0</v>
      </c>
    </row>
    <row r="384" spans="1:5" x14ac:dyDescent="0.3">
      <c r="A384" s="1" t="s">
        <v>582</v>
      </c>
      <c r="B384">
        <v>0.1461303364466601</v>
      </c>
      <c r="C384">
        <v>1.2611718775669809</v>
      </c>
      <c r="D384">
        <v>3.4247853180248158E-2</v>
      </c>
      <c r="E384" t="b">
        <v>0</v>
      </c>
    </row>
    <row r="385" spans="1:5" x14ac:dyDescent="0.3">
      <c r="A385" s="1" t="s">
        <v>365</v>
      </c>
      <c r="B385">
        <v>0.14530757491980281</v>
      </c>
      <c r="C385">
        <v>0.61959631159251849</v>
      </c>
      <c r="D385">
        <v>1.692076633685155E-2</v>
      </c>
      <c r="E385" t="b">
        <v>0</v>
      </c>
    </row>
    <row r="386" spans="1:5" x14ac:dyDescent="0.3">
      <c r="A386" s="1" t="s">
        <v>1488</v>
      </c>
      <c r="B386">
        <v>0.1444686171500989</v>
      </c>
      <c r="C386">
        <v>0.66515841390139219</v>
      </c>
      <c r="D386">
        <v>1.827052523621327E-2</v>
      </c>
      <c r="E386" t="b">
        <v>0</v>
      </c>
    </row>
    <row r="387" spans="1:5" x14ac:dyDescent="0.3">
      <c r="A387" s="1" t="s">
        <v>485</v>
      </c>
      <c r="B387">
        <v>0.1439639764223149</v>
      </c>
      <c r="C387">
        <v>0.35291591533331701</v>
      </c>
      <c r="D387">
        <v>9.7278500933678045E-3</v>
      </c>
      <c r="E387" t="b">
        <v>0</v>
      </c>
    </row>
    <row r="388" spans="1:5" x14ac:dyDescent="0.3">
      <c r="A388" s="1" t="s">
        <v>940</v>
      </c>
      <c r="B388">
        <v>0.14373694952870489</v>
      </c>
      <c r="C388">
        <v>1.1287371060349629</v>
      </c>
      <c r="D388">
        <v>3.1161893408933401E-2</v>
      </c>
      <c r="E388" t="b">
        <v>0</v>
      </c>
    </row>
    <row r="389" spans="1:5" x14ac:dyDescent="0.3">
      <c r="A389" s="1" t="s">
        <v>635</v>
      </c>
      <c r="B389">
        <v>0.14342915936598941</v>
      </c>
      <c r="C389">
        <v>1.7188794414333819</v>
      </c>
      <c r="D389">
        <v>4.7556230508282553E-2</v>
      </c>
      <c r="E389" t="b">
        <v>0</v>
      </c>
    </row>
    <row r="390" spans="1:5" x14ac:dyDescent="0.3">
      <c r="A390" s="1" t="s">
        <v>714</v>
      </c>
      <c r="B390">
        <v>0.1430688876521588</v>
      </c>
      <c r="C390">
        <v>0.68479725147522696</v>
      </c>
      <c r="D390">
        <v>1.899399272064569E-2</v>
      </c>
      <c r="E390" t="b">
        <v>0</v>
      </c>
    </row>
    <row r="391" spans="1:5" x14ac:dyDescent="0.3">
      <c r="A391" s="1" t="s">
        <v>600</v>
      </c>
      <c r="B391">
        <v>0.14259944972513761</v>
      </c>
      <c r="C391">
        <v>0.78783481398315591</v>
      </c>
      <c r="D391">
        <v>2.1923847763391281E-2</v>
      </c>
      <c r="E391" t="b">
        <v>0</v>
      </c>
    </row>
    <row r="392" spans="1:5" x14ac:dyDescent="0.3">
      <c r="A392" s="1" t="s">
        <v>616</v>
      </c>
      <c r="B392">
        <v>0.14249333096348191</v>
      </c>
      <c r="C392">
        <v>0.96662710821211939</v>
      </c>
      <c r="D392">
        <v>2.6919307956718631E-2</v>
      </c>
      <c r="E392" t="b">
        <v>0</v>
      </c>
    </row>
    <row r="393" spans="1:5" x14ac:dyDescent="0.3">
      <c r="A393" s="1" t="s">
        <v>1257</v>
      </c>
      <c r="B393">
        <v>0.14207422464344199</v>
      </c>
      <c r="C393">
        <v>0.85318006388217493</v>
      </c>
      <c r="D393">
        <v>2.3830045053086911E-2</v>
      </c>
      <c r="E393" t="b">
        <v>0</v>
      </c>
    </row>
    <row r="394" spans="1:5" x14ac:dyDescent="0.3">
      <c r="A394" s="1" t="s">
        <v>1509</v>
      </c>
      <c r="B394">
        <v>0.14158954954994921</v>
      </c>
      <c r="C394">
        <v>1.2859529118472941</v>
      </c>
      <c r="D394">
        <v>3.6040708948124493E-2</v>
      </c>
      <c r="E394" t="b">
        <v>0</v>
      </c>
    </row>
    <row r="395" spans="1:5" x14ac:dyDescent="0.3">
      <c r="A395" s="1" t="s">
        <v>1387</v>
      </c>
      <c r="B395">
        <v>0.14108754332086509</v>
      </c>
      <c r="C395">
        <v>0.86560485401472698</v>
      </c>
      <c r="D395">
        <v>2.4346159951711709E-2</v>
      </c>
      <c r="E395" t="b">
        <v>0</v>
      </c>
    </row>
    <row r="396" spans="1:5" x14ac:dyDescent="0.3">
      <c r="A396" s="1" t="s">
        <v>1374</v>
      </c>
      <c r="B396">
        <v>0.14096534933772961</v>
      </c>
      <c r="C396">
        <v>1.2768906862872209</v>
      </c>
      <c r="D396">
        <v>3.5945191897804922E-2</v>
      </c>
      <c r="E396" t="b">
        <v>0</v>
      </c>
    </row>
    <row r="397" spans="1:5" x14ac:dyDescent="0.3">
      <c r="A397" s="1" t="s">
        <v>852</v>
      </c>
      <c r="B397">
        <v>0.13920877879192081</v>
      </c>
      <c r="C397">
        <v>0.56429786990523634</v>
      </c>
      <c r="D397">
        <v>1.6085747471973919E-2</v>
      </c>
      <c r="E397" t="b">
        <v>0</v>
      </c>
    </row>
    <row r="398" spans="1:5" x14ac:dyDescent="0.3">
      <c r="A398" s="1" t="s">
        <v>610</v>
      </c>
      <c r="B398">
        <v>0.13902647648774449</v>
      </c>
      <c r="C398">
        <v>1.613304432220829</v>
      </c>
      <c r="D398">
        <v>4.6048794998601351E-2</v>
      </c>
      <c r="E398" t="b">
        <v>0</v>
      </c>
    </row>
    <row r="399" spans="1:5" x14ac:dyDescent="0.3">
      <c r="A399" s="1" t="s">
        <v>391</v>
      </c>
      <c r="B399">
        <v>0.13761582179288001</v>
      </c>
      <c r="C399">
        <v>0.86267794624103566</v>
      </c>
      <c r="D399">
        <v>2.487595640455122E-2</v>
      </c>
      <c r="E399" t="b">
        <v>0</v>
      </c>
    </row>
    <row r="400" spans="1:5" x14ac:dyDescent="0.3">
      <c r="A400" s="1" t="s">
        <v>775</v>
      </c>
      <c r="B400">
        <v>0.1366724832622592</v>
      </c>
      <c r="C400">
        <v>1.5903934768291621</v>
      </c>
      <c r="D400">
        <v>4.6176707080109763E-2</v>
      </c>
      <c r="E400" t="b">
        <v>0</v>
      </c>
    </row>
    <row r="401" spans="1:5" x14ac:dyDescent="0.3">
      <c r="A401" s="1" t="s">
        <v>309</v>
      </c>
      <c r="B401">
        <v>0.1355945004600721</v>
      </c>
      <c r="C401">
        <v>1.614870872884721</v>
      </c>
      <c r="D401">
        <v>4.7260159724763627E-2</v>
      </c>
      <c r="E401" t="b">
        <v>0</v>
      </c>
    </row>
    <row r="402" spans="1:5" x14ac:dyDescent="0.3">
      <c r="A402" s="1" t="s">
        <v>680</v>
      </c>
      <c r="B402">
        <v>0.1355889732515031</v>
      </c>
      <c r="C402">
        <v>1.5679734410311441</v>
      </c>
      <c r="D402">
        <v>4.5889548982329893E-2</v>
      </c>
      <c r="E402" t="b">
        <v>0</v>
      </c>
    </row>
    <row r="403" spans="1:5" x14ac:dyDescent="0.3">
      <c r="A403" s="1" t="s">
        <v>1484</v>
      </c>
      <c r="B403">
        <v>0.133801179448097</v>
      </c>
      <c r="C403">
        <v>1.2835657671613401</v>
      </c>
      <c r="D403">
        <v>3.8067788117135168E-2</v>
      </c>
      <c r="E403" t="b">
        <v>0</v>
      </c>
    </row>
    <row r="404" spans="1:5" x14ac:dyDescent="0.3">
      <c r="A404" s="1" t="s">
        <v>1599</v>
      </c>
      <c r="B404">
        <v>0.13258339922422391</v>
      </c>
      <c r="C404">
        <v>0.33196219295782631</v>
      </c>
      <c r="D404">
        <v>9.9357106336318869E-3</v>
      </c>
      <c r="E404" t="b">
        <v>0</v>
      </c>
    </row>
    <row r="405" spans="1:5" x14ac:dyDescent="0.3">
      <c r="A405" s="1" t="s">
        <v>770</v>
      </c>
      <c r="B405">
        <v>0.132013048590187</v>
      </c>
      <c r="C405">
        <v>1.6175065586728941</v>
      </c>
      <c r="D405">
        <v>4.862153316416673E-2</v>
      </c>
      <c r="E405" t="b">
        <v>0</v>
      </c>
    </row>
    <row r="406" spans="1:5" x14ac:dyDescent="0.3">
      <c r="A406" s="1" t="s">
        <v>865</v>
      </c>
      <c r="B406">
        <v>0.13154847350276061</v>
      </c>
      <c r="C406">
        <v>2.739436091756384E-2</v>
      </c>
      <c r="D406">
        <v>8.2637052733738382E-4</v>
      </c>
      <c r="E406" t="b">
        <v>0</v>
      </c>
    </row>
    <row r="407" spans="1:5" x14ac:dyDescent="0.3">
      <c r="A407" s="1" t="s">
        <v>182</v>
      </c>
      <c r="B407">
        <v>0.1300527920466869</v>
      </c>
      <c r="C407">
        <v>1.4571398379200331</v>
      </c>
      <c r="D407">
        <v>4.4461182671505901E-2</v>
      </c>
      <c r="E407" t="b">
        <v>0</v>
      </c>
    </row>
    <row r="408" spans="1:5" x14ac:dyDescent="0.3">
      <c r="A408" s="1" t="s">
        <v>156</v>
      </c>
      <c r="B408">
        <v>0.12993396830115181</v>
      </c>
      <c r="C408">
        <v>1.6579886962105981</v>
      </c>
      <c r="D408">
        <v>5.0635875353308997E-2</v>
      </c>
      <c r="E408" t="b">
        <v>0</v>
      </c>
    </row>
    <row r="409" spans="1:5" x14ac:dyDescent="0.3">
      <c r="A409" s="1" t="s">
        <v>1068</v>
      </c>
      <c r="B409">
        <v>0.1291038533876005</v>
      </c>
      <c r="C409">
        <v>0.45777646982022091</v>
      </c>
      <c r="D409">
        <v>1.407063573450127E-2</v>
      </c>
      <c r="E409" t="b">
        <v>0</v>
      </c>
    </row>
    <row r="410" spans="1:5" x14ac:dyDescent="0.3">
      <c r="A410" s="1" t="s">
        <v>1339</v>
      </c>
      <c r="B410">
        <v>0.129041813249996</v>
      </c>
      <c r="C410">
        <v>0.60624151349488065</v>
      </c>
      <c r="D410">
        <v>1.8642951699583521E-2</v>
      </c>
      <c r="E410" t="b">
        <v>0</v>
      </c>
    </row>
    <row r="411" spans="1:5" x14ac:dyDescent="0.3">
      <c r="A411" s="1" t="s">
        <v>651</v>
      </c>
      <c r="B411">
        <v>0.12867915026447341</v>
      </c>
      <c r="C411">
        <v>0.91689059538127582</v>
      </c>
      <c r="D411">
        <v>2.82754023173016E-2</v>
      </c>
      <c r="E411" t="b">
        <v>0</v>
      </c>
    </row>
    <row r="412" spans="1:5" x14ac:dyDescent="0.3">
      <c r="A412" s="1" t="s">
        <v>405</v>
      </c>
      <c r="B412">
        <v>0.12858204755018579</v>
      </c>
      <c r="C412">
        <v>2.1062088910150272</v>
      </c>
      <c r="D412">
        <v>6.5001078680754679E-2</v>
      </c>
      <c r="E412" t="b">
        <v>0</v>
      </c>
    </row>
    <row r="413" spans="1:5" x14ac:dyDescent="0.3">
      <c r="A413" s="1" t="s">
        <v>892</v>
      </c>
      <c r="B413">
        <v>0.12797475718043469</v>
      </c>
      <c r="C413">
        <v>0.10075576110379179</v>
      </c>
      <c r="D413">
        <v>3.12424463725177E-3</v>
      </c>
      <c r="E413" t="b">
        <v>0</v>
      </c>
    </row>
    <row r="414" spans="1:5" x14ac:dyDescent="0.3">
      <c r="A414" s="1" t="s">
        <v>766</v>
      </c>
      <c r="B414">
        <v>0.12723066398744329</v>
      </c>
      <c r="C414">
        <v>1.405697654945675</v>
      </c>
      <c r="D414">
        <v>4.3842931590406482E-2</v>
      </c>
      <c r="E414" t="b">
        <v>0</v>
      </c>
    </row>
    <row r="415" spans="1:5" x14ac:dyDescent="0.3">
      <c r="A415" s="1" t="s">
        <v>1551</v>
      </c>
      <c r="B415">
        <v>0.12705242461038499</v>
      </c>
      <c r="C415">
        <v>0.32211846060890742</v>
      </c>
      <c r="D415">
        <v>1.006079076002675E-2</v>
      </c>
      <c r="E415" t="b">
        <v>0</v>
      </c>
    </row>
    <row r="416" spans="1:5" x14ac:dyDescent="0.3">
      <c r="A416" s="1" t="s">
        <v>1635</v>
      </c>
      <c r="B416">
        <v>0.12621604284269089</v>
      </c>
      <c r="C416">
        <v>0.98252668317563074</v>
      </c>
      <c r="D416">
        <v>3.0890806918154708E-2</v>
      </c>
      <c r="E416" t="b">
        <v>0</v>
      </c>
    </row>
    <row r="417" spans="1:5" x14ac:dyDescent="0.3">
      <c r="A417" s="1" t="s">
        <v>1066</v>
      </c>
      <c r="B417">
        <v>0.12556910250155781</v>
      </c>
      <c r="C417">
        <v>0.86775643395870472</v>
      </c>
      <c r="D417">
        <v>2.742297144707094E-2</v>
      </c>
      <c r="E417" t="b">
        <v>0</v>
      </c>
    </row>
    <row r="418" spans="1:5" x14ac:dyDescent="0.3">
      <c r="A418" s="1" t="s">
        <v>293</v>
      </c>
      <c r="B418">
        <v>0.12545649484385249</v>
      </c>
      <c r="C418">
        <v>0.75346478755933854</v>
      </c>
      <c r="D418">
        <v>2.3832481824821901E-2</v>
      </c>
      <c r="E418" t="b">
        <v>0</v>
      </c>
    </row>
    <row r="419" spans="1:5" x14ac:dyDescent="0.3">
      <c r="A419" s="1" t="s">
        <v>1046</v>
      </c>
      <c r="B419">
        <v>0.1247706734142863</v>
      </c>
      <c r="C419">
        <v>1.217852668778538</v>
      </c>
      <c r="D419">
        <v>3.8733049629238979E-2</v>
      </c>
      <c r="E419" t="b">
        <v>0</v>
      </c>
    </row>
    <row r="420" spans="1:5" x14ac:dyDescent="0.3">
      <c r="A420" s="1" t="s">
        <v>1583</v>
      </c>
      <c r="B420">
        <v>0.124760510109512</v>
      </c>
      <c r="C420">
        <v>1.8368561402149279</v>
      </c>
      <c r="D420">
        <v>5.8424830590395431E-2</v>
      </c>
      <c r="E420" t="b">
        <v>0</v>
      </c>
    </row>
    <row r="421" spans="1:5" x14ac:dyDescent="0.3">
      <c r="A421" s="1" t="s">
        <v>1082</v>
      </c>
      <c r="B421">
        <v>0.1238286109236599</v>
      </c>
      <c r="C421">
        <v>1.1205157506130059</v>
      </c>
      <c r="D421">
        <v>3.5908430537126737E-2</v>
      </c>
      <c r="E421" t="b">
        <v>0</v>
      </c>
    </row>
    <row r="422" spans="1:5" x14ac:dyDescent="0.3">
      <c r="A422" s="1" t="s">
        <v>408</v>
      </c>
      <c r="B422">
        <v>0.123632709875868</v>
      </c>
      <c r="C422">
        <v>0.88226907475957073</v>
      </c>
      <c r="D422">
        <v>2.831829667486566E-2</v>
      </c>
      <c r="E422" t="b">
        <v>0</v>
      </c>
    </row>
    <row r="423" spans="1:5" x14ac:dyDescent="0.3">
      <c r="A423" s="1" t="s">
        <v>838</v>
      </c>
      <c r="B423">
        <v>0.1236066978083173</v>
      </c>
      <c r="C423">
        <v>0.53246197806063522</v>
      </c>
      <c r="D423">
        <v>1.7094092754262519E-2</v>
      </c>
      <c r="E423" t="b">
        <v>0</v>
      </c>
    </row>
    <row r="424" spans="1:5" x14ac:dyDescent="0.3">
      <c r="A424" s="1" t="s">
        <v>1131</v>
      </c>
      <c r="B424">
        <v>0.1234011196244346</v>
      </c>
      <c r="C424">
        <v>0.9162718478948122</v>
      </c>
      <c r="D424">
        <v>2.9464881740732789E-2</v>
      </c>
      <c r="E424" t="b">
        <v>0</v>
      </c>
    </row>
    <row r="425" spans="1:5" x14ac:dyDescent="0.3">
      <c r="A425" s="1" t="s">
        <v>1443</v>
      </c>
      <c r="B425">
        <v>0.12274163229417689</v>
      </c>
      <c r="C425">
        <v>0.54591753811847665</v>
      </c>
      <c r="D425">
        <v>1.764958960123636E-2</v>
      </c>
      <c r="E425" t="b">
        <v>0</v>
      </c>
    </row>
    <row r="426" spans="1:5" x14ac:dyDescent="0.3">
      <c r="A426" s="1" t="s">
        <v>168</v>
      </c>
      <c r="B426">
        <v>0.1221260146493716</v>
      </c>
      <c r="C426">
        <v>1.8377729657443</v>
      </c>
      <c r="D426">
        <v>5.9714958233939283E-2</v>
      </c>
      <c r="E426" t="b">
        <v>0</v>
      </c>
    </row>
    <row r="427" spans="1:5" x14ac:dyDescent="0.3">
      <c r="A427" s="1" t="s">
        <v>1366</v>
      </c>
      <c r="B427">
        <v>0.12196225849206779</v>
      </c>
      <c r="C427">
        <v>1.0711009010250401</v>
      </c>
      <c r="D427">
        <v>3.4850128666397702E-2</v>
      </c>
      <c r="E427" t="b">
        <v>0</v>
      </c>
    </row>
    <row r="428" spans="1:5" x14ac:dyDescent="0.3">
      <c r="A428" s="1" t="s">
        <v>1310</v>
      </c>
      <c r="B428">
        <v>0.1218025426495886</v>
      </c>
      <c r="C428">
        <v>0.87479691873032173</v>
      </c>
      <c r="D428">
        <v>2.8500360244160049E-2</v>
      </c>
      <c r="E428" t="b">
        <v>0</v>
      </c>
    </row>
    <row r="429" spans="1:5" x14ac:dyDescent="0.3">
      <c r="A429" s="1" t="s">
        <v>810</v>
      </c>
      <c r="B429">
        <v>0.119641701303416</v>
      </c>
      <c r="C429">
        <v>1.0393029390381969</v>
      </c>
      <c r="D429">
        <v>3.4471408941244973E-2</v>
      </c>
      <c r="E429" t="b">
        <v>0</v>
      </c>
    </row>
    <row r="430" spans="1:5" x14ac:dyDescent="0.3">
      <c r="A430" s="1" t="s">
        <v>1464</v>
      </c>
      <c r="B430">
        <v>0.1188306947209378</v>
      </c>
      <c r="C430">
        <v>0.61977405747238956</v>
      </c>
      <c r="D430">
        <v>2.0696848308102391E-2</v>
      </c>
      <c r="E430" t="b">
        <v>0</v>
      </c>
    </row>
    <row r="431" spans="1:5" x14ac:dyDescent="0.3">
      <c r="A431" s="1" t="s">
        <v>905</v>
      </c>
      <c r="B431">
        <v>0.1166012411236428</v>
      </c>
      <c r="C431">
        <v>1.1782207444503969</v>
      </c>
      <c r="D431">
        <v>4.0098022110130048E-2</v>
      </c>
      <c r="E431" t="b">
        <v>0</v>
      </c>
    </row>
    <row r="432" spans="1:5" x14ac:dyDescent="0.3">
      <c r="A432" s="1" t="s">
        <v>895</v>
      </c>
      <c r="B432">
        <v>0.1164569397278899</v>
      </c>
      <c r="C432">
        <v>0.63911936318261442</v>
      </c>
      <c r="D432">
        <v>2.177790310361364E-2</v>
      </c>
      <c r="E432" t="b">
        <v>0</v>
      </c>
    </row>
    <row r="433" spans="1:5" x14ac:dyDescent="0.3">
      <c r="A433" s="1" t="s">
        <v>1634</v>
      </c>
      <c r="B433">
        <v>0.1163446682059612</v>
      </c>
      <c r="C433">
        <v>1.065804885315212</v>
      </c>
      <c r="D433">
        <v>3.6352198435508992E-2</v>
      </c>
      <c r="E433" t="b">
        <v>0</v>
      </c>
    </row>
    <row r="434" spans="1:5" x14ac:dyDescent="0.3">
      <c r="A434" s="1" t="s">
        <v>893</v>
      </c>
      <c r="B434">
        <v>0.1156777706870625</v>
      </c>
      <c r="C434">
        <v>2.0775589591523529</v>
      </c>
      <c r="D434">
        <v>7.1269367787530777E-2</v>
      </c>
      <c r="E434" t="b">
        <v>0</v>
      </c>
    </row>
    <row r="435" spans="1:5" x14ac:dyDescent="0.3">
      <c r="A435" s="1" t="s">
        <v>821</v>
      </c>
      <c r="B435">
        <v>0.1142436019150543</v>
      </c>
      <c r="C435">
        <v>2.6774048349978301</v>
      </c>
      <c r="D435">
        <v>9.2999714496068017E-2</v>
      </c>
      <c r="E435" t="b">
        <v>0</v>
      </c>
    </row>
    <row r="436" spans="1:5" x14ac:dyDescent="0.3">
      <c r="A436" s="1" t="s">
        <v>1333</v>
      </c>
      <c r="B436">
        <v>0.1133443370425454</v>
      </c>
      <c r="C436">
        <v>1.847546613637588</v>
      </c>
      <c r="D436">
        <v>6.4683727236849467E-2</v>
      </c>
      <c r="E436" t="b">
        <v>0</v>
      </c>
    </row>
    <row r="437" spans="1:5" x14ac:dyDescent="0.3">
      <c r="A437" s="1" t="s">
        <v>744</v>
      </c>
      <c r="B437">
        <v>0.1129409818316318</v>
      </c>
      <c r="C437">
        <v>0.8300602514843225</v>
      </c>
      <c r="D437">
        <v>2.9164700301197641E-2</v>
      </c>
      <c r="E437" t="b">
        <v>0</v>
      </c>
    </row>
    <row r="438" spans="1:5" x14ac:dyDescent="0.3">
      <c r="A438" s="1" t="s">
        <v>446</v>
      </c>
      <c r="B438">
        <v>0.1126129361015869</v>
      </c>
      <c r="C438">
        <v>0.49973001333709138</v>
      </c>
      <c r="D438">
        <v>1.7609483218620891E-2</v>
      </c>
      <c r="E438" t="b">
        <v>0</v>
      </c>
    </row>
    <row r="439" spans="1:5" x14ac:dyDescent="0.3">
      <c r="A439" s="1" t="s">
        <v>1518</v>
      </c>
      <c r="B439">
        <v>0.112191351622975</v>
      </c>
      <c r="C439">
        <v>8.4194557249915813E-2</v>
      </c>
      <c r="D439">
        <v>2.9779959068069991E-3</v>
      </c>
      <c r="E439" t="b">
        <v>0</v>
      </c>
    </row>
    <row r="440" spans="1:5" x14ac:dyDescent="0.3">
      <c r="A440" s="1" t="s">
        <v>607</v>
      </c>
      <c r="B440">
        <v>0.1118535099722774</v>
      </c>
      <c r="C440">
        <v>0.53897647815601335</v>
      </c>
      <c r="D440">
        <v>1.9121398593287271E-2</v>
      </c>
      <c r="E440" t="b">
        <v>0</v>
      </c>
    </row>
    <row r="441" spans="1:5" x14ac:dyDescent="0.3">
      <c r="A441" s="1" t="s">
        <v>1376</v>
      </c>
      <c r="B441">
        <v>0.111486062168839</v>
      </c>
      <c r="C441">
        <v>0.46407507241423129</v>
      </c>
      <c r="D441">
        <v>1.6518367514735399E-2</v>
      </c>
      <c r="E441" t="b">
        <v>0</v>
      </c>
    </row>
    <row r="442" spans="1:5" x14ac:dyDescent="0.3">
      <c r="A442" s="1" t="s">
        <v>844</v>
      </c>
      <c r="B442">
        <v>0.11126877519035849</v>
      </c>
      <c r="C442">
        <v>0.4530454750834102</v>
      </c>
      <c r="D442">
        <v>1.61572687505868E-2</v>
      </c>
      <c r="E442" t="b">
        <v>0</v>
      </c>
    </row>
    <row r="443" spans="1:5" x14ac:dyDescent="0.3">
      <c r="A443" s="1" t="s">
        <v>1289</v>
      </c>
      <c r="B443">
        <v>0.110879068449503</v>
      </c>
      <c r="C443">
        <v>0.46552822217194989</v>
      </c>
      <c r="D443">
        <v>1.6660802086458499E-2</v>
      </c>
      <c r="E443" t="b">
        <v>0</v>
      </c>
    </row>
    <row r="444" spans="1:5" x14ac:dyDescent="0.3">
      <c r="A444" s="1" t="s">
        <v>1360</v>
      </c>
      <c r="B444">
        <v>0.1093199039145044</v>
      </c>
      <c r="C444">
        <v>8.517565932707577E-2</v>
      </c>
      <c r="D444">
        <v>3.0918308196433691E-3</v>
      </c>
      <c r="E444" t="b">
        <v>0</v>
      </c>
    </row>
    <row r="445" spans="1:5" x14ac:dyDescent="0.3">
      <c r="A445" s="1" t="s">
        <v>1571</v>
      </c>
      <c r="B445">
        <v>0.10922113498490101</v>
      </c>
      <c r="C445">
        <v>0.44852562771402388</v>
      </c>
      <c r="D445">
        <v>1.6295963251854409E-2</v>
      </c>
      <c r="E445" t="b">
        <v>0</v>
      </c>
    </row>
    <row r="446" spans="1:5" x14ac:dyDescent="0.3">
      <c r="A446" s="1" t="s">
        <v>1256</v>
      </c>
      <c r="B446">
        <v>0.108503862316432</v>
      </c>
      <c r="C446">
        <v>1.0945426710716739</v>
      </c>
      <c r="D446">
        <v>4.0030126164879339E-2</v>
      </c>
      <c r="E446" t="b">
        <v>0</v>
      </c>
    </row>
    <row r="447" spans="1:5" x14ac:dyDescent="0.3">
      <c r="A447" s="1" t="s">
        <v>571</v>
      </c>
      <c r="B447">
        <v>0.10719491502046941</v>
      </c>
      <c r="C447">
        <v>0.64903586173453154</v>
      </c>
      <c r="D447">
        <v>2.4026691316238059E-2</v>
      </c>
      <c r="E447" t="b">
        <v>0</v>
      </c>
    </row>
    <row r="448" spans="1:5" x14ac:dyDescent="0.3">
      <c r="A448" s="1" t="s">
        <v>848</v>
      </c>
      <c r="B448">
        <v>0.10712279398216359</v>
      </c>
      <c r="C448">
        <v>0.43908467354425362</v>
      </c>
      <c r="D448">
        <v>1.626544112060407E-2</v>
      </c>
      <c r="E448" t="b">
        <v>0</v>
      </c>
    </row>
    <row r="449" spans="1:5" x14ac:dyDescent="0.3">
      <c r="A449" s="1" t="s">
        <v>667</v>
      </c>
      <c r="B449">
        <v>0.1062613362092909</v>
      </c>
      <c r="C449">
        <v>0.69893248689822074</v>
      </c>
      <c r="D449">
        <v>2.6101136251597181E-2</v>
      </c>
      <c r="E449" t="b">
        <v>0</v>
      </c>
    </row>
    <row r="450" spans="1:5" x14ac:dyDescent="0.3">
      <c r="A450" s="1" t="s">
        <v>169</v>
      </c>
      <c r="B450">
        <v>0.1056389972025709</v>
      </c>
      <c r="C450">
        <v>0.49087469519182492</v>
      </c>
      <c r="D450">
        <v>1.843935959913684E-2</v>
      </c>
      <c r="E450" t="b">
        <v>0</v>
      </c>
    </row>
    <row r="451" spans="1:5" x14ac:dyDescent="0.3">
      <c r="A451" s="1" t="s">
        <v>996</v>
      </c>
      <c r="B451">
        <v>0.105206984205286</v>
      </c>
      <c r="C451">
        <v>0.44342945164290309</v>
      </c>
      <c r="D451">
        <v>1.6725512040998321E-2</v>
      </c>
      <c r="E451" t="b">
        <v>0</v>
      </c>
    </row>
    <row r="452" spans="1:5" x14ac:dyDescent="0.3">
      <c r="A452" s="1" t="s">
        <v>349</v>
      </c>
      <c r="B452">
        <v>0.1045154525345981</v>
      </c>
      <c r="C452">
        <v>1.6498568092825621</v>
      </c>
      <c r="D452">
        <v>6.2641941183951361E-2</v>
      </c>
      <c r="E452" t="b">
        <v>0</v>
      </c>
    </row>
    <row r="453" spans="1:5" x14ac:dyDescent="0.3">
      <c r="A453" s="1" t="s">
        <v>1596</v>
      </c>
      <c r="B453">
        <v>0.1032291874819839</v>
      </c>
      <c r="C453">
        <v>0.43099845075352272</v>
      </c>
      <c r="D453">
        <v>1.6568098172936519E-2</v>
      </c>
      <c r="E453" t="b">
        <v>0</v>
      </c>
    </row>
    <row r="454" spans="1:5" x14ac:dyDescent="0.3">
      <c r="A454" s="1" t="s">
        <v>563</v>
      </c>
      <c r="B454">
        <v>0.1030779187492539</v>
      </c>
      <c r="C454">
        <v>0.68651096592671257</v>
      </c>
      <c r="D454">
        <v>2.6429034441561809E-2</v>
      </c>
      <c r="E454" t="b">
        <v>0</v>
      </c>
    </row>
    <row r="455" spans="1:5" x14ac:dyDescent="0.3">
      <c r="A455" s="1" t="s">
        <v>722</v>
      </c>
      <c r="B455">
        <v>0.1029700777088494</v>
      </c>
      <c r="C455">
        <v>0.48078468280445091</v>
      </c>
      <c r="D455">
        <v>1.8528447951734639E-2</v>
      </c>
      <c r="E455" t="b">
        <v>0</v>
      </c>
    </row>
    <row r="456" spans="1:5" x14ac:dyDescent="0.3">
      <c r="A456" s="1" t="s">
        <v>258</v>
      </c>
      <c r="B456">
        <v>0.1026042062752197</v>
      </c>
      <c r="C456">
        <v>0.55115006809849643</v>
      </c>
      <c r="D456">
        <v>2.1315923822545262E-2</v>
      </c>
      <c r="E456" t="b">
        <v>0</v>
      </c>
    </row>
    <row r="457" spans="1:5" x14ac:dyDescent="0.3">
      <c r="A457" s="1" t="s">
        <v>1167</v>
      </c>
      <c r="B457">
        <v>0.10228842211561399</v>
      </c>
      <c r="C457">
        <v>0.46205595202366329</v>
      </c>
      <c r="D457">
        <v>1.7925346068011942E-2</v>
      </c>
      <c r="E457" t="b">
        <v>0</v>
      </c>
    </row>
    <row r="458" spans="1:5" x14ac:dyDescent="0.3">
      <c r="A458" s="1" t="s">
        <v>1425</v>
      </c>
      <c r="B458">
        <v>0.1020877630415037</v>
      </c>
      <c r="C458">
        <v>0.90398308489399604</v>
      </c>
      <c r="D458">
        <v>3.5138731195497708E-2</v>
      </c>
      <c r="E458" t="b">
        <v>0</v>
      </c>
    </row>
    <row r="459" spans="1:5" x14ac:dyDescent="0.3">
      <c r="A459" s="1" t="s">
        <v>1085</v>
      </c>
      <c r="B459">
        <v>0.10025650037203131</v>
      </c>
      <c r="C459">
        <v>0.95093063054074989</v>
      </c>
      <c r="D459">
        <v>3.7638798822767293E-2</v>
      </c>
      <c r="E459" t="b">
        <v>0</v>
      </c>
    </row>
    <row r="460" spans="1:5" x14ac:dyDescent="0.3">
      <c r="A460" s="1" t="s">
        <v>337</v>
      </c>
      <c r="B460">
        <v>9.979509669231329E-2</v>
      </c>
      <c r="C460">
        <v>0.86125039020413063</v>
      </c>
      <c r="D460">
        <v>3.4246775561780331E-2</v>
      </c>
      <c r="E460" t="b">
        <v>0</v>
      </c>
    </row>
    <row r="461" spans="1:5" x14ac:dyDescent="0.3">
      <c r="A461" s="1" t="s">
        <v>193</v>
      </c>
      <c r="B461">
        <v>9.952712539610091E-2</v>
      </c>
      <c r="C461">
        <v>0.72787965508680674</v>
      </c>
      <c r="D461">
        <v>2.9021347880933648E-2</v>
      </c>
      <c r="E461" t="b">
        <v>0</v>
      </c>
    </row>
    <row r="462" spans="1:5" x14ac:dyDescent="0.3">
      <c r="A462" s="1" t="s">
        <v>777</v>
      </c>
      <c r="B462">
        <v>9.9342543326480834E-2</v>
      </c>
      <c r="C462">
        <v>0.68121711430009091</v>
      </c>
      <c r="D462">
        <v>2.721132786161792E-2</v>
      </c>
      <c r="E462" t="b">
        <v>0</v>
      </c>
    </row>
    <row r="463" spans="1:5" x14ac:dyDescent="0.3">
      <c r="A463" s="1" t="s">
        <v>769</v>
      </c>
      <c r="B463">
        <v>9.8390815989057287E-2</v>
      </c>
      <c r="C463">
        <v>7.3608337806628871E-2</v>
      </c>
      <c r="D463">
        <v>2.9687382471776601E-3</v>
      </c>
      <c r="E463" t="b">
        <v>0</v>
      </c>
    </row>
    <row r="464" spans="1:5" x14ac:dyDescent="0.3">
      <c r="A464" s="1" t="s">
        <v>363</v>
      </c>
      <c r="B464">
        <v>9.561735296272679E-2</v>
      </c>
      <c r="C464">
        <v>0.27030735164965169</v>
      </c>
      <c r="D464">
        <v>1.1218133399385009E-2</v>
      </c>
      <c r="E464" t="b">
        <v>0</v>
      </c>
    </row>
    <row r="465" spans="1:5" x14ac:dyDescent="0.3">
      <c r="A465" s="1" t="s">
        <v>632</v>
      </c>
      <c r="B465">
        <v>9.412587213529805E-2</v>
      </c>
      <c r="C465">
        <v>2.3547483789597399</v>
      </c>
      <c r="D465">
        <v>9.9273870053655691E-2</v>
      </c>
      <c r="E465" t="b">
        <v>0</v>
      </c>
    </row>
    <row r="466" spans="1:5" x14ac:dyDescent="0.3">
      <c r="A466" s="1" t="s">
        <v>387</v>
      </c>
      <c r="B466">
        <v>9.3454248869362364E-2</v>
      </c>
      <c r="C466">
        <v>1.7413547552323549</v>
      </c>
      <c r="D466">
        <v>7.3941399146530404E-2</v>
      </c>
      <c r="E466" t="b">
        <v>0</v>
      </c>
    </row>
    <row r="467" spans="1:5" x14ac:dyDescent="0.3">
      <c r="A467" s="1" t="s">
        <v>552</v>
      </c>
      <c r="B467">
        <v>9.2824907881018701E-2</v>
      </c>
      <c r="C467">
        <v>0.90453215687923127</v>
      </c>
      <c r="D467">
        <v>3.8668644040564797E-2</v>
      </c>
      <c r="E467" t="b">
        <v>0</v>
      </c>
    </row>
    <row r="468" spans="1:5" x14ac:dyDescent="0.3">
      <c r="A468" s="1" t="s">
        <v>1458</v>
      </c>
      <c r="B468">
        <v>9.1093383507581185E-2</v>
      </c>
      <c r="C468">
        <v>0.91484607056554945</v>
      </c>
      <c r="D468">
        <v>3.9852966374458558E-2</v>
      </c>
      <c r="E468" t="b">
        <v>0</v>
      </c>
    </row>
    <row r="469" spans="1:5" x14ac:dyDescent="0.3">
      <c r="A469" s="1" t="s">
        <v>1340</v>
      </c>
      <c r="B469">
        <v>9.0399950276111571E-2</v>
      </c>
      <c r="C469">
        <v>0.92110279221358304</v>
      </c>
      <c r="D469">
        <v>4.0433316602578373E-2</v>
      </c>
      <c r="E469" t="b">
        <v>0</v>
      </c>
    </row>
    <row r="470" spans="1:5" x14ac:dyDescent="0.3">
      <c r="A470" s="1" t="s">
        <v>631</v>
      </c>
      <c r="B470">
        <v>8.9360363937100673E-2</v>
      </c>
      <c r="C470">
        <v>0.53299504780962126</v>
      </c>
      <c r="D470">
        <v>2.366887980692424E-2</v>
      </c>
      <c r="E470" t="b">
        <v>0</v>
      </c>
    </row>
    <row r="471" spans="1:5" x14ac:dyDescent="0.3">
      <c r="A471" s="1" t="s">
        <v>638</v>
      </c>
      <c r="B471">
        <v>8.8996417468957451E-2</v>
      </c>
      <c r="C471">
        <v>0.96531069728876573</v>
      </c>
      <c r="D471">
        <v>4.3042159606596388E-2</v>
      </c>
      <c r="E471" t="b">
        <v>0</v>
      </c>
    </row>
    <row r="472" spans="1:5" x14ac:dyDescent="0.3">
      <c r="A472" s="1" t="s">
        <v>443</v>
      </c>
      <c r="B472">
        <v>8.8077229543873772E-2</v>
      </c>
      <c r="C472">
        <v>0.63219011251710056</v>
      </c>
      <c r="D472">
        <v>2.8482854600203521E-2</v>
      </c>
      <c r="E472" t="b">
        <v>0</v>
      </c>
    </row>
    <row r="473" spans="1:5" x14ac:dyDescent="0.3">
      <c r="A473" s="1" t="s">
        <v>1416</v>
      </c>
      <c r="B473">
        <v>8.7920709955414567E-2</v>
      </c>
      <c r="C473">
        <v>0.55618437612506688</v>
      </c>
      <c r="D473">
        <v>2.510308275215687E-2</v>
      </c>
      <c r="E473" t="b">
        <v>0</v>
      </c>
    </row>
    <row r="474" spans="1:5" x14ac:dyDescent="0.3">
      <c r="A474" s="1" t="s">
        <v>1032</v>
      </c>
      <c r="B474">
        <v>8.7645015970222076E-2</v>
      </c>
      <c r="C474">
        <v>1.883988198272702</v>
      </c>
      <c r="D474">
        <v>8.5300271340920941E-2</v>
      </c>
      <c r="E474" t="b">
        <v>0</v>
      </c>
    </row>
    <row r="475" spans="1:5" x14ac:dyDescent="0.3">
      <c r="A475" s="1" t="s">
        <v>1627</v>
      </c>
      <c r="B475">
        <v>8.64398579866094E-2</v>
      </c>
      <c r="C475">
        <v>0.51492536098750197</v>
      </c>
      <c r="D475">
        <v>2.363903244044897E-2</v>
      </c>
      <c r="E475" t="b">
        <v>0</v>
      </c>
    </row>
    <row r="476" spans="1:5" x14ac:dyDescent="0.3">
      <c r="A476" s="1" t="s">
        <v>971</v>
      </c>
      <c r="B476">
        <v>8.6147801783139327E-2</v>
      </c>
      <c r="C476">
        <v>0.44541191890816939</v>
      </c>
      <c r="D476">
        <v>2.0517152824912718E-2</v>
      </c>
      <c r="E476" t="b">
        <v>0</v>
      </c>
    </row>
    <row r="477" spans="1:5" x14ac:dyDescent="0.3">
      <c r="A477" s="1" t="s">
        <v>819</v>
      </c>
      <c r="B477">
        <v>8.5183548034116055E-2</v>
      </c>
      <c r="C477">
        <v>0.58920471265169638</v>
      </c>
      <c r="D477">
        <v>2.744795201718549E-2</v>
      </c>
      <c r="E477" t="b">
        <v>0</v>
      </c>
    </row>
    <row r="478" spans="1:5" x14ac:dyDescent="0.3">
      <c r="A478" s="1" t="s">
        <v>250</v>
      </c>
      <c r="B478">
        <v>8.4545289887191066E-2</v>
      </c>
      <c r="C478">
        <v>0.77148327913619275</v>
      </c>
      <c r="D478">
        <v>3.6210669901997707E-2</v>
      </c>
      <c r="E478" t="b">
        <v>0</v>
      </c>
    </row>
    <row r="479" spans="1:5" x14ac:dyDescent="0.3">
      <c r="A479" s="1" t="s">
        <v>795</v>
      </c>
      <c r="B479">
        <v>8.4495586735196138E-2</v>
      </c>
      <c r="C479">
        <v>0.42419168923217132</v>
      </c>
      <c r="D479">
        <v>1.9921754722779489E-2</v>
      </c>
      <c r="E479" t="b">
        <v>0</v>
      </c>
    </row>
    <row r="480" spans="1:5" x14ac:dyDescent="0.3">
      <c r="A480" s="1" t="s">
        <v>1473</v>
      </c>
      <c r="B480">
        <v>8.386310933935788E-2</v>
      </c>
      <c r="C480">
        <v>0.48276686180856848</v>
      </c>
      <c r="D480">
        <v>2.2843673818021541E-2</v>
      </c>
      <c r="E480" t="b">
        <v>0</v>
      </c>
    </row>
    <row r="481" spans="1:5" x14ac:dyDescent="0.3">
      <c r="A481" s="1" t="s">
        <v>991</v>
      </c>
      <c r="B481">
        <v>8.2791265949224854E-2</v>
      </c>
      <c r="C481">
        <v>0.57988445477775952</v>
      </c>
      <c r="D481">
        <v>2.7794342342970031E-2</v>
      </c>
      <c r="E481" t="b">
        <v>0</v>
      </c>
    </row>
    <row r="482" spans="1:5" x14ac:dyDescent="0.3">
      <c r="A482" s="1" t="s">
        <v>128</v>
      </c>
      <c r="B482">
        <v>8.2585099887877253E-2</v>
      </c>
      <c r="C482">
        <v>0.49762664746522889</v>
      </c>
      <c r="D482">
        <v>2.391120094537395E-2</v>
      </c>
      <c r="E482" t="b">
        <v>0</v>
      </c>
    </row>
    <row r="483" spans="1:5" x14ac:dyDescent="0.3">
      <c r="A483" s="1" t="s">
        <v>1079</v>
      </c>
      <c r="B483">
        <v>8.2264505676780522E-2</v>
      </c>
      <c r="C483">
        <v>0.85463703624800114</v>
      </c>
      <c r="D483">
        <v>4.1225760522197868E-2</v>
      </c>
      <c r="E483" t="b">
        <v>0</v>
      </c>
    </row>
    <row r="484" spans="1:5" x14ac:dyDescent="0.3">
      <c r="A484" s="1" t="s">
        <v>259</v>
      </c>
      <c r="B484">
        <v>8.1905841196942858E-2</v>
      </c>
      <c r="C484">
        <v>2.51324733622209</v>
      </c>
      <c r="D484">
        <v>0.1217642547762427</v>
      </c>
      <c r="E484" t="b">
        <v>0</v>
      </c>
    </row>
    <row r="485" spans="1:5" x14ac:dyDescent="0.3">
      <c r="A485" s="1" t="s">
        <v>604</v>
      </c>
      <c r="B485">
        <v>8.1248929603480624E-2</v>
      </c>
      <c r="C485">
        <v>0.47099626462341132</v>
      </c>
      <c r="D485">
        <v>2.300378362208701E-2</v>
      </c>
      <c r="E485" t="b">
        <v>0</v>
      </c>
    </row>
    <row r="486" spans="1:5" x14ac:dyDescent="0.3">
      <c r="A486" s="1" t="s">
        <v>828</v>
      </c>
      <c r="B486">
        <v>8.0162217579129835E-2</v>
      </c>
      <c r="C486">
        <v>0.49759562584762818</v>
      </c>
      <c r="D486">
        <v>2.463237515736777E-2</v>
      </c>
      <c r="E486" t="b">
        <v>0</v>
      </c>
    </row>
    <row r="487" spans="1:5" x14ac:dyDescent="0.3">
      <c r="A487" s="1" t="s">
        <v>1262</v>
      </c>
      <c r="B487">
        <v>7.9768986574473816E-2</v>
      </c>
      <c r="C487">
        <v>0.40263896195996202</v>
      </c>
      <c r="D487">
        <v>2.003001074959836E-2</v>
      </c>
      <c r="E487" t="b">
        <v>0</v>
      </c>
    </row>
    <row r="488" spans="1:5" x14ac:dyDescent="0.3">
      <c r="A488" s="1" t="s">
        <v>966</v>
      </c>
      <c r="B488">
        <v>7.9302589478763869E-2</v>
      </c>
      <c r="C488">
        <v>1.0080250026605211</v>
      </c>
      <c r="D488">
        <v>5.0440965965909593E-2</v>
      </c>
      <c r="E488" t="b">
        <v>0</v>
      </c>
    </row>
    <row r="489" spans="1:5" x14ac:dyDescent="0.3">
      <c r="A489" s="1" t="s">
        <v>1463</v>
      </c>
      <c r="B489">
        <v>7.7228960226261995E-2</v>
      </c>
      <c r="C489">
        <v>0.50852050796949655</v>
      </c>
      <c r="D489">
        <v>2.6129298099785508E-2</v>
      </c>
      <c r="E489" t="b">
        <v>0</v>
      </c>
    </row>
    <row r="490" spans="1:5" x14ac:dyDescent="0.3">
      <c r="A490" s="1" t="s">
        <v>1219</v>
      </c>
      <c r="B490">
        <v>7.7161693390096708E-2</v>
      </c>
      <c r="C490">
        <v>0.96109047912915724</v>
      </c>
      <c r="D490">
        <v>4.9426741950493187E-2</v>
      </c>
      <c r="E490" t="b">
        <v>0</v>
      </c>
    </row>
    <row r="491" spans="1:5" x14ac:dyDescent="0.3">
      <c r="A491" s="1" t="s">
        <v>1481</v>
      </c>
      <c r="B491">
        <v>7.6377480704770531E-2</v>
      </c>
      <c r="C491">
        <v>0.44141447979837278</v>
      </c>
      <c r="D491">
        <v>2.293404737812E-2</v>
      </c>
      <c r="E491" t="b">
        <v>0</v>
      </c>
    </row>
    <row r="492" spans="1:5" x14ac:dyDescent="0.3">
      <c r="A492" s="1" t="s">
        <v>1198</v>
      </c>
      <c r="B492">
        <v>7.5927938974018575E-2</v>
      </c>
      <c r="C492">
        <v>0.69313757033270362</v>
      </c>
      <c r="D492">
        <v>3.6225741817644513E-2</v>
      </c>
      <c r="E492" t="b">
        <v>0</v>
      </c>
    </row>
    <row r="493" spans="1:5" x14ac:dyDescent="0.3">
      <c r="A493" s="1" t="s">
        <v>837</v>
      </c>
      <c r="B493">
        <v>7.584240497967859E-2</v>
      </c>
      <c r="C493">
        <v>0.40326876669105549</v>
      </c>
      <c r="D493">
        <v>2.1099975457311061E-2</v>
      </c>
      <c r="E493" t="b">
        <v>0</v>
      </c>
    </row>
    <row r="494" spans="1:5" x14ac:dyDescent="0.3">
      <c r="A494" s="1" t="s">
        <v>877</v>
      </c>
      <c r="B494">
        <v>7.5151926908322994E-2</v>
      </c>
      <c r="C494">
        <v>0.15100153981201431</v>
      </c>
      <c r="D494">
        <v>7.9733479129877535E-3</v>
      </c>
      <c r="E494" t="b">
        <v>0</v>
      </c>
    </row>
    <row r="495" spans="1:5" x14ac:dyDescent="0.3">
      <c r="A495" s="1" t="s">
        <v>1065</v>
      </c>
      <c r="B495">
        <v>7.4861655443105649E-2</v>
      </c>
      <c r="C495">
        <v>0.66958995459091675</v>
      </c>
      <c r="D495">
        <v>3.5493511046222857E-2</v>
      </c>
      <c r="E495" t="b">
        <v>0</v>
      </c>
    </row>
    <row r="496" spans="1:5" x14ac:dyDescent="0.3">
      <c r="A496" s="1" t="s">
        <v>1016</v>
      </c>
      <c r="B496">
        <v>7.4506725388469877E-2</v>
      </c>
      <c r="C496">
        <v>1.2056899251931721</v>
      </c>
      <c r="D496">
        <v>6.4215462499336309E-2</v>
      </c>
      <c r="E496" t="b">
        <v>0</v>
      </c>
    </row>
    <row r="497" spans="1:5" x14ac:dyDescent="0.3">
      <c r="A497" s="1" t="s">
        <v>1161</v>
      </c>
      <c r="B497">
        <v>7.4412613001999112E-2</v>
      </c>
      <c r="C497">
        <v>0.47991148930673122</v>
      </c>
      <c r="D497">
        <v>2.5592578932834221E-2</v>
      </c>
      <c r="E497" t="b">
        <v>0</v>
      </c>
    </row>
    <row r="498" spans="1:5" x14ac:dyDescent="0.3">
      <c r="A498" s="1" t="s">
        <v>1080</v>
      </c>
      <c r="B498">
        <v>7.3394158360538156E-2</v>
      </c>
      <c r="C498">
        <v>1.5792634797370579</v>
      </c>
      <c r="D498">
        <v>8.538715764815806E-2</v>
      </c>
      <c r="E498" t="b">
        <v>0</v>
      </c>
    </row>
    <row r="499" spans="1:5" x14ac:dyDescent="0.3">
      <c r="A499" s="1" t="s">
        <v>1562</v>
      </c>
      <c r="B499">
        <v>7.1629063414058322E-2</v>
      </c>
      <c r="C499">
        <v>0.36232905596559423</v>
      </c>
      <c r="D499">
        <v>2.00730492012407E-2</v>
      </c>
      <c r="E499" t="b">
        <v>0</v>
      </c>
    </row>
    <row r="500" spans="1:5" x14ac:dyDescent="0.3">
      <c r="A500" s="1" t="s">
        <v>548</v>
      </c>
      <c r="B500">
        <v>7.0961446438894557E-2</v>
      </c>
      <c r="C500">
        <v>0.5088186491107467</v>
      </c>
      <c r="D500">
        <v>2.845378335395158E-2</v>
      </c>
      <c r="E500" t="b">
        <v>0</v>
      </c>
    </row>
    <row r="501" spans="1:5" x14ac:dyDescent="0.3">
      <c r="A501" s="1" t="s">
        <v>1671</v>
      </c>
      <c r="B501">
        <v>6.8843520786888712E-2</v>
      </c>
      <c r="C501">
        <v>0.55268022141785877</v>
      </c>
      <c r="D501">
        <v>3.1857398586659612E-2</v>
      </c>
      <c r="E501" t="b">
        <v>0</v>
      </c>
    </row>
    <row r="502" spans="1:5" x14ac:dyDescent="0.3">
      <c r="A502" s="1" t="s">
        <v>512</v>
      </c>
      <c r="B502">
        <v>6.8638580097570179E-2</v>
      </c>
      <c r="C502">
        <v>0.51549656457739035</v>
      </c>
      <c r="D502">
        <v>2.9802791449031339E-2</v>
      </c>
      <c r="E502" t="b">
        <v>0</v>
      </c>
    </row>
    <row r="503" spans="1:5" x14ac:dyDescent="0.3">
      <c r="A503" s="1" t="s">
        <v>580</v>
      </c>
      <c r="B503">
        <v>6.8530820463197764E-2</v>
      </c>
      <c r="C503">
        <v>0.28931967384943441</v>
      </c>
      <c r="D503">
        <v>1.6752957809158409E-2</v>
      </c>
      <c r="E503" t="b">
        <v>0</v>
      </c>
    </row>
    <row r="504" spans="1:5" x14ac:dyDescent="0.3">
      <c r="A504" s="1" t="s">
        <v>354</v>
      </c>
      <c r="B504">
        <v>6.7172234836162886E-2</v>
      </c>
      <c r="C504">
        <v>0.76742732415837822</v>
      </c>
      <c r="D504">
        <v>4.5336388343573668E-2</v>
      </c>
      <c r="E504" t="b">
        <v>0</v>
      </c>
    </row>
    <row r="505" spans="1:5" x14ac:dyDescent="0.3">
      <c r="A505" s="1" t="s">
        <v>144</v>
      </c>
      <c r="B505">
        <v>6.7007782525848422E-2</v>
      </c>
      <c r="C505">
        <v>0.2496400223896289</v>
      </c>
      <c r="D505">
        <v>1.4783879903808399E-2</v>
      </c>
      <c r="E505" t="b">
        <v>0</v>
      </c>
    </row>
    <row r="506" spans="1:5" x14ac:dyDescent="0.3">
      <c r="A506" s="1" t="s">
        <v>127</v>
      </c>
      <c r="B506">
        <v>6.6611428583362053E-2</v>
      </c>
      <c r="C506">
        <v>0.30211719246023738</v>
      </c>
      <c r="D506">
        <v>1.799807890860242E-2</v>
      </c>
      <c r="E506" t="b">
        <v>0</v>
      </c>
    </row>
    <row r="507" spans="1:5" x14ac:dyDescent="0.3">
      <c r="A507" s="1" t="s">
        <v>402</v>
      </c>
      <c r="B507">
        <v>6.6503147040977428E-2</v>
      </c>
      <c r="C507">
        <v>0.37752572682407459</v>
      </c>
      <c r="D507">
        <v>2.2527023610845031E-2</v>
      </c>
      <c r="E507" t="b">
        <v>0</v>
      </c>
    </row>
    <row r="508" spans="1:5" x14ac:dyDescent="0.3">
      <c r="A508" s="1" t="s">
        <v>1676</v>
      </c>
      <c r="B508">
        <v>6.4939885575682629E-2</v>
      </c>
      <c r="C508">
        <v>0.51375286011284538</v>
      </c>
      <c r="D508">
        <v>3.139367751839766E-2</v>
      </c>
      <c r="E508" t="b">
        <v>0</v>
      </c>
    </row>
    <row r="509" spans="1:5" x14ac:dyDescent="0.3">
      <c r="A509" s="1" t="s">
        <v>1067</v>
      </c>
      <c r="B509">
        <v>6.4919175820010541E-2</v>
      </c>
      <c r="C509">
        <v>0.70813966760317926</v>
      </c>
      <c r="D509">
        <v>4.3285793612589107E-2</v>
      </c>
      <c r="E509" t="b">
        <v>0</v>
      </c>
    </row>
    <row r="510" spans="1:5" x14ac:dyDescent="0.3">
      <c r="A510" s="1" t="s">
        <v>1043</v>
      </c>
      <c r="B510">
        <v>6.4862104185517327E-2</v>
      </c>
      <c r="C510">
        <v>0.51563297920330675</v>
      </c>
      <c r="D510">
        <v>3.1546349622481311E-2</v>
      </c>
      <c r="E510" t="b">
        <v>0</v>
      </c>
    </row>
    <row r="511" spans="1:5" x14ac:dyDescent="0.3">
      <c r="A511" s="1" t="s">
        <v>1245</v>
      </c>
      <c r="B511">
        <v>6.4725357519489324E-2</v>
      </c>
      <c r="C511">
        <v>0.34792102264962849</v>
      </c>
      <c r="D511">
        <v>2.1330727734530409E-2</v>
      </c>
      <c r="E511" t="b">
        <v>0</v>
      </c>
    </row>
    <row r="512" spans="1:5" x14ac:dyDescent="0.3">
      <c r="A512" s="1" t="s">
        <v>682</v>
      </c>
      <c r="B512">
        <v>6.2883020040067822E-2</v>
      </c>
      <c r="C512">
        <v>0.38749851092796422</v>
      </c>
      <c r="D512">
        <v>2.445322286847244E-2</v>
      </c>
      <c r="E512" t="b">
        <v>0</v>
      </c>
    </row>
    <row r="513" spans="1:5" x14ac:dyDescent="0.3">
      <c r="A513" s="1" t="s">
        <v>381</v>
      </c>
      <c r="B513">
        <v>6.2754994628708788E-2</v>
      </c>
      <c r="C513">
        <v>1.7946923130172689</v>
      </c>
      <c r="D513">
        <v>0.1134857063579069</v>
      </c>
      <c r="E513" t="b">
        <v>0</v>
      </c>
    </row>
    <row r="514" spans="1:5" x14ac:dyDescent="0.3">
      <c r="A514" s="1" t="s">
        <v>672</v>
      </c>
      <c r="B514">
        <v>6.2637290331006623E-2</v>
      </c>
      <c r="C514">
        <v>0.75309980249149522</v>
      </c>
      <c r="D514">
        <v>4.771105620845794E-2</v>
      </c>
      <c r="E514" t="b">
        <v>0</v>
      </c>
    </row>
    <row r="515" spans="1:5" x14ac:dyDescent="0.3">
      <c r="A515" s="1" t="s">
        <v>437</v>
      </c>
      <c r="B515">
        <v>6.2560559725739345E-2</v>
      </c>
      <c r="C515">
        <v>0.26726749327688798</v>
      </c>
      <c r="D515">
        <v>1.6952938008080901E-2</v>
      </c>
      <c r="E515" t="b">
        <v>0</v>
      </c>
    </row>
    <row r="516" spans="1:5" x14ac:dyDescent="0.3">
      <c r="A516" s="1" t="s">
        <v>1044</v>
      </c>
      <c r="B516">
        <v>6.2548902783205199E-2</v>
      </c>
      <c r="C516">
        <v>1.500569469812044</v>
      </c>
      <c r="D516">
        <v>9.5199763517214833E-2</v>
      </c>
      <c r="E516" t="b">
        <v>0</v>
      </c>
    </row>
    <row r="517" spans="1:5" x14ac:dyDescent="0.3">
      <c r="A517" s="1" t="s">
        <v>345</v>
      </c>
      <c r="B517">
        <v>6.2337540911270868E-2</v>
      </c>
      <c r="C517">
        <v>0.36745784721028629</v>
      </c>
      <c r="D517">
        <v>2.3391459448709771E-2</v>
      </c>
      <c r="E517" t="b">
        <v>0</v>
      </c>
    </row>
    <row r="518" spans="1:5" x14ac:dyDescent="0.3">
      <c r="A518" s="1" t="s">
        <v>325</v>
      </c>
      <c r="B518">
        <v>6.1657816183829553E-2</v>
      </c>
      <c r="C518">
        <v>0.64409839158755622</v>
      </c>
      <c r="D518">
        <v>4.1453722440361801E-2</v>
      </c>
      <c r="E518" t="b">
        <v>0</v>
      </c>
    </row>
    <row r="519" spans="1:5" x14ac:dyDescent="0.3">
      <c r="A519" s="1" t="s">
        <v>875</v>
      </c>
      <c r="B519">
        <v>6.1103534574448372E-2</v>
      </c>
      <c r="C519">
        <v>0.40906263221912309</v>
      </c>
      <c r="D519">
        <v>2.6565802205601841E-2</v>
      </c>
      <c r="E519" t="b">
        <v>0</v>
      </c>
    </row>
    <row r="520" spans="1:5" x14ac:dyDescent="0.3">
      <c r="A520" s="1" t="s">
        <v>498</v>
      </c>
      <c r="B520">
        <v>6.0248701610420181E-2</v>
      </c>
      <c r="C520">
        <v>0.36787698104016631</v>
      </c>
      <c r="D520">
        <v>2.4230053940107622E-2</v>
      </c>
      <c r="E520" t="b">
        <v>0</v>
      </c>
    </row>
    <row r="521" spans="1:5" x14ac:dyDescent="0.3">
      <c r="A521" s="1" t="s">
        <v>1341</v>
      </c>
      <c r="B521">
        <v>6.0190223785366981E-2</v>
      </c>
      <c r="C521">
        <v>1.7190374133015911</v>
      </c>
      <c r="D521">
        <v>0.1133336380545156</v>
      </c>
      <c r="E521" t="b">
        <v>0</v>
      </c>
    </row>
    <row r="522" spans="1:5" x14ac:dyDescent="0.3">
      <c r="A522" s="1" t="s">
        <v>1124</v>
      </c>
      <c r="B522">
        <v>5.9734007066771587E-2</v>
      </c>
      <c r="C522">
        <v>0.3683741204781219</v>
      </c>
      <c r="D522">
        <v>2.4471856772564211E-2</v>
      </c>
      <c r="E522" t="b">
        <v>0</v>
      </c>
    </row>
    <row r="523" spans="1:5" x14ac:dyDescent="0.3">
      <c r="A523" s="1" t="s">
        <v>923</v>
      </c>
      <c r="B523">
        <v>5.9514577448493457E-2</v>
      </c>
      <c r="C523">
        <v>0.44307669097361613</v>
      </c>
      <c r="D523">
        <v>2.9543028155052411E-2</v>
      </c>
      <c r="E523" t="b">
        <v>0</v>
      </c>
    </row>
    <row r="524" spans="1:5" x14ac:dyDescent="0.3">
      <c r="A524" s="1" t="s">
        <v>1210</v>
      </c>
      <c r="B524">
        <v>5.8294571483600559E-2</v>
      </c>
      <c r="C524">
        <v>1.3593573481833581</v>
      </c>
      <c r="D524">
        <v>9.2534777320068651E-2</v>
      </c>
      <c r="E524" t="b">
        <v>0</v>
      </c>
    </row>
    <row r="525" spans="1:5" x14ac:dyDescent="0.3">
      <c r="A525" s="1" t="s">
        <v>1647</v>
      </c>
      <c r="B525">
        <v>5.780547667220555E-2</v>
      </c>
      <c r="C525">
        <v>0.20343298710603031</v>
      </c>
      <c r="D525">
        <v>1.396535077350936E-2</v>
      </c>
      <c r="E525" t="b">
        <v>0</v>
      </c>
    </row>
    <row r="526" spans="1:5" x14ac:dyDescent="0.3">
      <c r="A526" s="1" t="s">
        <v>348</v>
      </c>
      <c r="B526">
        <v>5.7477269169779743E-2</v>
      </c>
      <c r="C526">
        <v>0.56536565952252182</v>
      </c>
      <c r="D526">
        <v>3.903307436697704E-2</v>
      </c>
      <c r="E526" t="b">
        <v>0</v>
      </c>
    </row>
    <row r="527" spans="1:5" x14ac:dyDescent="0.3">
      <c r="A527" s="1" t="s">
        <v>1035</v>
      </c>
      <c r="B527">
        <v>5.6982582535883862E-2</v>
      </c>
      <c r="C527">
        <v>0.32501930612954633</v>
      </c>
      <c r="D527">
        <v>2.263426987528195E-2</v>
      </c>
      <c r="E527" t="b">
        <v>0</v>
      </c>
    </row>
    <row r="528" spans="1:5" x14ac:dyDescent="0.3">
      <c r="A528" s="1" t="s">
        <v>1150</v>
      </c>
      <c r="B528">
        <v>5.6834775474543853E-2</v>
      </c>
      <c r="C528">
        <v>0.4388945312311654</v>
      </c>
      <c r="D528">
        <v>3.0644001857333208E-2</v>
      </c>
      <c r="E528" t="b">
        <v>0</v>
      </c>
    </row>
    <row r="529" spans="1:5" x14ac:dyDescent="0.3">
      <c r="A529" s="1" t="s">
        <v>1194</v>
      </c>
      <c r="B529">
        <v>5.6536834260640982E-2</v>
      </c>
      <c r="C529">
        <v>0.33766703733838871</v>
      </c>
      <c r="D529">
        <v>2.3700452605628971E-2</v>
      </c>
      <c r="E529" t="b">
        <v>0</v>
      </c>
    </row>
    <row r="530" spans="1:5" x14ac:dyDescent="0.3">
      <c r="A530" s="1" t="s">
        <v>139</v>
      </c>
      <c r="B530">
        <v>5.6226136676736212E-2</v>
      </c>
      <c r="C530">
        <v>0.80325943406620359</v>
      </c>
      <c r="D530">
        <v>5.6691382783364969E-2</v>
      </c>
      <c r="E530" t="b">
        <v>0</v>
      </c>
    </row>
    <row r="531" spans="1:5" x14ac:dyDescent="0.3">
      <c r="A531" s="1" t="s">
        <v>593</v>
      </c>
      <c r="B531">
        <v>5.5854936596154162E-2</v>
      </c>
      <c r="C531">
        <v>0.24093753736811771</v>
      </c>
      <c r="D531">
        <v>1.7117579877947681E-2</v>
      </c>
      <c r="E531" t="b">
        <v>0</v>
      </c>
    </row>
    <row r="532" spans="1:5" x14ac:dyDescent="0.3">
      <c r="A532" s="1" t="s">
        <v>385</v>
      </c>
      <c r="B532">
        <v>5.5260193947371118E-2</v>
      </c>
      <c r="C532">
        <v>0.75863126416090543</v>
      </c>
      <c r="D532">
        <v>5.4477577970774613E-2</v>
      </c>
      <c r="E532" t="b">
        <v>0</v>
      </c>
    </row>
    <row r="533" spans="1:5" x14ac:dyDescent="0.3">
      <c r="A533" s="1" t="s">
        <v>1506</v>
      </c>
      <c r="B533">
        <v>5.2263971700758589E-2</v>
      </c>
      <c r="C533">
        <v>0.37389217448710821</v>
      </c>
      <c r="D533">
        <v>2.838856399208629E-2</v>
      </c>
      <c r="E533" t="b">
        <v>0</v>
      </c>
    </row>
    <row r="534" spans="1:5" x14ac:dyDescent="0.3">
      <c r="A534" s="1" t="s">
        <v>1008</v>
      </c>
      <c r="B534">
        <v>5.170523497545583E-2</v>
      </c>
      <c r="C534">
        <v>0.27151198259101872</v>
      </c>
      <c r="D534">
        <v>2.083789973794261E-2</v>
      </c>
      <c r="E534" t="b">
        <v>0</v>
      </c>
    </row>
    <row r="535" spans="1:5" x14ac:dyDescent="0.3">
      <c r="A535" s="1" t="s">
        <v>502</v>
      </c>
      <c r="B535">
        <v>5.0858464877825763E-2</v>
      </c>
      <c r="C535">
        <v>0.43836925181732311</v>
      </c>
      <c r="D535">
        <v>3.4203952621524411E-2</v>
      </c>
      <c r="E535" t="b">
        <v>0</v>
      </c>
    </row>
    <row r="536" spans="1:5" x14ac:dyDescent="0.3">
      <c r="A536" s="1" t="s">
        <v>393</v>
      </c>
      <c r="B536">
        <v>4.8844296462324251E-2</v>
      </c>
      <c r="C536">
        <v>0.41545288181875589</v>
      </c>
      <c r="D536">
        <v>3.3752611180948827E-2</v>
      </c>
      <c r="E536" t="b">
        <v>0</v>
      </c>
    </row>
    <row r="537" spans="1:5" x14ac:dyDescent="0.3">
      <c r="A537" s="1" t="s">
        <v>1553</v>
      </c>
      <c r="B537">
        <v>4.8695855875762639E-2</v>
      </c>
      <c r="C537">
        <v>0.38612606927294302</v>
      </c>
      <c r="D537">
        <v>3.1465640742568947E-2</v>
      </c>
      <c r="E537" t="b">
        <v>0</v>
      </c>
    </row>
    <row r="538" spans="1:5" x14ac:dyDescent="0.3">
      <c r="A538" s="1" t="s">
        <v>864</v>
      </c>
      <c r="B538">
        <v>4.8436715154370889E-2</v>
      </c>
      <c r="C538">
        <v>0.41292584783587127</v>
      </c>
      <c r="D538">
        <v>3.3829598663885962E-2</v>
      </c>
      <c r="E538" t="b">
        <v>0</v>
      </c>
    </row>
    <row r="539" spans="1:5" x14ac:dyDescent="0.3">
      <c r="A539" s="1" t="s">
        <v>372</v>
      </c>
      <c r="B539">
        <v>4.8369207998118037E-2</v>
      </c>
      <c r="C539">
        <v>0.28947938132017742</v>
      </c>
      <c r="D539">
        <v>2.3749152636449871E-2</v>
      </c>
      <c r="E539" t="b">
        <v>0</v>
      </c>
    </row>
    <row r="540" spans="1:5" x14ac:dyDescent="0.3">
      <c r="A540" s="1" t="s">
        <v>425</v>
      </c>
      <c r="B540">
        <v>4.6853153379517211E-2</v>
      </c>
      <c r="C540">
        <v>1.020031074552245</v>
      </c>
      <c r="D540">
        <v>8.6392101008592015E-2</v>
      </c>
      <c r="E540" t="b">
        <v>0</v>
      </c>
    </row>
    <row r="541" spans="1:5" x14ac:dyDescent="0.3">
      <c r="A541" s="1" t="s">
        <v>922</v>
      </c>
      <c r="B541">
        <v>4.6179190813233052E-2</v>
      </c>
      <c r="C541">
        <v>0.71550920742673374</v>
      </c>
      <c r="D541">
        <v>6.1484885328041652E-2</v>
      </c>
      <c r="E541" t="b">
        <v>0</v>
      </c>
    </row>
    <row r="542" spans="1:5" x14ac:dyDescent="0.3">
      <c r="A542" s="1" t="s">
        <v>873</v>
      </c>
      <c r="B542">
        <v>4.5773536681478599E-2</v>
      </c>
      <c r="C542">
        <v>0.26031986152961478</v>
      </c>
      <c r="D542">
        <v>2.2567959533443871E-2</v>
      </c>
      <c r="E542" t="b">
        <v>0</v>
      </c>
    </row>
    <row r="543" spans="1:5" x14ac:dyDescent="0.3">
      <c r="A543" s="1" t="s">
        <v>1084</v>
      </c>
      <c r="B543">
        <v>4.3929114331048812E-2</v>
      </c>
      <c r="C543">
        <v>0.19513671367833191</v>
      </c>
      <c r="D543">
        <v>1.7627308225942811E-2</v>
      </c>
      <c r="E543" t="b">
        <v>0</v>
      </c>
    </row>
    <row r="544" spans="1:5" x14ac:dyDescent="0.3">
      <c r="A544" s="1" t="s">
        <v>1165</v>
      </c>
      <c r="B544">
        <v>4.3659853494553473E-2</v>
      </c>
      <c r="C544">
        <v>0.2515901395138348</v>
      </c>
      <c r="D544">
        <v>2.286708473778756E-2</v>
      </c>
      <c r="E544" t="b">
        <v>0</v>
      </c>
    </row>
    <row r="545" spans="1:5" x14ac:dyDescent="0.3">
      <c r="A545" s="1" t="s">
        <v>569</v>
      </c>
      <c r="B545">
        <v>4.3601520430587723E-2</v>
      </c>
      <c r="C545">
        <v>0.22005110662837091</v>
      </c>
      <c r="D545">
        <v>2.0027252913963109E-2</v>
      </c>
      <c r="E545" t="b">
        <v>0</v>
      </c>
    </row>
    <row r="546" spans="1:5" x14ac:dyDescent="0.3">
      <c r="A546" s="1" t="s">
        <v>978</v>
      </c>
      <c r="B546">
        <v>4.2616154173390618E-2</v>
      </c>
      <c r="C546">
        <v>0.17249772622916179</v>
      </c>
      <c r="D546">
        <v>1.606233128964665E-2</v>
      </c>
      <c r="E546" t="b">
        <v>0</v>
      </c>
    </row>
    <row r="547" spans="1:5" x14ac:dyDescent="0.3">
      <c r="A547" s="1" t="s">
        <v>1146</v>
      </c>
      <c r="B547">
        <v>4.1122114589815149E-2</v>
      </c>
      <c r="C547">
        <v>0.29608102885962467</v>
      </c>
      <c r="D547">
        <v>2.8571602638058909E-2</v>
      </c>
      <c r="E547" t="b">
        <v>0</v>
      </c>
    </row>
    <row r="548" spans="1:5" x14ac:dyDescent="0.3">
      <c r="A548" s="1" t="s">
        <v>745</v>
      </c>
      <c r="B548">
        <v>4.1036875232673922E-2</v>
      </c>
      <c r="C548">
        <v>0.73858815367154729</v>
      </c>
      <c r="D548">
        <v>7.1421260880479426E-2</v>
      </c>
      <c r="E548" t="b">
        <v>0</v>
      </c>
    </row>
    <row r="549" spans="1:5" x14ac:dyDescent="0.3">
      <c r="A549" s="1" t="s">
        <v>1179</v>
      </c>
      <c r="B549">
        <v>4.07500812781715E-2</v>
      </c>
      <c r="C549">
        <v>0.217143422476647</v>
      </c>
      <c r="D549">
        <v>2.1145485380535341E-2</v>
      </c>
      <c r="E549" t="b">
        <v>0</v>
      </c>
    </row>
    <row r="550" spans="1:5" x14ac:dyDescent="0.3">
      <c r="A550" s="1" t="s">
        <v>431</v>
      </c>
      <c r="B550">
        <v>4.0565025573965303E-2</v>
      </c>
      <c r="C550">
        <v>0.3784067636399423</v>
      </c>
      <c r="D550">
        <v>3.7017458270557108E-2</v>
      </c>
      <c r="E550" t="b">
        <v>0</v>
      </c>
    </row>
    <row r="551" spans="1:5" x14ac:dyDescent="0.3">
      <c r="A551" s="1" t="s">
        <v>668</v>
      </c>
      <c r="B551">
        <v>3.9590083307812308E-2</v>
      </c>
      <c r="C551">
        <v>0.27266964896352708</v>
      </c>
      <c r="D551">
        <v>2.7330642578072509E-2</v>
      </c>
      <c r="E551" t="b">
        <v>0</v>
      </c>
    </row>
    <row r="552" spans="1:5" x14ac:dyDescent="0.3">
      <c r="A552" s="1" t="s">
        <v>157</v>
      </c>
      <c r="B552">
        <v>3.9540646642504847E-2</v>
      </c>
      <c r="C552">
        <v>0.1996306726674702</v>
      </c>
      <c r="D552">
        <v>2.003470545538134E-2</v>
      </c>
      <c r="E552" t="b">
        <v>0</v>
      </c>
    </row>
    <row r="553" spans="1:5" x14ac:dyDescent="0.3">
      <c r="A553" s="1" t="s">
        <v>1014</v>
      </c>
      <c r="B553">
        <v>3.8535992457265009E-2</v>
      </c>
      <c r="C553">
        <v>0.1541061389444579</v>
      </c>
      <c r="D553">
        <v>1.5869120227714629E-2</v>
      </c>
      <c r="E553" t="b">
        <v>0</v>
      </c>
    </row>
    <row r="554" spans="1:5" x14ac:dyDescent="0.3">
      <c r="A554" s="1" t="s">
        <v>1083</v>
      </c>
      <c r="B554">
        <v>3.823747890322253E-2</v>
      </c>
      <c r="C554">
        <v>0.19754393769082129</v>
      </c>
      <c r="D554">
        <v>2.0500946640079131E-2</v>
      </c>
      <c r="E554" t="b">
        <v>0</v>
      </c>
    </row>
    <row r="555" spans="1:5" x14ac:dyDescent="0.3">
      <c r="A555" s="1" t="s">
        <v>398</v>
      </c>
      <c r="B555">
        <v>3.7091471317494733E-2</v>
      </c>
      <c r="C555">
        <v>0.31852569553174498</v>
      </c>
      <c r="D555">
        <v>3.4077668272181019E-2</v>
      </c>
      <c r="E555" t="b">
        <v>0</v>
      </c>
    </row>
    <row r="556" spans="1:5" x14ac:dyDescent="0.3">
      <c r="A556" s="1" t="s">
        <v>302</v>
      </c>
      <c r="B556">
        <v>3.6476239544276597E-2</v>
      </c>
      <c r="C556">
        <v>0.1635912674650539</v>
      </c>
      <c r="D556">
        <v>1.7797111336049339E-2</v>
      </c>
      <c r="E556" t="b">
        <v>0</v>
      </c>
    </row>
    <row r="557" spans="1:5" x14ac:dyDescent="0.3">
      <c r="A557" s="1" t="s">
        <v>1135</v>
      </c>
      <c r="B557">
        <v>3.6318133091279799E-2</v>
      </c>
      <c r="C557">
        <v>0.18427249245597779</v>
      </c>
      <c r="D557">
        <v>2.0134296209296569E-2</v>
      </c>
      <c r="E557" t="b">
        <v>0</v>
      </c>
    </row>
    <row r="558" spans="1:5" x14ac:dyDescent="0.3">
      <c r="A558" s="1" t="s">
        <v>1419</v>
      </c>
      <c r="B558">
        <v>3.5851301026544651E-2</v>
      </c>
      <c r="C558">
        <v>0.2003378140263202</v>
      </c>
      <c r="D558">
        <v>2.2174685513160361E-2</v>
      </c>
      <c r="E558" t="b">
        <v>0</v>
      </c>
    </row>
    <row r="559" spans="1:5" x14ac:dyDescent="0.3">
      <c r="A559" s="1" t="s">
        <v>180</v>
      </c>
      <c r="B559">
        <v>3.5730752425001823E-2</v>
      </c>
      <c r="C559">
        <v>0.24362966028415189</v>
      </c>
      <c r="D559">
        <v>2.7057486915122039E-2</v>
      </c>
      <c r="E559" t="b">
        <v>0</v>
      </c>
    </row>
    <row r="560" spans="1:5" x14ac:dyDescent="0.3">
      <c r="A560" s="1" t="s">
        <v>732</v>
      </c>
      <c r="B560">
        <v>3.5554206235645182E-2</v>
      </c>
      <c r="C560">
        <v>0.20232168333256351</v>
      </c>
      <c r="D560">
        <v>2.2581401970474861E-2</v>
      </c>
      <c r="E560" t="b">
        <v>0</v>
      </c>
    </row>
    <row r="561" spans="1:5" x14ac:dyDescent="0.3">
      <c r="A561" s="1" t="s">
        <v>111</v>
      </c>
      <c r="B561">
        <v>3.5325837382077008E-2</v>
      </c>
      <c r="C561">
        <v>0.17257324413143091</v>
      </c>
      <c r="D561">
        <v>1.9385654002542069E-2</v>
      </c>
      <c r="E561" t="b">
        <v>0</v>
      </c>
    </row>
    <row r="562" spans="1:5" x14ac:dyDescent="0.3">
      <c r="A562" s="1" t="s">
        <v>567</v>
      </c>
      <c r="B562">
        <v>3.4715713492035047E-2</v>
      </c>
      <c r="C562">
        <v>0.31067982336075528</v>
      </c>
      <c r="D562">
        <v>3.5512922475023238E-2</v>
      </c>
      <c r="E562" t="b">
        <v>0</v>
      </c>
    </row>
    <row r="563" spans="1:5" x14ac:dyDescent="0.3">
      <c r="A563" s="1" t="s">
        <v>1557</v>
      </c>
      <c r="B563">
        <v>3.4702432089158457E-2</v>
      </c>
      <c r="C563">
        <v>0.28753258119952652</v>
      </c>
      <c r="D563">
        <v>3.2879606346201677E-2</v>
      </c>
      <c r="E563" t="b">
        <v>0</v>
      </c>
    </row>
    <row r="564" spans="1:5" x14ac:dyDescent="0.3">
      <c r="A564" s="1" t="s">
        <v>800</v>
      </c>
      <c r="B564">
        <v>3.3825860836498418E-2</v>
      </c>
      <c r="C564">
        <v>1.1545661772871E-2</v>
      </c>
      <c r="D564">
        <v>1.35447013064269E-3</v>
      </c>
      <c r="E564" t="b">
        <v>0</v>
      </c>
    </row>
    <row r="565" spans="1:5" x14ac:dyDescent="0.3">
      <c r="A565" s="1" t="s">
        <v>237</v>
      </c>
      <c r="B565">
        <v>3.3111151278987512E-2</v>
      </c>
      <c r="C565">
        <v>0.32943344775986672</v>
      </c>
      <c r="D565">
        <v>3.9481429544199531E-2</v>
      </c>
      <c r="E565" t="b">
        <v>0</v>
      </c>
    </row>
    <row r="566" spans="1:5" x14ac:dyDescent="0.3">
      <c r="A566" s="1" t="s">
        <v>445</v>
      </c>
      <c r="B566">
        <v>3.300576713966976E-2</v>
      </c>
      <c r="C566">
        <v>0.2052946824668706</v>
      </c>
      <c r="D566">
        <v>2.4682396713071791E-2</v>
      </c>
      <c r="E566" t="b">
        <v>0</v>
      </c>
    </row>
    <row r="567" spans="1:5" x14ac:dyDescent="0.3">
      <c r="A567" s="1" t="s">
        <v>1092</v>
      </c>
      <c r="B567">
        <v>3.1570764299512159E-2</v>
      </c>
      <c r="C567">
        <v>0.1075399570909132</v>
      </c>
      <c r="D567">
        <v>1.3517121645308791E-2</v>
      </c>
      <c r="E567" t="b">
        <v>0</v>
      </c>
    </row>
    <row r="568" spans="1:5" x14ac:dyDescent="0.3">
      <c r="A568" s="1" t="s">
        <v>754</v>
      </c>
      <c r="B568">
        <v>3.1469169038033137E-2</v>
      </c>
      <c r="C568">
        <v>0.14654198368185919</v>
      </c>
      <c r="D568">
        <v>1.8478905736549169E-2</v>
      </c>
      <c r="E568" t="b">
        <v>0</v>
      </c>
    </row>
    <row r="569" spans="1:5" x14ac:dyDescent="0.3">
      <c r="A569" s="1" t="s">
        <v>1645</v>
      </c>
      <c r="B569">
        <v>3.117229864197173E-2</v>
      </c>
      <c r="C569">
        <v>0.17126849464626959</v>
      </c>
      <c r="D569">
        <v>2.1802591182732051E-2</v>
      </c>
      <c r="E569" t="b">
        <v>0</v>
      </c>
    </row>
    <row r="570" spans="1:5" x14ac:dyDescent="0.3">
      <c r="A570" s="1" t="s">
        <v>736</v>
      </c>
      <c r="B570">
        <v>3.0015556099781598E-2</v>
      </c>
      <c r="C570">
        <v>0.18277785245208009</v>
      </c>
      <c r="D570">
        <v>2.4164434464940081E-2</v>
      </c>
      <c r="E570" t="b">
        <v>0</v>
      </c>
    </row>
    <row r="571" spans="1:5" x14ac:dyDescent="0.3">
      <c r="A571" s="1" t="s">
        <v>1492</v>
      </c>
      <c r="B571">
        <v>2.907334180338704E-2</v>
      </c>
      <c r="C571">
        <v>0.2336225614530546</v>
      </c>
      <c r="D571">
        <v>3.1887412971966518E-2</v>
      </c>
      <c r="E571" t="b">
        <v>0</v>
      </c>
    </row>
    <row r="572" spans="1:5" x14ac:dyDescent="0.3">
      <c r="A572" s="1" t="s">
        <v>488</v>
      </c>
      <c r="B572">
        <v>2.7410424954144731E-2</v>
      </c>
      <c r="C572">
        <v>0.20338284498670209</v>
      </c>
      <c r="D572">
        <v>2.9444081331954121E-2</v>
      </c>
      <c r="E572" t="b">
        <v>0</v>
      </c>
    </row>
    <row r="573" spans="1:5" x14ac:dyDescent="0.3">
      <c r="A573" s="1" t="s">
        <v>596</v>
      </c>
      <c r="B573">
        <v>2.7230629413581141E-2</v>
      </c>
      <c r="C573">
        <v>0.21584339716955001</v>
      </c>
      <c r="D573">
        <v>3.1454337846201171E-2</v>
      </c>
      <c r="E573" t="b">
        <v>0</v>
      </c>
    </row>
    <row r="574" spans="1:5" x14ac:dyDescent="0.3">
      <c r="A574" s="1" t="s">
        <v>761</v>
      </c>
      <c r="B574">
        <v>2.6695244342516789E-2</v>
      </c>
      <c r="C574">
        <v>0.15361986474305789</v>
      </c>
      <c r="D574">
        <v>2.283562682729897E-2</v>
      </c>
      <c r="E574" t="b">
        <v>0</v>
      </c>
    </row>
    <row r="575" spans="1:5" x14ac:dyDescent="0.3">
      <c r="A575" s="1" t="s">
        <v>1022</v>
      </c>
      <c r="B575">
        <v>2.4931350444835181E-2</v>
      </c>
      <c r="C575">
        <v>0.18469701293584659</v>
      </c>
      <c r="D575">
        <v>2.939771177373833E-2</v>
      </c>
      <c r="E575" t="b">
        <v>0</v>
      </c>
    </row>
    <row r="576" spans="1:5" x14ac:dyDescent="0.3">
      <c r="A576" s="1" t="s">
        <v>681</v>
      </c>
      <c r="B576">
        <v>2.431106098429445E-2</v>
      </c>
      <c r="C576">
        <v>0.1084067229158871</v>
      </c>
      <c r="D576">
        <v>1.7695048713599459E-2</v>
      </c>
      <c r="E576" t="b">
        <v>0</v>
      </c>
    </row>
    <row r="577" spans="1:5" x14ac:dyDescent="0.3">
      <c r="A577" s="1" t="s">
        <v>1386</v>
      </c>
      <c r="B577">
        <v>2.3726471598425451E-2</v>
      </c>
      <c r="C577">
        <v>0.1123777732760276</v>
      </c>
      <c r="D577">
        <v>1.879519012745811E-2</v>
      </c>
      <c r="E577" t="b">
        <v>0</v>
      </c>
    </row>
    <row r="578" spans="1:5" x14ac:dyDescent="0.3">
      <c r="A578" s="1" t="s">
        <v>1076</v>
      </c>
      <c r="B578">
        <v>2.2859001439942739E-2</v>
      </c>
      <c r="C578">
        <v>0.1824966853088926</v>
      </c>
      <c r="D578">
        <v>3.1680876243560988E-2</v>
      </c>
      <c r="E578" t="b">
        <v>0</v>
      </c>
    </row>
    <row r="579" spans="1:5" x14ac:dyDescent="0.3">
      <c r="A579" s="1" t="s">
        <v>661</v>
      </c>
      <c r="B579">
        <v>2.2333060654369619E-2</v>
      </c>
      <c r="C579">
        <v>0.2459623947712811</v>
      </c>
      <c r="D579">
        <v>4.370387311429328E-2</v>
      </c>
      <c r="E579" t="b">
        <v>0</v>
      </c>
    </row>
    <row r="580" spans="1:5" x14ac:dyDescent="0.3">
      <c r="A580" s="1" t="s">
        <v>188</v>
      </c>
      <c r="B580">
        <v>2.2011898382318901E-2</v>
      </c>
      <c r="C580">
        <v>0.1745987998594766</v>
      </c>
      <c r="D580">
        <v>3.1476266533707213E-2</v>
      </c>
      <c r="E580" t="b">
        <v>0</v>
      </c>
    </row>
    <row r="581" spans="1:5" x14ac:dyDescent="0.3">
      <c r="A581" s="1" t="s">
        <v>1236</v>
      </c>
      <c r="B581">
        <v>2.1719219556265639E-2</v>
      </c>
      <c r="C581">
        <v>0.6385009014364067</v>
      </c>
      <c r="D581">
        <v>0.1166585995088307</v>
      </c>
      <c r="E581" t="b">
        <v>0</v>
      </c>
    </row>
    <row r="582" spans="1:5" x14ac:dyDescent="0.3">
      <c r="A582" s="1" t="s">
        <v>540</v>
      </c>
      <c r="B582">
        <v>2.1333833795770928E-2</v>
      </c>
      <c r="C582">
        <v>0.1225886505580204</v>
      </c>
      <c r="D582">
        <v>2.2802413466640789E-2</v>
      </c>
      <c r="E582" t="b">
        <v>0</v>
      </c>
    </row>
    <row r="583" spans="1:5" x14ac:dyDescent="0.3">
      <c r="A583" s="1" t="s">
        <v>1030</v>
      </c>
      <c r="B583">
        <v>2.0679093787537881E-2</v>
      </c>
      <c r="C583">
        <v>0.1128302118187859</v>
      </c>
      <c r="D583">
        <v>2.165176774132432E-2</v>
      </c>
      <c r="E583" t="b">
        <v>0</v>
      </c>
    </row>
    <row r="584" spans="1:5" x14ac:dyDescent="0.3">
      <c r="A584" s="1" t="s">
        <v>1654</v>
      </c>
      <c r="B584">
        <v>2.0070750106081111E-2</v>
      </c>
      <c r="C584">
        <v>5.5438023324879099E-2</v>
      </c>
      <c r="D584">
        <v>1.0960833794869149E-2</v>
      </c>
      <c r="E584" t="b">
        <v>0</v>
      </c>
    </row>
    <row r="585" spans="1:5" x14ac:dyDescent="0.3">
      <c r="A585" s="1" t="s">
        <v>285</v>
      </c>
      <c r="B585">
        <v>2.003192633310228E-2</v>
      </c>
      <c r="C585">
        <v>0.2057354616793908</v>
      </c>
      <c r="D585">
        <v>4.0755469476278262E-2</v>
      </c>
      <c r="E585" t="b">
        <v>0</v>
      </c>
    </row>
    <row r="586" spans="1:5" x14ac:dyDescent="0.3">
      <c r="A586" s="1" t="s">
        <v>912</v>
      </c>
      <c r="B586">
        <v>1.990726781507433E-2</v>
      </c>
      <c r="C586">
        <v>9.7762050305288506E-2</v>
      </c>
      <c r="D586">
        <v>1.9487588536626951E-2</v>
      </c>
      <c r="E586" t="b">
        <v>0</v>
      </c>
    </row>
    <row r="587" spans="1:5" x14ac:dyDescent="0.3">
      <c r="A587" s="1" t="s">
        <v>1513</v>
      </c>
      <c r="B587">
        <v>1.9415477050792659E-2</v>
      </c>
      <c r="C587">
        <v>0.13475726883970721</v>
      </c>
      <c r="D587">
        <v>2.7542514944406338E-2</v>
      </c>
      <c r="E587" t="b">
        <v>0</v>
      </c>
    </row>
    <row r="588" spans="1:5" x14ac:dyDescent="0.3">
      <c r="A588" s="1" t="s">
        <v>1031</v>
      </c>
      <c r="B588">
        <v>1.8512608979204901E-2</v>
      </c>
      <c r="C588">
        <v>8.9392550972358237E-2</v>
      </c>
      <c r="D588">
        <v>1.916166141287132E-2</v>
      </c>
      <c r="E588" t="b">
        <v>0</v>
      </c>
    </row>
    <row r="589" spans="1:5" x14ac:dyDescent="0.3">
      <c r="A589" s="1" t="s">
        <v>177</v>
      </c>
      <c r="B589">
        <v>1.8180509657010579E-2</v>
      </c>
      <c r="C589">
        <v>9.612126744474897E-2</v>
      </c>
      <c r="D589">
        <v>2.0980357985956769E-2</v>
      </c>
      <c r="E589" t="b">
        <v>0</v>
      </c>
    </row>
    <row r="590" spans="1:5" x14ac:dyDescent="0.3">
      <c r="A590" s="1" t="s">
        <v>507</v>
      </c>
      <c r="B590">
        <v>1.654721242321126E-2</v>
      </c>
      <c r="C590">
        <v>9.1965218363986245E-2</v>
      </c>
      <c r="D590">
        <v>2.2054551146168711E-2</v>
      </c>
      <c r="E590" t="b">
        <v>0</v>
      </c>
    </row>
    <row r="591" spans="1:5" x14ac:dyDescent="0.3">
      <c r="A591" s="1" t="s">
        <v>419</v>
      </c>
      <c r="B591">
        <v>1.517870599884432E-2</v>
      </c>
      <c r="C591">
        <v>9.1238278657795824E-2</v>
      </c>
      <c r="D591">
        <v>2.3852933271652142E-2</v>
      </c>
      <c r="E591" t="b">
        <v>0</v>
      </c>
    </row>
    <row r="592" spans="1:5" x14ac:dyDescent="0.3">
      <c r="A592" s="1" t="s">
        <v>678</v>
      </c>
      <c r="B592">
        <v>1.516421965947882E-2</v>
      </c>
      <c r="C592">
        <v>0.14863622983448199</v>
      </c>
      <c r="D592">
        <v>3.8895922250658292E-2</v>
      </c>
      <c r="E592" t="b">
        <v>0</v>
      </c>
    </row>
    <row r="593" spans="1:5" x14ac:dyDescent="0.3">
      <c r="A593" s="1" t="s">
        <v>278</v>
      </c>
      <c r="B593">
        <v>1.4983772897900901E-2</v>
      </c>
      <c r="C593">
        <v>0.1088594615548029</v>
      </c>
      <c r="D593">
        <v>2.8829987830191559E-2</v>
      </c>
      <c r="E593" t="b">
        <v>0</v>
      </c>
    </row>
    <row r="594" spans="1:5" x14ac:dyDescent="0.3">
      <c r="A594" s="1" t="s">
        <v>1454</v>
      </c>
      <c r="B594">
        <v>1.4701613893963281E-2</v>
      </c>
      <c r="C594">
        <v>0.1036463648007364</v>
      </c>
      <c r="D594">
        <v>2.797618692628738E-2</v>
      </c>
      <c r="E594" t="b">
        <v>0</v>
      </c>
    </row>
    <row r="595" spans="1:5" x14ac:dyDescent="0.3">
      <c r="A595" s="1" t="s">
        <v>762</v>
      </c>
      <c r="B595">
        <v>1.3792744333498469E-2</v>
      </c>
      <c r="C595">
        <v>8.1010273827481827E-2</v>
      </c>
      <c r="D595">
        <v>2.330713401280787E-2</v>
      </c>
      <c r="E595" t="b">
        <v>0</v>
      </c>
    </row>
    <row r="596" spans="1:5" x14ac:dyDescent="0.3">
      <c r="A596" s="1" t="s">
        <v>1319</v>
      </c>
      <c r="B596">
        <v>1.3790659105237741E-2</v>
      </c>
      <c r="C596">
        <v>2.820112004663233E-3</v>
      </c>
      <c r="D596">
        <v>8.1148555468064454E-4</v>
      </c>
      <c r="E596" t="b">
        <v>0</v>
      </c>
    </row>
    <row r="597" spans="1:5" x14ac:dyDescent="0.3">
      <c r="A597" s="1" t="s">
        <v>1152</v>
      </c>
      <c r="B597">
        <v>1.338685006411568E-2</v>
      </c>
      <c r="C597">
        <v>7.8033303339822085E-2</v>
      </c>
      <c r="D597">
        <v>2.3131353839860171E-2</v>
      </c>
      <c r="E597" t="b">
        <v>0</v>
      </c>
    </row>
    <row r="598" spans="1:5" x14ac:dyDescent="0.3">
      <c r="A598" s="1" t="s">
        <v>974</v>
      </c>
      <c r="B598">
        <v>1.201330433833382E-2</v>
      </c>
      <c r="C598">
        <v>7.531104208803524E-2</v>
      </c>
      <c r="D598">
        <v>2.4876864283339781E-2</v>
      </c>
      <c r="E598" t="b">
        <v>0</v>
      </c>
    </row>
    <row r="599" spans="1:5" x14ac:dyDescent="0.3">
      <c r="A599" s="1" t="s">
        <v>1313</v>
      </c>
      <c r="B599">
        <v>1.0990703421951759E-2</v>
      </c>
      <c r="C599">
        <v>3.9370606776387658E-2</v>
      </c>
      <c r="D599">
        <v>1.4214974290082579E-2</v>
      </c>
      <c r="E599" t="b">
        <v>0</v>
      </c>
    </row>
    <row r="600" spans="1:5" x14ac:dyDescent="0.3">
      <c r="A600" s="1" t="s">
        <v>1477</v>
      </c>
      <c r="B600">
        <v>1.0236804214983519E-2</v>
      </c>
      <c r="C600">
        <v>0.1136141317549331</v>
      </c>
      <c r="D600">
        <v>4.4042038874430922E-2</v>
      </c>
      <c r="E600" t="b">
        <v>0</v>
      </c>
    </row>
    <row r="601" spans="1:5" x14ac:dyDescent="0.3">
      <c r="A601" s="1" t="s">
        <v>95</v>
      </c>
      <c r="B601">
        <v>9.644815140968141E-3</v>
      </c>
      <c r="C601">
        <v>4.0200246136451602E-2</v>
      </c>
      <c r="D601">
        <v>1.6539952702478371E-2</v>
      </c>
      <c r="E601" t="b">
        <v>0</v>
      </c>
    </row>
    <row r="602" spans="1:5" x14ac:dyDescent="0.3">
      <c r="A602" s="1" t="s">
        <v>886</v>
      </c>
      <c r="B602">
        <v>9.5889625714143736E-3</v>
      </c>
      <c r="C602">
        <v>7.0099859688374899E-2</v>
      </c>
      <c r="D602">
        <v>2.9009816683579919E-2</v>
      </c>
      <c r="E602" t="b">
        <v>0</v>
      </c>
    </row>
    <row r="603" spans="1:5" x14ac:dyDescent="0.3">
      <c r="A603" s="1" t="s">
        <v>539</v>
      </c>
      <c r="B603">
        <v>8.0458987421453496E-3</v>
      </c>
      <c r="C603">
        <v>5.2447574414964657E-2</v>
      </c>
      <c r="D603">
        <v>2.5867252617447749E-2</v>
      </c>
      <c r="E603" t="b">
        <v>0</v>
      </c>
    </row>
    <row r="604" spans="1:5" x14ac:dyDescent="0.3">
      <c r="A604" s="1" t="s">
        <v>1662</v>
      </c>
      <c r="B604">
        <v>7.2993990780739508E-3</v>
      </c>
      <c r="C604">
        <v>7.1250293470126541E-2</v>
      </c>
      <c r="D604">
        <v>3.8734594009441972E-2</v>
      </c>
      <c r="E604" t="b">
        <v>0</v>
      </c>
    </row>
    <row r="605" spans="1:5" x14ac:dyDescent="0.3">
      <c r="A605" s="1" t="s">
        <v>825</v>
      </c>
      <c r="B605">
        <v>6.9662989668918089E-3</v>
      </c>
      <c r="C605">
        <v>5.6686337794494827E-2</v>
      </c>
      <c r="D605">
        <v>3.2290572938065323E-2</v>
      </c>
      <c r="E605" t="b">
        <v>0</v>
      </c>
    </row>
    <row r="606" spans="1:5" x14ac:dyDescent="0.3">
      <c r="A606" s="1" t="s">
        <v>528</v>
      </c>
      <c r="B606">
        <v>6.7578865173588496E-3</v>
      </c>
      <c r="C606">
        <v>4.9012190453683768E-2</v>
      </c>
      <c r="D606">
        <v>2.8780125082162891E-2</v>
      </c>
      <c r="E606" t="b">
        <v>0</v>
      </c>
    </row>
    <row r="607" spans="1:5" x14ac:dyDescent="0.3">
      <c r="A607" s="1" t="s">
        <v>447</v>
      </c>
      <c r="B607">
        <v>5.0770087308842004E-3</v>
      </c>
      <c r="C607">
        <v>4.4480604696872608E-2</v>
      </c>
      <c r="D607">
        <v>3.4766600857895347E-2</v>
      </c>
      <c r="E607" t="b">
        <v>0</v>
      </c>
    </row>
    <row r="608" spans="1:5" x14ac:dyDescent="0.3">
      <c r="A608" s="1" t="s">
        <v>1021</v>
      </c>
      <c r="B608">
        <v>4.8403803073437234E-3</v>
      </c>
      <c r="C608">
        <v>9.510707603684998E-2</v>
      </c>
      <c r="D608">
        <v>7.7970946067949423E-2</v>
      </c>
      <c r="E608" t="b">
        <v>0</v>
      </c>
    </row>
    <row r="609" spans="1:5" x14ac:dyDescent="0.3">
      <c r="A609" s="1" t="s">
        <v>594</v>
      </c>
      <c r="B609">
        <v>4.5572897493547761E-3</v>
      </c>
      <c r="C609">
        <v>3.0194531811545171E-2</v>
      </c>
      <c r="D609">
        <v>2.629184828498099E-2</v>
      </c>
      <c r="E609" t="b">
        <v>0</v>
      </c>
    </row>
    <row r="610" spans="1:5" x14ac:dyDescent="0.3">
      <c r="A610" s="1" t="s">
        <v>550</v>
      </c>
      <c r="B610">
        <v>4.3120608814864727E-3</v>
      </c>
      <c r="C610">
        <v>3.883391154209681E-3</v>
      </c>
      <c r="D610">
        <v>3.5737627045429429E-3</v>
      </c>
      <c r="E610" t="b">
        <v>0</v>
      </c>
    </row>
    <row r="611" spans="1:5" x14ac:dyDescent="0.3">
      <c r="A611" s="1" t="s">
        <v>1041</v>
      </c>
      <c r="B611">
        <v>3.674146445598252E-3</v>
      </c>
      <c r="C611">
        <v>1.818798775222286E-3</v>
      </c>
      <c r="D611">
        <v>1.964389706316154E-3</v>
      </c>
      <c r="E611" t="b">
        <v>0</v>
      </c>
    </row>
    <row r="612" spans="1:5" x14ac:dyDescent="0.3">
      <c r="A612" s="1" t="s">
        <v>964</v>
      </c>
      <c r="B612">
        <v>1.3101289501516789E-3</v>
      </c>
      <c r="C612">
        <v>8.4873504531973072E-3</v>
      </c>
      <c r="D612">
        <v>2.5707364234614519E-2</v>
      </c>
      <c r="E612" t="b">
        <v>0</v>
      </c>
    </row>
    <row r="613" spans="1:5" x14ac:dyDescent="0.3">
      <c r="A613" s="1" t="s">
        <v>1533</v>
      </c>
      <c r="B613">
        <v>1.2402010406314041E-3</v>
      </c>
      <c r="C613">
        <v>4.0708128306974337E-4</v>
      </c>
      <c r="D613">
        <v>1.3025323024410641E-3</v>
      </c>
      <c r="E613" t="b">
        <v>0</v>
      </c>
    </row>
    <row r="614" spans="1:5" x14ac:dyDescent="0.3">
      <c r="A614" s="1" t="s">
        <v>891</v>
      </c>
      <c r="B614">
        <v>5.6329535940708331E-4</v>
      </c>
      <c r="C614">
        <v>2.0602597872532158E-3</v>
      </c>
      <c r="D614">
        <v>1.4513938273887439E-2</v>
      </c>
      <c r="E614" t="b">
        <v>0</v>
      </c>
    </row>
    <row r="615" spans="1:5" x14ac:dyDescent="0.3">
      <c r="A615" s="1" t="s">
        <v>508</v>
      </c>
      <c r="B615">
        <v>2.3522064166373469E-4</v>
      </c>
      <c r="C615">
        <v>1.254393682654298E-3</v>
      </c>
      <c r="D615">
        <v>2.116205735065417E-2</v>
      </c>
      <c r="E615" t="b">
        <v>0</v>
      </c>
    </row>
    <row r="616" spans="1:5" x14ac:dyDescent="0.3">
      <c r="A616" s="1" t="s">
        <v>1397</v>
      </c>
      <c r="B616">
        <v>-7.5167543978234074E-5</v>
      </c>
      <c r="C616">
        <v>-1.3072878497566E-3</v>
      </c>
      <c r="D616">
        <v>6.9014496455398214E-2</v>
      </c>
      <c r="E616" t="b">
        <v>0</v>
      </c>
    </row>
    <row r="617" spans="1:5" x14ac:dyDescent="0.3">
      <c r="A617" s="1" t="s">
        <v>1200</v>
      </c>
      <c r="B617">
        <v>-5.7076540946520489E-4</v>
      </c>
      <c r="C617">
        <v>-4.6384494823737306E-3</v>
      </c>
      <c r="D617">
        <v>3.2248880642962691E-2</v>
      </c>
      <c r="E617" t="b">
        <v>0</v>
      </c>
    </row>
    <row r="618" spans="1:5" x14ac:dyDescent="0.3">
      <c r="A618" s="1" t="s">
        <v>136</v>
      </c>
      <c r="B618">
        <v>-8.2396674806651648E-4</v>
      </c>
      <c r="C618">
        <v>-5.908698100010535E-3</v>
      </c>
      <c r="D618">
        <v>2.8456505966535268E-2</v>
      </c>
      <c r="E618" t="b">
        <v>0</v>
      </c>
    </row>
    <row r="619" spans="1:5" x14ac:dyDescent="0.3">
      <c r="A619" s="1" t="s">
        <v>830</v>
      </c>
      <c r="B619">
        <v>-1.8482466385815811E-3</v>
      </c>
      <c r="C619">
        <v>-1.7899079735380852E-2</v>
      </c>
      <c r="D619">
        <v>3.8429986942938019E-2</v>
      </c>
      <c r="E619" t="b">
        <v>0</v>
      </c>
    </row>
    <row r="620" spans="1:5" x14ac:dyDescent="0.3">
      <c r="A620" s="1" t="s">
        <v>489</v>
      </c>
      <c r="B620">
        <v>-3.127300651606386E-3</v>
      </c>
      <c r="C620">
        <v>-1.7694278042804389E-2</v>
      </c>
      <c r="D620">
        <v>2.2452394854546639E-2</v>
      </c>
      <c r="E620" t="b">
        <v>0</v>
      </c>
    </row>
    <row r="621" spans="1:5" x14ac:dyDescent="0.3">
      <c r="A621" s="1" t="s">
        <v>1666</v>
      </c>
      <c r="B621">
        <v>-4.0312987751552351E-3</v>
      </c>
      <c r="C621">
        <v>-4.7692962082224982E-2</v>
      </c>
      <c r="D621">
        <v>4.6947099829703763E-2</v>
      </c>
      <c r="E621" t="b">
        <v>0</v>
      </c>
    </row>
    <row r="622" spans="1:5" x14ac:dyDescent="0.3">
      <c r="A622" s="1" t="s">
        <v>1521</v>
      </c>
      <c r="B622">
        <v>-4.5636547592622992E-3</v>
      </c>
      <c r="C622">
        <v>-2.8532566823921669E-2</v>
      </c>
      <c r="D622">
        <v>2.4810043155368111E-2</v>
      </c>
      <c r="E622" t="b">
        <v>0</v>
      </c>
    </row>
    <row r="623" spans="1:5" x14ac:dyDescent="0.3">
      <c r="A623" s="1" t="s">
        <v>1090</v>
      </c>
      <c r="B623">
        <v>-8.2210203927362731E-3</v>
      </c>
      <c r="C623">
        <v>-0.13056660447346449</v>
      </c>
      <c r="D623">
        <v>6.3023982616690857E-2</v>
      </c>
      <c r="E623" t="b">
        <v>0</v>
      </c>
    </row>
    <row r="624" spans="1:5" x14ac:dyDescent="0.3">
      <c r="A624" s="1" t="s">
        <v>1134</v>
      </c>
      <c r="B624">
        <v>-9.5628436301871053E-3</v>
      </c>
      <c r="C624">
        <v>-6.9506155461592112E-2</v>
      </c>
      <c r="D624">
        <v>2.8842684027360121E-2</v>
      </c>
      <c r="E624" t="b">
        <v>0</v>
      </c>
    </row>
    <row r="625" spans="1:5" x14ac:dyDescent="0.3">
      <c r="A625" s="1" t="s">
        <v>1547</v>
      </c>
      <c r="B625">
        <v>-1.034525869597685E-2</v>
      </c>
      <c r="C625">
        <v>-2.1097988645751181E-3</v>
      </c>
      <c r="D625">
        <v>8.0928065335125819E-4</v>
      </c>
      <c r="E625" t="b">
        <v>0</v>
      </c>
    </row>
    <row r="626" spans="1:5" x14ac:dyDescent="0.3">
      <c r="A626" s="1" t="s">
        <v>753</v>
      </c>
      <c r="B626">
        <v>-1.065125128103001E-2</v>
      </c>
      <c r="C626">
        <v>-1.6511582573865799E-2</v>
      </c>
      <c r="D626">
        <v>6.1515920845461279E-3</v>
      </c>
      <c r="E626" t="b">
        <v>0</v>
      </c>
    </row>
    <row r="627" spans="1:5" x14ac:dyDescent="0.3">
      <c r="A627" s="1" t="s">
        <v>724</v>
      </c>
      <c r="B627">
        <v>-1.065995346535255E-2</v>
      </c>
      <c r="C627">
        <v>-0.14590044902875879</v>
      </c>
      <c r="D627">
        <v>5.4312623193919322E-2</v>
      </c>
      <c r="E627" t="b">
        <v>0</v>
      </c>
    </row>
    <row r="628" spans="1:5" x14ac:dyDescent="0.3">
      <c r="A628" s="1" t="s">
        <v>1309</v>
      </c>
      <c r="B628">
        <v>-1.1491765040671689E-2</v>
      </c>
      <c r="C628">
        <v>-0.1114505102998055</v>
      </c>
      <c r="D628">
        <v>3.8485291702003217E-2</v>
      </c>
      <c r="E628" t="b">
        <v>0</v>
      </c>
    </row>
    <row r="629" spans="1:5" x14ac:dyDescent="0.3">
      <c r="A629" s="1" t="s">
        <v>1402</v>
      </c>
      <c r="B629">
        <v>-1.337615124783449E-2</v>
      </c>
      <c r="C629">
        <v>-6.7338626007459379E-2</v>
      </c>
      <c r="D629">
        <v>1.997710439422036E-2</v>
      </c>
      <c r="E629" t="b">
        <v>0</v>
      </c>
    </row>
    <row r="630" spans="1:5" x14ac:dyDescent="0.3">
      <c r="A630" s="1" t="s">
        <v>965</v>
      </c>
      <c r="B630">
        <v>-1.337679180660617E-2</v>
      </c>
      <c r="C630">
        <v>-0.1264579653926981</v>
      </c>
      <c r="D630">
        <v>3.7514026550003791E-2</v>
      </c>
      <c r="E630" t="b">
        <v>0</v>
      </c>
    </row>
    <row r="631" spans="1:5" x14ac:dyDescent="0.3">
      <c r="A631" s="1" t="s">
        <v>1060</v>
      </c>
      <c r="B631">
        <v>-1.356431328223176E-2</v>
      </c>
      <c r="C631">
        <v>-4.9334586618388521E-2</v>
      </c>
      <c r="D631">
        <v>1.4432884661919179E-2</v>
      </c>
      <c r="E631" t="b">
        <v>0</v>
      </c>
    </row>
    <row r="632" spans="1:5" x14ac:dyDescent="0.3">
      <c r="A632" s="1" t="s">
        <v>1589</v>
      </c>
      <c r="B632">
        <v>-1.8712161287478081E-2</v>
      </c>
      <c r="C632">
        <v>-8.9819904971443869E-3</v>
      </c>
      <c r="D632">
        <v>1.9047943679795199E-3</v>
      </c>
      <c r="E632" t="b">
        <v>0</v>
      </c>
    </row>
    <row r="633" spans="1:5" x14ac:dyDescent="0.3">
      <c r="A633" s="1" t="s">
        <v>133</v>
      </c>
      <c r="B633">
        <v>-1.9010004766947471E-2</v>
      </c>
      <c r="C633">
        <v>-0.1674654471036221</v>
      </c>
      <c r="D633">
        <v>3.4957667457812147E-2</v>
      </c>
      <c r="E633" t="b">
        <v>0</v>
      </c>
    </row>
    <row r="634" spans="1:5" x14ac:dyDescent="0.3">
      <c r="A634" s="1" t="s">
        <v>1020</v>
      </c>
      <c r="B634">
        <v>-2.1564014234723532E-2</v>
      </c>
      <c r="C634">
        <v>-0.18157142211726879</v>
      </c>
      <c r="D634">
        <v>3.3413144162098812E-2</v>
      </c>
      <c r="E634" t="b">
        <v>0</v>
      </c>
    </row>
    <row r="635" spans="1:5" x14ac:dyDescent="0.3">
      <c r="A635" s="1" t="s">
        <v>711</v>
      </c>
      <c r="B635">
        <v>-2.196273396542919E-2</v>
      </c>
      <c r="C635">
        <v>-0.1709199902647964</v>
      </c>
      <c r="D635">
        <v>3.088203548291505E-2</v>
      </c>
      <c r="E635" t="b">
        <v>0</v>
      </c>
    </row>
    <row r="636" spans="1:5" x14ac:dyDescent="0.3">
      <c r="A636" s="1" t="s">
        <v>716</v>
      </c>
      <c r="B636">
        <v>-2.2323298898124538E-2</v>
      </c>
      <c r="C636">
        <v>-0.25895156160492189</v>
      </c>
      <c r="D636">
        <v>4.6031976125653393E-2</v>
      </c>
      <c r="E636" t="b">
        <v>0</v>
      </c>
    </row>
    <row r="637" spans="1:5" x14ac:dyDescent="0.3">
      <c r="A637" s="1" t="s">
        <v>1483</v>
      </c>
      <c r="B637">
        <v>-2.290308244576196E-2</v>
      </c>
      <c r="C637">
        <v>-0.1210911533061489</v>
      </c>
      <c r="D637">
        <v>2.098060166204797E-2</v>
      </c>
      <c r="E637" t="b">
        <v>0</v>
      </c>
    </row>
    <row r="638" spans="1:5" x14ac:dyDescent="0.3">
      <c r="A638" s="1" t="s">
        <v>1361</v>
      </c>
      <c r="B638">
        <v>-2.4038420393335098E-2</v>
      </c>
      <c r="C638">
        <v>-1.2455347818005259E-2</v>
      </c>
      <c r="D638">
        <v>2.0561244289781472E-3</v>
      </c>
      <c r="E638" t="b">
        <v>0</v>
      </c>
    </row>
    <row r="639" spans="1:5" x14ac:dyDescent="0.3">
      <c r="A639" s="1" t="s">
        <v>211</v>
      </c>
      <c r="B639">
        <v>-2.435463797544488E-2</v>
      </c>
      <c r="C639">
        <v>-0.26698816772115341</v>
      </c>
      <c r="D639">
        <v>4.3502057271576827E-2</v>
      </c>
      <c r="E639" t="b">
        <v>0</v>
      </c>
    </row>
    <row r="640" spans="1:5" x14ac:dyDescent="0.3">
      <c r="A640" s="1" t="s">
        <v>1325</v>
      </c>
      <c r="B640">
        <v>-2.4806297571343582E-2</v>
      </c>
      <c r="C640">
        <v>-0.15479647561563861</v>
      </c>
      <c r="D640">
        <v>2.476273320784065E-2</v>
      </c>
      <c r="E640" t="b">
        <v>0</v>
      </c>
    </row>
    <row r="641" spans="1:5" x14ac:dyDescent="0.3">
      <c r="A641" s="1" t="s">
        <v>320</v>
      </c>
      <c r="B641">
        <v>-2.5958882009072801E-2</v>
      </c>
      <c r="C641">
        <v>-0.10377104790127931</v>
      </c>
      <c r="D641">
        <v>1.5863158994297251E-2</v>
      </c>
      <c r="E641" t="b">
        <v>0</v>
      </c>
    </row>
    <row r="642" spans="1:5" x14ac:dyDescent="0.3">
      <c r="A642" s="1" t="s">
        <v>340</v>
      </c>
      <c r="B642">
        <v>-2.6538597904907729E-2</v>
      </c>
      <c r="C642">
        <v>-9.6938207682052718E-2</v>
      </c>
      <c r="D642">
        <v>1.4494941620054311E-2</v>
      </c>
      <c r="E642" t="b">
        <v>0</v>
      </c>
    </row>
    <row r="643" spans="1:5" x14ac:dyDescent="0.3">
      <c r="A643" s="1" t="s">
        <v>712</v>
      </c>
      <c r="B643">
        <v>-2.770903923230188E-2</v>
      </c>
      <c r="C643">
        <v>-0.2180165503413791</v>
      </c>
      <c r="D643">
        <v>3.122248425086762E-2</v>
      </c>
      <c r="E643" t="b">
        <v>0</v>
      </c>
    </row>
    <row r="644" spans="1:5" x14ac:dyDescent="0.3">
      <c r="A644" s="1" t="s">
        <v>1173</v>
      </c>
      <c r="B644">
        <v>-2.7725643451859159E-2</v>
      </c>
      <c r="C644">
        <v>-0.15962190103518339</v>
      </c>
      <c r="D644">
        <v>2.284600692146008E-2</v>
      </c>
      <c r="E644" t="b">
        <v>0</v>
      </c>
    </row>
    <row r="645" spans="1:5" x14ac:dyDescent="0.3">
      <c r="A645" s="1" t="s">
        <v>304</v>
      </c>
      <c r="B645">
        <v>-3.024618496467105E-2</v>
      </c>
      <c r="C645">
        <v>-0.13521802445363329</v>
      </c>
      <c r="D645">
        <v>1.7740401400849131E-2</v>
      </c>
      <c r="E645" t="b">
        <v>0</v>
      </c>
    </row>
    <row r="646" spans="1:5" x14ac:dyDescent="0.3">
      <c r="A646" s="1" t="s">
        <v>1254</v>
      </c>
      <c r="B646">
        <v>-3.0776392073925119E-2</v>
      </c>
      <c r="C646">
        <v>-0.25770822811738953</v>
      </c>
      <c r="D646">
        <v>3.3228446545069762E-2</v>
      </c>
      <c r="E646" t="b">
        <v>0</v>
      </c>
    </row>
    <row r="647" spans="1:5" x14ac:dyDescent="0.3">
      <c r="A647" s="1" t="s">
        <v>1641</v>
      </c>
      <c r="B647">
        <v>-3.088877487787867E-2</v>
      </c>
      <c r="C647">
        <v>-0.25469833568253158</v>
      </c>
      <c r="D647">
        <v>3.2720873044521967E-2</v>
      </c>
      <c r="E647" t="b">
        <v>0</v>
      </c>
    </row>
    <row r="648" spans="1:5" x14ac:dyDescent="0.3">
      <c r="A648" s="1" t="s">
        <v>1465</v>
      </c>
      <c r="B648">
        <v>-3.1355295992848593E-2</v>
      </c>
      <c r="C648">
        <v>-0.22035542984650711</v>
      </c>
      <c r="D648">
        <v>2.7887675151086019E-2</v>
      </c>
      <c r="E648" t="b">
        <v>0</v>
      </c>
    </row>
    <row r="649" spans="1:5" x14ac:dyDescent="0.3">
      <c r="A649" s="1" t="s">
        <v>336</v>
      </c>
      <c r="B649">
        <v>-3.2643974885301887E-2</v>
      </c>
      <c r="C649">
        <v>-0.2424411398051366</v>
      </c>
      <c r="D649">
        <v>2.947153398077524E-2</v>
      </c>
      <c r="E649" t="b">
        <v>0</v>
      </c>
    </row>
    <row r="650" spans="1:5" x14ac:dyDescent="0.3">
      <c r="A650" s="1" t="s">
        <v>1358</v>
      </c>
      <c r="B650">
        <v>-3.3045258389701869E-2</v>
      </c>
      <c r="C650">
        <v>-0.13798230509584161</v>
      </c>
      <c r="D650">
        <v>1.6569664043421129E-2</v>
      </c>
      <c r="E650" t="b">
        <v>0</v>
      </c>
    </row>
    <row r="651" spans="1:5" x14ac:dyDescent="0.3">
      <c r="A651" s="1" t="s">
        <v>972</v>
      </c>
      <c r="B651">
        <v>-3.3160024028516762E-2</v>
      </c>
      <c r="C651">
        <v>-0.24729475155918271</v>
      </c>
      <c r="D651">
        <v>2.9593717373642092E-2</v>
      </c>
      <c r="E651" t="b">
        <v>0</v>
      </c>
    </row>
    <row r="652" spans="1:5" x14ac:dyDescent="0.3">
      <c r="A652" s="1" t="s">
        <v>1009</v>
      </c>
      <c r="B652">
        <v>-3.5100562859706357E-2</v>
      </c>
      <c r="C652">
        <v>-0.14968990593256759</v>
      </c>
      <c r="D652">
        <v>1.6923021023869809E-2</v>
      </c>
      <c r="E652" t="b">
        <v>0</v>
      </c>
    </row>
    <row r="653" spans="1:5" x14ac:dyDescent="0.3">
      <c r="A653" s="1" t="s">
        <v>1429</v>
      </c>
      <c r="B653">
        <v>-3.6149675893790763E-2</v>
      </c>
      <c r="C653">
        <v>-0.54252903094545402</v>
      </c>
      <c r="D653">
        <v>5.9554973224865589E-2</v>
      </c>
      <c r="E653" t="b">
        <v>0</v>
      </c>
    </row>
    <row r="654" spans="1:5" x14ac:dyDescent="0.3">
      <c r="A654" s="1" t="s">
        <v>1450</v>
      </c>
      <c r="B654">
        <v>-3.7287352111178222E-2</v>
      </c>
      <c r="C654">
        <v>-0.34535727814043299</v>
      </c>
      <c r="D654">
        <v>3.6754162252119707E-2</v>
      </c>
      <c r="E654" t="b">
        <v>0</v>
      </c>
    </row>
    <row r="655" spans="1:5" x14ac:dyDescent="0.3">
      <c r="A655" s="1" t="s">
        <v>284</v>
      </c>
      <c r="B655">
        <v>-3.829014481348101E-2</v>
      </c>
      <c r="C655">
        <v>-0.31635304662135261</v>
      </c>
      <c r="D655">
        <v>3.2785700830842257E-2</v>
      </c>
      <c r="E655" t="b">
        <v>0</v>
      </c>
    </row>
    <row r="656" spans="1:5" x14ac:dyDescent="0.3">
      <c r="A656" s="1" t="s">
        <v>566</v>
      </c>
      <c r="B656">
        <v>-3.9957636830543812E-2</v>
      </c>
      <c r="C656">
        <v>-0.17109355385599159</v>
      </c>
      <c r="D656">
        <v>1.6991562261578139E-2</v>
      </c>
      <c r="E656" t="b">
        <v>0</v>
      </c>
    </row>
    <row r="657" spans="1:5" x14ac:dyDescent="0.3">
      <c r="A657" s="1" t="s">
        <v>1357</v>
      </c>
      <c r="B657">
        <v>-4.0114623006102669E-2</v>
      </c>
      <c r="C657">
        <v>-0.1595863340441982</v>
      </c>
      <c r="D657">
        <v>1.5786739495312011E-2</v>
      </c>
      <c r="E657" t="b">
        <v>0</v>
      </c>
    </row>
    <row r="658" spans="1:5" x14ac:dyDescent="0.3">
      <c r="A658" s="1" t="s">
        <v>979</v>
      </c>
      <c r="B658">
        <v>-4.026953935609668E-2</v>
      </c>
      <c r="C658">
        <v>-0.15088382843273651</v>
      </c>
      <c r="D658">
        <v>1.486844300921732E-2</v>
      </c>
      <c r="E658" t="b">
        <v>0</v>
      </c>
    </row>
    <row r="659" spans="1:5" x14ac:dyDescent="0.3">
      <c r="A659" s="1" t="s">
        <v>798</v>
      </c>
      <c r="B659">
        <v>-4.111455362309234E-2</v>
      </c>
      <c r="C659">
        <v>-3.0237881425156311E-2</v>
      </c>
      <c r="D659">
        <v>2.9184700400000248E-3</v>
      </c>
      <c r="E659" t="b">
        <v>0</v>
      </c>
    </row>
    <row r="660" spans="1:5" x14ac:dyDescent="0.3">
      <c r="A660" s="1" t="s">
        <v>1073</v>
      </c>
      <c r="B660">
        <v>-4.1551084306256238E-2</v>
      </c>
      <c r="C660">
        <v>-0.33831235696769429</v>
      </c>
      <c r="D660">
        <v>3.230985124603037E-2</v>
      </c>
      <c r="E660" t="b">
        <v>0</v>
      </c>
    </row>
    <row r="661" spans="1:5" x14ac:dyDescent="0.3">
      <c r="A661" s="1" t="s">
        <v>1176</v>
      </c>
      <c r="B661">
        <v>-4.1791499882445009E-2</v>
      </c>
      <c r="C661">
        <v>-0.3223363844962942</v>
      </c>
      <c r="D661">
        <v>3.0607004785376511E-2</v>
      </c>
      <c r="E661" t="b">
        <v>0</v>
      </c>
    </row>
    <row r="662" spans="1:5" x14ac:dyDescent="0.3">
      <c r="A662" s="1" t="s">
        <v>1121</v>
      </c>
      <c r="B662">
        <v>-4.2833528078330123E-2</v>
      </c>
      <c r="C662">
        <v>-0.16315633237660709</v>
      </c>
      <c r="D662">
        <v>1.5115396570071091E-2</v>
      </c>
      <c r="E662" t="b">
        <v>0</v>
      </c>
    </row>
    <row r="663" spans="1:5" x14ac:dyDescent="0.3">
      <c r="A663" s="1" t="s">
        <v>1241</v>
      </c>
      <c r="B663">
        <v>-4.333436372444336E-2</v>
      </c>
      <c r="C663">
        <v>-0.51615573378841728</v>
      </c>
      <c r="D663">
        <v>4.726588468835851E-2</v>
      </c>
      <c r="E663" t="b">
        <v>0</v>
      </c>
    </row>
    <row r="664" spans="1:5" x14ac:dyDescent="0.3">
      <c r="A664" s="1" t="s">
        <v>829</v>
      </c>
      <c r="B664">
        <v>-4.4632427479292837E-2</v>
      </c>
      <c r="C664">
        <v>-1.440835033613439</v>
      </c>
      <c r="D664">
        <v>0.12810415347425461</v>
      </c>
      <c r="E664" t="b">
        <v>0</v>
      </c>
    </row>
    <row r="665" spans="1:5" x14ac:dyDescent="0.3">
      <c r="A665" s="1" t="s">
        <v>557</v>
      </c>
      <c r="B665">
        <v>-4.5996416857613902E-2</v>
      </c>
      <c r="C665">
        <v>-0.18465581888709881</v>
      </c>
      <c r="D665">
        <v>1.5930831923891921E-2</v>
      </c>
      <c r="E665" t="b">
        <v>0</v>
      </c>
    </row>
    <row r="666" spans="1:5" x14ac:dyDescent="0.3">
      <c r="A666" s="1" t="s">
        <v>369</v>
      </c>
      <c r="B666">
        <v>-4.8008121339681527E-2</v>
      </c>
      <c r="C666">
        <v>-0.23332278211890581</v>
      </c>
      <c r="D666">
        <v>1.9285988082647719E-2</v>
      </c>
      <c r="E666" t="b">
        <v>0</v>
      </c>
    </row>
    <row r="667" spans="1:5" x14ac:dyDescent="0.3">
      <c r="A667" s="1" t="s">
        <v>1250</v>
      </c>
      <c r="B667">
        <v>-5.0077021897256831E-2</v>
      </c>
      <c r="C667">
        <v>-0.23039296194483749</v>
      </c>
      <c r="D667">
        <v>1.825703188522617E-2</v>
      </c>
      <c r="E667" t="b">
        <v>0</v>
      </c>
    </row>
    <row r="668" spans="1:5" x14ac:dyDescent="0.3">
      <c r="A668" s="1" t="s">
        <v>1529</v>
      </c>
      <c r="B668">
        <v>-5.159441416825878E-2</v>
      </c>
      <c r="C668">
        <v>-3.7930915136428919E-2</v>
      </c>
      <c r="D668">
        <v>2.9173604727590671E-3</v>
      </c>
      <c r="E668" t="b">
        <v>0</v>
      </c>
    </row>
    <row r="669" spans="1:5" x14ac:dyDescent="0.3">
      <c r="A669" s="1" t="s">
        <v>441</v>
      </c>
      <c r="B669">
        <v>-5.4157537362373533E-2</v>
      </c>
      <c r="C669">
        <v>-0.28168887534383552</v>
      </c>
      <c r="D669">
        <v>2.064002633496374E-2</v>
      </c>
      <c r="E669" t="b">
        <v>0</v>
      </c>
    </row>
    <row r="670" spans="1:5" x14ac:dyDescent="0.3">
      <c r="A670" s="1" t="s">
        <v>225</v>
      </c>
      <c r="B670">
        <v>-5.4478545094448848E-2</v>
      </c>
      <c r="C670">
        <v>-0.31943940319225589</v>
      </c>
      <c r="D670">
        <v>2.3268181577475979E-2</v>
      </c>
      <c r="E670" t="b">
        <v>0</v>
      </c>
    </row>
    <row r="671" spans="1:5" x14ac:dyDescent="0.3">
      <c r="A671" s="1" t="s">
        <v>1221</v>
      </c>
      <c r="B671">
        <v>-5.59985058353559E-2</v>
      </c>
      <c r="C671">
        <v>-0.53062459833470443</v>
      </c>
      <c r="D671">
        <v>3.7601952705413222E-2</v>
      </c>
      <c r="E671" t="b">
        <v>0</v>
      </c>
    </row>
    <row r="672" spans="1:5" x14ac:dyDescent="0.3">
      <c r="A672" s="1" t="s">
        <v>1242</v>
      </c>
      <c r="B672">
        <v>-5.8369363728966707E-2</v>
      </c>
      <c r="C672">
        <v>-0.43160733272218882</v>
      </c>
      <c r="D672">
        <v>2.9342918979813531E-2</v>
      </c>
      <c r="E672" t="b">
        <v>0</v>
      </c>
    </row>
    <row r="673" spans="1:5" x14ac:dyDescent="0.3">
      <c r="A673" s="1" t="s">
        <v>956</v>
      </c>
      <c r="B673">
        <v>-5.8657544163868459E-2</v>
      </c>
      <c r="C673">
        <v>-5.7472047453996741E-2</v>
      </c>
      <c r="D673">
        <v>3.8880536787539821E-3</v>
      </c>
      <c r="E673" t="b">
        <v>0</v>
      </c>
    </row>
    <row r="674" spans="1:5" x14ac:dyDescent="0.3">
      <c r="A674" s="1" t="s">
        <v>562</v>
      </c>
      <c r="B674">
        <v>-6.025541510069049E-2</v>
      </c>
      <c r="C674">
        <v>-0.2317869747320743</v>
      </c>
      <c r="D674">
        <v>1.526484517172625E-2</v>
      </c>
      <c r="E674" t="b">
        <v>0</v>
      </c>
    </row>
    <row r="675" spans="1:5" x14ac:dyDescent="0.3">
      <c r="A675" s="1" t="s">
        <v>833</v>
      </c>
      <c r="B675">
        <v>-6.0452099302240131E-2</v>
      </c>
      <c r="C675">
        <v>-0.47301619016325602</v>
      </c>
      <c r="D675">
        <v>3.1050176839667799E-2</v>
      </c>
      <c r="E675" t="b">
        <v>0</v>
      </c>
    </row>
    <row r="676" spans="1:5" x14ac:dyDescent="0.3">
      <c r="A676" s="1" t="s">
        <v>397</v>
      </c>
      <c r="B676">
        <v>-6.0541671515239627E-2</v>
      </c>
      <c r="C676">
        <v>-0.60435650879278069</v>
      </c>
      <c r="D676">
        <v>3.9613047579193088E-2</v>
      </c>
      <c r="E676" t="b">
        <v>0</v>
      </c>
    </row>
    <row r="677" spans="1:5" x14ac:dyDescent="0.3">
      <c r="A677" s="1" t="s">
        <v>963</v>
      </c>
      <c r="B677">
        <v>-6.1158306022865837E-2</v>
      </c>
      <c r="C677">
        <v>-0.41653107202752371</v>
      </c>
      <c r="D677">
        <v>2.7026600096744249E-2</v>
      </c>
      <c r="E677" t="b">
        <v>0</v>
      </c>
    </row>
    <row r="678" spans="1:5" x14ac:dyDescent="0.3">
      <c r="A678" s="1" t="s">
        <v>1587</v>
      </c>
      <c r="B678">
        <v>-6.1504041631669087E-2</v>
      </c>
      <c r="C678">
        <v>-0.77917923430416147</v>
      </c>
      <c r="D678">
        <v>5.0272811452385643E-2</v>
      </c>
      <c r="E678" t="b">
        <v>0</v>
      </c>
    </row>
    <row r="679" spans="1:5" x14ac:dyDescent="0.3">
      <c r="A679" s="1" t="s">
        <v>1264</v>
      </c>
      <c r="B679">
        <v>-6.1517545989395198E-2</v>
      </c>
      <c r="C679">
        <v>-0.45570688753014599</v>
      </c>
      <c r="D679">
        <v>2.9395851796719979E-2</v>
      </c>
      <c r="E679" t="b">
        <v>0</v>
      </c>
    </row>
    <row r="680" spans="1:5" x14ac:dyDescent="0.3">
      <c r="A680" s="1" t="s">
        <v>220</v>
      </c>
      <c r="B680">
        <v>-6.2628796616197704E-2</v>
      </c>
      <c r="C680">
        <v>-0.62506978088125464</v>
      </c>
      <c r="D680">
        <v>3.9605353646155833E-2</v>
      </c>
      <c r="E680" t="b">
        <v>0</v>
      </c>
    </row>
    <row r="681" spans="1:5" x14ac:dyDescent="0.3">
      <c r="A681" s="1" t="s">
        <v>982</v>
      </c>
      <c r="B681">
        <v>-6.2689812844333045E-2</v>
      </c>
      <c r="C681">
        <v>-0.28439279053201483</v>
      </c>
      <c r="D681">
        <v>1.8002012900785111E-2</v>
      </c>
      <c r="E681" t="b">
        <v>0</v>
      </c>
    </row>
    <row r="682" spans="1:5" x14ac:dyDescent="0.3">
      <c r="A682" s="1" t="s">
        <v>244</v>
      </c>
      <c r="B682">
        <v>-6.2948838399766477E-2</v>
      </c>
      <c r="C682">
        <v>-0.51157054122333467</v>
      </c>
      <c r="D682">
        <v>3.2249075310321507E-2</v>
      </c>
      <c r="E682" t="b">
        <v>0</v>
      </c>
    </row>
    <row r="683" spans="1:5" x14ac:dyDescent="0.3">
      <c r="A683" s="1" t="s">
        <v>1348</v>
      </c>
      <c r="B683">
        <v>-6.3023432111105546E-2</v>
      </c>
      <c r="C683">
        <v>-1.0257820031289839</v>
      </c>
      <c r="D683">
        <v>6.4588096333820733E-2</v>
      </c>
      <c r="E683" t="b">
        <v>0</v>
      </c>
    </row>
    <row r="684" spans="1:5" x14ac:dyDescent="0.3">
      <c r="A684" s="1" t="s">
        <v>911</v>
      </c>
      <c r="B684">
        <v>-6.4020938547415057E-2</v>
      </c>
      <c r="C684">
        <v>-0.37169952135547218</v>
      </c>
      <c r="D684">
        <v>2.303930767157597E-2</v>
      </c>
      <c r="E684" t="b">
        <v>0</v>
      </c>
    </row>
    <row r="685" spans="1:5" x14ac:dyDescent="0.3">
      <c r="A685" s="1" t="s">
        <v>1244</v>
      </c>
      <c r="B685">
        <v>-6.4433267109991491E-2</v>
      </c>
      <c r="C685">
        <v>-0.39392724387177991</v>
      </c>
      <c r="D685">
        <v>2.4260811515719929E-2</v>
      </c>
      <c r="E685" t="b">
        <v>0</v>
      </c>
    </row>
    <row r="686" spans="1:5" x14ac:dyDescent="0.3">
      <c r="A686" s="1" t="s">
        <v>778</v>
      </c>
      <c r="B686">
        <v>-6.4716960427607703E-2</v>
      </c>
      <c r="C686">
        <v>-0.22165295315079989</v>
      </c>
      <c r="D686">
        <v>1.3591108190251991E-2</v>
      </c>
      <c r="E686" t="b">
        <v>0</v>
      </c>
    </row>
    <row r="687" spans="1:5" x14ac:dyDescent="0.3">
      <c r="A687" s="1" t="s">
        <v>932</v>
      </c>
      <c r="B687">
        <v>-6.5775639394528157E-2</v>
      </c>
      <c r="C687">
        <v>-0.39766491874639498</v>
      </c>
      <c r="D687">
        <v>2.3991182850927179E-2</v>
      </c>
      <c r="E687" t="b">
        <v>0</v>
      </c>
    </row>
    <row r="688" spans="1:5" x14ac:dyDescent="0.3">
      <c r="A688" s="1" t="s">
        <v>1013</v>
      </c>
      <c r="B688">
        <v>-6.6888207659760099E-2</v>
      </c>
      <c r="C688">
        <v>-0.31631547737065052</v>
      </c>
      <c r="D688">
        <v>1.876594084687026E-2</v>
      </c>
      <c r="E688" t="b">
        <v>0</v>
      </c>
    </row>
    <row r="689" spans="1:5" x14ac:dyDescent="0.3">
      <c r="A689" s="1" t="s">
        <v>675</v>
      </c>
      <c r="B689">
        <v>-6.7835247900242146E-2</v>
      </c>
      <c r="C689">
        <v>-0.47742358986312938</v>
      </c>
      <c r="D689">
        <v>2.7928519665742321E-2</v>
      </c>
      <c r="E689" t="b">
        <v>0</v>
      </c>
    </row>
    <row r="690" spans="1:5" x14ac:dyDescent="0.3">
      <c r="A690" s="1" t="s">
        <v>434</v>
      </c>
      <c r="B690">
        <v>-6.847159004398129E-2</v>
      </c>
      <c r="C690">
        <v>-0.46087095474685652</v>
      </c>
      <c r="D690">
        <v>2.6709661537763069E-2</v>
      </c>
      <c r="E690" t="b">
        <v>0</v>
      </c>
    </row>
    <row r="691" spans="1:5" x14ac:dyDescent="0.3">
      <c r="A691" s="1" t="s">
        <v>925</v>
      </c>
      <c r="B691">
        <v>-6.8623858843936444E-2</v>
      </c>
      <c r="C691">
        <v>-0.3603215259786311</v>
      </c>
      <c r="D691">
        <v>2.083600877886756E-2</v>
      </c>
      <c r="E691" t="b">
        <v>0</v>
      </c>
    </row>
    <row r="692" spans="1:5" x14ac:dyDescent="0.3">
      <c r="A692" s="1" t="s">
        <v>260</v>
      </c>
      <c r="B692">
        <v>-6.9652955089244253E-2</v>
      </c>
      <c r="C692">
        <v>-0.51005559162813707</v>
      </c>
      <c r="D692">
        <v>2.9058783262176761E-2</v>
      </c>
      <c r="E692" t="b">
        <v>0</v>
      </c>
    </row>
    <row r="693" spans="1:5" x14ac:dyDescent="0.3">
      <c r="A693" s="1" t="s">
        <v>544</v>
      </c>
      <c r="B693">
        <v>-6.9660045489425546E-2</v>
      </c>
      <c r="C693">
        <v>-0.40957076426899103</v>
      </c>
      <c r="D693">
        <v>2.33316070808187E-2</v>
      </c>
      <c r="E693" t="b">
        <v>0</v>
      </c>
    </row>
    <row r="694" spans="1:5" x14ac:dyDescent="0.3">
      <c r="A694" s="1" t="s">
        <v>969</v>
      </c>
      <c r="B694">
        <v>-7.1838910982277945E-2</v>
      </c>
      <c r="C694">
        <v>-0.34001352809988672</v>
      </c>
      <c r="D694">
        <v>1.8781743955935779E-2</v>
      </c>
      <c r="E694" t="b">
        <v>0</v>
      </c>
    </row>
    <row r="695" spans="1:5" x14ac:dyDescent="0.3">
      <c r="A695" s="1" t="s">
        <v>564</v>
      </c>
      <c r="B695">
        <v>-7.4185840655090304E-2</v>
      </c>
      <c r="C695">
        <v>-0.44889219339909792</v>
      </c>
      <c r="D695">
        <v>2.4011566250978E-2</v>
      </c>
      <c r="E695" t="b">
        <v>0</v>
      </c>
    </row>
    <row r="696" spans="1:5" x14ac:dyDescent="0.3">
      <c r="A696" s="1" t="s">
        <v>356</v>
      </c>
      <c r="B696">
        <v>-7.5023886849837379E-2</v>
      </c>
      <c r="C696">
        <v>-0.50079323638848772</v>
      </c>
      <c r="D696">
        <v>2.6488560257494471E-2</v>
      </c>
      <c r="E696" t="b">
        <v>0</v>
      </c>
    </row>
    <row r="697" spans="1:5" x14ac:dyDescent="0.3">
      <c r="A697" s="1" t="s">
        <v>333</v>
      </c>
      <c r="B697">
        <v>-7.5627650183014331E-2</v>
      </c>
      <c r="C697">
        <v>-0.41291235014339273</v>
      </c>
      <c r="D697">
        <v>2.1665899549072599E-2</v>
      </c>
      <c r="E697" t="b">
        <v>0</v>
      </c>
    </row>
    <row r="698" spans="1:5" x14ac:dyDescent="0.3">
      <c r="A698" s="1" t="s">
        <v>645</v>
      </c>
      <c r="B698">
        <v>-7.6552140124660134E-2</v>
      </c>
      <c r="C698">
        <v>-0.8135319965875607</v>
      </c>
      <c r="D698">
        <v>4.2171277883323498E-2</v>
      </c>
      <c r="E698" t="b">
        <v>0</v>
      </c>
    </row>
    <row r="699" spans="1:5" x14ac:dyDescent="0.3">
      <c r="A699" s="1" t="s">
        <v>344</v>
      </c>
      <c r="B699">
        <v>-7.7661275639820351E-2</v>
      </c>
      <c r="C699">
        <v>-0.3463499548883916</v>
      </c>
      <c r="D699">
        <v>1.7697424766297879E-2</v>
      </c>
      <c r="E699" t="b">
        <v>0</v>
      </c>
    </row>
    <row r="700" spans="1:5" x14ac:dyDescent="0.3">
      <c r="A700" s="1" t="s">
        <v>1643</v>
      </c>
      <c r="B700">
        <v>-7.8367764970001502E-2</v>
      </c>
      <c r="C700">
        <v>-0.72476365066231274</v>
      </c>
      <c r="D700">
        <v>3.6699352519341102E-2</v>
      </c>
      <c r="E700" t="b">
        <v>0</v>
      </c>
    </row>
    <row r="701" spans="1:5" x14ac:dyDescent="0.3">
      <c r="A701" s="1" t="s">
        <v>740</v>
      </c>
      <c r="B701">
        <v>-7.8648586632121376E-2</v>
      </c>
      <c r="C701">
        <v>-0.45176470016578768</v>
      </c>
      <c r="D701">
        <v>2.2794015009263709E-2</v>
      </c>
      <c r="E701" t="b">
        <v>0</v>
      </c>
    </row>
    <row r="702" spans="1:5" x14ac:dyDescent="0.3">
      <c r="A702" s="1" t="s">
        <v>1530</v>
      </c>
      <c r="B702">
        <v>-7.8864193956158499E-2</v>
      </c>
      <c r="C702">
        <v>-0.1159442547579817</v>
      </c>
      <c r="D702">
        <v>5.8340322262772724E-3</v>
      </c>
      <c r="E702" t="b">
        <v>0</v>
      </c>
    </row>
    <row r="703" spans="1:5" x14ac:dyDescent="0.3">
      <c r="A703" s="1" t="s">
        <v>1158</v>
      </c>
      <c r="B703">
        <v>-8.0066805471318711E-2</v>
      </c>
      <c r="C703">
        <v>-0.39094877156391789</v>
      </c>
      <c r="D703">
        <v>1.9376119791594079E-2</v>
      </c>
      <c r="E703" t="b">
        <v>0</v>
      </c>
    </row>
    <row r="704" spans="1:5" x14ac:dyDescent="0.3">
      <c r="A704" s="1" t="s">
        <v>315</v>
      </c>
      <c r="B704">
        <v>-8.1057438673846113E-2</v>
      </c>
      <c r="C704">
        <v>-2.5425355051482509E-2</v>
      </c>
      <c r="D704">
        <v>1.244725564093921E-3</v>
      </c>
      <c r="E704" t="b">
        <v>0</v>
      </c>
    </row>
    <row r="705" spans="1:5" x14ac:dyDescent="0.3">
      <c r="A705" s="1" t="s">
        <v>270</v>
      </c>
      <c r="B705">
        <v>-8.1418631886456039E-2</v>
      </c>
      <c r="C705">
        <v>-0.59813332164147992</v>
      </c>
      <c r="D705">
        <v>2.9152355820210831E-2</v>
      </c>
      <c r="E705" t="b">
        <v>0</v>
      </c>
    </row>
    <row r="706" spans="1:5" x14ac:dyDescent="0.3">
      <c r="A706" s="1" t="s">
        <v>1070</v>
      </c>
      <c r="B706">
        <v>-8.1740843094059157E-2</v>
      </c>
      <c r="C706">
        <v>-0.56232539679904736</v>
      </c>
      <c r="D706">
        <v>2.7299082109173721E-2</v>
      </c>
      <c r="E706" t="b">
        <v>0</v>
      </c>
    </row>
    <row r="707" spans="1:5" x14ac:dyDescent="0.3">
      <c r="A707" s="1" t="s">
        <v>1281</v>
      </c>
      <c r="B707">
        <v>-8.3142343612810476E-2</v>
      </c>
      <c r="C707">
        <v>-0.57616635212015499</v>
      </c>
      <c r="D707">
        <v>2.7499518462250041E-2</v>
      </c>
      <c r="E707" t="b">
        <v>0</v>
      </c>
    </row>
    <row r="708" spans="1:5" x14ac:dyDescent="0.3">
      <c r="A708" s="1" t="s">
        <v>1187</v>
      </c>
      <c r="B708">
        <v>-8.5948265957448533E-2</v>
      </c>
      <c r="C708">
        <v>-0.42151847507866891</v>
      </c>
      <c r="D708">
        <v>1.9461618483977441E-2</v>
      </c>
      <c r="E708" t="b">
        <v>0</v>
      </c>
    </row>
    <row r="709" spans="1:5" x14ac:dyDescent="0.3">
      <c r="A709" s="1" t="s">
        <v>676</v>
      </c>
      <c r="B709">
        <v>-8.663545165982936E-2</v>
      </c>
      <c r="C709">
        <v>-0.31688640224504089</v>
      </c>
      <c r="D709">
        <v>1.4514678449788361E-2</v>
      </c>
      <c r="E709" t="b">
        <v>0</v>
      </c>
    </row>
    <row r="710" spans="1:5" x14ac:dyDescent="0.3">
      <c r="A710" s="1" t="s">
        <v>347</v>
      </c>
      <c r="B710">
        <v>-8.7808467319779315E-2</v>
      </c>
      <c r="C710">
        <v>-0.50945158925020251</v>
      </c>
      <c r="D710">
        <v>2.302321578297294E-2</v>
      </c>
      <c r="E710" t="b">
        <v>0</v>
      </c>
    </row>
    <row r="711" spans="1:5" x14ac:dyDescent="0.3">
      <c r="A711" s="1" t="s">
        <v>1211</v>
      </c>
      <c r="B711">
        <v>-8.8153319102789285E-2</v>
      </c>
      <c r="C711">
        <v>-0.42942079295735802</v>
      </c>
      <c r="D711">
        <v>1.9330534380864659E-2</v>
      </c>
      <c r="E711" t="b">
        <v>0</v>
      </c>
    </row>
    <row r="712" spans="1:5" x14ac:dyDescent="0.3">
      <c r="A712" s="1" t="s">
        <v>1605</v>
      </c>
      <c r="B712">
        <v>-9.0168467889543524E-2</v>
      </c>
      <c r="C712">
        <v>-0.40162741107111638</v>
      </c>
      <c r="D712">
        <v>1.767535375775579E-2</v>
      </c>
      <c r="E712" t="b">
        <v>0</v>
      </c>
    </row>
    <row r="713" spans="1:5" x14ac:dyDescent="0.3">
      <c r="A713" s="1" t="s">
        <v>518</v>
      </c>
      <c r="B713">
        <v>-9.0443757923029014E-2</v>
      </c>
      <c r="C713">
        <v>-0.55751712305418466</v>
      </c>
      <c r="D713">
        <v>2.446127390916366E-2</v>
      </c>
      <c r="E713" t="b">
        <v>0</v>
      </c>
    </row>
    <row r="714" spans="1:5" x14ac:dyDescent="0.3">
      <c r="A714" s="1" t="s">
        <v>126</v>
      </c>
      <c r="B714">
        <v>-9.1791510680915622E-2</v>
      </c>
      <c r="C714">
        <v>-0.62761390347312473</v>
      </c>
      <c r="D714">
        <v>2.7132480384227921E-2</v>
      </c>
      <c r="E714" t="b">
        <v>0</v>
      </c>
    </row>
    <row r="715" spans="1:5" x14ac:dyDescent="0.3">
      <c r="A715" s="1" t="s">
        <v>283</v>
      </c>
      <c r="B715">
        <v>-9.3779486722471009E-2</v>
      </c>
      <c r="C715">
        <v>-0.680193792846018</v>
      </c>
      <c r="D715">
        <v>2.878221892630772E-2</v>
      </c>
      <c r="E715" t="b">
        <v>0</v>
      </c>
    </row>
    <row r="716" spans="1:5" x14ac:dyDescent="0.3">
      <c r="A716" s="1" t="s">
        <v>628</v>
      </c>
      <c r="B716">
        <v>-9.4313419356513259E-2</v>
      </c>
      <c r="C716">
        <v>-0.80025484856284645</v>
      </c>
      <c r="D716">
        <v>3.367086571657299E-2</v>
      </c>
      <c r="E716" t="b">
        <v>0</v>
      </c>
    </row>
    <row r="717" spans="1:5" x14ac:dyDescent="0.3">
      <c r="A717" s="1" t="s">
        <v>602</v>
      </c>
      <c r="B717">
        <v>-9.5029930671266416E-2</v>
      </c>
      <c r="C717">
        <v>-0.4843353158566136</v>
      </c>
      <c r="D717">
        <v>2.0224844167908859E-2</v>
      </c>
      <c r="E717" t="b">
        <v>0</v>
      </c>
    </row>
    <row r="718" spans="1:5" x14ac:dyDescent="0.3">
      <c r="A718" s="1" t="s">
        <v>1640</v>
      </c>
      <c r="B718">
        <v>-9.6985519631929404E-2</v>
      </c>
      <c r="C718">
        <v>-0.43389321825107291</v>
      </c>
      <c r="D718">
        <v>1.7753150074956731E-2</v>
      </c>
      <c r="E718" t="b">
        <v>0</v>
      </c>
    </row>
    <row r="719" spans="1:5" x14ac:dyDescent="0.3">
      <c r="A719" s="1" t="s">
        <v>1188</v>
      </c>
      <c r="B719">
        <v>-9.7745664740847005E-2</v>
      </c>
      <c r="C719">
        <v>-1.2216905621363829</v>
      </c>
      <c r="D719">
        <v>4.9597886863111167E-2</v>
      </c>
      <c r="E719" t="b">
        <v>0</v>
      </c>
    </row>
    <row r="720" spans="1:5" x14ac:dyDescent="0.3">
      <c r="A720" s="1" t="s">
        <v>1447</v>
      </c>
      <c r="B720">
        <v>-0.1001465829117575</v>
      </c>
      <c r="C720">
        <v>-1.322969204100428</v>
      </c>
      <c r="D720">
        <v>5.242193633980663E-2</v>
      </c>
      <c r="E720" t="b">
        <v>0</v>
      </c>
    </row>
    <row r="721" spans="1:5" x14ac:dyDescent="0.3">
      <c r="A721" s="1" t="s">
        <v>1277</v>
      </c>
      <c r="B721">
        <v>-0.1010625389025633</v>
      </c>
      <c r="C721">
        <v>-0.52047589403315597</v>
      </c>
      <c r="D721">
        <v>2.0436657878433899E-2</v>
      </c>
      <c r="E721" t="b">
        <v>0</v>
      </c>
    </row>
    <row r="722" spans="1:5" x14ac:dyDescent="0.3">
      <c r="A722" s="1" t="s">
        <v>1155</v>
      </c>
      <c r="B722">
        <v>-0.1018199285414257</v>
      </c>
      <c r="C722">
        <v>-0.66647984819705863</v>
      </c>
      <c r="D722">
        <v>2.5974888612235191E-2</v>
      </c>
      <c r="E722" t="b">
        <v>0</v>
      </c>
    </row>
    <row r="723" spans="1:5" x14ac:dyDescent="0.3">
      <c r="A723" s="1" t="s">
        <v>233</v>
      </c>
      <c r="B723">
        <v>-0.1019915287663891</v>
      </c>
      <c r="C723">
        <v>-0.45268663585504471</v>
      </c>
      <c r="D723">
        <v>1.761298767490686E-2</v>
      </c>
      <c r="E723" t="b">
        <v>0</v>
      </c>
    </row>
    <row r="724" spans="1:5" x14ac:dyDescent="0.3">
      <c r="A724" s="1" t="s">
        <v>1520</v>
      </c>
      <c r="B724">
        <v>-0.1020765515685635</v>
      </c>
      <c r="C724">
        <v>-0.21166901355178311</v>
      </c>
      <c r="D724">
        <v>8.2286910174378097E-3</v>
      </c>
      <c r="E724" t="b">
        <v>0</v>
      </c>
    </row>
    <row r="725" spans="1:5" x14ac:dyDescent="0.3">
      <c r="A725" s="1" t="s">
        <v>583</v>
      </c>
      <c r="B725">
        <v>-0.1041696167503877</v>
      </c>
      <c r="C725">
        <v>-0.49442886565863131</v>
      </c>
      <c r="D725">
        <v>1.8834851940279122E-2</v>
      </c>
      <c r="E725" t="b">
        <v>0</v>
      </c>
    </row>
    <row r="726" spans="1:5" x14ac:dyDescent="0.3">
      <c r="A726" s="1" t="s">
        <v>989</v>
      </c>
      <c r="B726">
        <v>-0.1044869665319071</v>
      </c>
      <c r="C726">
        <v>-0.99070724529072285</v>
      </c>
      <c r="D726">
        <v>3.7625534437372578E-2</v>
      </c>
      <c r="E726" t="b">
        <v>0</v>
      </c>
    </row>
    <row r="727" spans="1:5" x14ac:dyDescent="0.3">
      <c r="A727" s="1" t="s">
        <v>1064</v>
      </c>
      <c r="B727">
        <v>-0.1054840264396278</v>
      </c>
      <c r="C727">
        <v>-0.49844078635118327</v>
      </c>
      <c r="D727">
        <v>1.8751081989743301E-2</v>
      </c>
      <c r="E727" t="b">
        <v>0</v>
      </c>
    </row>
    <row r="728" spans="1:5" x14ac:dyDescent="0.3">
      <c r="A728" s="1" t="s">
        <v>1192</v>
      </c>
      <c r="B728">
        <v>-0.10805257855798681</v>
      </c>
      <c r="C728">
        <v>-1.743395239898502</v>
      </c>
      <c r="D728">
        <v>6.4026561617403818E-2</v>
      </c>
      <c r="E728" t="b">
        <v>0</v>
      </c>
    </row>
    <row r="729" spans="1:5" x14ac:dyDescent="0.3">
      <c r="A729" s="1" t="s">
        <v>774</v>
      </c>
      <c r="B729">
        <v>-0.1099616021386635</v>
      </c>
      <c r="C729">
        <v>-0.48520645730802991</v>
      </c>
      <c r="D729">
        <v>1.750995267609004E-2</v>
      </c>
      <c r="E729" t="b">
        <v>0</v>
      </c>
    </row>
    <row r="730" spans="1:5" x14ac:dyDescent="0.3">
      <c r="A730" s="1" t="s">
        <v>695</v>
      </c>
      <c r="B730">
        <v>-0.1101011670107029</v>
      </c>
      <c r="C730">
        <v>-1.3947666784927719</v>
      </c>
      <c r="D730">
        <v>5.027002489609686E-2</v>
      </c>
      <c r="E730" t="b">
        <v>0</v>
      </c>
    </row>
    <row r="731" spans="1:5" x14ac:dyDescent="0.3">
      <c r="A731" s="1" t="s">
        <v>1462</v>
      </c>
      <c r="B731">
        <v>-0.1119328422004196</v>
      </c>
      <c r="C731">
        <v>-0.72216154292211776</v>
      </c>
      <c r="D731">
        <v>2.560214099888513E-2</v>
      </c>
      <c r="E731" t="b">
        <v>0</v>
      </c>
    </row>
    <row r="732" spans="1:5" x14ac:dyDescent="0.3">
      <c r="A732" s="1" t="s">
        <v>1468</v>
      </c>
      <c r="B732">
        <v>-0.1126421466341407</v>
      </c>
      <c r="C732">
        <v>-0.71449842032698174</v>
      </c>
      <c r="D732">
        <v>2.517096199331826E-2</v>
      </c>
      <c r="E732" t="b">
        <v>0</v>
      </c>
    </row>
    <row r="733" spans="1:5" x14ac:dyDescent="0.3">
      <c r="A733" s="1" t="s">
        <v>1623</v>
      </c>
      <c r="B733">
        <v>-0.11388194560389681</v>
      </c>
      <c r="C733">
        <v>-1.4857409539284181</v>
      </c>
      <c r="D733">
        <v>5.1771133738183497E-2</v>
      </c>
      <c r="E733" t="b">
        <v>0</v>
      </c>
    </row>
    <row r="734" spans="1:5" x14ac:dyDescent="0.3">
      <c r="A734" s="1" t="s">
        <v>117</v>
      </c>
      <c r="B734">
        <v>-0.11431316890800911</v>
      </c>
      <c r="C734">
        <v>-0.49466401489005207</v>
      </c>
      <c r="D734">
        <v>1.7171708726048271E-2</v>
      </c>
      <c r="E734" t="b">
        <v>0</v>
      </c>
    </row>
    <row r="735" spans="1:5" x14ac:dyDescent="0.3">
      <c r="A735" s="1" t="s">
        <v>737</v>
      </c>
      <c r="B735">
        <v>-0.1154802520561334</v>
      </c>
      <c r="C735">
        <v>-0.50855735861786844</v>
      </c>
      <c r="D735">
        <v>1.747558323166068E-2</v>
      </c>
      <c r="E735" t="b">
        <v>0</v>
      </c>
    </row>
    <row r="736" spans="1:5" x14ac:dyDescent="0.3">
      <c r="A736" s="1" t="s">
        <v>461</v>
      </c>
      <c r="B736">
        <v>-0.1157221267126574</v>
      </c>
      <c r="C736">
        <v>-1.2484439253359221</v>
      </c>
      <c r="D736">
        <v>4.2810676761568377E-2</v>
      </c>
      <c r="E736" t="b">
        <v>0</v>
      </c>
    </row>
    <row r="737" spans="1:5" x14ac:dyDescent="0.3">
      <c r="A737" s="1" t="s">
        <v>112</v>
      </c>
      <c r="B737">
        <v>-0.1170713258647277</v>
      </c>
      <c r="C737">
        <v>-0.71019369776600061</v>
      </c>
      <c r="D737">
        <v>2.407275170561635E-2</v>
      </c>
      <c r="E737" t="b">
        <v>0</v>
      </c>
    </row>
    <row r="738" spans="1:5" x14ac:dyDescent="0.3">
      <c r="A738" s="1" t="s">
        <v>331</v>
      </c>
      <c r="B738">
        <v>-0.11789654103734561</v>
      </c>
      <c r="C738">
        <v>-0.87271899883599313</v>
      </c>
      <c r="D738">
        <v>2.9374658491503551E-2</v>
      </c>
      <c r="E738" t="b">
        <v>0</v>
      </c>
    </row>
    <row r="739" spans="1:5" x14ac:dyDescent="0.3">
      <c r="A739" s="1" t="s">
        <v>937</v>
      </c>
      <c r="B739">
        <v>-0.1191788993939015</v>
      </c>
      <c r="C739">
        <v>-0.6656707878325272</v>
      </c>
      <c r="D739">
        <v>2.2164584157104091E-2</v>
      </c>
      <c r="E739" t="b">
        <v>0</v>
      </c>
    </row>
    <row r="740" spans="1:5" x14ac:dyDescent="0.3">
      <c r="A740" s="1" t="s">
        <v>1665</v>
      </c>
      <c r="B740">
        <v>-0.1192796088213425</v>
      </c>
      <c r="C740">
        <v>-0.54120902333839882</v>
      </c>
      <c r="D740">
        <v>1.8005213764024169E-2</v>
      </c>
      <c r="E740" t="b">
        <v>0</v>
      </c>
    </row>
    <row r="741" spans="1:5" x14ac:dyDescent="0.3">
      <c r="A741" s="1" t="s">
        <v>976</v>
      </c>
      <c r="B741">
        <v>-0.11937421735495959</v>
      </c>
      <c r="C741">
        <v>-8.9718402110928797E-2</v>
      </c>
      <c r="D741">
        <v>2.9824313247093881E-3</v>
      </c>
      <c r="E741" t="b">
        <v>0</v>
      </c>
    </row>
    <row r="742" spans="1:5" x14ac:dyDescent="0.3">
      <c r="A742" s="1" t="s">
        <v>1234</v>
      </c>
      <c r="B742">
        <v>-0.1207391971228529</v>
      </c>
      <c r="C742">
        <v>-1.1707592293823019</v>
      </c>
      <c r="D742">
        <v>3.8478555999830577E-2</v>
      </c>
      <c r="E742" t="b">
        <v>0</v>
      </c>
    </row>
    <row r="743" spans="1:5" x14ac:dyDescent="0.3">
      <c r="A743" s="1" t="s">
        <v>1138</v>
      </c>
      <c r="B743">
        <v>-0.1217073164501084</v>
      </c>
      <c r="C743">
        <v>-0.73946892005079978</v>
      </c>
      <c r="D743">
        <v>2.411030463887489E-2</v>
      </c>
      <c r="E743" t="b">
        <v>0</v>
      </c>
    </row>
    <row r="744" spans="1:5" x14ac:dyDescent="0.3">
      <c r="A744" s="1" t="s">
        <v>1489</v>
      </c>
      <c r="B744">
        <v>-0.1217658214452042</v>
      </c>
      <c r="C744">
        <v>-0.79745134210091129</v>
      </c>
      <c r="D744">
        <v>2.5988322627999879E-2</v>
      </c>
      <c r="E744" t="b">
        <v>0</v>
      </c>
    </row>
    <row r="745" spans="1:5" x14ac:dyDescent="0.3">
      <c r="A745" s="1" t="s">
        <v>686</v>
      </c>
      <c r="B745">
        <v>-0.12303153243594291</v>
      </c>
      <c r="C745">
        <v>-0.82906305277365044</v>
      </c>
      <c r="D745">
        <v>2.6740565479136089E-2</v>
      </c>
      <c r="E745" t="b">
        <v>0</v>
      </c>
    </row>
    <row r="746" spans="1:5" x14ac:dyDescent="0.3">
      <c r="A746" s="1" t="s">
        <v>307</v>
      </c>
      <c r="B746">
        <v>-0.12333619838344929</v>
      </c>
      <c r="C746">
        <v>-1.1855434942730161</v>
      </c>
      <c r="D746">
        <v>3.8144013982499073E-2</v>
      </c>
      <c r="E746" t="b">
        <v>0</v>
      </c>
    </row>
    <row r="747" spans="1:5" x14ac:dyDescent="0.3">
      <c r="A747" s="1" t="s">
        <v>241</v>
      </c>
      <c r="B747">
        <v>-0.12354226112222209</v>
      </c>
      <c r="C747">
        <v>-0.71171704051082574</v>
      </c>
      <c r="D747">
        <v>2.286079228780636E-2</v>
      </c>
      <c r="E747" t="b">
        <v>0</v>
      </c>
    </row>
    <row r="748" spans="1:5" x14ac:dyDescent="0.3">
      <c r="A748" s="1" t="s">
        <v>1253</v>
      </c>
      <c r="B748">
        <v>-0.1264195786484146</v>
      </c>
      <c r="C748">
        <v>-0.81041287371962856</v>
      </c>
      <c r="D748">
        <v>2.5438497236300879E-2</v>
      </c>
      <c r="E748" t="b">
        <v>0</v>
      </c>
    </row>
    <row r="749" spans="1:5" x14ac:dyDescent="0.3">
      <c r="A749" s="1" t="s">
        <v>578</v>
      </c>
      <c r="B749">
        <v>-0.1274839620952212</v>
      </c>
      <c r="C749">
        <v>-0.57227748586559701</v>
      </c>
      <c r="D749">
        <v>1.7813553696521701E-2</v>
      </c>
      <c r="E749" t="b">
        <v>0</v>
      </c>
    </row>
    <row r="750" spans="1:5" x14ac:dyDescent="0.3">
      <c r="A750" s="1" t="s">
        <v>413</v>
      </c>
      <c r="B750">
        <v>-0.1282998174563339</v>
      </c>
      <c r="C750">
        <v>-0.54806958992474075</v>
      </c>
      <c r="D750">
        <v>1.6951538733392078E-2</v>
      </c>
      <c r="E750" t="b">
        <v>0</v>
      </c>
    </row>
    <row r="751" spans="1:5" x14ac:dyDescent="0.3">
      <c r="A751" s="1" t="s">
        <v>492</v>
      </c>
      <c r="B751">
        <v>-0.1288903825100256</v>
      </c>
      <c r="C751">
        <v>-1.082483097117332</v>
      </c>
      <c r="D751">
        <v>3.3327295350136538E-2</v>
      </c>
      <c r="E751" t="b">
        <v>0</v>
      </c>
    </row>
    <row r="752" spans="1:5" x14ac:dyDescent="0.3">
      <c r="A752" s="1" t="s">
        <v>327</v>
      </c>
      <c r="B752">
        <v>-0.1289640865500212</v>
      </c>
      <c r="C752">
        <v>-0.72407848405622932</v>
      </c>
      <c r="D752">
        <v>2.2280057918054381E-2</v>
      </c>
      <c r="E752" t="b">
        <v>0</v>
      </c>
    </row>
    <row r="753" spans="1:5" x14ac:dyDescent="0.3">
      <c r="A753" s="1" t="s">
        <v>119</v>
      </c>
      <c r="B753">
        <v>-0.1297550185272372</v>
      </c>
      <c r="C753">
        <v>-1.1526794125164901</v>
      </c>
      <c r="D753">
        <v>3.5252005700905101E-2</v>
      </c>
      <c r="E753" t="b">
        <v>0</v>
      </c>
    </row>
    <row r="754" spans="1:5" x14ac:dyDescent="0.3">
      <c r="A754" s="1" t="s">
        <v>1537</v>
      </c>
      <c r="B754">
        <v>-0.13055571515226991</v>
      </c>
      <c r="C754">
        <v>-1.1438005776143401</v>
      </c>
      <c r="D754">
        <v>3.4765932504107387E-2</v>
      </c>
      <c r="E754" t="b">
        <v>0</v>
      </c>
    </row>
    <row r="755" spans="1:5" x14ac:dyDescent="0.3">
      <c r="A755" s="1" t="s">
        <v>1290</v>
      </c>
      <c r="B755">
        <v>-0.13126247539375449</v>
      </c>
      <c r="C755">
        <v>-0.37290433929807221</v>
      </c>
      <c r="D755">
        <v>1.1273436065865229E-2</v>
      </c>
      <c r="E755" t="b">
        <v>0</v>
      </c>
    </row>
    <row r="756" spans="1:5" x14ac:dyDescent="0.3">
      <c r="A756" s="1" t="s">
        <v>699</v>
      </c>
      <c r="B756">
        <v>-0.1316830733936093</v>
      </c>
      <c r="C756">
        <v>-0.66472190112876817</v>
      </c>
      <c r="D756">
        <v>2.0031316508349131E-2</v>
      </c>
      <c r="E756" t="b">
        <v>0</v>
      </c>
    </row>
    <row r="757" spans="1:5" x14ac:dyDescent="0.3">
      <c r="A757" s="1" t="s">
        <v>198</v>
      </c>
      <c r="B757">
        <v>-0.13247834842944381</v>
      </c>
      <c r="C757">
        <v>-0.75763318430298821</v>
      </c>
      <c r="D757">
        <v>2.2694130216247631E-2</v>
      </c>
      <c r="E757" t="b">
        <v>0</v>
      </c>
    </row>
    <row r="758" spans="1:5" x14ac:dyDescent="0.3">
      <c r="A758" s="1" t="s">
        <v>1615</v>
      </c>
      <c r="B758">
        <v>-0.13290948023680629</v>
      </c>
      <c r="C758">
        <v>-1.1193148059238369</v>
      </c>
      <c r="D758">
        <v>3.3419176814316137E-2</v>
      </c>
      <c r="E758" t="b">
        <v>0</v>
      </c>
    </row>
    <row r="759" spans="1:5" x14ac:dyDescent="0.3">
      <c r="A759" s="1" t="s">
        <v>1168</v>
      </c>
      <c r="B759">
        <v>-0.13416676717109521</v>
      </c>
      <c r="C759">
        <v>-0.93065099373271187</v>
      </c>
      <c r="D759">
        <v>2.7525888689184749E-2</v>
      </c>
      <c r="E759" t="b">
        <v>0</v>
      </c>
    </row>
    <row r="760" spans="1:5" x14ac:dyDescent="0.3">
      <c r="A760" s="1" t="s">
        <v>1058</v>
      </c>
      <c r="B760">
        <v>-0.13596440221546491</v>
      </c>
      <c r="C760">
        <v>-2.1345274523155142</v>
      </c>
      <c r="D760">
        <v>6.229826995138759E-2</v>
      </c>
      <c r="E760" t="b">
        <v>0</v>
      </c>
    </row>
    <row r="761" spans="1:5" x14ac:dyDescent="0.3">
      <c r="A761" s="1" t="s">
        <v>839</v>
      </c>
      <c r="B761">
        <v>-0.1373924365759645</v>
      </c>
      <c r="C761">
        <v>-8.7407703321805474E-2</v>
      </c>
      <c r="D761">
        <v>2.5245637547955039E-3</v>
      </c>
      <c r="E761" t="b">
        <v>0</v>
      </c>
    </row>
    <row r="762" spans="1:5" x14ac:dyDescent="0.3">
      <c r="A762" s="1" t="s">
        <v>430</v>
      </c>
      <c r="B762">
        <v>-0.13749844317237589</v>
      </c>
      <c r="C762">
        <v>-1.439544394091343</v>
      </c>
      <c r="D762">
        <v>4.1545763155799782E-2</v>
      </c>
      <c r="E762" t="b">
        <v>0</v>
      </c>
    </row>
    <row r="763" spans="1:5" x14ac:dyDescent="0.3">
      <c r="A763" s="1" t="s">
        <v>1566</v>
      </c>
      <c r="B763">
        <v>-0.13930245179583689</v>
      </c>
      <c r="C763">
        <v>-0.4085578796135455</v>
      </c>
      <c r="D763">
        <v>1.1638427078182479E-2</v>
      </c>
      <c r="E763" t="b">
        <v>0</v>
      </c>
    </row>
    <row r="764" spans="1:5" x14ac:dyDescent="0.3">
      <c r="A764" s="1" t="s">
        <v>142</v>
      </c>
      <c r="B764">
        <v>-0.14042082614738099</v>
      </c>
      <c r="C764">
        <v>-9.3388157747418626E-2</v>
      </c>
      <c r="D764">
        <v>2.639123680843217E-3</v>
      </c>
      <c r="E764" t="b">
        <v>0</v>
      </c>
    </row>
    <row r="765" spans="1:5" x14ac:dyDescent="0.3">
      <c r="A765" s="1" t="s">
        <v>1592</v>
      </c>
      <c r="B765">
        <v>-0.1410631384577859</v>
      </c>
      <c r="C765">
        <v>-0.53358724809209601</v>
      </c>
      <c r="D765">
        <v>1.5010368674625969E-2</v>
      </c>
      <c r="E765" t="b">
        <v>0</v>
      </c>
    </row>
    <row r="766" spans="1:5" x14ac:dyDescent="0.3">
      <c r="A766" s="1" t="s">
        <v>906</v>
      </c>
      <c r="B766">
        <v>-0.14130418656040711</v>
      </c>
      <c r="C766">
        <v>-0.69268181212507507</v>
      </c>
      <c r="D766">
        <v>1.9452624983107649E-2</v>
      </c>
      <c r="E766" t="b">
        <v>0</v>
      </c>
    </row>
    <row r="767" spans="1:5" x14ac:dyDescent="0.3">
      <c r="A767" s="1" t="s">
        <v>384</v>
      </c>
      <c r="B767">
        <v>-0.14231637899927829</v>
      </c>
      <c r="C767">
        <v>-0.64270158475046579</v>
      </c>
      <c r="D767">
        <v>1.7920657706602301E-2</v>
      </c>
      <c r="E767" t="b">
        <v>0</v>
      </c>
    </row>
    <row r="768" spans="1:5" x14ac:dyDescent="0.3">
      <c r="A768" s="1" t="s">
        <v>862</v>
      </c>
      <c r="B768">
        <v>-0.14352530714254441</v>
      </c>
      <c r="C768">
        <v>-0.4139096781456002</v>
      </c>
      <c r="D768">
        <v>1.14439659144483E-2</v>
      </c>
      <c r="E768" t="b">
        <v>0</v>
      </c>
    </row>
    <row r="769" spans="1:5" x14ac:dyDescent="0.3">
      <c r="A769" s="1" t="s">
        <v>1663</v>
      </c>
      <c r="B769">
        <v>-0.14531013604382359</v>
      </c>
      <c r="C769">
        <v>-2.2312079055775591</v>
      </c>
      <c r="D769">
        <v>6.0931741352423789E-2</v>
      </c>
      <c r="E769" t="b">
        <v>0</v>
      </c>
    </row>
    <row r="770" spans="1:5" x14ac:dyDescent="0.3">
      <c r="A770" s="1" t="s">
        <v>1655</v>
      </c>
      <c r="B770">
        <v>-0.1472809333791156</v>
      </c>
      <c r="C770">
        <v>-0.4329658872425417</v>
      </c>
      <c r="D770">
        <v>1.166558739647725E-2</v>
      </c>
      <c r="E770" t="b">
        <v>0</v>
      </c>
    </row>
    <row r="771" spans="1:5" x14ac:dyDescent="0.3">
      <c r="A771" s="1" t="s">
        <v>588</v>
      </c>
      <c r="B771">
        <v>-0.1480686835176534</v>
      </c>
      <c r="C771">
        <v>-0.83660593307708231</v>
      </c>
      <c r="D771">
        <v>2.2421113870456859E-2</v>
      </c>
      <c r="E771" t="b">
        <v>0</v>
      </c>
    </row>
    <row r="772" spans="1:5" x14ac:dyDescent="0.3">
      <c r="A772" s="1" t="s">
        <v>827</v>
      </c>
      <c r="B772">
        <v>-0.15001563264845261</v>
      </c>
      <c r="C772">
        <v>-0.97669754106618667</v>
      </c>
      <c r="D772">
        <v>2.5835866733984459E-2</v>
      </c>
      <c r="E772" t="b">
        <v>0</v>
      </c>
    </row>
    <row r="773" spans="1:5" x14ac:dyDescent="0.3">
      <c r="A773" s="1" t="s">
        <v>970</v>
      </c>
      <c r="B773">
        <v>-0.1500600539462465</v>
      </c>
      <c r="C773">
        <v>-0.59101870872947293</v>
      </c>
      <c r="D773">
        <v>1.5629158290641348E-2</v>
      </c>
      <c r="E773" t="b">
        <v>0</v>
      </c>
    </row>
    <row r="774" spans="1:5" x14ac:dyDescent="0.3">
      <c r="A774" s="1" t="s">
        <v>342</v>
      </c>
      <c r="B774">
        <v>-0.15087255367622371</v>
      </c>
      <c r="C774">
        <v>-0.85575461409651066</v>
      </c>
      <c r="D774">
        <v>2.250808089672628E-2</v>
      </c>
      <c r="E774" t="b">
        <v>0</v>
      </c>
    </row>
    <row r="775" spans="1:5" x14ac:dyDescent="0.3">
      <c r="A775" s="1" t="s">
        <v>1523</v>
      </c>
      <c r="B775">
        <v>-0.1516645403781535</v>
      </c>
      <c r="C775">
        <v>-0.66467906449013126</v>
      </c>
      <c r="D775">
        <v>1.7391114156953161E-2</v>
      </c>
      <c r="E775" t="b">
        <v>0</v>
      </c>
    </row>
    <row r="776" spans="1:5" x14ac:dyDescent="0.3">
      <c r="A776" s="1" t="s">
        <v>162</v>
      </c>
      <c r="B776">
        <v>-0.15281582447448289</v>
      </c>
      <c r="C776">
        <v>-1.4221831891585459</v>
      </c>
      <c r="D776">
        <v>3.6930626153215212E-2</v>
      </c>
      <c r="E776" t="b">
        <v>0</v>
      </c>
    </row>
    <row r="777" spans="1:5" x14ac:dyDescent="0.3">
      <c r="A777" s="1" t="s">
        <v>984</v>
      </c>
      <c r="B777">
        <v>-0.1534331050947515</v>
      </c>
      <c r="C777">
        <v>-1.709513966155269</v>
      </c>
      <c r="D777">
        <v>4.4213310913521237E-2</v>
      </c>
      <c r="E777" t="b">
        <v>0</v>
      </c>
    </row>
    <row r="778" spans="1:5" x14ac:dyDescent="0.3">
      <c r="A778" s="1" t="s">
        <v>1672</v>
      </c>
      <c r="B778">
        <v>-0.15451246871337559</v>
      </c>
      <c r="C778">
        <v>-1.035845432186197</v>
      </c>
      <c r="D778">
        <v>2.6603016449084759E-2</v>
      </c>
      <c r="E778" t="b">
        <v>0</v>
      </c>
    </row>
    <row r="779" spans="1:5" x14ac:dyDescent="0.3">
      <c r="A779" s="1" t="s">
        <v>1609</v>
      </c>
      <c r="B779">
        <v>-0.15526933156583431</v>
      </c>
      <c r="C779">
        <v>-1.024759437840324</v>
      </c>
      <c r="D779">
        <v>2.619001231412766E-2</v>
      </c>
      <c r="E779" t="b">
        <v>0</v>
      </c>
    </row>
    <row r="780" spans="1:5" x14ac:dyDescent="0.3">
      <c r="A780" s="1" t="s">
        <v>152</v>
      </c>
      <c r="B780">
        <v>-0.15680988789335831</v>
      </c>
      <c r="C780">
        <v>-1.1740730226453819</v>
      </c>
      <c r="D780">
        <v>2.971126370743233E-2</v>
      </c>
      <c r="E780" t="b">
        <v>0</v>
      </c>
    </row>
    <row r="781" spans="1:5" x14ac:dyDescent="0.3">
      <c r="A781" s="1" t="s">
        <v>1636</v>
      </c>
      <c r="B781">
        <v>-0.1595594024920321</v>
      </c>
      <c r="C781">
        <v>-1.228708915638363</v>
      </c>
      <c r="D781">
        <v>3.0558080277058228E-2</v>
      </c>
      <c r="E781" t="b">
        <v>0</v>
      </c>
    </row>
    <row r="782" spans="1:5" x14ac:dyDescent="0.3">
      <c r="A782" s="1" t="s">
        <v>597</v>
      </c>
      <c r="B782">
        <v>-0.1596415315655299</v>
      </c>
      <c r="C782">
        <v>-1.1819023768095009</v>
      </c>
      <c r="D782">
        <v>2.9378876228946131E-2</v>
      </c>
      <c r="E782" t="b">
        <v>0</v>
      </c>
    </row>
    <row r="783" spans="1:5" x14ac:dyDescent="0.3">
      <c r="A783" s="1" t="s">
        <v>763</v>
      </c>
      <c r="B783">
        <v>-0.16040196963943221</v>
      </c>
      <c r="C783">
        <v>-0.90731198616568665</v>
      </c>
      <c r="D783">
        <v>2.2446385151253561E-2</v>
      </c>
      <c r="E783" t="b">
        <v>0</v>
      </c>
    </row>
    <row r="784" spans="1:5" x14ac:dyDescent="0.3">
      <c r="A784" s="1" t="s">
        <v>151</v>
      </c>
      <c r="B784">
        <v>-0.16137752557891161</v>
      </c>
      <c r="C784">
        <v>-0.92935770830231457</v>
      </c>
      <c r="D784">
        <v>2.2852794406583731E-2</v>
      </c>
      <c r="E784" t="b">
        <v>0</v>
      </c>
    </row>
    <row r="785" spans="1:5" x14ac:dyDescent="0.3">
      <c r="A785" s="1" t="s">
        <v>1010</v>
      </c>
      <c r="B785">
        <v>-0.162379444595731</v>
      </c>
      <c r="C785">
        <v>-0.86148951395921314</v>
      </c>
      <c r="D785">
        <v>2.1053213914415031E-2</v>
      </c>
      <c r="E785" t="b">
        <v>0</v>
      </c>
    </row>
    <row r="786" spans="1:5" x14ac:dyDescent="0.3">
      <c r="A786" s="1" t="s">
        <v>291</v>
      </c>
      <c r="B786">
        <v>-0.16333354136293621</v>
      </c>
      <c r="C786">
        <v>-1.171704032677477</v>
      </c>
      <c r="D786">
        <v>2.8467019930461579E-2</v>
      </c>
      <c r="E786" t="b">
        <v>0</v>
      </c>
    </row>
    <row r="787" spans="1:5" x14ac:dyDescent="0.3">
      <c r="A787" s="1" t="s">
        <v>294</v>
      </c>
      <c r="B787">
        <v>-0.16395359744287991</v>
      </c>
      <c r="C787">
        <v>-0.1081893814236244</v>
      </c>
      <c r="D787">
        <v>2.618563720791868E-3</v>
      </c>
      <c r="E787" t="b">
        <v>0</v>
      </c>
    </row>
    <row r="788" spans="1:5" x14ac:dyDescent="0.3">
      <c r="A788" s="1" t="s">
        <v>1142</v>
      </c>
      <c r="B788">
        <v>-0.16421869848102891</v>
      </c>
      <c r="C788">
        <v>-1.035406105258361</v>
      </c>
      <c r="D788">
        <v>2.5020015527772159E-2</v>
      </c>
      <c r="E788" t="b">
        <v>0</v>
      </c>
    </row>
    <row r="789" spans="1:5" x14ac:dyDescent="0.3">
      <c r="A789" s="1" t="s">
        <v>1581</v>
      </c>
      <c r="B789">
        <v>-0.16440089930395321</v>
      </c>
      <c r="C789">
        <v>-0.97696582551582623</v>
      </c>
      <c r="D789">
        <v>2.3581674615927539E-2</v>
      </c>
      <c r="E789" t="b">
        <v>0</v>
      </c>
    </row>
    <row r="790" spans="1:5" x14ac:dyDescent="0.3">
      <c r="A790" s="1" t="s">
        <v>1626</v>
      </c>
      <c r="B790">
        <v>-0.16565547511991341</v>
      </c>
      <c r="C790">
        <v>-0.73458424173222769</v>
      </c>
      <c r="D790">
        <v>1.759686379312634E-2</v>
      </c>
      <c r="E790" t="b">
        <v>0</v>
      </c>
    </row>
    <row r="791" spans="1:5" x14ac:dyDescent="0.3">
      <c r="A791" s="1" t="s">
        <v>308</v>
      </c>
      <c r="B791">
        <v>-0.16867101743844379</v>
      </c>
      <c r="C791">
        <v>-0.94507353727150711</v>
      </c>
      <c r="D791">
        <v>2.223435816967273E-2</v>
      </c>
      <c r="E791" t="b">
        <v>0</v>
      </c>
    </row>
    <row r="792" spans="1:5" x14ac:dyDescent="0.3">
      <c r="A792" s="1" t="s">
        <v>1413</v>
      </c>
      <c r="B792">
        <v>-0.1691960274037948</v>
      </c>
      <c r="C792">
        <v>-0.77822126842143113</v>
      </c>
      <c r="D792">
        <v>1.8252081233697551E-2</v>
      </c>
      <c r="E792" t="b">
        <v>0</v>
      </c>
    </row>
    <row r="793" spans="1:5" x14ac:dyDescent="0.3">
      <c r="A793" s="1" t="s">
        <v>388</v>
      </c>
      <c r="B793">
        <v>-0.1702891374387501</v>
      </c>
      <c r="C793">
        <v>-1.0224372814108831</v>
      </c>
      <c r="D793">
        <v>2.3825893185399849E-2</v>
      </c>
      <c r="E793" t="b">
        <v>0</v>
      </c>
    </row>
    <row r="794" spans="1:5" x14ac:dyDescent="0.3">
      <c r="A794" s="1" t="s">
        <v>1389</v>
      </c>
      <c r="B794">
        <v>-0.17031430604341191</v>
      </c>
      <c r="C794">
        <v>-0.84631479559140765</v>
      </c>
      <c r="D794">
        <v>1.97187900653608E-2</v>
      </c>
      <c r="E794" t="b">
        <v>0</v>
      </c>
    </row>
    <row r="795" spans="1:5" x14ac:dyDescent="0.3">
      <c r="A795" s="1" t="s">
        <v>831</v>
      </c>
      <c r="B795">
        <v>-0.17040908516755171</v>
      </c>
      <c r="C795">
        <v>-1.009224610983513</v>
      </c>
      <c r="D795">
        <v>2.3501443972058091E-2</v>
      </c>
      <c r="E795" t="b">
        <v>0</v>
      </c>
    </row>
    <row r="796" spans="1:5" x14ac:dyDescent="0.3">
      <c r="A796" s="1" t="s">
        <v>1421</v>
      </c>
      <c r="B796">
        <v>-0.1707075282616366</v>
      </c>
      <c r="C796">
        <v>-0.92823743854000873</v>
      </c>
      <c r="D796">
        <v>2.1577735536787591E-2</v>
      </c>
      <c r="E796" t="b">
        <v>0</v>
      </c>
    </row>
    <row r="797" spans="1:5" x14ac:dyDescent="0.3">
      <c r="A797" s="1" t="s">
        <v>341</v>
      </c>
      <c r="B797">
        <v>-0.1711470454049831</v>
      </c>
      <c r="C797">
        <v>-0.81592416888250963</v>
      </c>
      <c r="D797">
        <v>1.8918201674476991E-2</v>
      </c>
      <c r="E797" t="b">
        <v>0</v>
      </c>
    </row>
    <row r="798" spans="1:5" x14ac:dyDescent="0.3">
      <c r="A798" s="1" t="s">
        <v>183</v>
      </c>
      <c r="B798">
        <v>-0.17294131295709181</v>
      </c>
      <c r="C798">
        <v>-0.78436239734340929</v>
      </c>
      <c r="D798">
        <v>1.7997719241205419E-2</v>
      </c>
      <c r="E798" t="b">
        <v>0</v>
      </c>
    </row>
    <row r="799" spans="1:5" x14ac:dyDescent="0.3">
      <c r="A799" s="1" t="s">
        <v>939</v>
      </c>
      <c r="B799">
        <v>-0.17439161088399471</v>
      </c>
      <c r="C799">
        <v>-1.5312367125732971</v>
      </c>
      <c r="D799">
        <v>3.4843053115938723E-2</v>
      </c>
      <c r="E799" t="b">
        <v>0</v>
      </c>
    </row>
    <row r="800" spans="1:5" x14ac:dyDescent="0.3">
      <c r="A800" s="1" t="s">
        <v>1382</v>
      </c>
      <c r="B800">
        <v>-0.17590779509112589</v>
      </c>
      <c r="C800">
        <v>-0.91292111272685927</v>
      </c>
      <c r="D800">
        <v>2.0594327991005239E-2</v>
      </c>
      <c r="E800" t="b">
        <v>0</v>
      </c>
    </row>
    <row r="801" spans="1:5" x14ac:dyDescent="0.3">
      <c r="A801" s="1" t="s">
        <v>214</v>
      </c>
      <c r="B801">
        <v>-0.17654540512954039</v>
      </c>
      <c r="C801">
        <v>-0.73840821428743064</v>
      </c>
      <c r="D801">
        <v>1.659738085161374E-2</v>
      </c>
      <c r="E801" t="b">
        <v>0</v>
      </c>
    </row>
    <row r="802" spans="1:5" x14ac:dyDescent="0.3">
      <c r="A802" s="1" t="s">
        <v>377</v>
      </c>
      <c r="B802">
        <v>-0.17664741593979491</v>
      </c>
      <c r="C802">
        <v>-1.305787100285269</v>
      </c>
      <c r="D802">
        <v>2.933354453465592E-2</v>
      </c>
      <c r="E802" t="b">
        <v>0</v>
      </c>
    </row>
    <row r="803" spans="1:5" x14ac:dyDescent="0.3">
      <c r="A803" s="1" t="s">
        <v>420</v>
      </c>
      <c r="B803">
        <v>-0.17666803609262069</v>
      </c>
      <c r="C803">
        <v>-0.72678615252720191</v>
      </c>
      <c r="D803">
        <v>1.632480949936008E-2</v>
      </c>
      <c r="E803" t="b">
        <v>0</v>
      </c>
    </row>
    <row r="804" spans="1:5" x14ac:dyDescent="0.3">
      <c r="A804" s="1" t="s">
        <v>1452</v>
      </c>
      <c r="B804">
        <v>-0.17716981040723201</v>
      </c>
      <c r="C804">
        <v>-1.0207202823274431</v>
      </c>
      <c r="D804">
        <v>2.2862119124657871E-2</v>
      </c>
      <c r="E804" t="b">
        <v>0</v>
      </c>
    </row>
    <row r="805" spans="1:5" x14ac:dyDescent="0.3">
      <c r="A805" s="1" t="s">
        <v>160</v>
      </c>
      <c r="B805">
        <v>-0.17924370961388619</v>
      </c>
      <c r="C805">
        <v>-0.88193945632761883</v>
      </c>
      <c r="D805">
        <v>1.9525146823120041E-2</v>
      </c>
      <c r="E805" t="b">
        <v>0</v>
      </c>
    </row>
    <row r="806" spans="1:5" x14ac:dyDescent="0.3">
      <c r="A806" s="1" t="s">
        <v>1442</v>
      </c>
      <c r="B806">
        <v>-0.18098185888398999</v>
      </c>
      <c r="C806">
        <v>-0.1128452447853926</v>
      </c>
      <c r="D806">
        <v>2.4742733508183552E-3</v>
      </c>
      <c r="E806" t="b">
        <v>0</v>
      </c>
    </row>
    <row r="807" spans="1:5" x14ac:dyDescent="0.3">
      <c r="A807" s="1" t="s">
        <v>277</v>
      </c>
      <c r="B807">
        <v>-0.18253017645381869</v>
      </c>
      <c r="C807">
        <v>-0.1301190959759311</v>
      </c>
      <c r="D807">
        <v>2.82882331559432E-3</v>
      </c>
      <c r="E807" t="b">
        <v>0</v>
      </c>
    </row>
    <row r="808" spans="1:5" x14ac:dyDescent="0.3">
      <c r="A808" s="1" t="s">
        <v>1148</v>
      </c>
      <c r="B808">
        <v>-0.1844097056798035</v>
      </c>
      <c r="C808">
        <v>-0.87071341366997346</v>
      </c>
      <c r="D808">
        <v>1.8736605789107581E-2</v>
      </c>
      <c r="E808" t="b">
        <v>0</v>
      </c>
    </row>
    <row r="809" spans="1:5" x14ac:dyDescent="0.3">
      <c r="A809" s="1" t="s">
        <v>1474</v>
      </c>
      <c r="B809">
        <v>-0.1854833104729931</v>
      </c>
      <c r="C809">
        <v>-1.1989991056413509</v>
      </c>
      <c r="D809">
        <v>2.5651542161724682E-2</v>
      </c>
      <c r="E809" t="b">
        <v>0</v>
      </c>
    </row>
    <row r="810" spans="1:5" x14ac:dyDescent="0.3">
      <c r="A810" s="1" t="s">
        <v>698</v>
      </c>
      <c r="B810">
        <v>-0.18634603359007251</v>
      </c>
      <c r="C810">
        <v>-1.1548103784135939</v>
      </c>
      <c r="D810">
        <v>2.4591781099035662E-2</v>
      </c>
      <c r="E810" t="b">
        <v>0</v>
      </c>
    </row>
    <row r="811" spans="1:5" x14ac:dyDescent="0.3">
      <c r="A811" s="1" t="s">
        <v>167</v>
      </c>
      <c r="B811">
        <v>-0.1865685618390836</v>
      </c>
      <c r="C811">
        <v>-0.91794173308080684</v>
      </c>
      <c r="D811">
        <v>1.9524328691913392E-2</v>
      </c>
      <c r="E811" t="b">
        <v>0</v>
      </c>
    </row>
    <row r="812" spans="1:5" x14ac:dyDescent="0.3">
      <c r="A812" s="1" t="s">
        <v>915</v>
      </c>
      <c r="B812">
        <v>-0.18665373391161749</v>
      </c>
      <c r="C812">
        <v>-0.66410491347544154</v>
      </c>
      <c r="D812">
        <v>1.411885475317488E-2</v>
      </c>
      <c r="E812" t="b">
        <v>0</v>
      </c>
    </row>
    <row r="813" spans="1:5" x14ac:dyDescent="0.3">
      <c r="A813" s="1" t="s">
        <v>1305</v>
      </c>
      <c r="B813">
        <v>-0.19051197711839821</v>
      </c>
      <c r="C813">
        <v>-2.2591770489617158</v>
      </c>
      <c r="D813">
        <v>4.705734739165042E-2</v>
      </c>
      <c r="E813" t="b">
        <v>0</v>
      </c>
    </row>
    <row r="814" spans="1:5" x14ac:dyDescent="0.3">
      <c r="A814" s="1" t="s">
        <v>531</v>
      </c>
      <c r="B814">
        <v>-0.191233533355433</v>
      </c>
      <c r="C814">
        <v>-0.87850407161648181</v>
      </c>
      <c r="D814">
        <v>1.8229686013487709E-2</v>
      </c>
      <c r="E814" t="b">
        <v>0</v>
      </c>
    </row>
    <row r="815" spans="1:5" x14ac:dyDescent="0.3">
      <c r="A815" s="1" t="s">
        <v>1516</v>
      </c>
      <c r="B815">
        <v>-0.1914488512675116</v>
      </c>
      <c r="C815">
        <v>-1.063108758918333</v>
      </c>
      <c r="D815">
        <v>2.2035575159280809E-2</v>
      </c>
      <c r="E815" t="b">
        <v>0</v>
      </c>
    </row>
    <row r="816" spans="1:5" x14ac:dyDescent="0.3">
      <c r="A816" s="1" t="s">
        <v>213</v>
      </c>
      <c r="B816">
        <v>-0.19320186293442951</v>
      </c>
      <c r="C816">
        <v>-2.819646062114503</v>
      </c>
      <c r="D816">
        <v>5.791389122813477E-2</v>
      </c>
      <c r="E816" t="b">
        <v>0</v>
      </c>
    </row>
    <row r="817" spans="1:5" x14ac:dyDescent="0.3">
      <c r="A817" s="1" t="s">
        <v>768</v>
      </c>
      <c r="B817">
        <v>-0.193852598338069</v>
      </c>
      <c r="C817">
        <v>-1.4078445235528489</v>
      </c>
      <c r="D817">
        <v>2.881924031541901E-2</v>
      </c>
      <c r="E817" t="b">
        <v>0</v>
      </c>
    </row>
    <row r="818" spans="1:5" x14ac:dyDescent="0.3">
      <c r="A818" s="1" t="s">
        <v>727</v>
      </c>
      <c r="B818">
        <v>-0.19421388334058379</v>
      </c>
      <c r="C818">
        <v>-1.618861351974515</v>
      </c>
      <c r="D818">
        <v>3.3077207836683289E-2</v>
      </c>
      <c r="E818" t="b">
        <v>0</v>
      </c>
    </row>
    <row r="819" spans="1:5" x14ac:dyDescent="0.3">
      <c r="A819" s="1" t="s">
        <v>941</v>
      </c>
      <c r="B819">
        <v>-0.19692716131310589</v>
      </c>
      <c r="C819">
        <v>-0.84842163561834338</v>
      </c>
      <c r="D819">
        <v>1.7096435554372409E-2</v>
      </c>
      <c r="E819" t="b">
        <v>0</v>
      </c>
    </row>
    <row r="820" spans="1:5" x14ac:dyDescent="0.3">
      <c r="A820" s="1" t="s">
        <v>392</v>
      </c>
      <c r="B820">
        <v>-0.19818525291846181</v>
      </c>
      <c r="C820">
        <v>-0.97887421550388187</v>
      </c>
      <c r="D820">
        <v>1.9599952231021511E-2</v>
      </c>
      <c r="E820" t="b">
        <v>0</v>
      </c>
    </row>
    <row r="821" spans="1:5" x14ac:dyDescent="0.3">
      <c r="A821" s="1" t="s">
        <v>1049</v>
      </c>
      <c r="B821">
        <v>-0.19903968358604579</v>
      </c>
      <c r="C821">
        <v>-1.0500392612099489</v>
      </c>
      <c r="D821">
        <v>2.0934631677695121E-2</v>
      </c>
      <c r="E821" t="b">
        <v>0</v>
      </c>
    </row>
    <row r="822" spans="1:5" x14ac:dyDescent="0.3">
      <c r="A822" s="1" t="s">
        <v>1487</v>
      </c>
      <c r="B822">
        <v>-0.20017681358260581</v>
      </c>
      <c r="C822">
        <v>-1.2498285180274229</v>
      </c>
      <c r="D822">
        <v>2.477628096648982E-2</v>
      </c>
      <c r="E822" t="b">
        <v>0</v>
      </c>
    </row>
    <row r="823" spans="1:5" x14ac:dyDescent="0.3">
      <c r="A823" s="1" t="s">
        <v>267</v>
      </c>
      <c r="B823">
        <v>-0.20207236162996489</v>
      </c>
      <c r="C823">
        <v>-1.335405229316625</v>
      </c>
      <c r="D823">
        <v>2.6224403266819591E-2</v>
      </c>
      <c r="E823" t="b">
        <v>0</v>
      </c>
    </row>
    <row r="824" spans="1:5" x14ac:dyDescent="0.3">
      <c r="A824" s="1" t="s">
        <v>813</v>
      </c>
      <c r="B824">
        <v>-0.20277525249882261</v>
      </c>
      <c r="C824">
        <v>-0.42328927299693669</v>
      </c>
      <c r="D824">
        <v>8.283650576636244E-3</v>
      </c>
      <c r="E824" t="b">
        <v>0</v>
      </c>
    </row>
    <row r="825" spans="1:5" x14ac:dyDescent="0.3">
      <c r="A825" s="1" t="s">
        <v>418</v>
      </c>
      <c r="B825">
        <v>-0.20606041019719129</v>
      </c>
      <c r="C825">
        <v>-1.532145376350232</v>
      </c>
      <c r="D825">
        <v>2.950562878053831E-2</v>
      </c>
      <c r="E825" t="b">
        <v>0</v>
      </c>
    </row>
    <row r="826" spans="1:5" x14ac:dyDescent="0.3">
      <c r="A826" s="1" t="s">
        <v>1003</v>
      </c>
      <c r="B826">
        <v>-0.20705619326778699</v>
      </c>
      <c r="C826">
        <v>-1.0737551813547439</v>
      </c>
      <c r="D826">
        <v>2.0578632264496109E-2</v>
      </c>
      <c r="E826" t="b">
        <v>0</v>
      </c>
    </row>
    <row r="827" spans="1:5" x14ac:dyDescent="0.3">
      <c r="A827" s="1" t="s">
        <v>115</v>
      </c>
      <c r="B827">
        <v>-0.20830477337975911</v>
      </c>
      <c r="C827">
        <v>-1.0930799721433631</v>
      </c>
      <c r="D827">
        <v>2.0823425535088199E-2</v>
      </c>
      <c r="E827" t="b">
        <v>0</v>
      </c>
    </row>
    <row r="828" spans="1:5" x14ac:dyDescent="0.3">
      <c r="A828" s="1" t="s">
        <v>254</v>
      </c>
      <c r="B828">
        <v>-0.20841005025634171</v>
      </c>
      <c r="C828">
        <v>-1.7771589138879631</v>
      </c>
      <c r="D828">
        <v>3.3838185363804132E-2</v>
      </c>
      <c r="E828" t="b">
        <v>0</v>
      </c>
    </row>
    <row r="829" spans="1:5" x14ac:dyDescent="0.3">
      <c r="A829" s="1" t="s">
        <v>748</v>
      </c>
      <c r="B829">
        <v>-0.2089575037274792</v>
      </c>
      <c r="C829">
        <v>-0.92839836725391756</v>
      </c>
      <c r="D829">
        <v>1.7630955764961018E-2</v>
      </c>
      <c r="E829" t="b">
        <v>0</v>
      </c>
    </row>
    <row r="830" spans="1:5" x14ac:dyDescent="0.3">
      <c r="A830" s="1" t="s">
        <v>1170</v>
      </c>
      <c r="B830">
        <v>-0.2125640128195164</v>
      </c>
      <c r="C830">
        <v>-1.2376464417197151</v>
      </c>
      <c r="D830">
        <v>2.310501828839551E-2</v>
      </c>
      <c r="E830" t="b">
        <v>0</v>
      </c>
    </row>
    <row r="831" spans="1:5" x14ac:dyDescent="0.3">
      <c r="A831" s="1" t="s">
        <v>1582</v>
      </c>
      <c r="B831">
        <v>-0.21267026562268559</v>
      </c>
      <c r="C831">
        <v>-1.330896602351813</v>
      </c>
      <c r="D831">
        <v>2.483344678276898E-2</v>
      </c>
      <c r="E831" t="b">
        <v>0</v>
      </c>
    </row>
    <row r="832" spans="1:5" x14ac:dyDescent="0.3">
      <c r="A832" s="1" t="s">
        <v>1550</v>
      </c>
      <c r="B832">
        <v>-0.21419545499573381</v>
      </c>
      <c r="C832">
        <v>-0.87791238327952481</v>
      </c>
      <c r="D832">
        <v>1.626448749249914E-2</v>
      </c>
      <c r="E832" t="b">
        <v>0</v>
      </c>
    </row>
    <row r="833" spans="1:5" x14ac:dyDescent="0.3">
      <c r="A833" s="1" t="s">
        <v>1056</v>
      </c>
      <c r="B833">
        <v>-0.21429109544156599</v>
      </c>
      <c r="C833">
        <v>-1.059822509009249</v>
      </c>
      <c r="D833">
        <v>1.9625849913897368E-2</v>
      </c>
      <c r="E833" t="b">
        <v>0</v>
      </c>
    </row>
    <row r="834" spans="1:5" x14ac:dyDescent="0.3">
      <c r="A834" s="1" t="s">
        <v>1029</v>
      </c>
      <c r="B834">
        <v>-0.2145698305945257</v>
      </c>
      <c r="C834">
        <v>-1.1237058895811221</v>
      </c>
      <c r="D834">
        <v>2.078181421463271E-2</v>
      </c>
      <c r="E834" t="b">
        <v>0</v>
      </c>
    </row>
    <row r="835" spans="1:5" x14ac:dyDescent="0.3">
      <c r="A835" s="1" t="s">
        <v>247</v>
      </c>
      <c r="B835">
        <v>-0.21761324561885029</v>
      </c>
      <c r="C835">
        <v>-1.4732707178321589</v>
      </c>
      <c r="D835">
        <v>2.6865609010720128E-2</v>
      </c>
      <c r="E835" t="b">
        <v>0</v>
      </c>
    </row>
    <row r="836" spans="1:5" x14ac:dyDescent="0.3">
      <c r="A836" s="1" t="s">
        <v>985</v>
      </c>
      <c r="B836">
        <v>-0.21842530393601139</v>
      </c>
      <c r="C836">
        <v>-1.1914187727814429</v>
      </c>
      <c r="D836">
        <v>2.1645167422210738E-2</v>
      </c>
      <c r="E836" t="b">
        <v>0</v>
      </c>
    </row>
    <row r="837" spans="1:5" x14ac:dyDescent="0.3">
      <c r="A837" s="1" t="s">
        <v>1102</v>
      </c>
      <c r="B837">
        <v>-0.22185170858558709</v>
      </c>
      <c r="C837">
        <v>-2.3100882485417431</v>
      </c>
      <c r="D837">
        <v>4.1320469955975707E-2</v>
      </c>
      <c r="E837" t="b">
        <v>0</v>
      </c>
    </row>
    <row r="838" spans="1:5" x14ac:dyDescent="0.3">
      <c r="A838" s="1" t="s">
        <v>1424</v>
      </c>
      <c r="B838">
        <v>-0.22241800769255921</v>
      </c>
      <c r="C838">
        <v>-1.947918632648781</v>
      </c>
      <c r="D838">
        <v>3.4753642135528243E-2</v>
      </c>
      <c r="E838" t="b">
        <v>0</v>
      </c>
    </row>
    <row r="839" spans="1:5" x14ac:dyDescent="0.3">
      <c r="A839" s="1" t="s">
        <v>1346</v>
      </c>
      <c r="B839">
        <v>-0.22291529936214599</v>
      </c>
      <c r="C839">
        <v>-1.0181642888596629</v>
      </c>
      <c r="D839">
        <v>1.8124976128435E-2</v>
      </c>
      <c r="E839" t="b">
        <v>0</v>
      </c>
    </row>
    <row r="840" spans="1:5" x14ac:dyDescent="0.3">
      <c r="A840" s="1" t="s">
        <v>796</v>
      </c>
      <c r="B840">
        <v>-0.22544747806772511</v>
      </c>
      <c r="C840">
        <v>-1.4029416741701379</v>
      </c>
      <c r="D840">
        <v>2.4694127933789091E-2</v>
      </c>
      <c r="E840" t="b">
        <v>0</v>
      </c>
    </row>
    <row r="841" spans="1:5" x14ac:dyDescent="0.3">
      <c r="A841" s="1" t="s">
        <v>1351</v>
      </c>
      <c r="B841">
        <v>-0.22952156236761859</v>
      </c>
      <c r="C841">
        <v>-1.356809901258577</v>
      </c>
      <c r="D841">
        <v>2.3458215512719219E-2</v>
      </c>
      <c r="E841" t="b">
        <v>0</v>
      </c>
    </row>
    <row r="842" spans="1:5" x14ac:dyDescent="0.3">
      <c r="A842" s="1" t="s">
        <v>750</v>
      </c>
      <c r="B842">
        <v>-0.22952728157139099</v>
      </c>
      <c r="C842">
        <v>-1.21303931032936</v>
      </c>
      <c r="D842">
        <v>2.0972008311636491E-2</v>
      </c>
      <c r="E842" t="b">
        <v>0</v>
      </c>
    </row>
    <row r="843" spans="1:5" x14ac:dyDescent="0.3">
      <c r="A843" s="1" t="s">
        <v>1216</v>
      </c>
      <c r="B843">
        <v>-0.22957210508373649</v>
      </c>
      <c r="C843">
        <v>-1.3804487455719789</v>
      </c>
      <c r="D843">
        <v>2.38616586740324E-2</v>
      </c>
      <c r="E843" t="b">
        <v>0</v>
      </c>
    </row>
    <row r="844" spans="1:5" x14ac:dyDescent="0.3">
      <c r="A844" s="1" t="s">
        <v>986</v>
      </c>
      <c r="B844">
        <v>-0.23003030885580941</v>
      </c>
      <c r="C844">
        <v>-1.1078469088099709</v>
      </c>
      <c r="D844">
        <v>1.911147237062033E-2</v>
      </c>
      <c r="E844" t="b">
        <v>0</v>
      </c>
    </row>
    <row r="845" spans="1:5" x14ac:dyDescent="0.3">
      <c r="A845" s="1" t="s">
        <v>118</v>
      </c>
      <c r="B845">
        <v>-0.23042509164661371</v>
      </c>
      <c r="C845">
        <v>-1.3320905645616761</v>
      </c>
      <c r="D845">
        <v>2.294052974492209E-2</v>
      </c>
      <c r="E845" t="b">
        <v>0</v>
      </c>
    </row>
    <row r="846" spans="1:5" x14ac:dyDescent="0.3">
      <c r="A846" s="1" t="s">
        <v>1174</v>
      </c>
      <c r="B846">
        <v>-0.23078725093858549</v>
      </c>
      <c r="C846">
        <v>-0.83583907819408765</v>
      </c>
      <c r="D846">
        <v>1.43717719474377E-2</v>
      </c>
      <c r="E846" t="b">
        <v>0</v>
      </c>
    </row>
    <row r="847" spans="1:5" x14ac:dyDescent="0.3">
      <c r="A847" s="1" t="s">
        <v>791</v>
      </c>
      <c r="B847">
        <v>-0.23161479449256009</v>
      </c>
      <c r="C847">
        <v>-0.1194987359898138</v>
      </c>
      <c r="D847">
        <v>2.0473706540716859E-3</v>
      </c>
      <c r="E847" t="b">
        <v>0</v>
      </c>
    </row>
    <row r="848" spans="1:5" x14ac:dyDescent="0.3">
      <c r="A848" s="1" t="s">
        <v>713</v>
      </c>
      <c r="B848">
        <v>-0.23263965083133989</v>
      </c>
      <c r="C848">
        <v>-0.15409327302819639</v>
      </c>
      <c r="D848">
        <v>2.6284480740503551E-3</v>
      </c>
      <c r="E848" t="b">
        <v>0</v>
      </c>
    </row>
    <row r="849" spans="1:5" x14ac:dyDescent="0.3">
      <c r="A849" s="1" t="s">
        <v>463</v>
      </c>
      <c r="B849">
        <v>-0.23584817949371131</v>
      </c>
      <c r="C849">
        <v>-1.4595198543855139</v>
      </c>
      <c r="D849">
        <v>2.455709205109723E-2</v>
      </c>
      <c r="E849" t="b">
        <v>0</v>
      </c>
    </row>
    <row r="850" spans="1:5" x14ac:dyDescent="0.3">
      <c r="A850" s="1" t="s">
        <v>1318</v>
      </c>
      <c r="B850">
        <v>-0.23772183708758529</v>
      </c>
      <c r="C850">
        <v>-1.2179496150660729</v>
      </c>
      <c r="D850">
        <v>2.0331045108567949E-2</v>
      </c>
      <c r="E850" t="b">
        <v>0</v>
      </c>
    </row>
    <row r="851" spans="1:5" x14ac:dyDescent="0.3">
      <c r="A851" s="1" t="s">
        <v>1453</v>
      </c>
      <c r="B851">
        <v>-0.24007037979343029</v>
      </c>
      <c r="C851">
        <v>-1.29612009794783</v>
      </c>
      <c r="D851">
        <v>2.1424274524998892E-2</v>
      </c>
      <c r="E851" t="b">
        <v>0</v>
      </c>
    </row>
    <row r="852" spans="1:5" x14ac:dyDescent="0.3">
      <c r="A852" s="1" t="s">
        <v>466</v>
      </c>
      <c r="B852">
        <v>-0.24451813003853329</v>
      </c>
      <c r="C852">
        <v>-1.423693140187013</v>
      </c>
      <c r="D852">
        <v>2.310493684960193E-2</v>
      </c>
      <c r="E852" t="b">
        <v>0</v>
      </c>
    </row>
    <row r="853" spans="1:5" x14ac:dyDescent="0.3">
      <c r="A853" s="1" t="s">
        <v>1544</v>
      </c>
      <c r="B853">
        <v>-0.24549657762598601</v>
      </c>
      <c r="C853">
        <v>-0.14364368720739959</v>
      </c>
      <c r="D853">
        <v>2.3218842286421289E-3</v>
      </c>
      <c r="E853" t="b">
        <v>0</v>
      </c>
    </row>
    <row r="854" spans="1:5" x14ac:dyDescent="0.3">
      <c r="A854" s="1" t="s">
        <v>338</v>
      </c>
      <c r="B854">
        <v>-0.24794538806570171</v>
      </c>
      <c r="C854">
        <v>-1.432777914497481</v>
      </c>
      <c r="D854">
        <v>2.2930963504449911E-2</v>
      </c>
      <c r="E854" t="b">
        <v>0</v>
      </c>
    </row>
    <row r="855" spans="1:5" x14ac:dyDescent="0.3">
      <c r="A855" s="1" t="s">
        <v>210</v>
      </c>
      <c r="B855">
        <v>-0.24825390987617049</v>
      </c>
      <c r="C855">
        <v>-0.94783250446952305</v>
      </c>
      <c r="D855">
        <v>1.515077888995744E-2</v>
      </c>
      <c r="E855" t="b">
        <v>0</v>
      </c>
    </row>
    <row r="856" spans="1:5" x14ac:dyDescent="0.3">
      <c r="A856" s="1" t="s">
        <v>729</v>
      </c>
      <c r="B856">
        <v>-0.25214389716174151</v>
      </c>
      <c r="C856">
        <v>-1.804445813687328</v>
      </c>
      <c r="D856">
        <v>2.839846350146159E-2</v>
      </c>
      <c r="E856" t="b">
        <v>0</v>
      </c>
    </row>
    <row r="857" spans="1:5" x14ac:dyDescent="0.3">
      <c r="A857" s="1" t="s">
        <v>973</v>
      </c>
      <c r="B857">
        <v>-0.25397446550503261</v>
      </c>
      <c r="C857">
        <v>-1.4380063568412189</v>
      </c>
      <c r="D857">
        <v>2.246829979762878E-2</v>
      </c>
      <c r="E857" t="b">
        <v>0</v>
      </c>
    </row>
    <row r="858" spans="1:5" x14ac:dyDescent="0.3">
      <c r="A858" s="1" t="s">
        <v>1036</v>
      </c>
      <c r="B858">
        <v>-0.25462493448773738</v>
      </c>
      <c r="C858">
        <v>-1.7109333929973241</v>
      </c>
      <c r="D858">
        <v>2.6664388701126331E-2</v>
      </c>
      <c r="E858" t="b">
        <v>0</v>
      </c>
    </row>
    <row r="859" spans="1:5" x14ac:dyDescent="0.3">
      <c r="A859" s="1" t="s">
        <v>1448</v>
      </c>
      <c r="B859">
        <v>-0.25507727265926389</v>
      </c>
      <c r="C859">
        <v>-0.45138820700775212</v>
      </c>
      <c r="D859">
        <v>7.0222761322773697E-3</v>
      </c>
      <c r="E859" t="b">
        <v>0</v>
      </c>
    </row>
    <row r="860" spans="1:5" x14ac:dyDescent="0.3">
      <c r="A860" s="1" t="s">
        <v>306</v>
      </c>
      <c r="B860">
        <v>-0.25747143143501439</v>
      </c>
      <c r="C860">
        <v>-0.90826803171217474</v>
      </c>
      <c r="D860">
        <v>1.3998594721720671E-2</v>
      </c>
      <c r="E860" t="b">
        <v>0</v>
      </c>
    </row>
    <row r="861" spans="1:5" x14ac:dyDescent="0.3">
      <c r="A861" s="1" t="s">
        <v>1370</v>
      </c>
      <c r="B861">
        <v>-0.25757957478862398</v>
      </c>
      <c r="C861">
        <v>-0.41812045764799771</v>
      </c>
      <c r="D861">
        <v>6.4415362383893147E-3</v>
      </c>
      <c r="E861" t="b">
        <v>0</v>
      </c>
    </row>
    <row r="862" spans="1:5" x14ac:dyDescent="0.3">
      <c r="A862" s="1" t="s">
        <v>138</v>
      </c>
      <c r="B862">
        <v>-0.25816227883011811</v>
      </c>
      <c r="C862">
        <v>-1.0180843837817479</v>
      </c>
      <c r="D862">
        <v>1.564913903869675E-2</v>
      </c>
      <c r="E862" t="b">
        <v>0</v>
      </c>
    </row>
    <row r="863" spans="1:5" x14ac:dyDescent="0.3">
      <c r="A863" s="1" t="s">
        <v>1228</v>
      </c>
      <c r="B863">
        <v>-0.25845096260860129</v>
      </c>
      <c r="C863">
        <v>-1.9690903525076611</v>
      </c>
      <c r="D863">
        <v>3.0233397184217269E-2</v>
      </c>
      <c r="E863" t="b">
        <v>0</v>
      </c>
    </row>
    <row r="864" spans="1:5" x14ac:dyDescent="0.3">
      <c r="A864" s="1" t="s">
        <v>453</v>
      </c>
      <c r="B864">
        <v>-0.25868227565442781</v>
      </c>
      <c r="C864">
        <v>-1.164417367679075</v>
      </c>
      <c r="D864">
        <v>1.7862467879976071E-2</v>
      </c>
      <c r="E864" t="b">
        <v>0</v>
      </c>
    </row>
    <row r="865" spans="1:5" x14ac:dyDescent="0.3">
      <c r="A865" s="1" t="s">
        <v>501</v>
      </c>
      <c r="B865">
        <v>-0.25893751452006031</v>
      </c>
      <c r="C865">
        <v>-3.0071360719888349</v>
      </c>
      <c r="D865">
        <v>4.6084784867373378E-2</v>
      </c>
      <c r="E865" t="b">
        <v>0</v>
      </c>
    </row>
    <row r="866" spans="1:5" x14ac:dyDescent="0.3">
      <c r="A866" s="1" t="s">
        <v>1175</v>
      </c>
      <c r="B866">
        <v>-0.25931125013883288</v>
      </c>
      <c r="C866">
        <v>-2.6510474229605299</v>
      </c>
      <c r="D866">
        <v>4.0569120894524427E-2</v>
      </c>
      <c r="E866" t="b">
        <v>0</v>
      </c>
    </row>
    <row r="867" spans="1:5" x14ac:dyDescent="0.3">
      <c r="A867" s="1" t="s">
        <v>586</v>
      </c>
      <c r="B867">
        <v>-0.26002661100949898</v>
      </c>
      <c r="C867">
        <v>-1.01329272923253</v>
      </c>
      <c r="D867">
        <v>1.546381302347931E-2</v>
      </c>
      <c r="E867" t="b">
        <v>0</v>
      </c>
    </row>
    <row r="868" spans="1:5" x14ac:dyDescent="0.3">
      <c r="A868" s="1" t="s">
        <v>951</v>
      </c>
      <c r="B868">
        <v>-0.2601044664022758</v>
      </c>
      <c r="C868">
        <v>-1.4951119017414689</v>
      </c>
      <c r="D868">
        <v>2.28100033003409E-2</v>
      </c>
      <c r="E868" t="b">
        <v>0</v>
      </c>
    </row>
    <row r="869" spans="1:5" x14ac:dyDescent="0.3">
      <c r="A869" s="1" t="s">
        <v>1258</v>
      </c>
      <c r="B869">
        <v>-0.26398218962392672</v>
      </c>
      <c r="C869">
        <v>-1.116465142509764</v>
      </c>
      <c r="D869">
        <v>1.678301569698035E-2</v>
      </c>
      <c r="E869" t="b">
        <v>0</v>
      </c>
    </row>
    <row r="870" spans="1:5" x14ac:dyDescent="0.3">
      <c r="A870" s="1" t="s">
        <v>988</v>
      </c>
      <c r="B870">
        <v>-0.26805406144252408</v>
      </c>
      <c r="C870">
        <v>-2.132079419569278</v>
      </c>
      <c r="D870">
        <v>3.1563157714558719E-2</v>
      </c>
      <c r="E870" t="b">
        <v>0</v>
      </c>
    </row>
    <row r="871" spans="1:5" x14ac:dyDescent="0.3">
      <c r="A871" s="1" t="s">
        <v>1546</v>
      </c>
      <c r="B871">
        <v>-0.26947067080466358</v>
      </c>
      <c r="C871">
        <v>-0.43017346800246481</v>
      </c>
      <c r="D871">
        <v>6.334780576828584E-3</v>
      </c>
      <c r="E871" t="b">
        <v>0</v>
      </c>
    </row>
    <row r="872" spans="1:5" x14ac:dyDescent="0.3">
      <c r="A872" s="1" t="s">
        <v>196</v>
      </c>
      <c r="B872">
        <v>-0.27165377741954788</v>
      </c>
      <c r="C872">
        <v>-2.9659251776978111</v>
      </c>
      <c r="D872">
        <v>4.3325531740228872E-2</v>
      </c>
      <c r="E872" t="b">
        <v>0</v>
      </c>
    </row>
    <row r="873" spans="1:5" x14ac:dyDescent="0.3">
      <c r="A873" s="1" t="s">
        <v>789</v>
      </c>
      <c r="B873">
        <v>-0.27270399059350803</v>
      </c>
      <c r="C873">
        <v>-0.2232954449930197</v>
      </c>
      <c r="D873">
        <v>3.249285181922381E-3</v>
      </c>
      <c r="E873" t="b">
        <v>0</v>
      </c>
    </row>
    <row r="874" spans="1:5" x14ac:dyDescent="0.3">
      <c r="A874" s="1" t="s">
        <v>934</v>
      </c>
      <c r="B874">
        <v>-0.27477852022442922</v>
      </c>
      <c r="C874">
        <v>-2.1466233415645468</v>
      </c>
      <c r="D874">
        <v>3.1000773228390011E-2</v>
      </c>
      <c r="E874" t="b">
        <v>0</v>
      </c>
    </row>
    <row r="875" spans="1:5" x14ac:dyDescent="0.3">
      <c r="A875" s="1" t="s">
        <v>1606</v>
      </c>
      <c r="B875">
        <v>-0.2750032629462017</v>
      </c>
      <c r="C875">
        <v>-3.9505255355813622</v>
      </c>
      <c r="D875">
        <v>5.7005464099988412E-2</v>
      </c>
      <c r="E875" t="b">
        <v>0</v>
      </c>
    </row>
    <row r="876" spans="1:5" x14ac:dyDescent="0.3">
      <c r="A876" s="1" t="s">
        <v>595</v>
      </c>
      <c r="B876">
        <v>-0.27603098291886807</v>
      </c>
      <c r="C876">
        <v>-1.3866828107303011</v>
      </c>
      <c r="D876">
        <v>1.9935115646084769E-2</v>
      </c>
      <c r="E876" t="b">
        <v>0</v>
      </c>
    </row>
    <row r="877" spans="1:5" x14ac:dyDescent="0.3">
      <c r="A877" s="1" t="s">
        <v>1451</v>
      </c>
      <c r="B877">
        <v>-0.27715682187461749</v>
      </c>
      <c r="C877">
        <v>-1.4791263625211031</v>
      </c>
      <c r="D877">
        <v>2.1177718152211821E-2</v>
      </c>
      <c r="E877" t="b">
        <v>0</v>
      </c>
    </row>
    <row r="878" spans="1:5" x14ac:dyDescent="0.3">
      <c r="A878" s="1" t="s">
        <v>1656</v>
      </c>
      <c r="B878">
        <v>-0.27762152101779097</v>
      </c>
      <c r="C878">
        <v>-0.95486299999077273</v>
      </c>
      <c r="D878">
        <v>1.364857765695135E-2</v>
      </c>
      <c r="E878" t="b">
        <v>0</v>
      </c>
    </row>
    <row r="879" spans="1:5" x14ac:dyDescent="0.3">
      <c r="A879" s="1" t="s">
        <v>624</v>
      </c>
      <c r="B879">
        <v>-0.27879667678948572</v>
      </c>
      <c r="C879">
        <v>-1.653231077343351</v>
      </c>
      <c r="D879">
        <v>2.3531273251374531E-2</v>
      </c>
      <c r="E879" t="b">
        <v>0</v>
      </c>
    </row>
    <row r="880" spans="1:5" x14ac:dyDescent="0.3">
      <c r="A880" s="1" t="s">
        <v>1445</v>
      </c>
      <c r="B880">
        <v>-0.27920953593451742</v>
      </c>
      <c r="C880">
        <v>-0.39471810720828943</v>
      </c>
      <c r="D880">
        <v>5.6099147546247903E-3</v>
      </c>
      <c r="E880" t="b">
        <v>0</v>
      </c>
    </row>
    <row r="881" spans="1:5" x14ac:dyDescent="0.3">
      <c r="A881" s="1" t="s">
        <v>1404</v>
      </c>
      <c r="B881">
        <v>-0.28162909876485998</v>
      </c>
      <c r="C881">
        <v>-1.270042734667528</v>
      </c>
      <c r="D881">
        <v>1.789535294399552E-2</v>
      </c>
      <c r="E881" t="b">
        <v>0</v>
      </c>
    </row>
    <row r="882" spans="1:5" x14ac:dyDescent="0.3">
      <c r="A882" s="1" t="s">
        <v>1025</v>
      </c>
      <c r="B882">
        <v>-0.28228957353724271</v>
      </c>
      <c r="C882">
        <v>-1.969134020212951</v>
      </c>
      <c r="D882">
        <v>2.7680880281265589E-2</v>
      </c>
      <c r="E882" t="b">
        <v>0</v>
      </c>
    </row>
    <row r="883" spans="1:5" x14ac:dyDescent="0.3">
      <c r="A883" s="1" t="s">
        <v>1679</v>
      </c>
      <c r="B883">
        <v>-0.28258620609732238</v>
      </c>
      <c r="C883">
        <v>-1.9860560592532921</v>
      </c>
      <c r="D883">
        <v>2.7889453442014239E-2</v>
      </c>
      <c r="E883" t="b">
        <v>0</v>
      </c>
    </row>
    <row r="884" spans="1:5" x14ac:dyDescent="0.3">
      <c r="A884" s="1" t="s">
        <v>1411</v>
      </c>
      <c r="B884">
        <v>-0.2879684969666752</v>
      </c>
      <c r="C884">
        <v>-1.453102400630498</v>
      </c>
      <c r="D884">
        <v>2.002399369486807E-2</v>
      </c>
      <c r="E884" t="b">
        <v>0</v>
      </c>
    </row>
    <row r="885" spans="1:5" x14ac:dyDescent="0.3">
      <c r="A885" s="1" t="s">
        <v>159</v>
      </c>
      <c r="B885">
        <v>-0.28875694489231218</v>
      </c>
      <c r="C885">
        <v>-1.268200503286979</v>
      </c>
      <c r="D885">
        <v>1.742829659590369E-2</v>
      </c>
      <c r="E885" t="b">
        <v>0</v>
      </c>
    </row>
    <row r="886" spans="1:5" x14ac:dyDescent="0.3">
      <c r="A886" s="1" t="s">
        <v>817</v>
      </c>
      <c r="B886">
        <v>-0.28882471835350848</v>
      </c>
      <c r="C886">
        <v>-2.3779141224479128</v>
      </c>
      <c r="D886">
        <v>3.2670912677984977E-2</v>
      </c>
      <c r="E886" t="b">
        <v>0</v>
      </c>
    </row>
    <row r="887" spans="1:5" x14ac:dyDescent="0.3">
      <c r="A887" s="1" t="s">
        <v>513</v>
      </c>
      <c r="B887">
        <v>-0.29108782910874542</v>
      </c>
      <c r="C887">
        <v>-1.1353842507441929</v>
      </c>
      <c r="D887">
        <v>1.5478122435773589E-2</v>
      </c>
      <c r="E887" t="b">
        <v>0</v>
      </c>
    </row>
    <row r="888" spans="1:5" x14ac:dyDescent="0.3">
      <c r="A888" s="1" t="s">
        <v>1437</v>
      </c>
      <c r="B888">
        <v>-0.29583278996478052</v>
      </c>
      <c r="C888">
        <v>-2.523624544619786</v>
      </c>
      <c r="D888">
        <v>3.3851498053217202E-2</v>
      </c>
      <c r="E888" t="b">
        <v>0</v>
      </c>
    </row>
    <row r="889" spans="1:5" x14ac:dyDescent="0.3">
      <c r="A889" s="1" t="s">
        <v>1414</v>
      </c>
      <c r="B889">
        <v>-0.29610328694881161</v>
      </c>
      <c r="C889">
        <v>-1.464058910590863</v>
      </c>
      <c r="D889">
        <v>1.9620712899124711E-2</v>
      </c>
      <c r="E889" t="b">
        <v>0</v>
      </c>
    </row>
    <row r="890" spans="1:5" x14ac:dyDescent="0.3">
      <c r="A890" s="1" t="s">
        <v>1466</v>
      </c>
      <c r="B890">
        <v>-0.29986658030587282</v>
      </c>
      <c r="C890">
        <v>-1.247399421859376</v>
      </c>
      <c r="D890">
        <v>1.650733369734644E-2</v>
      </c>
      <c r="E890" t="b">
        <v>0</v>
      </c>
    </row>
    <row r="891" spans="1:5" x14ac:dyDescent="0.3">
      <c r="A891" s="1" t="s">
        <v>1614</v>
      </c>
      <c r="B891">
        <v>-0.30057668545548422</v>
      </c>
      <c r="C891">
        <v>-1.233535136198213</v>
      </c>
      <c r="D891">
        <v>1.628529735026376E-2</v>
      </c>
      <c r="E891" t="b">
        <v>0</v>
      </c>
    </row>
    <row r="892" spans="1:5" x14ac:dyDescent="0.3">
      <c r="A892" s="1" t="s">
        <v>417</v>
      </c>
      <c r="B892">
        <v>-0.30244702552734709</v>
      </c>
      <c r="C892">
        <v>-1.8754610022914191</v>
      </c>
      <c r="D892">
        <v>2.4606972251329209E-2</v>
      </c>
      <c r="E892" t="b">
        <v>0</v>
      </c>
    </row>
    <row r="893" spans="1:5" x14ac:dyDescent="0.3">
      <c r="A893" s="1" t="s">
        <v>1558</v>
      </c>
      <c r="B893">
        <v>-0.30467852877047308</v>
      </c>
      <c r="C893">
        <v>-1.530936053463033</v>
      </c>
      <c r="D893">
        <v>1.9939518199112771E-2</v>
      </c>
      <c r="E893" t="b">
        <v>0</v>
      </c>
    </row>
    <row r="894" spans="1:5" x14ac:dyDescent="0.3">
      <c r="A894" s="1" t="s">
        <v>1343</v>
      </c>
      <c r="B894">
        <v>-0.30483407866335271</v>
      </c>
      <c r="C894">
        <v>-3.4330537762477631</v>
      </c>
      <c r="D894">
        <v>4.4690637380702558E-2</v>
      </c>
      <c r="E894" t="b">
        <v>0</v>
      </c>
    </row>
    <row r="895" spans="1:5" x14ac:dyDescent="0.3">
      <c r="A895" s="1" t="s">
        <v>788</v>
      </c>
      <c r="B895">
        <v>-0.30721617933554429</v>
      </c>
      <c r="C895">
        <v>-2.204981071061666</v>
      </c>
      <c r="D895">
        <v>2.8481328373036598E-2</v>
      </c>
      <c r="E895" t="b">
        <v>0</v>
      </c>
    </row>
    <row r="896" spans="1:5" x14ac:dyDescent="0.3">
      <c r="A896" s="1" t="s">
        <v>820</v>
      </c>
      <c r="B896">
        <v>-0.30763014737900107</v>
      </c>
      <c r="C896">
        <v>-1.4224422463982149</v>
      </c>
      <c r="D896">
        <v>1.8348696111137739E-2</v>
      </c>
      <c r="E896" t="b">
        <v>0</v>
      </c>
    </row>
    <row r="897" spans="1:5" x14ac:dyDescent="0.3">
      <c r="A897" s="1" t="s">
        <v>812</v>
      </c>
      <c r="B897">
        <v>-0.3079372005205635</v>
      </c>
      <c r="C897">
        <v>-2.5477707492818888</v>
      </c>
      <c r="D897">
        <v>3.28320234416241E-2</v>
      </c>
      <c r="E897" t="b">
        <v>0</v>
      </c>
    </row>
    <row r="898" spans="1:5" x14ac:dyDescent="0.3">
      <c r="A898" s="1" t="s">
        <v>743</v>
      </c>
      <c r="B898">
        <v>-0.30900816666594122</v>
      </c>
      <c r="C898">
        <v>-1.2599612929122399</v>
      </c>
      <c r="D898">
        <v>1.6180305052748228E-2</v>
      </c>
      <c r="E898" t="b">
        <v>0</v>
      </c>
    </row>
    <row r="899" spans="1:5" x14ac:dyDescent="0.3">
      <c r="A899" s="1" t="s">
        <v>1362</v>
      </c>
      <c r="B899">
        <v>-0.31133101455099382</v>
      </c>
      <c r="C899">
        <v>-0.71328442948454285</v>
      </c>
      <c r="D899">
        <v>9.0915894514331796E-3</v>
      </c>
      <c r="E899" t="b">
        <v>0</v>
      </c>
    </row>
    <row r="900" spans="1:5" x14ac:dyDescent="0.3">
      <c r="A900" s="1" t="s">
        <v>530</v>
      </c>
      <c r="B900">
        <v>-0.31991886150088489</v>
      </c>
      <c r="C900">
        <v>-1.499311648233459</v>
      </c>
      <c r="D900">
        <v>1.8597369876347108E-2</v>
      </c>
      <c r="E900" t="b">
        <v>0</v>
      </c>
    </row>
    <row r="901" spans="1:5" x14ac:dyDescent="0.3">
      <c r="A901" s="1" t="s">
        <v>916</v>
      </c>
      <c r="B901">
        <v>-0.32173856094513797</v>
      </c>
      <c r="C901">
        <v>-1.898791546807773</v>
      </c>
      <c r="D901">
        <v>2.3419285112647299E-2</v>
      </c>
      <c r="E901" t="b">
        <v>0</v>
      </c>
    </row>
    <row r="902" spans="1:5" x14ac:dyDescent="0.3">
      <c r="A902" s="1" t="s">
        <v>107</v>
      </c>
      <c r="B902">
        <v>-0.32370895481779982</v>
      </c>
      <c r="C902">
        <v>-2.2734942125229169</v>
      </c>
      <c r="D902">
        <v>2.7870104599745892E-2</v>
      </c>
      <c r="E902" t="b">
        <v>0</v>
      </c>
    </row>
    <row r="903" spans="1:5" x14ac:dyDescent="0.3">
      <c r="A903" s="1" t="s">
        <v>1499</v>
      </c>
      <c r="B903">
        <v>-0.3248673436334597</v>
      </c>
      <c r="C903">
        <v>-2.209486583411441</v>
      </c>
      <c r="D903">
        <v>2.6988874302856559E-2</v>
      </c>
      <c r="E903" t="b">
        <v>0</v>
      </c>
    </row>
    <row r="904" spans="1:5" x14ac:dyDescent="0.3">
      <c r="A904" s="1" t="s">
        <v>401</v>
      </c>
      <c r="B904">
        <v>-0.32554433501760449</v>
      </c>
      <c r="C904">
        <v>-1.2488568371868869</v>
      </c>
      <c r="D904">
        <v>1.5223060477092831E-2</v>
      </c>
      <c r="E904" t="b">
        <v>0</v>
      </c>
    </row>
    <row r="905" spans="1:5" x14ac:dyDescent="0.3">
      <c r="A905" s="1" t="s">
        <v>1657</v>
      </c>
      <c r="B905">
        <v>-0.32706239472567961</v>
      </c>
      <c r="C905">
        <v>-1.0644000242043079</v>
      </c>
      <c r="D905">
        <v>1.2914384802328149E-2</v>
      </c>
      <c r="E905" t="b">
        <v>0</v>
      </c>
    </row>
    <row r="906" spans="1:5" x14ac:dyDescent="0.3">
      <c r="A906" s="1" t="s">
        <v>171</v>
      </c>
      <c r="B906">
        <v>-0.33093629790136148</v>
      </c>
      <c r="C906">
        <v>-1.9321160238118951</v>
      </c>
      <c r="D906">
        <v>2.3167984676325481E-2</v>
      </c>
      <c r="E906" t="b">
        <v>0</v>
      </c>
    </row>
    <row r="907" spans="1:5" x14ac:dyDescent="0.3">
      <c r="A907" s="1" t="s">
        <v>1054</v>
      </c>
      <c r="B907">
        <v>-0.33512138608713021</v>
      </c>
      <c r="C907">
        <v>-2.9037199376273328</v>
      </c>
      <c r="D907">
        <v>3.438365512785261E-2</v>
      </c>
      <c r="E907" t="b">
        <v>0</v>
      </c>
    </row>
    <row r="908" spans="1:5" x14ac:dyDescent="0.3">
      <c r="A908" s="1" t="s">
        <v>1669</v>
      </c>
      <c r="B908">
        <v>-0.33918931142180642</v>
      </c>
      <c r="C908">
        <v>-1.5760553101707311</v>
      </c>
      <c r="D908">
        <v>1.8438634497521679E-2</v>
      </c>
      <c r="E908" t="b">
        <v>0</v>
      </c>
    </row>
    <row r="909" spans="1:5" x14ac:dyDescent="0.3">
      <c r="A909" s="1" t="s">
        <v>619</v>
      </c>
      <c r="B909">
        <v>-0.34024173421907927</v>
      </c>
      <c r="C909">
        <v>-1.373917074951275</v>
      </c>
      <c r="D909">
        <v>1.6024053889922701E-2</v>
      </c>
      <c r="E909" t="b">
        <v>0</v>
      </c>
    </row>
    <row r="910" spans="1:5" x14ac:dyDescent="0.3">
      <c r="A910" s="1" t="s">
        <v>487</v>
      </c>
      <c r="B910">
        <v>-0.34114349441049591</v>
      </c>
      <c r="C910">
        <v>-1.723273089832501</v>
      </c>
      <c r="D910">
        <v>2.0045480535778631E-2</v>
      </c>
      <c r="E910" t="b">
        <v>0</v>
      </c>
    </row>
    <row r="911" spans="1:5" x14ac:dyDescent="0.3">
      <c r="A911" s="1" t="s">
        <v>1157</v>
      </c>
      <c r="B911">
        <v>-0.34600526713518442</v>
      </c>
      <c r="C911">
        <v>-1.493121725669883</v>
      </c>
      <c r="D911">
        <v>1.7124265945526181E-2</v>
      </c>
      <c r="E911" t="b">
        <v>0</v>
      </c>
    </row>
    <row r="912" spans="1:5" x14ac:dyDescent="0.3">
      <c r="A912" s="1" t="s">
        <v>334</v>
      </c>
      <c r="B912">
        <v>-0.35185457484888449</v>
      </c>
      <c r="C912">
        <v>-1.8825890924378379</v>
      </c>
      <c r="D912">
        <v>2.1232043493726281E-2</v>
      </c>
      <c r="E912" t="b">
        <v>0</v>
      </c>
    </row>
    <row r="913" spans="1:5" x14ac:dyDescent="0.3">
      <c r="A913" s="1" t="s">
        <v>295</v>
      </c>
      <c r="B913">
        <v>-0.3555284970950861</v>
      </c>
      <c r="C913">
        <v>-0.16094943155171601</v>
      </c>
      <c r="D913">
        <v>1.796447333088184E-3</v>
      </c>
      <c r="E913" t="b">
        <v>0</v>
      </c>
    </row>
    <row r="914" spans="1:5" x14ac:dyDescent="0.3">
      <c r="A914" s="1" t="s">
        <v>1619</v>
      </c>
      <c r="B914">
        <v>-0.35730103477840758</v>
      </c>
      <c r="C914">
        <v>-1.694370715898476</v>
      </c>
      <c r="D914">
        <v>1.88180068418424E-2</v>
      </c>
      <c r="E914" t="b">
        <v>0</v>
      </c>
    </row>
    <row r="915" spans="1:5" x14ac:dyDescent="0.3">
      <c r="A915" s="1" t="s">
        <v>186</v>
      </c>
      <c r="B915">
        <v>-0.36148616198191358</v>
      </c>
      <c r="C915">
        <v>-2.1192871748156721</v>
      </c>
      <c r="D915">
        <v>2.3264707271845181E-2</v>
      </c>
      <c r="E915" t="b">
        <v>0</v>
      </c>
    </row>
    <row r="916" spans="1:5" x14ac:dyDescent="0.3">
      <c r="A916" s="1" t="s">
        <v>1677</v>
      </c>
      <c r="B916">
        <v>-0.36468653894852859</v>
      </c>
      <c r="C916">
        <v>-4.1498556914720561</v>
      </c>
      <c r="D916">
        <v>4.5155714721045757E-2</v>
      </c>
      <c r="E916" t="b">
        <v>0</v>
      </c>
    </row>
    <row r="917" spans="1:5" x14ac:dyDescent="0.3">
      <c r="A917" s="1" t="s">
        <v>1347</v>
      </c>
      <c r="B917">
        <v>-0.36627824266903952</v>
      </c>
      <c r="C917">
        <v>-1.496890086486752</v>
      </c>
      <c r="D917">
        <v>1.6217288754189971E-2</v>
      </c>
      <c r="E917" t="b">
        <v>0</v>
      </c>
    </row>
    <row r="918" spans="1:5" x14ac:dyDescent="0.3">
      <c r="A918" s="1" t="s">
        <v>134</v>
      </c>
      <c r="B918">
        <v>-0.37288038245459509</v>
      </c>
      <c r="C918">
        <v>-1.566559566836919</v>
      </c>
      <c r="D918">
        <v>1.6671582926097731E-2</v>
      </c>
      <c r="E918" t="b">
        <v>0</v>
      </c>
    </row>
    <row r="919" spans="1:5" x14ac:dyDescent="0.3">
      <c r="A919" s="1" t="s">
        <v>1071</v>
      </c>
      <c r="B919">
        <v>-0.3733640805262361</v>
      </c>
      <c r="C919">
        <v>-4.6941687008254762</v>
      </c>
      <c r="D919">
        <v>4.9891391663733749E-2</v>
      </c>
      <c r="E919" t="b">
        <v>0</v>
      </c>
    </row>
    <row r="920" spans="1:5" x14ac:dyDescent="0.3">
      <c r="A920" s="1" t="s">
        <v>735</v>
      </c>
      <c r="B920">
        <v>-0.37698601830504253</v>
      </c>
      <c r="C920">
        <v>-2.3786586182888079</v>
      </c>
      <c r="D920">
        <v>2.5038386154438999E-2</v>
      </c>
      <c r="E920" t="b">
        <v>0</v>
      </c>
    </row>
    <row r="921" spans="1:5" x14ac:dyDescent="0.3">
      <c r="A921" s="1" t="s">
        <v>952</v>
      </c>
      <c r="B921">
        <v>-0.37859971668627579</v>
      </c>
      <c r="C921">
        <v>-1.3709712783495911</v>
      </c>
      <c r="D921">
        <v>1.436969436556948E-2</v>
      </c>
      <c r="E921" t="b">
        <v>0</v>
      </c>
    </row>
    <row r="922" spans="1:5" x14ac:dyDescent="0.3">
      <c r="A922" s="1" t="s">
        <v>981</v>
      </c>
      <c r="B922">
        <v>-0.37893277955695231</v>
      </c>
      <c r="C922">
        <v>-2.18880988425901</v>
      </c>
      <c r="D922">
        <v>2.2921620871964931E-2</v>
      </c>
      <c r="E922" t="b">
        <v>0</v>
      </c>
    </row>
    <row r="923" spans="1:5" x14ac:dyDescent="0.3">
      <c r="A923" s="1" t="s">
        <v>500</v>
      </c>
      <c r="B923">
        <v>-0.38710564351536603</v>
      </c>
      <c r="C923">
        <v>-2.1156942410007011</v>
      </c>
      <c r="D923">
        <v>2.1688167579323441E-2</v>
      </c>
      <c r="E923" t="b">
        <v>0</v>
      </c>
    </row>
    <row r="924" spans="1:5" x14ac:dyDescent="0.3">
      <c r="A924" s="1" t="s">
        <v>1501</v>
      </c>
      <c r="B924">
        <v>-0.38811668953266809</v>
      </c>
      <c r="C924">
        <v>-1.439363146072159</v>
      </c>
      <c r="D924">
        <v>1.471660114136523E-2</v>
      </c>
      <c r="E924" t="b">
        <v>0</v>
      </c>
    </row>
    <row r="925" spans="1:5" x14ac:dyDescent="0.3">
      <c r="A925" s="1" t="s">
        <v>1117</v>
      </c>
      <c r="B925">
        <v>-0.39196259000041489</v>
      </c>
      <c r="C925">
        <v>-1.976445205433399</v>
      </c>
      <c r="D925">
        <v>2.0009655843659241E-2</v>
      </c>
      <c r="E925" t="b">
        <v>0</v>
      </c>
    </row>
    <row r="926" spans="1:5" x14ac:dyDescent="0.3">
      <c r="A926" s="1" t="s">
        <v>945</v>
      </c>
      <c r="B926">
        <v>-0.39761731640711268</v>
      </c>
      <c r="C926">
        <v>-2.7621135792809359</v>
      </c>
      <c r="D926">
        <v>2.7566123806658429E-2</v>
      </c>
      <c r="E926" t="b">
        <v>0</v>
      </c>
    </row>
    <row r="927" spans="1:5" x14ac:dyDescent="0.3">
      <c r="A927" s="1" t="s">
        <v>316</v>
      </c>
      <c r="B927">
        <v>-0.39842952855682617</v>
      </c>
      <c r="C927">
        <v>-2.222405567594774</v>
      </c>
      <c r="D927">
        <v>2.2134578590652449E-2</v>
      </c>
      <c r="E927" t="b">
        <v>0</v>
      </c>
    </row>
    <row r="928" spans="1:5" x14ac:dyDescent="0.3">
      <c r="A928" s="1" t="s">
        <v>130</v>
      </c>
      <c r="B928">
        <v>-0.40119845713784508</v>
      </c>
      <c r="C928">
        <v>-1.578322388245434</v>
      </c>
      <c r="D928">
        <v>1.5611186855055871E-2</v>
      </c>
      <c r="E928" t="b">
        <v>0</v>
      </c>
    </row>
    <row r="929" spans="1:5" x14ac:dyDescent="0.3">
      <c r="A929" s="1" t="s">
        <v>731</v>
      </c>
      <c r="B929">
        <v>-0.4117647458544208</v>
      </c>
      <c r="C929">
        <v>-3.7267847715903129</v>
      </c>
      <c r="D929">
        <v>3.5915722770303173E-2</v>
      </c>
      <c r="E929" t="b">
        <v>0</v>
      </c>
    </row>
    <row r="930" spans="1:5" x14ac:dyDescent="0.3">
      <c r="A930" s="1" t="s">
        <v>1646</v>
      </c>
      <c r="B930">
        <v>-0.4175838896007209</v>
      </c>
      <c r="C930">
        <v>-1.852779324972484</v>
      </c>
      <c r="D930">
        <v>1.7606759005121049E-2</v>
      </c>
      <c r="E930" t="b">
        <v>0</v>
      </c>
    </row>
    <row r="931" spans="1:5" x14ac:dyDescent="0.3">
      <c r="A931" s="1" t="s">
        <v>395</v>
      </c>
      <c r="B931">
        <v>-0.42597234382517191</v>
      </c>
      <c r="C931">
        <v>-1.65488770073643</v>
      </c>
      <c r="D931">
        <v>1.541652828090001E-2</v>
      </c>
      <c r="E931" t="b">
        <v>0</v>
      </c>
    </row>
    <row r="932" spans="1:5" x14ac:dyDescent="0.3">
      <c r="A932" s="1" t="s">
        <v>411</v>
      </c>
      <c r="B932">
        <v>-0.42826776935715188</v>
      </c>
      <c r="C932">
        <v>-2.3464501993514788</v>
      </c>
      <c r="D932">
        <v>2.174179562674888E-2</v>
      </c>
      <c r="E932" t="b">
        <v>0</v>
      </c>
    </row>
    <row r="933" spans="1:5" x14ac:dyDescent="0.3">
      <c r="A933" s="1" t="s">
        <v>516</v>
      </c>
      <c r="B933">
        <v>-0.43584216409729443</v>
      </c>
      <c r="C933">
        <v>-1.6767241064011029</v>
      </c>
      <c r="D933">
        <v>1.52662308445402E-2</v>
      </c>
      <c r="E933" t="b">
        <v>0</v>
      </c>
    </row>
    <row r="934" spans="1:5" x14ac:dyDescent="0.3">
      <c r="A934" s="1" t="s">
        <v>1180</v>
      </c>
      <c r="B934">
        <v>-0.4735351194151699</v>
      </c>
      <c r="C934">
        <v>-2.0517724746205088</v>
      </c>
      <c r="D934">
        <v>1.7193981883376799E-2</v>
      </c>
      <c r="E934" t="b">
        <v>0</v>
      </c>
    </row>
    <row r="935" spans="1:5" x14ac:dyDescent="0.3">
      <c r="A935" s="1" t="s">
        <v>1618</v>
      </c>
      <c r="B935">
        <v>-0.47718350567638163</v>
      </c>
      <c r="C935">
        <v>-1.7590599029912759</v>
      </c>
      <c r="D935">
        <v>1.4628327168490961E-2</v>
      </c>
      <c r="E935" t="b">
        <v>0</v>
      </c>
    </row>
    <row r="936" spans="1:5" x14ac:dyDescent="0.3">
      <c r="A936" s="1" t="s">
        <v>234</v>
      </c>
      <c r="B936">
        <v>-0.6281446798533018</v>
      </c>
      <c r="C936">
        <v>-3.520272843776469</v>
      </c>
      <c r="D936">
        <v>2.223904321678739E-2</v>
      </c>
      <c r="E936" t="b">
        <v>0</v>
      </c>
    </row>
    <row r="937" spans="1:5" x14ac:dyDescent="0.3">
      <c r="A937" s="1" t="s">
        <v>1633</v>
      </c>
      <c r="B937">
        <v>-0.64356590496948507</v>
      </c>
      <c r="C937">
        <v>-3.4843145812882712</v>
      </c>
      <c r="D937">
        <v>2.1484427712959619E-2</v>
      </c>
      <c r="E937" t="b">
        <v>0</v>
      </c>
    </row>
  </sheetData>
  <sortState ref="A2:G937">
    <sortCondition descending="1" ref="B2:B937"/>
  </sortState>
  <pageMargins left="0.75" right="0.75" top="1" bottom="1" header="0.5" footer="0.5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Instruction</vt:lpstr>
      <vt:lpstr>OVERVIEW</vt:lpstr>
      <vt:lpstr>DAILY_AUDIT</vt:lpstr>
      <vt:lpstr>Sheet2</vt:lpstr>
      <vt:lpstr>RAW_OHLCV_SAMPLES</vt:lpstr>
      <vt:lpstr>RAW_PRICES</vt:lpstr>
      <vt:lpstr>RAW_ATRP_DATA</vt:lpstr>
      <vt:lpstr>RAW_TRP_DATA</vt:lpstr>
      <vt:lpstr>RAW_DRIFTED_WEIGHTS</vt:lpstr>
      <vt:lpstr>SURVIVAL_AUDIT</vt:lpstr>
      <vt:lpstr>FULL_RANKING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ping</cp:lastModifiedBy>
  <dcterms:created xsi:type="dcterms:W3CDTF">2026-03-11T16:03:39Z</dcterms:created>
  <dcterms:modified xsi:type="dcterms:W3CDTF">2026-03-17T22:25:28Z</dcterms:modified>
</cp:coreProperties>
</file>