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1060" windowHeight="9816"/>
  </bookViews>
  <sheets>
    <sheet name="verify" sheetId="9" r:id="rId1"/>
  </sheets>
  <calcPr calcId="145621"/>
</workbook>
</file>

<file path=xl/calcChain.xml><?xml version="1.0" encoding="utf-8"?>
<calcChain xmlns="http://schemas.openxmlformats.org/spreadsheetml/2006/main">
  <c r="AL42" i="9" l="1"/>
  <c r="P24" i="9"/>
  <c r="Q24" i="9"/>
  <c r="R24" i="9"/>
  <c r="Y24" i="9" s="1"/>
  <c r="T24" i="9"/>
  <c r="AJ24" i="9"/>
  <c r="AM24" i="9"/>
  <c r="P25" i="9"/>
  <c r="Q25" i="9"/>
  <c r="R25" i="9"/>
  <c r="Y25" i="9" s="1"/>
  <c r="T25" i="9"/>
  <c r="V25" i="9" s="1"/>
  <c r="AK25" i="9" s="1"/>
  <c r="AJ25" i="9"/>
  <c r="P26" i="9"/>
  <c r="Q26" i="9"/>
  <c r="X26" i="9" s="1"/>
  <c r="R26" i="9"/>
  <c r="Y26" i="9" s="1"/>
  <c r="T26" i="9"/>
  <c r="AJ26" i="9"/>
  <c r="AM26" i="9"/>
  <c r="P27" i="9"/>
  <c r="Q27" i="9"/>
  <c r="R27" i="9"/>
  <c r="Y27" i="9" s="1"/>
  <c r="T27" i="9"/>
  <c r="V27" i="9" s="1"/>
  <c r="AK27" i="9" s="1"/>
  <c r="AJ27" i="9"/>
  <c r="P28" i="9"/>
  <c r="Q28" i="9"/>
  <c r="X28" i="9" s="1"/>
  <c r="R28" i="9"/>
  <c r="Y28" i="9" s="1"/>
  <c r="T28" i="9"/>
  <c r="AJ28" i="9"/>
  <c r="AM28" i="9"/>
  <c r="P29" i="9"/>
  <c r="Q29" i="9"/>
  <c r="R29" i="9"/>
  <c r="Y29" i="9" s="1"/>
  <c r="T29" i="9"/>
  <c r="V29" i="9" s="1"/>
  <c r="AK29" i="9" s="1"/>
  <c r="AJ29" i="9"/>
  <c r="P30" i="9"/>
  <c r="Q30" i="9"/>
  <c r="X30" i="9" s="1"/>
  <c r="R30" i="9"/>
  <c r="Y30" i="9" s="1"/>
  <c r="T30" i="9"/>
  <c r="AJ30" i="9"/>
  <c r="AM30" i="9"/>
  <c r="P31" i="9"/>
  <c r="Q31" i="9"/>
  <c r="R31" i="9"/>
  <c r="Y31" i="9" s="1"/>
  <c r="T31" i="9"/>
  <c r="V31" i="9" s="1"/>
  <c r="AK31" i="9" s="1"/>
  <c r="AJ31" i="9"/>
  <c r="P32" i="9"/>
  <c r="Q32" i="9"/>
  <c r="X32" i="9" s="1"/>
  <c r="R32" i="9"/>
  <c r="Y32" i="9" s="1"/>
  <c r="T32" i="9"/>
  <c r="AJ32" i="9"/>
  <c r="AM32" i="9"/>
  <c r="P33" i="9"/>
  <c r="Q33" i="9"/>
  <c r="R33" i="9"/>
  <c r="Y33" i="9" s="1"/>
  <c r="T33" i="9"/>
  <c r="V33" i="9" s="1"/>
  <c r="AJ33" i="9"/>
  <c r="P34" i="9"/>
  <c r="Q34" i="9"/>
  <c r="R34" i="9"/>
  <c r="T34" i="9"/>
  <c r="AM34" i="9" s="1"/>
  <c r="AJ34" i="9"/>
  <c r="P23" i="9"/>
  <c r="W23" i="9" s="1"/>
  <c r="Q23" i="9"/>
  <c r="X23" i="9" s="1"/>
  <c r="R23" i="9"/>
  <c r="Y23" i="9" s="1"/>
  <c r="T23" i="9"/>
  <c r="AM23" i="9" s="1"/>
  <c r="AJ23" i="9"/>
  <c r="P35" i="9"/>
  <c r="Q35" i="9"/>
  <c r="R35" i="9"/>
  <c r="T35" i="9"/>
  <c r="AJ35" i="9"/>
  <c r="P36" i="9"/>
  <c r="Q36" i="9"/>
  <c r="R36" i="9"/>
  <c r="T36" i="9"/>
  <c r="AJ36" i="9"/>
  <c r="P37" i="9"/>
  <c r="Q37" i="9"/>
  <c r="R37" i="9"/>
  <c r="T37" i="9"/>
  <c r="AJ37" i="9"/>
  <c r="P38" i="9"/>
  <c r="Q38" i="9"/>
  <c r="R38" i="9"/>
  <c r="T38" i="9"/>
  <c r="AM38" i="9" s="1"/>
  <c r="AJ38" i="9"/>
  <c r="P39" i="9"/>
  <c r="Q39" i="9"/>
  <c r="R39" i="9"/>
  <c r="T39" i="9"/>
  <c r="AJ39" i="9"/>
  <c r="AK45" i="9"/>
  <c r="AJ45" i="9"/>
  <c r="AI45" i="9"/>
  <c r="AH45" i="9"/>
  <c r="AB22" i="9"/>
  <c r="AA22" i="9"/>
  <c r="Z22" i="9"/>
  <c r="Y22" i="9"/>
  <c r="X22" i="9"/>
  <c r="W22" i="9"/>
  <c r="R22" i="9"/>
  <c r="Q22" i="9"/>
  <c r="P22" i="9"/>
  <c r="N22" i="9"/>
  <c r="M22" i="9"/>
  <c r="L22" i="9"/>
  <c r="K22" i="9"/>
  <c r="AM33" i="9" l="1"/>
  <c r="V32" i="9"/>
  <c r="AK32" i="9" s="1"/>
  <c r="S32" i="9"/>
  <c r="V30" i="9"/>
  <c r="AK30" i="9" s="1"/>
  <c r="S30" i="9"/>
  <c r="V28" i="9"/>
  <c r="AK28" i="9" s="1"/>
  <c r="S28" i="9"/>
  <c r="S26" i="9"/>
  <c r="AL26" i="9" s="1"/>
  <c r="V24" i="9"/>
  <c r="AK24" i="9" s="1"/>
  <c r="S24" i="9"/>
  <c r="S31" i="9"/>
  <c r="U31" i="9" s="1"/>
  <c r="AI31" i="9" s="1"/>
  <c r="S29" i="9"/>
  <c r="U30" i="9" s="1"/>
  <c r="AI30" i="9" s="1"/>
  <c r="S27" i="9"/>
  <c r="S25" i="9"/>
  <c r="V26" i="9"/>
  <c r="AK26" i="9" s="1"/>
  <c r="AB32" i="9"/>
  <c r="AL32" i="9"/>
  <c r="U32" i="9"/>
  <c r="AI32" i="9" s="1"/>
  <c r="AL30" i="9"/>
  <c r="AL28" i="9"/>
  <c r="U28" i="9"/>
  <c r="AI28" i="9" s="1"/>
  <c r="AL24" i="9"/>
  <c r="AL31" i="9"/>
  <c r="AL27" i="9"/>
  <c r="AL25" i="9"/>
  <c r="U25" i="9"/>
  <c r="AI25" i="9" s="1"/>
  <c r="AB28" i="9"/>
  <c r="W32" i="9"/>
  <c r="Z32" i="9" s="1"/>
  <c r="AM31" i="9"/>
  <c r="W30" i="9"/>
  <c r="Z30" i="9" s="1"/>
  <c r="AM29" i="9"/>
  <c r="W28" i="9"/>
  <c r="Z28" i="9" s="1"/>
  <c r="AM27" i="9"/>
  <c r="W26" i="9"/>
  <c r="Z26" i="9" s="1"/>
  <c r="AM25" i="9"/>
  <c r="W24" i="9"/>
  <c r="X31" i="9"/>
  <c r="X29" i="9"/>
  <c r="X27" i="9"/>
  <c r="AA27" i="9" s="1"/>
  <c r="X25" i="9"/>
  <c r="X33" i="9"/>
  <c r="W31" i="9"/>
  <c r="Z31" i="9" s="1"/>
  <c r="W29" i="9"/>
  <c r="AB29" i="9" s="1"/>
  <c r="W27" i="9"/>
  <c r="W25" i="9"/>
  <c r="Z25" i="9" s="1"/>
  <c r="V35" i="9"/>
  <c r="S33" i="9"/>
  <c r="U33" i="9" s="1"/>
  <c r="AI33" i="9" s="1"/>
  <c r="X24" i="9"/>
  <c r="AA24" i="9" s="1"/>
  <c r="S34" i="9"/>
  <c r="V34" i="9"/>
  <c r="AK34" i="9" s="1"/>
  <c r="W33" i="9"/>
  <c r="Z33" i="9" s="1"/>
  <c r="AK33" i="9"/>
  <c r="Y34" i="9"/>
  <c r="X34" i="9"/>
  <c r="W34" i="9"/>
  <c r="S23" i="9"/>
  <c r="AL23" i="9" s="1"/>
  <c r="Z23" i="9"/>
  <c r="AA23" i="9"/>
  <c r="AB23" i="9"/>
  <c r="V36" i="9"/>
  <c r="AK36" i="9" s="1"/>
  <c r="V37" i="9"/>
  <c r="AK37" i="9" s="1"/>
  <c r="V39" i="9"/>
  <c r="AK39" i="9" s="1"/>
  <c r="AK35" i="9"/>
  <c r="V38" i="9"/>
  <c r="AK38" i="9" s="1"/>
  <c r="Y38" i="9"/>
  <c r="X38" i="9"/>
  <c r="S39" i="9"/>
  <c r="AM36" i="9"/>
  <c r="X36" i="9"/>
  <c r="Y35" i="9"/>
  <c r="Y36" i="9"/>
  <c r="S37" i="9"/>
  <c r="S35" i="9"/>
  <c r="W37" i="9"/>
  <c r="W35" i="9"/>
  <c r="AM39" i="9"/>
  <c r="Y39" i="9"/>
  <c r="W38" i="9"/>
  <c r="S38" i="9"/>
  <c r="AM37" i="9"/>
  <c r="Y37" i="9"/>
  <c r="W36" i="9"/>
  <c r="S36" i="9"/>
  <c r="AM35" i="9"/>
  <c r="X39" i="9"/>
  <c r="X37" i="9"/>
  <c r="X35" i="9"/>
  <c r="W39" i="9"/>
  <c r="AJ44" i="9"/>
  <c r="AJ43" i="9"/>
  <c r="AA29" i="9" l="1"/>
  <c r="U29" i="9"/>
  <c r="AI29" i="9" s="1"/>
  <c r="U34" i="9"/>
  <c r="AL29" i="9"/>
  <c r="U26" i="9"/>
  <c r="AI26" i="9" s="1"/>
  <c r="AA28" i="9"/>
  <c r="AC28" i="9" s="1"/>
  <c r="AD28" i="9" s="1"/>
  <c r="U27" i="9"/>
  <c r="AI27" i="9" s="1"/>
  <c r="AA32" i="9"/>
  <c r="AL33" i="9"/>
  <c r="AL34" i="9"/>
  <c r="U35" i="9"/>
  <c r="AI35" i="9" s="1"/>
  <c r="Z27" i="9"/>
  <c r="AA25" i="9"/>
  <c r="AE25" i="9" s="1"/>
  <c r="AH25" i="9" s="1"/>
  <c r="Z24" i="9"/>
  <c r="AC32" i="9"/>
  <c r="AD32" i="9" s="1"/>
  <c r="AE32" i="9"/>
  <c r="AH32" i="9" s="1"/>
  <c r="AB25" i="9"/>
  <c r="AB24" i="9"/>
  <c r="Z29" i="9"/>
  <c r="AA26" i="9"/>
  <c r="AC26" i="9" s="1"/>
  <c r="AD26" i="9" s="1"/>
  <c r="AA30" i="9"/>
  <c r="AB26" i="9"/>
  <c r="U24" i="9"/>
  <c r="AI24" i="9" s="1"/>
  <c r="AB27" i="9"/>
  <c r="AB31" i="9"/>
  <c r="AB30" i="9"/>
  <c r="AE30" i="9" s="1"/>
  <c r="AH30" i="9" s="1"/>
  <c r="AC30" i="9"/>
  <c r="AD30" i="9" s="1"/>
  <c r="AA31" i="9"/>
  <c r="AC31" i="9" s="1"/>
  <c r="AD31" i="9" s="1"/>
  <c r="AB33" i="9"/>
  <c r="AE33" i="9" s="1"/>
  <c r="AH33" i="9" s="1"/>
  <c r="Z34" i="9"/>
  <c r="AA33" i="9"/>
  <c r="AA34" i="9"/>
  <c r="AB34" i="9"/>
  <c r="AI34" i="9"/>
  <c r="U36" i="9"/>
  <c r="AI36" i="9" s="1"/>
  <c r="AE23" i="9"/>
  <c r="AH23" i="9" s="1"/>
  <c r="AC23" i="9"/>
  <c r="AD23" i="9" s="1"/>
  <c r="U38" i="9"/>
  <c r="AI38" i="9" s="1"/>
  <c r="U39" i="9"/>
  <c r="AI39" i="9" s="1"/>
  <c r="U37" i="9"/>
  <c r="AI37" i="9" s="1"/>
  <c r="AL39" i="9"/>
  <c r="AL37" i="9"/>
  <c r="Z38" i="9"/>
  <c r="AL35" i="9"/>
  <c r="Z36" i="9"/>
  <c r="AA39" i="9"/>
  <c r="AA35" i="9"/>
  <c r="AB37" i="9"/>
  <c r="AA36" i="9"/>
  <c r="AA37" i="9"/>
  <c r="AM42" i="9"/>
  <c r="D7" i="9" s="1"/>
  <c r="AL36" i="9"/>
  <c r="AB39" i="9"/>
  <c r="Z37" i="9"/>
  <c r="Z39" i="9"/>
  <c r="AL38" i="9"/>
  <c r="AB36" i="9"/>
  <c r="Z35" i="9"/>
  <c r="AB38" i="9"/>
  <c r="AA38" i="9"/>
  <c r="AB35" i="9"/>
  <c r="AK43" i="9"/>
  <c r="AK47" i="9" s="1"/>
  <c r="D13" i="9" s="1"/>
  <c r="AJ46" i="9"/>
  <c r="AK44" i="9"/>
  <c r="AE31" i="9" l="1"/>
  <c r="AH31" i="9" s="1"/>
  <c r="AE26" i="9"/>
  <c r="AH26" i="9" s="1"/>
  <c r="AE28" i="9"/>
  <c r="AH28" i="9" s="1"/>
  <c r="AC25" i="9"/>
  <c r="AD25" i="9" s="1"/>
  <c r="AC34" i="9"/>
  <c r="AD34" i="9" s="1"/>
  <c r="AC33" i="9"/>
  <c r="AD33" i="9" s="1"/>
  <c r="AC24" i="9"/>
  <c r="AD24" i="9" s="1"/>
  <c r="AE24" i="9"/>
  <c r="AH24" i="9" s="1"/>
  <c r="AE29" i="9"/>
  <c r="AH29" i="9" s="1"/>
  <c r="AC29" i="9"/>
  <c r="AD29" i="9" s="1"/>
  <c r="AE27" i="9"/>
  <c r="AH27" i="9" s="1"/>
  <c r="AC27" i="9"/>
  <c r="AD27" i="9" s="1"/>
  <c r="AE34" i="9"/>
  <c r="AH34" i="9" s="1"/>
  <c r="D6" i="9"/>
  <c r="D8" i="9" s="1"/>
  <c r="AC38" i="9"/>
  <c r="AD38" i="9" s="1"/>
  <c r="AE36" i="9"/>
  <c r="AH36" i="9" s="1"/>
  <c r="AC36" i="9"/>
  <c r="AD36" i="9" s="1"/>
  <c r="AE38" i="9"/>
  <c r="AH38" i="9" s="1"/>
  <c r="AE35" i="9"/>
  <c r="AH35" i="9" s="1"/>
  <c r="AC35" i="9"/>
  <c r="AD35" i="9" s="1"/>
  <c r="AC37" i="9"/>
  <c r="AD37" i="9" s="1"/>
  <c r="AE37" i="9"/>
  <c r="AH37" i="9" s="1"/>
  <c r="AE39" i="9"/>
  <c r="AH39" i="9" s="1"/>
  <c r="AC39" i="9"/>
  <c r="AD39" i="9" s="1"/>
  <c r="AK46" i="9"/>
  <c r="D10" i="9" s="1"/>
  <c r="AI44" i="9"/>
  <c r="AI43" i="9"/>
  <c r="AH44" i="9" l="1"/>
  <c r="AH43" i="9"/>
  <c r="AI46" i="9"/>
  <c r="D9" i="9" s="1"/>
  <c r="D11" i="9" s="1"/>
  <c r="AH46" i="9" l="1"/>
  <c r="AI47" i="9"/>
  <c r="D12" i="9" s="1"/>
  <c r="D14" i="9" s="1"/>
</calcChain>
</file>

<file path=xl/sharedStrings.xml><?xml version="1.0" encoding="utf-8"?>
<sst xmlns="http://schemas.openxmlformats.org/spreadsheetml/2006/main" count="68" uniqueCount="37">
  <si>
    <t>Date</t>
  </si>
  <si>
    <t>RPRX</t>
  </si>
  <si>
    <t>SGOV</t>
  </si>
  <si>
    <t>Norm</t>
  </si>
  <si>
    <t>portf</t>
  </si>
  <si>
    <t>retn</t>
  </si>
  <si>
    <t>protf</t>
  </si>
  <si>
    <t>atrp</t>
  </si>
  <si>
    <t>price</t>
  </si>
  <si>
    <t>rtn</t>
  </si>
  <si>
    <t>growth</t>
  </si>
  <si>
    <t>weight</t>
  </si>
  <si>
    <t>sqrt(252)</t>
  </si>
  <si>
    <t>Bench SPY</t>
  </si>
  <si>
    <t>wt SUM</t>
  </si>
  <si>
    <t>RAW DATA</t>
  </si>
  <si>
    <t>CALCULATED</t>
  </si>
  <si>
    <t>COPY</t>
  </si>
  <si>
    <t>_avg</t>
  </si>
  <si>
    <t>_stdev.s</t>
  </si>
  <si>
    <t>_annaul_sharpe</t>
  </si>
  <si>
    <t>_sharpe(atr)</t>
  </si>
  <si>
    <t>gain</t>
  </si>
  <si>
    <t>benchmark_gain</t>
  </si>
  <si>
    <t>group_gain</t>
  </si>
  <si>
    <t>group_sharpe</t>
  </si>
  <si>
    <t>benchmark_sharpe</t>
  </si>
  <si>
    <t>==gain_delta</t>
  </si>
  <si>
    <t>==sharpe_delta</t>
  </si>
  <si>
    <t>benchmark_sharpe(ATR)</t>
  </si>
  <si>
    <t>group_sharpe(ATR)</t>
  </si>
  <si>
    <t>==sharpe(ATR)_delta</t>
  </si>
  <si>
    <t>SHV</t>
  </si>
  <si>
    <t>check</t>
  </si>
  <si>
    <t xml:space="preserve">Use this sheet to verify bot calculation for Full, Lookback, Holding period calculation. </t>
  </si>
  <si>
    <t>Explan or delete cells to fill the 'RAW DATA'</t>
  </si>
  <si>
    <t>Place raw data from debug csv files into 'RAW DATA'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</si>
</sst>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"/>
    <numFmt numFmtId="166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quotePrefix="1" applyFont="1" applyBorder="1" applyAlignment="1">
      <alignment horizontal="right"/>
    </xf>
    <xf numFmtId="0" fontId="1" fillId="0" borderId="5" xfId="0" quotePrefix="1" applyFont="1" applyBorder="1" applyAlignment="1">
      <alignment horizontal="right"/>
    </xf>
    <xf numFmtId="0" fontId="0" fillId="0" borderId="0" xfId="0" applyAlignment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4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10" xfId="0" applyBorder="1" applyAlignment="1">
      <alignment horizontal="right"/>
    </xf>
    <xf numFmtId="0" fontId="0" fillId="4" borderId="0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0" fillId="3" borderId="0" xfId="0" applyFill="1" applyBorder="1" applyAlignment="1">
      <alignment horizontal="right"/>
    </xf>
    <xf numFmtId="14" fontId="0" fillId="0" borderId="0" xfId="0" applyNumberFormat="1" applyFill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4" fontId="0" fillId="0" borderId="0" xfId="0" applyNumberFormat="1" applyFill="1" applyBorder="1" applyAlignment="1">
      <alignment horizontal="right"/>
    </xf>
    <xf numFmtId="14" fontId="0" fillId="0" borderId="0" xfId="0" applyNumberForma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6" xfId="0" applyBorder="1" applyAlignment="1"/>
    <xf numFmtId="0" fontId="0" fillId="0" borderId="9" xfId="0" applyBorder="1" applyAlignment="1"/>
    <xf numFmtId="0" fontId="0" fillId="0" borderId="11" xfId="0" applyBorder="1" applyAlignment="1"/>
    <xf numFmtId="166" fontId="0" fillId="0" borderId="0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8"/>
  <sheetViews>
    <sheetView tabSelected="1" workbookViewId="0">
      <selection activeCell="I7" sqref="I7"/>
    </sheetView>
  </sheetViews>
  <sheetFormatPr defaultRowHeight="14.4" x14ac:dyDescent="0.3"/>
  <cols>
    <col min="6" max="8" width="9.5546875" bestFit="1" customWidth="1"/>
    <col min="9" max="10" width="10.5546875" bestFit="1" customWidth="1"/>
    <col min="11" max="13" width="8.5546875" bestFit="1" customWidth="1"/>
    <col min="21" max="21" width="9.21875" bestFit="1" customWidth="1"/>
    <col min="22" max="22" width="9.33203125" bestFit="1" customWidth="1"/>
    <col min="34" max="34" width="10.5546875" bestFit="1" customWidth="1"/>
    <col min="35" max="35" width="9.5546875" bestFit="1" customWidth="1"/>
    <col min="36" max="36" width="10.5546875" bestFit="1" customWidth="1"/>
    <col min="37" max="37" width="9.5546875" bestFit="1" customWidth="1"/>
    <col min="38" max="38" width="8.77734375" customWidth="1"/>
  </cols>
  <sheetData>
    <row r="1" spans="1:40" x14ac:dyDescent="0.3">
      <c r="A1" s="9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3">
      <c r="A2" s="9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">
      <c r="A3" s="9" t="s">
        <v>35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" thickBot="1" x14ac:dyDescent="0.35">
      <c r="A4" s="9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x14ac:dyDescent="0.3">
      <c r="A5" s="30"/>
      <c r="B5" s="11"/>
      <c r="C5" s="11"/>
      <c r="D5" s="11"/>
      <c r="E5" s="1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3">
      <c r="A6" s="31"/>
      <c r="B6" s="5"/>
      <c r="C6" s="5" t="s">
        <v>24</v>
      </c>
      <c r="D6" s="33">
        <f>AL42</f>
        <v>0.92468129632765406</v>
      </c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3">
      <c r="A7" s="31"/>
      <c r="B7" s="2"/>
      <c r="C7" s="4" t="s">
        <v>23</v>
      </c>
      <c r="D7" s="34">
        <f>AM42</f>
        <v>3.4003398782391336E-2</v>
      </c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3">
      <c r="A8" s="31"/>
      <c r="B8" s="6"/>
      <c r="C8" s="7" t="s">
        <v>27</v>
      </c>
      <c r="D8" s="35">
        <f>D6-D7</f>
        <v>0.89067789754526272</v>
      </c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3">
      <c r="A9" s="31"/>
      <c r="B9" s="5"/>
      <c r="C9" s="3" t="s">
        <v>25</v>
      </c>
      <c r="D9" s="33">
        <f>AI46</f>
        <v>7.2971541657531009</v>
      </c>
      <c r="E9" s="1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3">
      <c r="A10" s="31"/>
      <c r="B10" s="2"/>
      <c r="C10" s="4" t="s">
        <v>26</v>
      </c>
      <c r="D10" s="34">
        <f>AK46</f>
        <v>3.575198806729766</v>
      </c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3">
      <c r="A11" s="31"/>
      <c r="B11" s="6"/>
      <c r="C11" s="8" t="s">
        <v>28</v>
      </c>
      <c r="D11" s="36">
        <f>D9-D10</f>
        <v>3.721955359023335</v>
      </c>
      <c r="E11" s="1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3">
      <c r="A12" s="31"/>
      <c r="B12" s="5"/>
      <c r="C12" s="3" t="s">
        <v>30</v>
      </c>
      <c r="D12" s="33">
        <f>AI47</f>
        <v>0.60547093910240324</v>
      </c>
      <c r="E12" s="1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3">
      <c r="A13" s="31"/>
      <c r="B13" s="2"/>
      <c r="C13" s="4" t="s">
        <v>29</v>
      </c>
      <c r="D13" s="34">
        <f>AK47</f>
        <v>0.1746017386600571</v>
      </c>
      <c r="E13" s="1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3">
      <c r="A14" s="31"/>
      <c r="B14" s="6"/>
      <c r="C14" s="8" t="s">
        <v>31</v>
      </c>
      <c r="D14" s="36">
        <f>D12-D13</f>
        <v>0.43086920044234611</v>
      </c>
      <c r="E14" s="1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5" thickBot="1" x14ac:dyDescent="0.35">
      <c r="A15" s="32"/>
      <c r="B15" s="28"/>
      <c r="C15" s="28"/>
      <c r="D15" s="28"/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3">
      <c r="A16" s="9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3">
      <c r="A17" s="9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5" thickBot="1" x14ac:dyDescent="0.35">
      <c r="A18" s="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3">
      <c r="A19" s="9"/>
      <c r="B19" s="1"/>
      <c r="C19" s="1"/>
      <c r="D19" s="1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2"/>
    </row>
    <row r="20" spans="1:40" x14ac:dyDescent="0.3">
      <c r="A20" s="1"/>
      <c r="B20" s="1"/>
      <c r="C20" s="1"/>
      <c r="D20" s="1"/>
      <c r="E20" s="13"/>
      <c r="F20" s="5"/>
      <c r="G20" s="14" t="s">
        <v>15</v>
      </c>
      <c r="H20" s="14"/>
      <c r="I20" s="14"/>
      <c r="J20" s="14"/>
      <c r="K20" s="14"/>
      <c r="L20" s="14"/>
      <c r="M20" s="14"/>
      <c r="N20" s="14"/>
      <c r="O20" s="5"/>
      <c r="P20" s="15" t="s">
        <v>16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5"/>
      <c r="AG20" s="5"/>
      <c r="AH20" s="16" t="s">
        <v>17</v>
      </c>
      <c r="AI20" s="16"/>
      <c r="AJ20" s="16"/>
      <c r="AK20" s="16"/>
      <c r="AL20" s="16"/>
      <c r="AM20" s="16"/>
      <c r="AN20" s="17"/>
    </row>
    <row r="21" spans="1:40" x14ac:dyDescent="0.3">
      <c r="A21" s="1"/>
      <c r="B21" s="1"/>
      <c r="C21" s="1"/>
      <c r="D21" s="1"/>
      <c r="E21" s="13"/>
      <c r="F21" s="5"/>
      <c r="G21" s="18" t="s">
        <v>8</v>
      </c>
      <c r="H21" s="18" t="s">
        <v>8</v>
      </c>
      <c r="I21" s="18" t="s">
        <v>8</v>
      </c>
      <c r="J21" s="18" t="s">
        <v>8</v>
      </c>
      <c r="K21" s="18" t="s">
        <v>7</v>
      </c>
      <c r="L21" s="18" t="s">
        <v>7</v>
      </c>
      <c r="M21" s="18" t="s">
        <v>7</v>
      </c>
      <c r="N21" s="18" t="s">
        <v>7</v>
      </c>
      <c r="O21" s="19"/>
      <c r="P21" s="20" t="s">
        <v>3</v>
      </c>
      <c r="Q21" s="20" t="s">
        <v>3</v>
      </c>
      <c r="R21" s="20" t="s">
        <v>3</v>
      </c>
      <c r="S21" s="20" t="s">
        <v>3</v>
      </c>
      <c r="T21" s="20" t="s">
        <v>3</v>
      </c>
      <c r="U21" s="20" t="s">
        <v>5</v>
      </c>
      <c r="V21" s="20" t="s">
        <v>5</v>
      </c>
      <c r="W21" s="20" t="s">
        <v>10</v>
      </c>
      <c r="X21" s="20" t="s">
        <v>10</v>
      </c>
      <c r="Y21" s="20" t="s">
        <v>10</v>
      </c>
      <c r="Z21" s="20" t="s">
        <v>11</v>
      </c>
      <c r="AA21" s="20" t="s">
        <v>11</v>
      </c>
      <c r="AB21" s="20" t="s">
        <v>11</v>
      </c>
      <c r="AC21" s="20"/>
      <c r="AD21" s="20" t="s">
        <v>11</v>
      </c>
      <c r="AE21" s="20" t="s">
        <v>7</v>
      </c>
      <c r="AF21" s="5"/>
      <c r="AG21" s="19"/>
      <c r="AH21" s="21" t="s">
        <v>7</v>
      </c>
      <c r="AI21" s="21" t="s">
        <v>9</v>
      </c>
      <c r="AJ21" s="21" t="s">
        <v>7</v>
      </c>
      <c r="AK21" s="21" t="s">
        <v>9</v>
      </c>
      <c r="AL21" s="21" t="s">
        <v>3</v>
      </c>
      <c r="AM21" s="21" t="s">
        <v>3</v>
      </c>
      <c r="AN21" s="17"/>
    </row>
    <row r="22" spans="1:40" x14ac:dyDescent="0.3">
      <c r="A22" s="1"/>
      <c r="E22" s="13"/>
      <c r="F22" s="5" t="s">
        <v>0</v>
      </c>
      <c r="G22" s="18" t="s">
        <v>1</v>
      </c>
      <c r="H22" s="18" t="s">
        <v>2</v>
      </c>
      <c r="I22" s="18" t="s">
        <v>32</v>
      </c>
      <c r="J22" s="18" t="s">
        <v>13</v>
      </c>
      <c r="K22" s="18" t="str">
        <f>G22</f>
        <v>RPRX</v>
      </c>
      <c r="L22" s="18" t="str">
        <f t="shared" ref="L22:N22" si="0">H22</f>
        <v>SGOV</v>
      </c>
      <c r="M22" s="18" t="str">
        <f t="shared" si="0"/>
        <v>SHV</v>
      </c>
      <c r="N22" s="18" t="str">
        <f t="shared" si="0"/>
        <v>Bench SPY</v>
      </c>
      <c r="O22" s="19"/>
      <c r="P22" s="20" t="str">
        <f>G22</f>
        <v>RPRX</v>
      </c>
      <c r="Q22" s="20" t="str">
        <f t="shared" ref="Q22:R22" si="1">H22</f>
        <v>SGOV</v>
      </c>
      <c r="R22" s="20" t="str">
        <f t="shared" si="1"/>
        <v>SHV</v>
      </c>
      <c r="S22" s="20" t="s">
        <v>4</v>
      </c>
      <c r="T22" s="20" t="s">
        <v>13</v>
      </c>
      <c r="U22" s="20" t="s">
        <v>6</v>
      </c>
      <c r="V22" s="20" t="s">
        <v>13</v>
      </c>
      <c r="W22" s="20" t="str">
        <f>G22</f>
        <v>RPRX</v>
      </c>
      <c r="X22" s="20" t="str">
        <f>H22</f>
        <v>SGOV</v>
      </c>
      <c r="Y22" s="20" t="str">
        <f>I22</f>
        <v>SHV</v>
      </c>
      <c r="Z22" s="20" t="str">
        <f>G22</f>
        <v>RPRX</v>
      </c>
      <c r="AA22" s="20" t="str">
        <f>H22</f>
        <v>SGOV</v>
      </c>
      <c r="AB22" s="20" t="str">
        <f>I22</f>
        <v>SHV</v>
      </c>
      <c r="AC22" s="20" t="s">
        <v>14</v>
      </c>
      <c r="AD22" s="20" t="s">
        <v>33</v>
      </c>
      <c r="AE22" s="20" t="s">
        <v>4</v>
      </c>
      <c r="AF22" s="5"/>
      <c r="AG22" s="19"/>
      <c r="AH22" s="21" t="s">
        <v>4</v>
      </c>
      <c r="AI22" s="21" t="s">
        <v>4</v>
      </c>
      <c r="AJ22" s="21" t="s">
        <v>13</v>
      </c>
      <c r="AK22" s="21" t="s">
        <v>13</v>
      </c>
      <c r="AL22" s="21" t="s">
        <v>4</v>
      </c>
      <c r="AM22" s="21" t="s">
        <v>13</v>
      </c>
      <c r="AN22" s="17"/>
    </row>
    <row r="23" spans="1:40" x14ac:dyDescent="0.3">
      <c r="A23" s="1"/>
      <c r="E23" s="13"/>
      <c r="F23" s="22">
        <v>45659</v>
      </c>
      <c r="G23" s="23">
        <v>25.156099999999999</v>
      </c>
      <c r="H23" s="23">
        <v>96.314999999999998</v>
      </c>
      <c r="I23" s="23">
        <v>105.721</v>
      </c>
      <c r="J23" s="23">
        <v>577.85400000000004</v>
      </c>
      <c r="K23" s="23">
        <v>1.8409479999999999E-2</v>
      </c>
      <c r="L23" s="23">
        <v>2.4398000000000001E-4</v>
      </c>
      <c r="M23" s="23">
        <v>2.5458000000000002E-4</v>
      </c>
      <c r="N23" s="23">
        <v>1.20642945094038E-2</v>
      </c>
      <c r="O23" s="23"/>
      <c r="P23" s="23">
        <f t="shared" ref="P23:R32" si="2">G23/G$23</f>
        <v>1</v>
      </c>
      <c r="Q23" s="23">
        <f t="shared" si="2"/>
        <v>1</v>
      </c>
      <c r="R23" s="23">
        <f t="shared" si="2"/>
        <v>1</v>
      </c>
      <c r="S23" s="23">
        <f>AVERAGE(P23:R23)</f>
        <v>1</v>
      </c>
      <c r="T23" s="23">
        <f>J23/J$23</f>
        <v>1</v>
      </c>
      <c r="U23" s="23"/>
      <c r="V23" s="23"/>
      <c r="W23" s="23">
        <f>P23/P$23</f>
        <v>1</v>
      </c>
      <c r="X23" s="23">
        <f>Q23/Q$23</f>
        <v>1</v>
      </c>
      <c r="Y23" s="23">
        <f>R23/R$23</f>
        <v>1</v>
      </c>
      <c r="Z23" s="24">
        <f>1/SUM($W23:$Y23)</f>
        <v>0.33333333333333331</v>
      </c>
      <c r="AA23" s="24">
        <f t="shared" ref="AA23:AB23" si="3">1/SUM($W23:$Y23)</f>
        <v>0.33333333333333331</v>
      </c>
      <c r="AB23" s="24">
        <f t="shared" si="3"/>
        <v>0.33333333333333331</v>
      </c>
      <c r="AC23" s="23">
        <f>SUM(Z23:AB23)</f>
        <v>1</v>
      </c>
      <c r="AD23" s="23" t="str">
        <f>IF(AC23=1, "correct", "ERROR")</f>
        <v>correct</v>
      </c>
      <c r="AE23" s="23">
        <f>SUMPRODUCT(K23:M23, Z23:AB23)</f>
        <v>6.3026799999999997E-3</v>
      </c>
      <c r="AF23" s="23"/>
      <c r="AG23" s="19"/>
      <c r="AH23" s="23">
        <f t="shared" ref="AH23:AH39" si="4">AE23</f>
        <v>6.3026799999999997E-3</v>
      </c>
      <c r="AI23" s="23"/>
      <c r="AJ23" s="23">
        <f>N23</f>
        <v>1.20642945094038E-2</v>
      </c>
      <c r="AK23" s="23"/>
      <c r="AL23" s="23">
        <f>S23</f>
        <v>1</v>
      </c>
      <c r="AM23" s="23">
        <f>T23</f>
        <v>1</v>
      </c>
      <c r="AN23" s="17"/>
    </row>
    <row r="24" spans="1:40" x14ac:dyDescent="0.3">
      <c r="A24" s="1"/>
      <c r="E24" s="13"/>
      <c r="F24" s="22">
        <v>45660</v>
      </c>
      <c r="G24" s="23">
        <v>25.204899999999999</v>
      </c>
      <c r="H24" s="23">
        <v>96.343800000000002</v>
      </c>
      <c r="I24" s="23">
        <v>105.75</v>
      </c>
      <c r="J24" s="23">
        <v>585.07899999999995</v>
      </c>
      <c r="K24" s="23">
        <v>1.771124E-2</v>
      </c>
      <c r="L24" s="23">
        <v>2.5495999999999998E-4</v>
      </c>
      <c r="M24" s="23">
        <v>2.6267E-4</v>
      </c>
      <c r="N24" s="23">
        <v>1.2024775520263299E-2</v>
      </c>
      <c r="O24" s="23"/>
      <c r="P24" s="23">
        <f t="shared" si="2"/>
        <v>1.0019398873434275</v>
      </c>
      <c r="Q24" s="23">
        <f t="shared" si="2"/>
        <v>1.0002990188444167</v>
      </c>
      <c r="R24" s="23">
        <f t="shared" si="2"/>
        <v>1.0002743069021292</v>
      </c>
      <c r="S24" s="23">
        <f t="shared" ref="S24:S39" si="5">AVERAGE(P24:R24)</f>
        <v>1.0008377376966577</v>
      </c>
      <c r="T24" s="23">
        <f t="shared" ref="T24:T32" si="6">J24/J$23</f>
        <v>1.0125031582372017</v>
      </c>
      <c r="U24" s="23">
        <f>S24/S23-1</f>
        <v>8.3773769665773656E-4</v>
      </c>
      <c r="V24" s="23">
        <f>T24/T23-1</f>
        <v>1.2503158237201717E-2</v>
      </c>
      <c r="W24" s="23">
        <f t="shared" ref="W24:Y32" si="7">P24/P$23</f>
        <v>1.0019398873434275</v>
      </c>
      <c r="X24" s="23">
        <f t="shared" si="7"/>
        <v>1.0002990188444167</v>
      </c>
      <c r="Y24" s="23">
        <f t="shared" si="7"/>
        <v>1.0002743069021292</v>
      </c>
      <c r="Z24" s="24">
        <f>W24/SUM($W24:$Y24)</f>
        <v>0.33370040903576981</v>
      </c>
      <c r="AA24" s="24">
        <f t="shared" ref="AA24:AB39" si="8">X24/SUM($W24:$Y24)</f>
        <v>0.33315391069169686</v>
      </c>
      <c r="AB24" s="24">
        <f t="shared" si="8"/>
        <v>0.33314568027253338</v>
      </c>
      <c r="AC24" s="23">
        <f t="shared" ref="AC24:AC39" si="9">SUM(Z24:AB24)</f>
        <v>1</v>
      </c>
      <c r="AD24" s="23" t="str">
        <f t="shared" ref="AD24:AD39" si="10">IF(AC24=1, "correct", "ERROR")</f>
        <v>correct</v>
      </c>
      <c r="AE24" s="23">
        <f>SUMPRODUCT(K24:M24, Z24:AB24)</f>
        <v>6.0826963294378289E-3</v>
      </c>
      <c r="AF24" s="23"/>
      <c r="AG24" s="5"/>
      <c r="AH24" s="23">
        <f t="shared" si="4"/>
        <v>6.0826963294378289E-3</v>
      </c>
      <c r="AI24" s="23">
        <f>U24</f>
        <v>8.3773769665773656E-4</v>
      </c>
      <c r="AJ24" s="23">
        <f>N24</f>
        <v>1.2024775520263299E-2</v>
      </c>
      <c r="AK24" s="23">
        <f>V24</f>
        <v>1.2503158237201717E-2</v>
      </c>
      <c r="AL24" s="23">
        <f>S24</f>
        <v>1.0008377376966577</v>
      </c>
      <c r="AM24" s="23">
        <f>T24</f>
        <v>1.0125031582372017</v>
      </c>
      <c r="AN24" s="17"/>
    </row>
    <row r="25" spans="1:40" x14ac:dyDescent="0.3">
      <c r="A25" s="1"/>
      <c r="E25" s="13"/>
      <c r="F25" s="22">
        <v>45663</v>
      </c>
      <c r="G25" s="23">
        <v>25.117100000000001</v>
      </c>
      <c r="H25" s="23">
        <v>96.343800000000002</v>
      </c>
      <c r="I25" s="23">
        <v>105.76900000000001</v>
      </c>
      <c r="J25" s="23">
        <v>588.45000000000005</v>
      </c>
      <c r="K25" s="23">
        <v>1.8431469999999998E-2</v>
      </c>
      <c r="L25" s="23">
        <v>2.5097999999999999E-4</v>
      </c>
      <c r="M25" s="23">
        <v>2.5670000000000001E-4</v>
      </c>
      <c r="N25" s="23">
        <v>1.20317015981527E-2</v>
      </c>
      <c r="O25" s="23"/>
      <c r="P25" s="23">
        <f t="shared" si="2"/>
        <v>0.99844968019685099</v>
      </c>
      <c r="Q25" s="23">
        <f t="shared" si="2"/>
        <v>1.0002990188444167</v>
      </c>
      <c r="R25" s="23">
        <f t="shared" si="2"/>
        <v>1.0004540252173173</v>
      </c>
      <c r="S25" s="23">
        <f t="shared" si="5"/>
        <v>0.99973424141952838</v>
      </c>
      <c r="T25" s="23">
        <f t="shared" si="6"/>
        <v>1.0183368117206075</v>
      </c>
      <c r="U25" s="23">
        <f t="shared" ref="U25:U37" si="11">S25/S24-1</f>
        <v>-1.1025726104902933E-3</v>
      </c>
      <c r="V25" s="23">
        <f>T25/T24-1</f>
        <v>5.7616150981321113E-3</v>
      </c>
      <c r="W25" s="23">
        <f t="shared" si="7"/>
        <v>0.99844968019685099</v>
      </c>
      <c r="X25" s="23">
        <f t="shared" si="7"/>
        <v>1.0002990188444167</v>
      </c>
      <c r="Y25" s="23">
        <f t="shared" si="7"/>
        <v>1.0004540252173173</v>
      </c>
      <c r="Z25" s="24">
        <f t="shared" ref="Z25:Z39" si="12">W25/SUM($W25:$Y25)</f>
        <v>0.33290503243446867</v>
      </c>
      <c r="AA25" s="24">
        <f t="shared" si="8"/>
        <v>0.33352164251974487</v>
      </c>
      <c r="AB25" s="24">
        <f t="shared" ref="AB25:AB39" si="13">Y25/SUM($W25:$Y25)</f>
        <v>0.33357332504578646</v>
      </c>
      <c r="AC25" s="23">
        <f t="shared" si="9"/>
        <v>1</v>
      </c>
      <c r="AD25" s="23" t="str">
        <f t="shared" si="10"/>
        <v>correct</v>
      </c>
      <c r="AE25" s="23">
        <f>SUMPRODUCT(K25:M25, Z25:AB25)</f>
        <v>6.3052646525437947E-3</v>
      </c>
      <c r="AF25" s="23"/>
      <c r="AG25" s="5"/>
      <c r="AH25" s="23">
        <f t="shared" si="4"/>
        <v>6.3052646525437947E-3</v>
      </c>
      <c r="AI25" s="23">
        <f>U25</f>
        <v>-1.1025726104902933E-3</v>
      </c>
      <c r="AJ25" s="23">
        <f>N25</f>
        <v>1.20317015981527E-2</v>
      </c>
      <c r="AK25" s="23">
        <f>V25</f>
        <v>5.7616150981321113E-3</v>
      </c>
      <c r="AL25" s="23">
        <f>S25</f>
        <v>0.99973424141952838</v>
      </c>
      <c r="AM25" s="23">
        <f>T25</f>
        <v>1.0183368117206075</v>
      </c>
      <c r="AN25" s="17"/>
    </row>
    <row r="26" spans="1:40" x14ac:dyDescent="0.3">
      <c r="A26" s="1"/>
      <c r="E26" s="13"/>
      <c r="F26" s="22">
        <v>45664</v>
      </c>
      <c r="G26" s="23">
        <v>25.4</v>
      </c>
      <c r="H26" s="23">
        <v>96.363</v>
      </c>
      <c r="I26" s="23">
        <v>105.788</v>
      </c>
      <c r="J26" s="23">
        <v>581.798</v>
      </c>
      <c r="K26" s="23">
        <v>1.8323349999999999E-2</v>
      </c>
      <c r="L26" s="23">
        <v>2.5434999999999998E-4</v>
      </c>
      <c r="M26" s="23">
        <v>2.5115000000000001E-4</v>
      </c>
      <c r="N26" s="23">
        <v>1.2631251061442099E-2</v>
      </c>
      <c r="O26" s="23"/>
      <c r="P26" s="23">
        <f t="shared" si="2"/>
        <v>1.0096954615381557</v>
      </c>
      <c r="Q26" s="23">
        <f t="shared" si="2"/>
        <v>1.0004983647406946</v>
      </c>
      <c r="R26" s="23">
        <f t="shared" si="2"/>
        <v>1.0006337435325052</v>
      </c>
      <c r="S26" s="23">
        <f t="shared" si="5"/>
        <v>1.0036091899371185</v>
      </c>
      <c r="T26" s="23">
        <f t="shared" si="6"/>
        <v>1.0068252534377196</v>
      </c>
      <c r="U26" s="23">
        <f t="shared" si="11"/>
        <v>3.8759785921587131E-3</v>
      </c>
      <c r="V26" s="23">
        <f>T26/T25-1</f>
        <v>-1.1304273940011766E-2</v>
      </c>
      <c r="W26" s="23">
        <f t="shared" si="7"/>
        <v>1.0096954615381557</v>
      </c>
      <c r="X26" s="23">
        <f t="shared" si="7"/>
        <v>1.0004983647406946</v>
      </c>
      <c r="Y26" s="23">
        <f t="shared" si="7"/>
        <v>1.0006337435325052</v>
      </c>
      <c r="Z26" s="24">
        <f t="shared" si="12"/>
        <v>0.33535479469567187</v>
      </c>
      <c r="AA26" s="24">
        <f t="shared" si="8"/>
        <v>0.33230012066196846</v>
      </c>
      <c r="AB26" s="24">
        <f t="shared" si="13"/>
        <v>0.33234508464235973</v>
      </c>
      <c r="AC26" s="23">
        <f t="shared" si="9"/>
        <v>1</v>
      </c>
      <c r="AD26" s="23" t="str">
        <f t="shared" si="10"/>
        <v>correct</v>
      </c>
      <c r="AE26" s="23">
        <f>SUMPRODUCT(K26:M26, Z26:AB26)</f>
        <v>6.3128122810852394E-3</v>
      </c>
      <c r="AF26" s="23"/>
      <c r="AG26" s="5"/>
      <c r="AH26" s="23">
        <f t="shared" si="4"/>
        <v>6.3128122810852394E-3</v>
      </c>
      <c r="AI26" s="23">
        <f>U26</f>
        <v>3.8759785921587131E-3</v>
      </c>
      <c r="AJ26" s="23">
        <f>N26</f>
        <v>1.2631251061442099E-2</v>
      </c>
      <c r="AK26" s="23">
        <f>V26</f>
        <v>-1.1304273940011766E-2</v>
      </c>
      <c r="AL26" s="23">
        <f>S26</f>
        <v>1.0036091899371185</v>
      </c>
      <c r="AM26" s="23">
        <f>T26</f>
        <v>1.0068252534377196</v>
      </c>
      <c r="AN26" s="17"/>
    </row>
    <row r="27" spans="1:40" x14ac:dyDescent="0.3">
      <c r="A27" s="1"/>
      <c r="E27" s="13"/>
      <c r="F27" s="22">
        <v>45665</v>
      </c>
      <c r="G27" s="23">
        <v>25.556000000000001</v>
      </c>
      <c r="H27" s="23">
        <v>96.382199999999997</v>
      </c>
      <c r="I27" s="23">
        <v>105.788</v>
      </c>
      <c r="J27" s="23">
        <v>582.64800000000002</v>
      </c>
      <c r="K27" s="23">
        <v>1.8560279999999998E-2</v>
      </c>
      <c r="L27" s="23">
        <v>2.5036999999999998E-4</v>
      </c>
      <c r="M27" s="23">
        <v>2.3928999999999999E-4</v>
      </c>
      <c r="N27" s="23">
        <v>1.2363734911936999E-2</v>
      </c>
      <c r="O27" s="23"/>
      <c r="P27" s="23">
        <f t="shared" si="2"/>
        <v>1.0158967407507524</v>
      </c>
      <c r="Q27" s="23">
        <f t="shared" si="2"/>
        <v>1.0006977106369723</v>
      </c>
      <c r="R27" s="23">
        <f t="shared" si="2"/>
        <v>1.0006337435325052</v>
      </c>
      <c r="S27" s="23">
        <f t="shared" si="5"/>
        <v>1.0057427316400769</v>
      </c>
      <c r="T27" s="23">
        <f t="shared" si="6"/>
        <v>1.0082962132303315</v>
      </c>
      <c r="U27" s="23">
        <f t="shared" si="11"/>
        <v>2.1258690378194167E-3</v>
      </c>
      <c r="V27" s="23">
        <f>T27/T26-1</f>
        <v>1.4609881780274225E-3</v>
      </c>
      <c r="W27" s="23">
        <f t="shared" si="7"/>
        <v>1.0158967407507524</v>
      </c>
      <c r="X27" s="23">
        <f t="shared" si="7"/>
        <v>1.0006977106369723</v>
      </c>
      <c r="Y27" s="23">
        <f t="shared" si="7"/>
        <v>1.0006337435325052</v>
      </c>
      <c r="Z27" s="24">
        <f t="shared" si="12"/>
        <v>0.3366986767726432</v>
      </c>
      <c r="AA27" s="24">
        <f t="shared" si="8"/>
        <v>0.33166126192302431</v>
      </c>
      <c r="AB27" s="24">
        <f t="shared" si="13"/>
        <v>0.33164006130433232</v>
      </c>
      <c r="AC27" s="23">
        <f t="shared" si="9"/>
        <v>0.99999999999999989</v>
      </c>
      <c r="AD27" s="23" t="str">
        <f t="shared" si="10"/>
        <v>correct</v>
      </c>
      <c r="AE27" s="23">
        <f>SUMPRODUCT(K27:M27, Z27:AB27)</f>
        <v>6.4116178969469357E-3</v>
      </c>
      <c r="AF27" s="23"/>
      <c r="AG27" s="5"/>
      <c r="AH27" s="23">
        <f t="shared" si="4"/>
        <v>6.4116178969469357E-3</v>
      </c>
      <c r="AI27" s="23">
        <f>U27</f>
        <v>2.1258690378194167E-3</v>
      </c>
      <c r="AJ27" s="23">
        <f>N27</f>
        <v>1.2363734911936999E-2</v>
      </c>
      <c r="AK27" s="23">
        <f>V27</f>
        <v>1.4609881780274225E-3</v>
      </c>
      <c r="AL27" s="23">
        <f>S27</f>
        <v>1.0057427316400769</v>
      </c>
      <c r="AM27" s="23">
        <f>T27</f>
        <v>1.0082962132303315</v>
      </c>
      <c r="AN27" s="17"/>
    </row>
    <row r="28" spans="1:40" x14ac:dyDescent="0.3">
      <c r="A28" s="1"/>
      <c r="E28" s="13"/>
      <c r="F28" s="22">
        <v>45667</v>
      </c>
      <c r="G28" s="23">
        <v>28.7652</v>
      </c>
      <c r="H28" s="23">
        <v>96.420599999999993</v>
      </c>
      <c r="I28" s="23">
        <v>105.81699999999999</v>
      </c>
      <c r="J28" s="23">
        <v>573.75199999999995</v>
      </c>
      <c r="K28" s="23">
        <v>2.4237479999999999E-2</v>
      </c>
      <c r="L28" s="23">
        <v>2.6794999999999998E-4</v>
      </c>
      <c r="M28" s="23">
        <v>2.4845999999999999E-4</v>
      </c>
      <c r="N28" s="23">
        <v>1.30047689154166E-2</v>
      </c>
      <c r="O28" s="23"/>
      <c r="P28" s="23">
        <f t="shared" si="2"/>
        <v>1.1434681846550141</v>
      </c>
      <c r="Q28" s="23">
        <f t="shared" si="2"/>
        <v>1.0010964024295281</v>
      </c>
      <c r="R28" s="23">
        <f t="shared" si="2"/>
        <v>1.0009080504346344</v>
      </c>
      <c r="S28" s="23">
        <f t="shared" si="5"/>
        <v>1.0484908791730589</v>
      </c>
      <c r="T28" s="23">
        <f t="shared" si="6"/>
        <v>0.99290132109494766</v>
      </c>
      <c r="U28" s="23">
        <f t="shared" si="11"/>
        <v>4.2504058133506994E-2</v>
      </c>
      <c r="V28" s="23">
        <f>T28/T27-1</f>
        <v>-1.526822369595382E-2</v>
      </c>
      <c r="W28" s="23">
        <f t="shared" si="7"/>
        <v>1.1434681846550141</v>
      </c>
      <c r="X28" s="23">
        <f t="shared" si="7"/>
        <v>1.0010964024295281</v>
      </c>
      <c r="Y28" s="23">
        <f t="shared" si="7"/>
        <v>1.0009080504346344</v>
      </c>
      <c r="Z28" s="24">
        <f t="shared" si="12"/>
        <v>0.36352825677633727</v>
      </c>
      <c r="AA28" s="24">
        <f t="shared" si="8"/>
        <v>0.31826581178563018</v>
      </c>
      <c r="AB28" s="24">
        <f t="shared" si="13"/>
        <v>0.3182059314380325</v>
      </c>
      <c r="AC28" s="23">
        <f t="shared" si="9"/>
        <v>1</v>
      </c>
      <c r="AD28" s="23" t="str">
        <f t="shared" si="10"/>
        <v>correct</v>
      </c>
      <c r="AE28" s="23">
        <f>SUMPRODUCT(K28:M28, Z28:AB28)</f>
        <v>8.9753496230443926E-3</v>
      </c>
      <c r="AF28" s="23"/>
      <c r="AG28" s="5"/>
      <c r="AH28" s="23">
        <f t="shared" si="4"/>
        <v>8.9753496230443926E-3</v>
      </c>
      <c r="AI28" s="23">
        <f>U28</f>
        <v>4.2504058133506994E-2</v>
      </c>
      <c r="AJ28" s="23">
        <f>N28</f>
        <v>1.30047689154166E-2</v>
      </c>
      <c r="AK28" s="23">
        <f>V28</f>
        <v>-1.526822369595382E-2</v>
      </c>
      <c r="AL28" s="23">
        <f>S28</f>
        <v>1.0484908791730589</v>
      </c>
      <c r="AM28" s="23">
        <f>T28</f>
        <v>0.99290132109494766</v>
      </c>
      <c r="AN28" s="17"/>
    </row>
    <row r="29" spans="1:40" x14ac:dyDescent="0.3">
      <c r="A29" s="1"/>
      <c r="E29" s="13"/>
      <c r="F29" s="22">
        <v>45670</v>
      </c>
      <c r="G29" s="23">
        <v>29.2529</v>
      </c>
      <c r="H29" s="23">
        <v>96.439800000000005</v>
      </c>
      <c r="I29" s="23">
        <v>105.836</v>
      </c>
      <c r="J29" s="23">
        <v>574.64200000000005</v>
      </c>
      <c r="K29" s="23">
        <v>2.520348E-2</v>
      </c>
      <c r="L29" s="23">
        <v>2.6298000000000001E-4</v>
      </c>
      <c r="M29" s="23">
        <v>2.4348999999999999E-4</v>
      </c>
      <c r="N29" s="23">
        <v>1.2843481963162101E-2</v>
      </c>
      <c r="O29" s="23"/>
      <c r="P29" s="23">
        <f t="shared" si="2"/>
        <v>1.1628551325523433</v>
      </c>
      <c r="Q29" s="23">
        <f t="shared" si="2"/>
        <v>1.001295748325806</v>
      </c>
      <c r="R29" s="23">
        <f t="shared" si="2"/>
        <v>1.0010877687498225</v>
      </c>
      <c r="S29" s="23">
        <f t="shared" si="5"/>
        <v>1.0550795498759906</v>
      </c>
      <c r="T29" s="23">
        <f t="shared" si="6"/>
        <v>0.99444150252485919</v>
      </c>
      <c r="U29" s="23">
        <f t="shared" si="11"/>
        <v>6.2839561447860515E-3</v>
      </c>
      <c r="V29" s="23">
        <f>T29/T28-1</f>
        <v>1.5511928498725958E-3</v>
      </c>
      <c r="W29" s="23">
        <f t="shared" si="7"/>
        <v>1.1628551325523433</v>
      </c>
      <c r="X29" s="23">
        <f t="shared" si="7"/>
        <v>1.001295748325806</v>
      </c>
      <c r="Y29" s="23">
        <f t="shared" si="7"/>
        <v>1.0010877687498225</v>
      </c>
      <c r="Z29" s="24">
        <f t="shared" si="12"/>
        <v>0.36738308269078546</v>
      </c>
      <c r="AA29" s="24">
        <f t="shared" si="8"/>
        <v>0.31634131235049018</v>
      </c>
      <c r="AB29" s="24">
        <f t="shared" si="13"/>
        <v>0.31627560495872437</v>
      </c>
      <c r="AC29" s="23">
        <f t="shared" si="9"/>
        <v>1</v>
      </c>
      <c r="AD29" s="23" t="str">
        <f t="shared" si="10"/>
        <v>correct</v>
      </c>
      <c r="AE29" s="23">
        <f>SUMPRODUCT(K29:M29, Z29:AB29)</f>
        <v>9.4195335623088895E-3</v>
      </c>
      <c r="AF29" s="23"/>
      <c r="AG29" s="5"/>
      <c r="AH29" s="23">
        <f t="shared" si="4"/>
        <v>9.4195335623088895E-3</v>
      </c>
      <c r="AI29" s="23">
        <f>U29</f>
        <v>6.2839561447860515E-3</v>
      </c>
      <c r="AJ29" s="23">
        <f>N29</f>
        <v>1.2843481963162101E-2</v>
      </c>
      <c r="AK29" s="23">
        <f>V29</f>
        <v>1.5511928498725958E-3</v>
      </c>
      <c r="AL29" s="23">
        <f>S29</f>
        <v>1.0550795498759906</v>
      </c>
      <c r="AM29" s="23">
        <f>T29</f>
        <v>0.99444150252485919</v>
      </c>
      <c r="AN29" s="17"/>
    </row>
    <row r="30" spans="1:40" x14ac:dyDescent="0.3">
      <c r="A30" s="1"/>
      <c r="E30" s="13"/>
      <c r="F30" s="22">
        <v>45671</v>
      </c>
      <c r="G30" s="23">
        <v>29.291899999999998</v>
      </c>
      <c r="H30" s="23">
        <v>96.449399999999997</v>
      </c>
      <c r="I30" s="23">
        <v>105.846</v>
      </c>
      <c r="J30" s="23">
        <v>575.43299999999999</v>
      </c>
      <c r="K30" s="23">
        <v>2.4632540000000001E-2</v>
      </c>
      <c r="L30" s="23">
        <v>2.5127999999999999E-4</v>
      </c>
      <c r="M30" s="23">
        <v>2.3283000000000001E-4</v>
      </c>
      <c r="N30" s="23">
        <v>1.2725603912877E-2</v>
      </c>
      <c r="O30" s="23"/>
      <c r="P30" s="23">
        <f t="shared" si="2"/>
        <v>1.1644054523554923</v>
      </c>
      <c r="Q30" s="23">
        <f t="shared" si="2"/>
        <v>1.0013954212739449</v>
      </c>
      <c r="R30" s="23">
        <f t="shared" si="2"/>
        <v>1.0011823573367638</v>
      </c>
      <c r="S30" s="23">
        <f t="shared" si="5"/>
        <v>1.0556610769887336</v>
      </c>
      <c r="T30" s="23">
        <f t="shared" si="6"/>
        <v>0.99581036040245452</v>
      </c>
      <c r="U30" s="23">
        <f t="shared" si="11"/>
        <v>5.5116897376250584E-4</v>
      </c>
      <c r="V30" s="23">
        <f>T30/T29-1</f>
        <v>1.3765092005109114E-3</v>
      </c>
      <c r="W30" s="23">
        <f t="shared" si="7"/>
        <v>1.1644054523554923</v>
      </c>
      <c r="X30" s="23">
        <f t="shared" si="7"/>
        <v>1.0013954212739449</v>
      </c>
      <c r="Y30" s="23">
        <f t="shared" si="7"/>
        <v>1.0011823573367638</v>
      </c>
      <c r="Z30" s="24">
        <f t="shared" si="12"/>
        <v>0.36767022981686232</v>
      </c>
      <c r="AA30" s="24">
        <f t="shared" si="8"/>
        <v>0.31619852340311683</v>
      </c>
      <c r="AB30" s="24">
        <f t="shared" si="13"/>
        <v>0.3161312467800208</v>
      </c>
      <c r="AC30" s="23">
        <f t="shared" si="9"/>
        <v>1</v>
      </c>
      <c r="AD30" s="23" t="str">
        <f t="shared" si="10"/>
        <v>correct</v>
      </c>
      <c r="AE30" s="23">
        <f>SUMPRODUCT(K30:M30, Z30:AB30)</f>
        <v>9.2097108459215805E-3</v>
      </c>
      <c r="AF30" s="23"/>
      <c r="AG30" s="5"/>
      <c r="AH30" s="23">
        <f t="shared" si="4"/>
        <v>9.2097108459215805E-3</v>
      </c>
      <c r="AI30" s="23">
        <f>U30</f>
        <v>5.5116897376250584E-4</v>
      </c>
      <c r="AJ30" s="23">
        <f>N30</f>
        <v>1.2725603912877E-2</v>
      </c>
      <c r="AK30" s="23">
        <f>V30</f>
        <v>1.3765092005109114E-3</v>
      </c>
      <c r="AL30" s="23">
        <f>S30</f>
        <v>1.0556610769887336</v>
      </c>
      <c r="AM30" s="23">
        <f>T30</f>
        <v>0.99581036040245452</v>
      </c>
      <c r="AN30" s="17"/>
    </row>
    <row r="31" spans="1:40" x14ac:dyDescent="0.3">
      <c r="A31" s="1"/>
      <c r="B31" s="1"/>
      <c r="C31" s="1"/>
      <c r="D31" s="1"/>
      <c r="E31" s="13"/>
      <c r="F31" s="22">
        <v>45672</v>
      </c>
      <c r="G31" s="23">
        <v>29.984500000000001</v>
      </c>
      <c r="H31" s="23">
        <v>96.459000000000003</v>
      </c>
      <c r="I31" s="23">
        <v>105.86499999999999</v>
      </c>
      <c r="J31" s="23">
        <v>585.9</v>
      </c>
      <c r="K31" s="23">
        <v>2.4226899999999999E-2</v>
      </c>
      <c r="L31" s="23">
        <v>2.4042000000000001E-4</v>
      </c>
      <c r="M31" s="23">
        <v>2.2897999999999999E-4</v>
      </c>
      <c r="N31" s="23">
        <v>1.30213007672179E-2</v>
      </c>
      <c r="O31" s="23"/>
      <c r="P31" s="23">
        <f t="shared" si="2"/>
        <v>1.1919375419878282</v>
      </c>
      <c r="Q31" s="23">
        <f t="shared" si="2"/>
        <v>1.0014950942220839</v>
      </c>
      <c r="R31" s="23">
        <f t="shared" si="2"/>
        <v>1.0013620756519517</v>
      </c>
      <c r="S31" s="23">
        <f t="shared" si="5"/>
        <v>1.0649315706206213</v>
      </c>
      <c r="T31" s="23">
        <f t="shared" si="6"/>
        <v>1.0139239323427716</v>
      </c>
      <c r="U31" s="23">
        <f t="shared" si="11"/>
        <v>8.7816950287982198E-3</v>
      </c>
      <c r="V31" s="23">
        <f>T31/T30-1</f>
        <v>1.8189780565243785E-2</v>
      </c>
      <c r="W31" s="23">
        <f t="shared" si="7"/>
        <v>1.1919375419878282</v>
      </c>
      <c r="X31" s="23">
        <f t="shared" si="7"/>
        <v>1.0014950942220839</v>
      </c>
      <c r="Y31" s="23">
        <f t="shared" si="7"/>
        <v>1.0013620756519517</v>
      </c>
      <c r="Z31" s="24">
        <f t="shared" si="12"/>
        <v>0.37308736538292014</v>
      </c>
      <c r="AA31" s="24">
        <f t="shared" si="8"/>
        <v>0.31347713532380062</v>
      </c>
      <c r="AB31" s="24">
        <f t="shared" si="13"/>
        <v>0.31343549929327935</v>
      </c>
      <c r="AC31" s="23">
        <f t="shared" si="9"/>
        <v>1</v>
      </c>
      <c r="AD31" s="23" t="str">
        <f t="shared" si="10"/>
        <v>correct</v>
      </c>
      <c r="AE31" s="23">
        <f>SUMPRODUCT(K31:M31, Z31:AB31)</f>
        <v>9.1858869258981905E-3</v>
      </c>
      <c r="AF31" s="23"/>
      <c r="AG31" s="5"/>
      <c r="AH31" s="23">
        <f t="shared" si="4"/>
        <v>9.1858869258981905E-3</v>
      </c>
      <c r="AI31" s="23">
        <f>U31</f>
        <v>8.7816950287982198E-3</v>
      </c>
      <c r="AJ31" s="23">
        <f>N31</f>
        <v>1.30213007672179E-2</v>
      </c>
      <c r="AK31" s="23">
        <f>V31</f>
        <v>1.8189780565243785E-2</v>
      </c>
      <c r="AL31" s="23">
        <f>S31</f>
        <v>1.0649315706206213</v>
      </c>
      <c r="AM31" s="23">
        <f>T31</f>
        <v>1.0139239323427716</v>
      </c>
      <c r="AN31" s="17"/>
    </row>
    <row r="32" spans="1:40" x14ac:dyDescent="0.3">
      <c r="A32" s="1"/>
      <c r="B32" s="1"/>
      <c r="C32" s="1"/>
      <c r="D32" s="1"/>
      <c r="E32" s="13"/>
      <c r="F32" s="22">
        <v>45673</v>
      </c>
      <c r="G32" s="23">
        <v>30.189299999999999</v>
      </c>
      <c r="H32" s="23">
        <v>96.459000000000003</v>
      </c>
      <c r="I32" s="23">
        <v>105.875</v>
      </c>
      <c r="J32" s="23">
        <v>584.77300000000002</v>
      </c>
      <c r="K32" s="23">
        <v>2.4600980000000001E-2</v>
      </c>
      <c r="L32" s="23">
        <v>2.3745999999999999E-4</v>
      </c>
      <c r="M32" s="23">
        <v>2.1934999999999999E-4</v>
      </c>
      <c r="N32" s="23">
        <v>1.25273691737366E-2</v>
      </c>
      <c r="O32" s="23"/>
      <c r="P32" s="23">
        <f t="shared" si="2"/>
        <v>1.2000787085438522</v>
      </c>
      <c r="Q32" s="23">
        <f t="shared" si="2"/>
        <v>1.0014950942220839</v>
      </c>
      <c r="R32" s="23">
        <f t="shared" si="2"/>
        <v>1.0014566642388929</v>
      </c>
      <c r="S32" s="23">
        <f t="shared" si="5"/>
        <v>1.0676768223349431</v>
      </c>
      <c r="T32" s="23">
        <f t="shared" si="6"/>
        <v>1.0119736127118615</v>
      </c>
      <c r="U32" s="23">
        <f t="shared" si="11"/>
        <v>2.5778667757234697E-3</v>
      </c>
      <c r="V32" s="23">
        <f>T32/T31-1</f>
        <v>-1.9235364396653631E-3</v>
      </c>
      <c r="W32" s="23">
        <f t="shared" si="7"/>
        <v>1.2000787085438522</v>
      </c>
      <c r="X32" s="23">
        <f t="shared" si="7"/>
        <v>1.0014950942220839</v>
      </c>
      <c r="Y32" s="23">
        <f t="shared" si="7"/>
        <v>1.0014566642388929</v>
      </c>
      <c r="Z32" s="24">
        <f t="shared" si="12"/>
        <v>0.3746697762965871</v>
      </c>
      <c r="AA32" s="24">
        <f t="shared" si="8"/>
        <v>0.31267111085539795</v>
      </c>
      <c r="AB32" s="24">
        <f t="shared" si="13"/>
        <v>0.31265911284801495</v>
      </c>
      <c r="AC32" s="23">
        <f t="shared" si="9"/>
        <v>1</v>
      </c>
      <c r="AD32" s="23" t="str">
        <f t="shared" si="10"/>
        <v>correct</v>
      </c>
      <c r="AE32" s="23">
        <f>SUMPRODUCT(K32:M32, Z32:AB32)</f>
        <v>9.3600723316637491E-3</v>
      </c>
      <c r="AF32" s="23"/>
      <c r="AG32" s="5"/>
      <c r="AH32" s="23">
        <f t="shared" si="4"/>
        <v>9.3600723316637491E-3</v>
      </c>
      <c r="AI32" s="23">
        <f>U32</f>
        <v>2.5778667757234697E-3</v>
      </c>
      <c r="AJ32" s="23">
        <f>N32</f>
        <v>1.25273691737366E-2</v>
      </c>
      <c r="AK32" s="23">
        <f>V32</f>
        <v>-1.9235364396653631E-3</v>
      </c>
      <c r="AL32" s="23">
        <f>S32</f>
        <v>1.0676768223349431</v>
      </c>
      <c r="AM32" s="23">
        <f>T32</f>
        <v>1.0119736127118615</v>
      </c>
      <c r="AN32" s="17"/>
    </row>
    <row r="33" spans="1:40" x14ac:dyDescent="0.3">
      <c r="A33" s="1"/>
      <c r="B33" s="1"/>
      <c r="C33" s="1"/>
      <c r="D33" s="1"/>
      <c r="E33" s="13"/>
      <c r="F33" s="22">
        <v>45674</v>
      </c>
      <c r="G33" s="23">
        <v>29.994199999999999</v>
      </c>
      <c r="H33" s="23">
        <v>96.507000000000005</v>
      </c>
      <c r="I33" s="23">
        <v>105.923</v>
      </c>
      <c r="J33" s="23">
        <v>590.64400000000001</v>
      </c>
      <c r="K33" s="23">
        <v>2.4295460000000001E-2</v>
      </c>
      <c r="L33" s="23">
        <v>2.6301999999999999E-4</v>
      </c>
      <c r="M33" s="23">
        <v>2.3596000000000001E-4</v>
      </c>
      <c r="N33" s="23">
        <v>1.24396511386403E-2</v>
      </c>
      <c r="O33" s="23"/>
      <c r="P33" s="23">
        <f>G33/G$23</f>
        <v>1.1923231343491241</v>
      </c>
      <c r="Q33" s="23">
        <f>H33/H$23</f>
        <v>1.0019934589627784</v>
      </c>
      <c r="R33" s="23">
        <f>I33/I$23</f>
        <v>1.0019106894562102</v>
      </c>
      <c r="S33" s="23">
        <f t="shared" si="5"/>
        <v>1.0654090942560375</v>
      </c>
      <c r="T33" s="23">
        <f>J33/J$23</f>
        <v>1.0221336185264789</v>
      </c>
      <c r="U33" s="23">
        <f>S33/S32-1</f>
        <v>-2.123983617014602E-3</v>
      </c>
      <c r="V33" s="23">
        <f>T33/T32-1</f>
        <v>1.0039793218907134E-2</v>
      </c>
      <c r="W33" s="23">
        <f>P33/P$23</f>
        <v>1.1923231343491241</v>
      </c>
      <c r="X33" s="23">
        <f>Q33/Q$23</f>
        <v>1.0019934589627784</v>
      </c>
      <c r="Y33" s="23">
        <f>R33/R$23</f>
        <v>1.0019106894562102</v>
      </c>
      <c r="Z33" s="24">
        <f t="shared" si="12"/>
        <v>0.37304078492080989</v>
      </c>
      <c r="AA33" s="24">
        <f t="shared" si="8"/>
        <v>0.31349255554035438</v>
      </c>
      <c r="AB33" s="24">
        <f t="shared" si="13"/>
        <v>0.31346665953883579</v>
      </c>
      <c r="AC33" s="23">
        <f t="shared" si="9"/>
        <v>1</v>
      </c>
      <c r="AD33" s="23" t="str">
        <f t="shared" si="10"/>
        <v>correct</v>
      </c>
      <c r="AE33" s="23">
        <f>SUMPRODUCT(K33:M33, Z33:AB33)</f>
        <v>9.219617873355148E-3</v>
      </c>
      <c r="AF33" s="23"/>
      <c r="AG33" s="5"/>
      <c r="AH33" s="23">
        <f t="shared" si="4"/>
        <v>9.219617873355148E-3</v>
      </c>
      <c r="AI33" s="23">
        <f>U33</f>
        <v>-2.123983617014602E-3</v>
      </c>
      <c r="AJ33" s="23">
        <f>N33</f>
        <v>1.24396511386403E-2</v>
      </c>
      <c r="AK33" s="23">
        <f>V33</f>
        <v>1.0039793218907134E-2</v>
      </c>
      <c r="AL33" s="23">
        <f>S33</f>
        <v>1.0654090942560375</v>
      </c>
      <c r="AM33" s="23">
        <f>T33</f>
        <v>1.0221336185264789</v>
      </c>
      <c r="AN33" s="17"/>
    </row>
    <row r="34" spans="1:40" x14ac:dyDescent="0.3">
      <c r="A34" s="1"/>
      <c r="B34" s="1"/>
      <c r="C34" s="1"/>
      <c r="D34" s="1"/>
      <c r="E34" s="13"/>
      <c r="F34" s="22">
        <v>45678</v>
      </c>
      <c r="G34" s="23">
        <v>29.555299999999999</v>
      </c>
      <c r="H34" s="23">
        <v>96.516599999999997</v>
      </c>
      <c r="I34" s="23">
        <v>105.94199999999999</v>
      </c>
      <c r="J34" s="23">
        <v>596.04999999999995</v>
      </c>
      <c r="K34" s="23">
        <v>2.4179849999999999E-2</v>
      </c>
      <c r="L34" s="23">
        <v>2.5841999999999998E-4</v>
      </c>
      <c r="M34" s="23">
        <v>2.3186999999999999E-4</v>
      </c>
      <c r="N34" s="23">
        <v>1.2095374188731E-2</v>
      </c>
      <c r="O34" s="23"/>
      <c r="P34" s="23">
        <f>G34/G$23</f>
        <v>1.1748760737952226</v>
      </c>
      <c r="Q34" s="23">
        <f>H34/H$23</f>
        <v>1.0020931319109172</v>
      </c>
      <c r="R34" s="23">
        <f>I34/I$23</f>
        <v>1.0020904077713981</v>
      </c>
      <c r="S34" s="23">
        <f t="shared" si="5"/>
        <v>1.059686537825846</v>
      </c>
      <c r="T34" s="23">
        <f>J34/J$23</f>
        <v>1.031488922807491</v>
      </c>
      <c r="U34" s="23">
        <f>S34/S33-1</f>
        <v>-5.3712291935967826E-3</v>
      </c>
      <c r="V34" s="23">
        <f>T34/T33-1</f>
        <v>9.1527214362627785E-3</v>
      </c>
      <c r="W34" s="23">
        <f>P34/P$23</f>
        <v>1.1748760737952226</v>
      </c>
      <c r="X34" s="23">
        <f>Q34/Q$23</f>
        <v>1.0020931319109172</v>
      </c>
      <c r="Y34" s="23">
        <f>R34/R$23</f>
        <v>1.0020904077713981</v>
      </c>
      <c r="Z34" s="24">
        <f t="shared" si="12"/>
        <v>0.36956717288797197</v>
      </c>
      <c r="AA34" s="24">
        <f t="shared" si="8"/>
        <v>0.31521684200653877</v>
      </c>
      <c r="AB34" s="24">
        <f t="shared" si="13"/>
        <v>0.31521598510548932</v>
      </c>
      <c r="AC34" s="23">
        <f t="shared" si="9"/>
        <v>1</v>
      </c>
      <c r="AD34" s="23" t="str">
        <f t="shared" si="10"/>
        <v>correct</v>
      </c>
      <c r="AE34" s="23">
        <f>SUMPRODUCT(K34:M34, Z34:AB34)</f>
        <v>9.0906262721329682E-3</v>
      </c>
      <c r="AF34" s="23"/>
      <c r="AG34" s="5"/>
      <c r="AH34" s="23">
        <f t="shared" si="4"/>
        <v>9.0906262721329682E-3</v>
      </c>
      <c r="AI34" s="23">
        <f>U34</f>
        <v>-5.3712291935967826E-3</v>
      </c>
      <c r="AJ34" s="23">
        <f>N34</f>
        <v>1.2095374188731E-2</v>
      </c>
      <c r="AK34" s="23">
        <f>V34</f>
        <v>9.1527214362627785E-3</v>
      </c>
      <c r="AL34" s="23">
        <f>S34</f>
        <v>1.059686537825846</v>
      </c>
      <c r="AM34" s="23">
        <f>T34</f>
        <v>1.031488922807491</v>
      </c>
      <c r="AN34" s="17"/>
    </row>
    <row r="35" spans="1:40" x14ac:dyDescent="0.3">
      <c r="A35" s="1"/>
      <c r="B35" s="1"/>
      <c r="C35" s="1"/>
      <c r="D35" s="1"/>
      <c r="E35" s="13"/>
      <c r="F35" s="22">
        <v>45679</v>
      </c>
      <c r="G35" s="23">
        <v>29.340699999999998</v>
      </c>
      <c r="H35" s="23">
        <v>96.535799999999995</v>
      </c>
      <c r="I35" s="23">
        <v>105.94199999999999</v>
      </c>
      <c r="J35" s="23">
        <v>599.40099999999995</v>
      </c>
      <c r="K35" s="23">
        <v>2.3982429999999999E-2</v>
      </c>
      <c r="L35" s="23">
        <v>2.5411999999999999E-4</v>
      </c>
      <c r="M35" s="23">
        <v>2.2205E-4</v>
      </c>
      <c r="N35" s="23">
        <v>1.1730499187344701E-2</v>
      </c>
      <c r="O35" s="23"/>
      <c r="P35" s="23">
        <f>G35/G$23</f>
        <v>1.1663453396989198</v>
      </c>
      <c r="Q35" s="23">
        <f>H35/H$23</f>
        <v>1.0022924778071951</v>
      </c>
      <c r="R35" s="23">
        <f>I35/I$23</f>
        <v>1.0020904077713981</v>
      </c>
      <c r="S35" s="23">
        <f t="shared" si="5"/>
        <v>1.0569094084258375</v>
      </c>
      <c r="T35" s="23">
        <f>J35/J$23</f>
        <v>1.0372879654722471</v>
      </c>
      <c r="U35" s="23">
        <f>S35/S34-1</f>
        <v>-2.6207083895831706E-3</v>
      </c>
      <c r="V35" s="23">
        <f>T35/T34-1</f>
        <v>5.6220115762100065E-3</v>
      </c>
      <c r="W35" s="23">
        <f>P35/P$23</f>
        <v>1.1663453396989198</v>
      </c>
      <c r="X35" s="23">
        <f>Q35/Q$23</f>
        <v>1.0022924778071951</v>
      </c>
      <c r="Y35" s="23">
        <f>R35/R$23</f>
        <v>1.0020904077713981</v>
      </c>
      <c r="Z35" s="24">
        <f t="shared" si="12"/>
        <v>0.36784778033028592</v>
      </c>
      <c r="AA35" s="24">
        <f t="shared" si="8"/>
        <v>0.31610797476011088</v>
      </c>
      <c r="AB35" s="24">
        <f t="shared" si="13"/>
        <v>0.31604424490960331</v>
      </c>
      <c r="AC35" s="23">
        <f t="shared" si="9"/>
        <v>1</v>
      </c>
      <c r="AD35" s="23" t="str">
        <f t="shared" si="10"/>
        <v>correct</v>
      </c>
      <c r="AE35" s="23">
        <f>SUMPRODUCT(K35:M35, Z35:AB35)</f>
        <v>8.9723906255546743E-3</v>
      </c>
      <c r="AF35" s="23"/>
      <c r="AG35" s="5"/>
      <c r="AH35" s="23">
        <f t="shared" si="4"/>
        <v>8.9723906255546743E-3</v>
      </c>
      <c r="AI35" s="23">
        <f>U35</f>
        <v>-2.6207083895831706E-3</v>
      </c>
      <c r="AJ35" s="23">
        <f>N35</f>
        <v>1.1730499187344701E-2</v>
      </c>
      <c r="AK35" s="23">
        <f>V35</f>
        <v>5.6220115762100065E-3</v>
      </c>
      <c r="AL35" s="23">
        <f>S35</f>
        <v>1.0569094084258375</v>
      </c>
      <c r="AM35" s="23">
        <f>T35</f>
        <v>1.0372879654722471</v>
      </c>
      <c r="AN35" s="17"/>
    </row>
    <row r="36" spans="1:40" x14ac:dyDescent="0.3">
      <c r="A36" s="1"/>
      <c r="B36" s="1"/>
      <c r="C36" s="1"/>
      <c r="D36" s="1"/>
      <c r="E36" s="13"/>
      <c r="F36" s="22">
        <v>45680</v>
      </c>
      <c r="G36" s="23">
        <v>29.8674</v>
      </c>
      <c r="H36" s="23">
        <v>96.545400000000001</v>
      </c>
      <c r="I36" s="23">
        <v>105.961</v>
      </c>
      <c r="J36" s="23">
        <v>602.673</v>
      </c>
      <c r="K36" s="23">
        <v>2.328792E-2</v>
      </c>
      <c r="L36" s="23">
        <v>2.4305E-4</v>
      </c>
      <c r="M36" s="23">
        <v>2.1896E-4</v>
      </c>
      <c r="N36" s="23">
        <v>1.13289993393855E-2</v>
      </c>
      <c r="O36" s="23"/>
      <c r="P36" s="23">
        <f>G36/G$23</f>
        <v>1.1872826073993983</v>
      </c>
      <c r="Q36" s="23">
        <f>H36/H$23</f>
        <v>1.0023921507553342</v>
      </c>
      <c r="R36" s="23">
        <f>I36/I$23</f>
        <v>1.0022701260865863</v>
      </c>
      <c r="S36" s="23">
        <f t="shared" si="5"/>
        <v>1.0639816280804395</v>
      </c>
      <c r="T36" s="23">
        <f>J36/J$23</f>
        <v>1.0429502954033372</v>
      </c>
      <c r="U36" s="23">
        <f t="shared" si="11"/>
        <v>6.691415175436255E-3</v>
      </c>
      <c r="V36" s="23">
        <f>T36/T35-1</f>
        <v>5.4587830183803199E-3</v>
      </c>
      <c r="W36" s="23">
        <f>P36/P$23</f>
        <v>1.1872826073993983</v>
      </c>
      <c r="X36" s="23">
        <f>Q36/Q$23</f>
        <v>1.0023921507553342</v>
      </c>
      <c r="Y36" s="23">
        <f>R36/R$23</f>
        <v>1.0022701260865863</v>
      </c>
      <c r="Z36" s="24">
        <f t="shared" si="12"/>
        <v>0.37196212668365009</v>
      </c>
      <c r="AA36" s="24">
        <f t="shared" si="8"/>
        <v>0.31403805112806293</v>
      </c>
      <c r="AB36" s="24">
        <f t="shared" si="13"/>
        <v>0.31399982218828698</v>
      </c>
      <c r="AC36" s="23">
        <f t="shared" si="9"/>
        <v>1</v>
      </c>
      <c r="AD36" s="23" t="str">
        <f t="shared" si="10"/>
        <v>correct</v>
      </c>
      <c r="AE36" s="23">
        <f>SUMPRODUCT(K36:M36, Z36:AB36)</f>
        <v>8.8073045986317329E-3</v>
      </c>
      <c r="AF36" s="23"/>
      <c r="AG36" s="5"/>
      <c r="AH36" s="23">
        <f t="shared" si="4"/>
        <v>8.8073045986317329E-3</v>
      </c>
      <c r="AI36" s="23">
        <f>U36</f>
        <v>6.691415175436255E-3</v>
      </c>
      <c r="AJ36" s="23">
        <f>N36</f>
        <v>1.13289993393855E-2</v>
      </c>
      <c r="AK36" s="23">
        <f>V36</f>
        <v>5.4587830183803199E-3</v>
      </c>
      <c r="AL36" s="23">
        <f>S36</f>
        <v>1.0639816280804395</v>
      </c>
      <c r="AM36" s="23">
        <f>T36</f>
        <v>1.0429502954033372</v>
      </c>
      <c r="AN36" s="17"/>
    </row>
    <row r="37" spans="1:40" x14ac:dyDescent="0.3">
      <c r="A37" s="1"/>
      <c r="B37" s="1"/>
      <c r="C37" s="1"/>
      <c r="D37" s="1"/>
      <c r="E37" s="13"/>
      <c r="F37" s="22">
        <v>45681</v>
      </c>
      <c r="G37" s="23">
        <v>30.296600000000002</v>
      </c>
      <c r="H37" s="23">
        <v>96.574200000000005</v>
      </c>
      <c r="I37" s="23">
        <v>106</v>
      </c>
      <c r="J37" s="23">
        <v>600.91300000000001</v>
      </c>
      <c r="K37" s="23">
        <v>2.2444869999999999E-2</v>
      </c>
      <c r="L37" s="23">
        <v>2.5401999999999998E-4</v>
      </c>
      <c r="M37" s="23">
        <v>2.3559000000000001E-4</v>
      </c>
      <c r="N37" s="23">
        <v>1.10182180217259E-2</v>
      </c>
      <c r="O37" s="23"/>
      <c r="P37" s="23">
        <f>G37/G$23</f>
        <v>1.2043440755920036</v>
      </c>
      <c r="Q37" s="23">
        <f>H37/H$23</f>
        <v>1.0026911695997509</v>
      </c>
      <c r="R37" s="23">
        <f>I37/I$23</f>
        <v>1.0026390215756567</v>
      </c>
      <c r="S37" s="23">
        <f t="shared" si="5"/>
        <v>1.0698914222558036</v>
      </c>
      <c r="T37" s="23">
        <f>J37/J$23</f>
        <v>1.0399045433621641</v>
      </c>
      <c r="U37" s="23">
        <f t="shared" si="11"/>
        <v>5.5544137411716044E-3</v>
      </c>
      <c r="V37" s="23">
        <f>T37/T36-1</f>
        <v>-2.9203232930627987E-3</v>
      </c>
      <c r="W37" s="23">
        <f>P37/P$23</f>
        <v>1.2043440755920036</v>
      </c>
      <c r="X37" s="23">
        <f>Q37/Q$23</f>
        <v>1.0026911695997509</v>
      </c>
      <c r="Y37" s="23">
        <f>R37/R$23</f>
        <v>1.0026390215756567</v>
      </c>
      <c r="Z37" s="24">
        <f t="shared" si="12"/>
        <v>0.37522314586923672</v>
      </c>
      <c r="AA37" s="24">
        <f t="shared" si="8"/>
        <v>0.31239655063490307</v>
      </c>
      <c r="AB37" s="24">
        <f t="shared" si="13"/>
        <v>0.31238030349586027</v>
      </c>
      <c r="AC37" s="23">
        <f t="shared" si="9"/>
        <v>1</v>
      </c>
      <c r="AD37" s="23" t="str">
        <f t="shared" si="10"/>
        <v>correct</v>
      </c>
      <c r="AE37" s="23">
        <f>SUMPRODUCT(K37:M37, Z37:AB37)</f>
        <v>8.5747833775189231E-3</v>
      </c>
      <c r="AF37" s="23"/>
      <c r="AG37" s="5"/>
      <c r="AH37" s="23">
        <f t="shared" si="4"/>
        <v>8.5747833775189231E-3</v>
      </c>
      <c r="AI37" s="23">
        <f>U37</f>
        <v>5.5544137411716044E-3</v>
      </c>
      <c r="AJ37" s="23">
        <f>N37</f>
        <v>1.10182180217259E-2</v>
      </c>
      <c r="AK37" s="23">
        <f>V37</f>
        <v>-2.9203232930627987E-3</v>
      </c>
      <c r="AL37" s="23">
        <f>S37</f>
        <v>1.0698914222558036</v>
      </c>
      <c r="AM37" s="23">
        <f>T37</f>
        <v>1.0399045433621641</v>
      </c>
      <c r="AN37" s="17"/>
    </row>
    <row r="38" spans="1:40" x14ac:dyDescent="0.3">
      <c r="A38" s="1"/>
      <c r="B38" s="1"/>
      <c r="C38" s="1"/>
      <c r="D38" s="1"/>
      <c r="E38" s="13"/>
      <c r="F38" s="22">
        <v>45684</v>
      </c>
      <c r="G38" s="23">
        <v>30.9404</v>
      </c>
      <c r="H38" s="23">
        <v>96.574200000000005</v>
      </c>
      <c r="I38" s="23">
        <v>106.01900000000001</v>
      </c>
      <c r="J38" s="23">
        <v>592.41300000000001</v>
      </c>
      <c r="K38" s="23">
        <v>2.223201E-2</v>
      </c>
      <c r="L38" s="23">
        <v>2.5008000000000002E-4</v>
      </c>
      <c r="M38" s="23">
        <v>2.3153E-4</v>
      </c>
      <c r="N38" s="23">
        <v>1.19665402103844E-2</v>
      </c>
      <c r="O38" s="23"/>
      <c r="P38" s="23">
        <f>G38/G$23</f>
        <v>1.2299362778809118</v>
      </c>
      <c r="Q38" s="23">
        <f>H38/H$23</f>
        <v>1.0026911695997509</v>
      </c>
      <c r="R38" s="23">
        <f>I38/I$23</f>
        <v>1.0028187398908448</v>
      </c>
      <c r="S38" s="23">
        <f t="shared" si="5"/>
        <v>1.0784820624571692</v>
      </c>
      <c r="T38" s="23">
        <f>J38/J$23</f>
        <v>1.0251949454360443</v>
      </c>
      <c r="U38" s="23">
        <f>S38/S37-1</f>
        <v>8.0294504869034E-3</v>
      </c>
      <c r="V38" s="23">
        <f>T38/T37-1</f>
        <v>-1.4145142474867423E-2</v>
      </c>
      <c r="W38" s="23">
        <f>P38/P$23</f>
        <v>1.2299362778809118</v>
      </c>
      <c r="X38" s="23">
        <f>Q38/Q$23</f>
        <v>1.0026911695997509</v>
      </c>
      <c r="Y38" s="23">
        <f>R38/R$23</f>
        <v>1.0028187398908448</v>
      </c>
      <c r="Z38" s="24">
        <f t="shared" si="12"/>
        <v>0.38014425419330439</v>
      </c>
      <c r="AA38" s="24">
        <f t="shared" si="8"/>
        <v>0.30990815842137132</v>
      </c>
      <c r="AB38" s="24">
        <f t="shared" si="13"/>
        <v>0.30994758738532435</v>
      </c>
      <c r="AC38" s="23">
        <f t="shared" si="9"/>
        <v>1</v>
      </c>
      <c r="AD38" s="23" t="str">
        <f t="shared" si="10"/>
        <v>correct</v>
      </c>
      <c r="AE38" s="23">
        <f>SUMPRODUCT(K38:M38, Z38:AB38)</f>
        <v>8.6006348578334252E-3</v>
      </c>
      <c r="AF38" s="23"/>
      <c r="AG38" s="5"/>
      <c r="AH38" s="23">
        <f t="shared" si="4"/>
        <v>8.6006348578334252E-3</v>
      </c>
      <c r="AI38" s="23">
        <f>U38</f>
        <v>8.0294504869034E-3</v>
      </c>
      <c r="AJ38" s="23">
        <f>N38</f>
        <v>1.19665402103844E-2</v>
      </c>
      <c r="AK38" s="23">
        <f>V38</f>
        <v>-1.4145142474867423E-2</v>
      </c>
      <c r="AL38" s="23">
        <f>S38</f>
        <v>1.0784820624571692</v>
      </c>
      <c r="AM38" s="23">
        <f>T38</f>
        <v>1.0251949454360443</v>
      </c>
      <c r="AN38" s="17"/>
    </row>
    <row r="39" spans="1:40" x14ac:dyDescent="0.3">
      <c r="A39" s="1"/>
      <c r="B39" s="1"/>
      <c r="C39" s="1"/>
      <c r="D39" s="1"/>
      <c r="E39" s="13"/>
      <c r="F39" s="22">
        <v>45685</v>
      </c>
      <c r="G39" s="23">
        <v>31.155000000000001</v>
      </c>
      <c r="H39" s="23">
        <v>96.602999999999994</v>
      </c>
      <c r="I39" s="23">
        <v>106.02800000000001</v>
      </c>
      <c r="J39" s="23">
        <v>597.50300000000004</v>
      </c>
      <c r="K39" s="23">
        <v>2.166237E-2</v>
      </c>
      <c r="L39" s="23">
        <v>2.5344000000000001E-4</v>
      </c>
      <c r="M39" s="23">
        <v>2.2104000000000001E-4</v>
      </c>
      <c r="N39" s="23">
        <v>1.19765975847471E-2</v>
      </c>
      <c r="O39" s="23"/>
      <c r="P39" s="23">
        <f>G39/G$23</f>
        <v>1.2384670119772143</v>
      </c>
      <c r="Q39" s="23">
        <f>H39/H$23</f>
        <v>1.0029901884441677</v>
      </c>
      <c r="R39" s="23">
        <f>I39/I$23</f>
        <v>1.0029038696190917</v>
      </c>
      <c r="S39" s="23">
        <f t="shared" si="5"/>
        <v>1.0814536900134912</v>
      </c>
      <c r="T39" s="23">
        <f>J39/J$23</f>
        <v>1.0340033987823913</v>
      </c>
      <c r="U39" s="23">
        <f>S39/S38-1</f>
        <v>2.7553796764607785E-3</v>
      </c>
      <c r="V39" s="23">
        <f>T39/T38-1</f>
        <v>8.5919789066073449E-3</v>
      </c>
      <c r="W39" s="23">
        <f>P39/P$23</f>
        <v>1.2384670119772143</v>
      </c>
      <c r="X39" s="23">
        <f>Q39/Q$23</f>
        <v>1.0029901884441677</v>
      </c>
      <c r="Y39" s="23">
        <f>R39/R$23</f>
        <v>1.0029038696190917</v>
      </c>
      <c r="Z39" s="24">
        <f t="shared" si="12"/>
        <v>0.38172909403137556</v>
      </c>
      <c r="AA39" s="24">
        <f t="shared" si="8"/>
        <v>0.30914875588482366</v>
      </c>
      <c r="AB39" s="24">
        <f t="shared" si="13"/>
        <v>0.30912215008380073</v>
      </c>
      <c r="AC39" s="23">
        <f t="shared" si="9"/>
        <v>0.99999999999999989</v>
      </c>
      <c r="AD39" s="23" t="str">
        <f t="shared" si="10"/>
        <v>correct</v>
      </c>
      <c r="AE39" s="23">
        <f>SUMPRODUCT(K39:M39, Z39:AB39)</f>
        <v>8.4158358954184217E-3</v>
      </c>
      <c r="AF39" s="23"/>
      <c r="AG39" s="5"/>
      <c r="AH39" s="23">
        <f t="shared" si="4"/>
        <v>8.4158358954184217E-3</v>
      </c>
      <c r="AI39" s="23">
        <f>U39</f>
        <v>2.7553796764607785E-3</v>
      </c>
      <c r="AJ39" s="23">
        <f>N39</f>
        <v>1.19765975847471E-2</v>
      </c>
      <c r="AK39" s="23">
        <f>V39</f>
        <v>8.5919789066073449E-3</v>
      </c>
      <c r="AL39" s="23">
        <f>S39</f>
        <v>1.0814536900134912</v>
      </c>
      <c r="AM39" s="23">
        <f>T39</f>
        <v>1.0340033987823913</v>
      </c>
      <c r="AN39" s="17"/>
    </row>
    <row r="40" spans="1:40" x14ac:dyDescent="0.3">
      <c r="A40" s="1"/>
      <c r="B40" s="1"/>
      <c r="C40" s="1"/>
      <c r="D40" s="1"/>
      <c r="E40" s="1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23"/>
      <c r="AI40" s="23"/>
      <c r="AJ40" s="23"/>
      <c r="AK40" s="23"/>
      <c r="AL40" s="23"/>
      <c r="AM40" s="23"/>
      <c r="AN40" s="17"/>
    </row>
    <row r="41" spans="1:40" x14ac:dyDescent="0.3">
      <c r="A41" s="1"/>
      <c r="B41" s="1"/>
      <c r="C41" s="1"/>
      <c r="D41" s="1"/>
      <c r="E41" s="13"/>
      <c r="F41" s="2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23"/>
      <c r="AI41" s="23"/>
      <c r="AJ41" s="23"/>
      <c r="AK41" s="23"/>
      <c r="AL41" s="23"/>
      <c r="AM41" s="23"/>
      <c r="AN41" s="17"/>
    </row>
    <row r="42" spans="1:40" x14ac:dyDescent="0.3">
      <c r="A42" s="1"/>
      <c r="B42" s="1"/>
      <c r="C42" s="1"/>
      <c r="D42" s="1"/>
      <c r="E42" s="1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 t="s">
        <v>22</v>
      </c>
      <c r="AH42" s="23"/>
      <c r="AI42" s="23"/>
      <c r="AJ42" s="23"/>
      <c r="AK42" s="23"/>
      <c r="AL42" s="26">
        <f>INDEX(AL23:AL39,1) / INDEX(AL23:AL39,ROWS(AL23:AL39))</f>
        <v>0.92468129632765406</v>
      </c>
      <c r="AM42" s="26">
        <f>INDEX(AM23:AM39,ROWS(AM23:AM39)) / INDEX(AM23:AM39,1) -1</f>
        <v>3.4003398782391336E-2</v>
      </c>
      <c r="AN42" s="17"/>
    </row>
    <row r="43" spans="1:40" x14ac:dyDescent="0.3">
      <c r="A43" s="1"/>
      <c r="B43" s="1"/>
      <c r="C43" s="1"/>
      <c r="D43" s="1"/>
      <c r="E43" s="1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 t="s">
        <v>18</v>
      </c>
      <c r="AH43" s="23">
        <f>AVERAGE(AH$23:AH$39)</f>
        <v>8.1909892911350528E-3</v>
      </c>
      <c r="AI43" s="23">
        <f>AVERAGE(AI$23:AI$39)</f>
        <v>4.9594059782812686E-3</v>
      </c>
      <c r="AJ43" s="23">
        <f>AVERAGE(AJ$23:AJ$39)</f>
        <v>1.2223186000268704E-2</v>
      </c>
      <c r="AK43" s="23">
        <f>AVERAGE(AK$23:AK$39)</f>
        <v>2.1341895276121847E-3</v>
      </c>
      <c r="AL43" s="23"/>
      <c r="AM43" s="23"/>
      <c r="AN43" s="17"/>
    </row>
    <row r="44" spans="1:40" x14ac:dyDescent="0.3">
      <c r="A44" s="1"/>
      <c r="B44" s="1"/>
      <c r="C44" s="1"/>
      <c r="D44" s="1"/>
      <c r="E44" s="1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 t="s">
        <v>19</v>
      </c>
      <c r="AH44" s="23">
        <f>_xlfn.STDEV.S(AH$23:AH$39)</f>
        <v>1.2991033377247126E-3</v>
      </c>
      <c r="AI44" s="23">
        <f>_xlfn.STDEV.S(AI$23:AI$39)</f>
        <v>1.078888117566724E-2</v>
      </c>
      <c r="AJ44" s="23">
        <f>_xlfn.STDEV.S(AJ$23:AJ$39)</f>
        <v>5.5617284309175804E-4</v>
      </c>
      <c r="AK44" s="23">
        <f>_xlfn.STDEV.S(AK$23:AK$39)</f>
        <v>9.4761746901092913E-3</v>
      </c>
      <c r="AL44" s="23"/>
      <c r="AM44" s="23"/>
      <c r="AN44" s="17"/>
    </row>
    <row r="45" spans="1:40" x14ac:dyDescent="0.3">
      <c r="A45" s="1"/>
      <c r="B45" s="1"/>
      <c r="C45" s="1"/>
      <c r="D45" s="1"/>
      <c r="E45" s="1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 t="s">
        <v>12</v>
      </c>
      <c r="AH45" s="23">
        <f>SQRT(252)</f>
        <v>15.874507866387544</v>
      </c>
      <c r="AI45" s="23">
        <f>SQRT(252)</f>
        <v>15.874507866387544</v>
      </c>
      <c r="AJ45" s="23">
        <f>SQRT(252)</f>
        <v>15.874507866387544</v>
      </c>
      <c r="AK45" s="23">
        <f>SQRT(252)</f>
        <v>15.874507866387544</v>
      </c>
      <c r="AL45" s="23"/>
      <c r="AM45" s="23"/>
      <c r="AN45" s="17"/>
    </row>
    <row r="46" spans="1:40" x14ac:dyDescent="0.3">
      <c r="A46" s="1"/>
      <c r="B46" s="1"/>
      <c r="C46" s="1"/>
      <c r="D46" s="1"/>
      <c r="E46" s="1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 t="s">
        <v>20</v>
      </c>
      <c r="AH46" s="23">
        <f>AH43*AH45/AH44</f>
        <v>100.09051640445651</v>
      </c>
      <c r="AI46" s="26">
        <f>AI43*AI45/AI44</f>
        <v>7.2971541657531009</v>
      </c>
      <c r="AJ46" s="23">
        <f>AJ43*AJ45/AJ44</f>
        <v>348.87906650553805</v>
      </c>
      <c r="AK46" s="26">
        <f>AK43*AK45/AK44</f>
        <v>3.575198806729766</v>
      </c>
      <c r="AL46" s="26"/>
      <c r="AM46" s="23"/>
      <c r="AN46" s="17"/>
    </row>
    <row r="47" spans="1:40" x14ac:dyDescent="0.3">
      <c r="A47" s="1"/>
      <c r="B47" s="1"/>
      <c r="C47" s="1"/>
      <c r="D47" s="1"/>
      <c r="E47" s="1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 t="s">
        <v>21</v>
      </c>
      <c r="AH47" s="23"/>
      <c r="AI47" s="26">
        <f>AI43/AH43</f>
        <v>0.60547093910240324</v>
      </c>
      <c r="AJ47" s="23"/>
      <c r="AK47" s="26">
        <f>AK43/AJ43</f>
        <v>0.1746017386600571</v>
      </c>
      <c r="AL47" s="26"/>
      <c r="AM47" s="23"/>
      <c r="AN47" s="17"/>
    </row>
    <row r="48" spans="1:40" ht="15" thickBot="1" x14ac:dyDescent="0.35">
      <c r="A48" s="1"/>
      <c r="B48" s="1"/>
      <c r="C48" s="1"/>
      <c r="D48" s="1"/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9"/>
    </row>
  </sheetData>
  <mergeCells count="3">
    <mergeCell ref="G20:N20"/>
    <mergeCell ref="P20:AE20"/>
    <mergeCell ref="AH20:AM20"/>
  </mergeCells>
  <conditionalFormatting sqref="AD23:AD39">
    <cfRule type="cellIs" dxfId="2" priority="1" operator="equal">
      <formula>"ERROR"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</dc:creator>
  <cp:lastModifiedBy>ping</cp:lastModifiedBy>
  <dcterms:created xsi:type="dcterms:W3CDTF">2025-12-23T00:34:54Z</dcterms:created>
  <dcterms:modified xsi:type="dcterms:W3CDTF">2025-12-23T20:05:33Z</dcterms:modified>
</cp:coreProperties>
</file>