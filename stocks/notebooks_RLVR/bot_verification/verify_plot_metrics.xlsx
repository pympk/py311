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0" yWindow="72" windowWidth="10920" windowHeight="10020"/>
  </bookViews>
  <sheets>
    <sheet name="OVERVIEW" sheetId="1" r:id="rId1"/>
    <sheet name="DAILY_AUDIT" sheetId="2" r:id="rId2"/>
    <sheet name="Calc Metrics" sheetId="11" r:id="rId3"/>
    <sheet name="Cal Metrics Explanation" sheetId="12" r:id="rId4"/>
    <sheet name="RAW_OHLCV_SAMPLES" sheetId="3" r:id="rId5"/>
    <sheet name="RAW_PRICES" sheetId="4" r:id="rId6"/>
    <sheet name="imported" sheetId="10" r:id="rId7"/>
    <sheet name="RAW_ATRP_DATA" sheetId="5" r:id="rId8"/>
    <sheet name="RAW_TRP_DATA" sheetId="6" r:id="rId9"/>
    <sheet name="RAW_DRIFTED_WEIGHTS" sheetId="7" r:id="rId10"/>
    <sheet name="SURVIVAL_AUDIT" sheetId="8" r:id="rId11"/>
    <sheet name="FULL_RANKING" sheetId="9" r:id="rId12"/>
  </sheets>
  <definedNames>
    <definedName name="_xlnm._FilterDatabase" localSheetId="6" hidden="1">imported!$A$1:$T$52</definedName>
    <definedName name="_xlnm._FilterDatabase" localSheetId="4" hidden="1">RAW_OHLCV_SAMPLES!$A$1:$G$52</definedName>
  </definedNames>
  <calcPr calcId="145621"/>
</workbook>
</file>

<file path=xl/calcChain.xml><?xml version="1.0" encoding="utf-8"?>
<calcChain xmlns="http://schemas.openxmlformats.org/spreadsheetml/2006/main">
  <c r="O22" i="11" l="1"/>
  <c r="O23" i="11"/>
  <c r="O24" i="11"/>
  <c r="O25" i="11"/>
  <c r="O26" i="11"/>
  <c r="O27" i="11"/>
  <c r="O12" i="11"/>
  <c r="O13" i="11"/>
  <c r="O14" i="11"/>
  <c r="O15" i="11"/>
  <c r="O16" i="11"/>
  <c r="O17" i="11"/>
  <c r="O18" i="11"/>
  <c r="O19" i="11"/>
  <c r="O20" i="11"/>
  <c r="O21" i="11"/>
  <c r="O11" i="11"/>
  <c r="N22" i="11"/>
  <c r="N23" i="11"/>
  <c r="N24" i="11"/>
  <c r="N25" i="11"/>
  <c r="N26" i="11"/>
  <c r="N27" i="11"/>
  <c r="N12" i="11"/>
  <c r="N13" i="11"/>
  <c r="N14" i="11"/>
  <c r="N15" i="11"/>
  <c r="N16" i="11"/>
  <c r="N17" i="11"/>
  <c r="N18" i="11"/>
  <c r="N19" i="11"/>
  <c r="N20" i="11"/>
  <c r="N21" i="11"/>
  <c r="N11" i="11"/>
  <c r="M27" i="11"/>
  <c r="M22" i="11"/>
  <c r="M23" i="11"/>
  <c r="M24" i="11"/>
  <c r="M25" i="11"/>
  <c r="M26" i="11"/>
  <c r="M12" i="11"/>
  <c r="M13" i="11"/>
  <c r="M14" i="11"/>
  <c r="M15" i="11"/>
  <c r="M16" i="11"/>
  <c r="M17" i="11"/>
  <c r="M18" i="11"/>
  <c r="M19" i="11"/>
  <c r="M20" i="11"/>
  <c r="M21" i="11"/>
  <c r="M11" i="11"/>
  <c r="L22" i="11"/>
  <c r="L23" i="11"/>
  <c r="L24" i="11"/>
  <c r="L25" i="11"/>
  <c r="L26" i="11"/>
  <c r="L27" i="11"/>
  <c r="L12" i="11"/>
  <c r="L13" i="11"/>
  <c r="L14" i="11"/>
  <c r="L15" i="11"/>
  <c r="L16" i="11"/>
  <c r="L17" i="11"/>
  <c r="L18" i="11"/>
  <c r="L19" i="11"/>
  <c r="L20" i="11"/>
  <c r="L21" i="11"/>
  <c r="L11" i="11"/>
  <c r="J12" i="11"/>
  <c r="J13" i="11"/>
  <c r="J14" i="11"/>
  <c r="J15" i="11"/>
  <c r="J16" i="11"/>
  <c r="J17" i="11"/>
  <c r="J18" i="11"/>
  <c r="J19" i="11"/>
  <c r="J20" i="11"/>
  <c r="J21" i="11"/>
  <c r="J22" i="11"/>
  <c r="K22" i="11" s="1"/>
  <c r="J23" i="11"/>
  <c r="J24" i="11"/>
  <c r="J25" i="11"/>
  <c r="K25" i="11" s="1"/>
  <c r="J26" i="11"/>
  <c r="K26" i="11" s="1"/>
  <c r="J27" i="11"/>
  <c r="J11" i="11"/>
  <c r="K12" i="11" s="1"/>
  <c r="H22" i="11"/>
  <c r="I22" i="11"/>
  <c r="H23" i="11"/>
  <c r="I23" i="11"/>
  <c r="K23" i="11"/>
  <c r="H24" i="11"/>
  <c r="I24" i="11"/>
  <c r="K24" i="11"/>
  <c r="H25" i="11"/>
  <c r="I25" i="11"/>
  <c r="H26" i="11"/>
  <c r="I26" i="11"/>
  <c r="H27" i="11"/>
  <c r="I27" i="11"/>
  <c r="K27" i="11"/>
  <c r="D30" i="1"/>
  <c r="D31" i="1"/>
  <c r="D32" i="1"/>
  <c r="D33" i="1"/>
  <c r="D26" i="1"/>
  <c r="D27" i="1"/>
  <c r="D28" i="1"/>
  <c r="D29" i="1"/>
  <c r="H17" i="11"/>
  <c r="I17" i="11"/>
  <c r="K17" i="11"/>
  <c r="H18" i="11"/>
  <c r="K18" i="11" s="1"/>
  <c r="I18" i="11"/>
  <c r="H19" i="11"/>
  <c r="I19" i="11"/>
  <c r="H20" i="11"/>
  <c r="K20" i="11" s="1"/>
  <c r="I20" i="11"/>
  <c r="H21" i="11"/>
  <c r="I21" i="11"/>
  <c r="D35" i="1"/>
  <c r="D36" i="1"/>
  <c r="D37" i="1"/>
  <c r="D34" i="1"/>
  <c r="I11" i="11"/>
  <c r="D22" i="1"/>
  <c r="D23" i="1"/>
  <c r="D24" i="1"/>
  <c r="D25" i="1"/>
  <c r="H11" i="11"/>
  <c r="H12" i="11"/>
  <c r="I12" i="11"/>
  <c r="H13" i="11"/>
  <c r="I13" i="11"/>
  <c r="H14" i="11"/>
  <c r="I14" i="11"/>
  <c r="H15" i="11"/>
  <c r="I15" i="11"/>
  <c r="H16" i="11"/>
  <c r="I16" i="11"/>
  <c r="D21" i="1"/>
  <c r="D19" i="1"/>
  <c r="D18" i="1"/>
  <c r="D20" i="1"/>
  <c r="K5" i="11"/>
  <c r="D15" i="1"/>
  <c r="D16" i="1"/>
  <c r="D17" i="1"/>
  <c r="D14" i="1"/>
  <c r="A5" i="11"/>
  <c r="A4" i="11"/>
  <c r="A3" i="11"/>
  <c r="A2" i="11"/>
  <c r="K21" i="11" l="1"/>
  <c r="K19" i="11"/>
  <c r="X35" i="2"/>
  <c r="X38" i="2"/>
  <c r="J8" i="11" l="1"/>
  <c r="B2" i="11" s="1"/>
  <c r="K15" i="11"/>
  <c r="K14" i="11"/>
  <c r="K13" i="11"/>
  <c r="K16" i="11"/>
  <c r="AE38" i="2"/>
  <c r="AE35" i="2"/>
  <c r="Q37" i="2"/>
  <c r="Q32" i="2"/>
  <c r="Q27" i="2"/>
  <c r="AI3" i="2"/>
  <c r="AH3" i="2"/>
  <c r="AI4" i="2" s="1"/>
  <c r="AH4" i="2"/>
  <c r="AH5" i="2"/>
  <c r="AI5" i="2" s="1"/>
  <c r="AH6" i="2"/>
  <c r="AI6" i="2" s="1"/>
  <c r="AH7" i="2"/>
  <c r="AI8" i="2" s="1"/>
  <c r="AH8" i="2"/>
  <c r="AH9" i="2"/>
  <c r="AI9" i="2" s="1"/>
  <c r="AH10" i="2"/>
  <c r="AI10" i="2" s="1"/>
  <c r="AH11" i="2"/>
  <c r="AI12" i="2" s="1"/>
  <c r="AH12" i="2"/>
  <c r="AH13" i="2"/>
  <c r="AI13" i="2" s="1"/>
  <c r="AH14" i="2"/>
  <c r="AI14" i="2" s="1"/>
  <c r="AH15" i="2"/>
  <c r="AI16" i="2" s="1"/>
  <c r="AH16" i="2"/>
  <c r="AH17" i="2"/>
  <c r="AI17" i="2" s="1"/>
  <c r="AH18" i="2"/>
  <c r="AI18" i="2" s="1"/>
  <c r="AH2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E3" i="2"/>
  <c r="AE30" i="2" s="1"/>
  <c r="AE2" i="2"/>
  <c r="X3" i="2"/>
  <c r="X30" i="2" s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2" i="2"/>
  <c r="P4" i="2"/>
  <c r="P8" i="2"/>
  <c r="Q8" i="2" s="1"/>
  <c r="P12" i="2"/>
  <c r="Q12" i="2" s="1"/>
  <c r="P16" i="2"/>
  <c r="N3" i="2"/>
  <c r="P3" i="2" s="1"/>
  <c r="O3" i="2"/>
  <c r="N4" i="2"/>
  <c r="O4" i="2"/>
  <c r="N5" i="2"/>
  <c r="P5" i="2" s="1"/>
  <c r="Q5" i="2" s="1"/>
  <c r="O5" i="2"/>
  <c r="N6" i="2"/>
  <c r="P6" i="2" s="1"/>
  <c r="Q6" i="2" s="1"/>
  <c r="O6" i="2"/>
  <c r="N7" i="2"/>
  <c r="P7" i="2" s="1"/>
  <c r="O7" i="2"/>
  <c r="N8" i="2"/>
  <c r="O8" i="2"/>
  <c r="N9" i="2"/>
  <c r="P9" i="2" s="1"/>
  <c r="Q9" i="2" s="1"/>
  <c r="O9" i="2"/>
  <c r="N10" i="2"/>
  <c r="P10" i="2" s="1"/>
  <c r="Q10" i="2" s="1"/>
  <c r="O10" i="2"/>
  <c r="N11" i="2"/>
  <c r="P11" i="2" s="1"/>
  <c r="O11" i="2"/>
  <c r="N12" i="2"/>
  <c r="O12" i="2"/>
  <c r="N13" i="2"/>
  <c r="P13" i="2" s="1"/>
  <c r="Q13" i="2" s="1"/>
  <c r="O13" i="2"/>
  <c r="N14" i="2"/>
  <c r="P14" i="2" s="1"/>
  <c r="Q14" i="2" s="1"/>
  <c r="O14" i="2"/>
  <c r="N15" i="2"/>
  <c r="P15" i="2" s="1"/>
  <c r="O15" i="2"/>
  <c r="N16" i="2"/>
  <c r="O16" i="2"/>
  <c r="N17" i="2"/>
  <c r="P17" i="2" s="1"/>
  <c r="Q17" i="2" s="1"/>
  <c r="O17" i="2"/>
  <c r="N18" i="2"/>
  <c r="P18" i="2" s="1"/>
  <c r="O18" i="2"/>
  <c r="O2" i="2"/>
  <c r="P2" i="2" s="1"/>
  <c r="N2" i="2"/>
  <c r="K3" i="11" l="1"/>
  <c r="N5" i="11"/>
  <c r="O2" i="11"/>
  <c r="K4" i="11"/>
  <c r="P19" i="2"/>
  <c r="Q18" i="2"/>
  <c r="P21" i="2"/>
  <c r="Q15" i="2"/>
  <c r="Q11" i="2"/>
  <c r="Q7" i="2"/>
  <c r="Q3" i="2"/>
  <c r="Q4" i="2"/>
  <c r="Q16" i="2"/>
  <c r="Q36" i="2"/>
  <c r="Q35" i="2"/>
  <c r="P20" i="2"/>
  <c r="AI15" i="2"/>
  <c r="AI11" i="2"/>
  <c r="AI7" i="2"/>
  <c r="AE25" i="2"/>
  <c r="X25" i="2"/>
  <c r="Q38" i="2"/>
  <c r="K6" i="11" l="1"/>
  <c r="B3" i="11" s="1"/>
  <c r="O3" i="11"/>
  <c r="B5" i="11" s="1"/>
  <c r="N6" i="11"/>
  <c r="B4" i="11" s="1"/>
  <c r="Q26" i="2"/>
  <c r="Q30" i="2"/>
  <c r="Q25" i="2"/>
  <c r="Q31" i="2"/>
  <c r="X28" i="2" l="1"/>
  <c r="AE28" i="2"/>
  <c r="Q28" i="2"/>
  <c r="X33" i="2"/>
  <c r="AE33" i="2"/>
  <c r="Q33" i="2"/>
</calcChain>
</file>

<file path=xl/sharedStrings.xml><?xml version="1.0" encoding="utf-8"?>
<sst xmlns="http://schemas.openxmlformats.org/spreadsheetml/2006/main" count="2872" uniqueCount="1744">
  <si>
    <t>Value</t>
  </si>
  <si>
    <t>mode</t>
  </si>
  <si>
    <t>Ranking</t>
  </si>
  <si>
    <t>start_date</t>
  </si>
  <si>
    <t>2025-12-10 00:00:00</t>
  </si>
  <si>
    <t>lookback_period</t>
  </si>
  <si>
    <t>10</t>
  </si>
  <si>
    <t>holding_period</t>
  </si>
  <si>
    <t>5</t>
  </si>
  <si>
    <t>metric</t>
  </si>
  <si>
    <t>Sharpe (ATRP)</t>
  </si>
  <si>
    <t>benchmark_ticker</t>
  </si>
  <si>
    <t>SPY</t>
  </si>
  <si>
    <t>rank_start</t>
  </si>
  <si>
    <t>31</t>
  </si>
  <si>
    <t>rank_end</t>
  </si>
  <si>
    <t>32</t>
  </si>
  <si>
    <t>quality_thresholds</t>
  </si>
  <si>
    <t>{'min_median_dollar_volume': 1000000, 'min_liquidity_percentile': 0.4, 'max_stale_pct': 0.05, 'max_same_vol_count': 10}</t>
  </si>
  <si>
    <t>manual_tickers</t>
  </si>
  <si>
    <t>[]</t>
  </si>
  <si>
    <t>debug</t>
  </si>
  <si>
    <t>True</t>
  </si>
  <si>
    <t>universe_subset</t>
  </si>
  <si>
    <t>None</t>
  </si>
  <si>
    <t>full_p_gain</t>
  </si>
  <si>
    <t>0.12884308989659848</t>
  </si>
  <si>
    <t>full_p_sharpe</t>
  </si>
  <si>
    <t>6.743522654003191</t>
  </si>
  <si>
    <t>full_p_sharpe_atrp</t>
  </si>
  <si>
    <t>0.25908425314747746</t>
  </si>
  <si>
    <t>full_p_sharpe_trp</t>
  </si>
  <si>
    <t>0.2559661744649357</t>
  </si>
  <si>
    <t>lookback_p_gain</t>
  </si>
  <si>
    <t>0.1591669477359584</t>
  </si>
  <si>
    <t>lookback_p_sharpe</t>
  </si>
  <si>
    <t>13.443521311456811</t>
  </si>
  <si>
    <t>lookback_p_sharpe_atrp</t>
  </si>
  <si>
    <t>0.5100744683766347</t>
  </si>
  <si>
    <t>lookback_p_sharpe_trp</t>
  </si>
  <si>
    <t>0.4939273741456174</t>
  </si>
  <si>
    <t>holding_p_gain</t>
  </si>
  <si>
    <t>-0.039766317528490275</t>
  </si>
  <si>
    <t>holding_p_sharpe</t>
  </si>
  <si>
    <t>-11.892442390425684</t>
  </si>
  <si>
    <t>holding_p_sharpe_atrp</t>
  </si>
  <si>
    <t>-0.24404631906178711</t>
  </si>
  <si>
    <t>holding_p_sharpe_trp</t>
  </si>
  <si>
    <t>-0.25169852355243816</t>
  </si>
  <si>
    <t>full_b_gain</t>
  </si>
  <si>
    <t>0.0021461847425559458</t>
  </si>
  <si>
    <t>full_b_sharpe</t>
  </si>
  <si>
    <t>0.4185748763655909</t>
  </si>
  <si>
    <t>full_b_sharpe_atrp</t>
  </si>
  <si>
    <t>0.01277000562266042</t>
  </si>
  <si>
    <t>full_b_sharpe_trp</t>
  </si>
  <si>
    <t>0.016790501998420564</t>
  </si>
  <si>
    <t>lookback_b_gain</t>
  </si>
  <si>
    <t>0.01842129267648779</t>
  </si>
  <si>
    <t>lookback_b_sharpe</t>
  </si>
  <si>
    <t>7.519907593864996</t>
  </si>
  <si>
    <t>lookback_b_sharpe_atrp</t>
  </si>
  <si>
    <t>0.15231180087724716</t>
  </si>
  <si>
    <t>lookback_b_sharpe_trp</t>
  </si>
  <si>
    <t>0.26028737755209663</t>
  </si>
  <si>
    <t>holding_b_gain</t>
  </si>
  <si>
    <t>-0.018600480298115105</t>
  </si>
  <si>
    <t>holding_b_sharpe</t>
  </si>
  <si>
    <t>-7.6347586991434975</t>
  </si>
  <si>
    <t>holding_b_sharpe_atrp</t>
  </si>
  <si>
    <t>-0.33626327944349094</t>
  </si>
  <si>
    <t>holding_b_sharpe_trp</t>
  </si>
  <si>
    <t>-0.3034961199255011</t>
  </si>
  <si>
    <t>Date</t>
  </si>
  <si>
    <t>Port_Value</t>
  </si>
  <si>
    <t>Port_ATRP</t>
  </si>
  <si>
    <t>Port_TRP</t>
  </si>
  <si>
    <t>Bench_Value</t>
  </si>
  <si>
    <t>Bench_ATRP</t>
  </si>
  <si>
    <t>Bench_TRP</t>
  </si>
  <si>
    <t>Port_Ret</t>
  </si>
  <si>
    <t>Bench_Ret</t>
  </si>
  <si>
    <t>Period_Label</t>
  </si>
  <si>
    <t>LOOKBACK</t>
  </si>
  <si>
    <t>HOLDING</t>
  </si>
  <si>
    <t>Adj Open</t>
  </si>
  <si>
    <t>Adj High</t>
  </si>
  <si>
    <t>Adj Low</t>
  </si>
  <si>
    <t>Adj Close</t>
  </si>
  <si>
    <t>Volume</t>
  </si>
  <si>
    <t>Ticker</t>
  </si>
  <si>
    <t>KKR</t>
  </si>
  <si>
    <t>ODFL</t>
  </si>
  <si>
    <t>ATR</t>
  </si>
  <si>
    <t>ATRP</t>
  </si>
  <si>
    <t>TRP</t>
  </si>
  <si>
    <t>RSI</t>
  </si>
  <si>
    <t>Mom_21</t>
  </si>
  <si>
    <t>Consistency</t>
  </si>
  <si>
    <t>IR_63</t>
  </si>
  <si>
    <t>Beta_63</t>
  </si>
  <si>
    <t>DD_21</t>
  </si>
  <si>
    <t>Ret_1d</t>
  </si>
  <si>
    <t>RollingStalePct</t>
  </si>
  <si>
    <t>RollMedDollarVol</t>
  </si>
  <si>
    <t>RollingSameVolCount</t>
  </si>
  <si>
    <t>Passed_Final</t>
  </si>
  <si>
    <t>A</t>
  </si>
  <si>
    <t>AA</t>
  </si>
  <si>
    <t>AAL</t>
  </si>
  <si>
    <t>AAON</t>
  </si>
  <si>
    <t>AAPL</t>
  </si>
  <si>
    <t>ABBV</t>
  </si>
  <si>
    <t>ABEV</t>
  </si>
  <si>
    <t>ABNB</t>
  </si>
  <si>
    <t>ABT</t>
  </si>
  <si>
    <t>ABVX</t>
  </si>
  <si>
    <t>ACGL</t>
  </si>
  <si>
    <t>ACI</t>
  </si>
  <si>
    <t>ACM</t>
  </si>
  <si>
    <t>ACN</t>
  </si>
  <si>
    <t>ACWI</t>
  </si>
  <si>
    <t>ACWX</t>
  </si>
  <si>
    <t>ADBE</t>
  </si>
  <si>
    <t>ADC</t>
  </si>
  <si>
    <t>ADI</t>
  </si>
  <si>
    <t>ADM</t>
  </si>
  <si>
    <t>ADP</t>
  </si>
  <si>
    <t>ADSK</t>
  </si>
  <si>
    <t>ADT</t>
  </si>
  <si>
    <t>AEE</t>
  </si>
  <si>
    <t>AEG</t>
  </si>
  <si>
    <t>AEIS</t>
  </si>
  <si>
    <t>AEM</t>
  </si>
  <si>
    <t>AEP</t>
  </si>
  <si>
    <t>AER</t>
  </si>
  <si>
    <t>AES</t>
  </si>
  <si>
    <t>AFG</t>
  </si>
  <si>
    <t>AFL</t>
  </si>
  <si>
    <t>AFRM</t>
  </si>
  <si>
    <t>AG</t>
  </si>
  <si>
    <t>AGCO</t>
  </si>
  <si>
    <t>AGG</t>
  </si>
  <si>
    <t>AGI</t>
  </si>
  <si>
    <t>AGNC</t>
  </si>
  <si>
    <t>AHR</t>
  </si>
  <si>
    <t>AIG</t>
  </si>
  <si>
    <t>AIQ</t>
  </si>
  <si>
    <t>AIRR</t>
  </si>
  <si>
    <t>AIT</t>
  </si>
  <si>
    <t>AIZ</t>
  </si>
  <si>
    <t>AJG</t>
  </si>
  <si>
    <t>AKAM</t>
  </si>
  <si>
    <t>AKRE</t>
  </si>
  <si>
    <t>AL</t>
  </si>
  <si>
    <t>ALAB</t>
  </si>
  <si>
    <t>ALB</t>
  </si>
  <si>
    <t>ALC</t>
  </si>
  <si>
    <t>ALGN</t>
  </si>
  <si>
    <t>ALL</t>
  </si>
  <si>
    <t>ALLE</t>
  </si>
  <si>
    <t>ALLY</t>
  </si>
  <si>
    <t>ALNY</t>
  </si>
  <si>
    <t>ALSN</t>
  </si>
  <si>
    <t>ALV</t>
  </si>
  <si>
    <t>AM</t>
  </si>
  <si>
    <t>AMAT</t>
  </si>
  <si>
    <t>AMCR</t>
  </si>
  <si>
    <t>AMD</t>
  </si>
  <si>
    <t>AME</t>
  </si>
  <si>
    <t>AMG</t>
  </si>
  <si>
    <t>AMGN</t>
  </si>
  <si>
    <t>AMH</t>
  </si>
  <si>
    <t>AMKR</t>
  </si>
  <si>
    <t>AMLP</t>
  </si>
  <si>
    <t>AMP</t>
  </si>
  <si>
    <t>AMRZ</t>
  </si>
  <si>
    <t>AMT</t>
  </si>
  <si>
    <t>AMTM</t>
  </si>
  <si>
    <t>AMX</t>
  </si>
  <si>
    <t>AMZN</t>
  </si>
  <si>
    <t>AN</t>
  </si>
  <si>
    <t>ANET</t>
  </si>
  <si>
    <t>AON</t>
  </si>
  <si>
    <t>AOS</t>
  </si>
  <si>
    <t>APA</t>
  </si>
  <si>
    <t>APD</t>
  </si>
  <si>
    <t>APG</t>
  </si>
  <si>
    <t>APH</t>
  </si>
  <si>
    <t>APLD</t>
  </si>
  <si>
    <t>APO</t>
  </si>
  <si>
    <t>APP</t>
  </si>
  <si>
    <t>APPF</t>
  </si>
  <si>
    <t>APTV</t>
  </si>
  <si>
    <t>AR</t>
  </si>
  <si>
    <t>ARCC</t>
  </si>
  <si>
    <t>ARE</t>
  </si>
  <si>
    <t>ARES</t>
  </si>
  <si>
    <t>ARGX</t>
  </si>
  <si>
    <t>ARKK</t>
  </si>
  <si>
    <t>ARM</t>
  </si>
  <si>
    <t>ARMK</t>
  </si>
  <si>
    <t>ARWR</t>
  </si>
  <si>
    <t>AS</t>
  </si>
  <si>
    <t>ASML</t>
  </si>
  <si>
    <t>ASND</t>
  </si>
  <si>
    <t>ASR</t>
  </si>
  <si>
    <t>ASTS</t>
  </si>
  <si>
    <t>ASX</t>
  </si>
  <si>
    <t>ATI</t>
  </si>
  <si>
    <t>ATO</t>
  </si>
  <si>
    <t>AU</t>
  </si>
  <si>
    <t>AUR</t>
  </si>
  <si>
    <t>AVAV</t>
  </si>
  <si>
    <t>AVB</t>
  </si>
  <si>
    <t>AVDE</t>
  </si>
  <si>
    <t>AVDV</t>
  </si>
  <si>
    <t>AVEM</t>
  </si>
  <si>
    <t>AVGO</t>
  </si>
  <si>
    <t>AVLV</t>
  </si>
  <si>
    <t>AVTR</t>
  </si>
  <si>
    <t>AVUS</t>
  </si>
  <si>
    <t>AVUV</t>
  </si>
  <si>
    <t>AVY</t>
  </si>
  <si>
    <t>AWI</t>
  </si>
  <si>
    <t>AWK</t>
  </si>
  <si>
    <t>AXIA</t>
  </si>
  <si>
    <t>AXON</t>
  </si>
  <si>
    <t>AXP</t>
  </si>
  <si>
    <t>AXS</t>
  </si>
  <si>
    <t>AXSM</t>
  </si>
  <si>
    <t>AXTA</t>
  </si>
  <si>
    <t>AYI</t>
  </si>
  <si>
    <t>AZN</t>
  </si>
  <si>
    <t>AZO</t>
  </si>
  <si>
    <t>B</t>
  </si>
  <si>
    <t>BA</t>
  </si>
  <si>
    <t>BABA</t>
  </si>
  <si>
    <t>BAC</t>
  </si>
  <si>
    <t>BAH</t>
  </si>
  <si>
    <t>BAI</t>
  </si>
  <si>
    <t>BALL</t>
  </si>
  <si>
    <t>BAM</t>
  </si>
  <si>
    <t>BAP</t>
  </si>
  <si>
    <t>BAX</t>
  </si>
  <si>
    <t>BBAX</t>
  </si>
  <si>
    <t>BBCA</t>
  </si>
  <si>
    <t>BBD</t>
  </si>
  <si>
    <t>BBEU</t>
  </si>
  <si>
    <t>BBIN</t>
  </si>
  <si>
    <t>BBIO</t>
  </si>
  <si>
    <t>BBJP</t>
  </si>
  <si>
    <t>BBUS</t>
  </si>
  <si>
    <t>BBVA</t>
  </si>
  <si>
    <t>BBY</t>
  </si>
  <si>
    <t>BCE</t>
  </si>
  <si>
    <t>BCH</t>
  </si>
  <si>
    <t>BCS</t>
  </si>
  <si>
    <t>BDX</t>
  </si>
  <si>
    <t>BE</t>
  </si>
  <si>
    <t>BEKE</t>
  </si>
  <si>
    <t>BEN</t>
  </si>
  <si>
    <t>BEP</t>
  </si>
  <si>
    <t>BEPC</t>
  </si>
  <si>
    <t>BETA</t>
  </si>
  <si>
    <t>BF-A</t>
  </si>
  <si>
    <t>BF-B</t>
  </si>
  <si>
    <t>BG</t>
  </si>
  <si>
    <t>BHP</t>
  </si>
  <si>
    <t>BIDU</t>
  </si>
  <si>
    <t>BIIB</t>
  </si>
  <si>
    <t>BIL</t>
  </si>
  <si>
    <t>BILI</t>
  </si>
  <si>
    <t>BINC</t>
  </si>
  <si>
    <t>BIO</t>
  </si>
  <si>
    <t>BIP</t>
  </si>
  <si>
    <t>BIRK</t>
  </si>
  <si>
    <t>BIV</t>
  </si>
  <si>
    <t>BJ</t>
  </si>
  <si>
    <t>BK</t>
  </si>
  <si>
    <t>BKLC</t>
  </si>
  <si>
    <t>BKLN</t>
  </si>
  <si>
    <t>BKNG</t>
  </si>
  <si>
    <t>BKR</t>
  </si>
  <si>
    <t>BLD</t>
  </si>
  <si>
    <t>BLDR</t>
  </si>
  <si>
    <t>BLK</t>
  </si>
  <si>
    <t>BLSH</t>
  </si>
  <si>
    <t>BLV</t>
  </si>
  <si>
    <t>BMNR</t>
  </si>
  <si>
    <t>BMO</t>
  </si>
  <si>
    <t>BMRN</t>
  </si>
  <si>
    <t>BMY</t>
  </si>
  <si>
    <t>BN</t>
  </si>
  <si>
    <t>BND</t>
  </si>
  <si>
    <t>BNDX</t>
  </si>
  <si>
    <t>BNS</t>
  </si>
  <si>
    <t>BNT</t>
  </si>
  <si>
    <t>BNTX</t>
  </si>
  <si>
    <t>BOKF</t>
  </si>
  <si>
    <t>BOND</t>
  </si>
  <si>
    <t>BOXX</t>
  </si>
  <si>
    <t>BP</t>
  </si>
  <si>
    <t>BPOP</t>
  </si>
  <si>
    <t>BR</t>
  </si>
  <si>
    <t>BRK-A</t>
  </si>
  <si>
    <t>BRK-B</t>
  </si>
  <si>
    <t>BRKR</t>
  </si>
  <si>
    <t>BRO</t>
  </si>
  <si>
    <t>BROS</t>
  </si>
  <si>
    <t>BRX</t>
  </si>
  <si>
    <t>BSAC</t>
  </si>
  <si>
    <t>BSBR</t>
  </si>
  <si>
    <t>BSCQ</t>
  </si>
  <si>
    <t>BSCR</t>
  </si>
  <si>
    <t>BSV</t>
  </si>
  <si>
    <t>BSX</t>
  </si>
  <si>
    <t>BSY</t>
  </si>
  <si>
    <t>BTC</t>
  </si>
  <si>
    <t>BTI</t>
  </si>
  <si>
    <t>BUD</t>
  </si>
  <si>
    <t>BUFR</t>
  </si>
  <si>
    <t>BURL</t>
  </si>
  <si>
    <t>BVN</t>
  </si>
  <si>
    <t>BWA</t>
  </si>
  <si>
    <t>BWXT</t>
  </si>
  <si>
    <t>BX</t>
  </si>
  <si>
    <t>BXP</t>
  </si>
  <si>
    <t>BYD</t>
  </si>
  <si>
    <t>BZ</t>
  </si>
  <si>
    <t>C</t>
  </si>
  <si>
    <t>CACI</t>
  </si>
  <si>
    <t>CAE</t>
  </si>
  <si>
    <t>CAG</t>
  </si>
  <si>
    <t>CAH</t>
  </si>
  <si>
    <t>CAI</t>
  </si>
  <si>
    <t>CARR</t>
  </si>
  <si>
    <t>CART</t>
  </si>
  <si>
    <t>CASY</t>
  </si>
  <si>
    <t>CAT</t>
  </si>
  <si>
    <t>CB</t>
  </si>
  <si>
    <t>CBOE</t>
  </si>
  <si>
    <t>CBRE</t>
  </si>
  <si>
    <t>CBSH</t>
  </si>
  <si>
    <t>CCEP</t>
  </si>
  <si>
    <t>CCI</t>
  </si>
  <si>
    <t>CCJ</t>
  </si>
  <si>
    <t>CCK</t>
  </si>
  <si>
    <t>CCL</t>
  </si>
  <si>
    <t>CDE</t>
  </si>
  <si>
    <t>CDNS</t>
  </si>
  <si>
    <t>CDP</t>
  </si>
  <si>
    <t>CDW</t>
  </si>
  <si>
    <t>CEF</t>
  </si>
  <si>
    <t>CEG</t>
  </si>
  <si>
    <t>CELH</t>
  </si>
  <si>
    <t>CF</t>
  </si>
  <si>
    <t>CFG</t>
  </si>
  <si>
    <t>CFLT</t>
  </si>
  <si>
    <t>CFR</t>
  </si>
  <si>
    <t>CG</t>
  </si>
  <si>
    <t>CGBL</t>
  </si>
  <si>
    <t>CGCP</t>
  </si>
  <si>
    <t>CGDV</t>
  </si>
  <si>
    <t>CGGO</t>
  </si>
  <si>
    <t>CGGR</t>
  </si>
  <si>
    <t>CGMU</t>
  </si>
  <si>
    <t>CGUS</t>
  </si>
  <si>
    <t>CGXU</t>
  </si>
  <si>
    <t>CHD</t>
  </si>
  <si>
    <t>CHDN</t>
  </si>
  <si>
    <t>CHKP</t>
  </si>
  <si>
    <t>CHRW</t>
  </si>
  <si>
    <t>CHT</t>
  </si>
  <si>
    <t>CHTR</t>
  </si>
  <si>
    <t>CHWY</t>
  </si>
  <si>
    <t>CHYM</t>
  </si>
  <si>
    <t>CI</t>
  </si>
  <si>
    <t>CIB</t>
  </si>
  <si>
    <t>CIBR</t>
  </si>
  <si>
    <t>CIEN</t>
  </si>
  <si>
    <t>CIFR</t>
  </si>
  <si>
    <t>CIGI</t>
  </si>
  <si>
    <t>CINF</t>
  </si>
  <si>
    <t>CL</t>
  </si>
  <si>
    <t>CLF</t>
  </si>
  <si>
    <t>CLH</t>
  </si>
  <si>
    <t>CLS</t>
  </si>
  <si>
    <t>CLX</t>
  </si>
  <si>
    <t>CM</t>
  </si>
  <si>
    <t>CMC</t>
  </si>
  <si>
    <t>CMCSA</t>
  </si>
  <si>
    <t>CME</t>
  </si>
  <si>
    <t>CMG</t>
  </si>
  <si>
    <t>CMI</t>
  </si>
  <si>
    <t>CMS</t>
  </si>
  <si>
    <t>CNA</t>
  </si>
  <si>
    <t>CNC</t>
  </si>
  <si>
    <t>CNH</t>
  </si>
  <si>
    <t>CNI</t>
  </si>
  <si>
    <t>CNM</t>
  </si>
  <si>
    <t>CNP</t>
  </si>
  <si>
    <t>CNQ</t>
  </si>
  <si>
    <t>COF</t>
  </si>
  <si>
    <t>COHR</t>
  </si>
  <si>
    <t>COIN</t>
  </si>
  <si>
    <t>COKE</t>
  </si>
  <si>
    <t>COLB</t>
  </si>
  <si>
    <t>COO</t>
  </si>
  <si>
    <t>COP</t>
  </si>
  <si>
    <t>COPX</t>
  </si>
  <si>
    <t>COR</t>
  </si>
  <si>
    <t>CORT</t>
  </si>
  <si>
    <t>COST</t>
  </si>
  <si>
    <t>COWZ</t>
  </si>
  <si>
    <t>CP</t>
  </si>
  <si>
    <t>CPAY</t>
  </si>
  <si>
    <t>CPB</t>
  </si>
  <si>
    <t>CPNG</t>
  </si>
  <si>
    <t>CPRT</t>
  </si>
  <si>
    <t>CPT</t>
  </si>
  <si>
    <t>CQP</t>
  </si>
  <si>
    <t>CR</t>
  </si>
  <si>
    <t>CRBG</t>
  </si>
  <si>
    <t>CRCL</t>
  </si>
  <si>
    <t>CRDO</t>
  </si>
  <si>
    <t>CRH</t>
  </si>
  <si>
    <t>CRK</t>
  </si>
  <si>
    <t>CRL</t>
  </si>
  <si>
    <t>CRM</t>
  </si>
  <si>
    <t>CRS</t>
  </si>
  <si>
    <t>CRWD</t>
  </si>
  <si>
    <t>CRWV</t>
  </si>
  <si>
    <t>CSCO</t>
  </si>
  <si>
    <t>CSGP</t>
  </si>
  <si>
    <t>CSL</t>
  </si>
  <si>
    <t>CSX</t>
  </si>
  <si>
    <t>CTAS</t>
  </si>
  <si>
    <t>CTRA</t>
  </si>
  <si>
    <t>CTRE</t>
  </si>
  <si>
    <t>CTSH</t>
  </si>
  <si>
    <t>CTVA</t>
  </si>
  <si>
    <t>CUBE</t>
  </si>
  <si>
    <t>CVE</t>
  </si>
  <si>
    <t>CVNA</t>
  </si>
  <si>
    <t>CVS</t>
  </si>
  <si>
    <t>CVX</t>
  </si>
  <si>
    <t>CW</t>
  </si>
  <si>
    <t>CWB</t>
  </si>
  <si>
    <t>CWEN</t>
  </si>
  <si>
    <t>CWEN-A</t>
  </si>
  <si>
    <t>CX</t>
  </si>
  <si>
    <t>CYBR</t>
  </si>
  <si>
    <t>CYTK</t>
  </si>
  <si>
    <t>D</t>
  </si>
  <si>
    <t>DAL</t>
  </si>
  <si>
    <t>DASH</t>
  </si>
  <si>
    <t>DAY</t>
  </si>
  <si>
    <t>DB</t>
  </si>
  <si>
    <t>DBEF</t>
  </si>
  <si>
    <t>DBX</t>
  </si>
  <si>
    <t>DCI</t>
  </si>
  <si>
    <t>DD</t>
  </si>
  <si>
    <t>DDOG</t>
  </si>
  <si>
    <t>DDS</t>
  </si>
  <si>
    <t>DE</t>
  </si>
  <si>
    <t>DECK</t>
  </si>
  <si>
    <t>DELL</t>
  </si>
  <si>
    <t>DEO</t>
  </si>
  <si>
    <t>DFAC</t>
  </si>
  <si>
    <t>DFAE</t>
  </si>
  <si>
    <t>DFAI</t>
  </si>
  <si>
    <t>DFAS</t>
  </si>
  <si>
    <t>DFAT</t>
  </si>
  <si>
    <t>DFAU</t>
  </si>
  <si>
    <t>DFAX</t>
  </si>
  <si>
    <t>DFCF</t>
  </si>
  <si>
    <t>DFEM</t>
  </si>
  <si>
    <t>DFIC</t>
  </si>
  <si>
    <t>DFIS</t>
  </si>
  <si>
    <t>DFIV</t>
  </si>
  <si>
    <t>DFLV</t>
  </si>
  <si>
    <t>DFSD</t>
  </si>
  <si>
    <t>DFSV</t>
  </si>
  <si>
    <t>DFUS</t>
  </si>
  <si>
    <t>DFUV</t>
  </si>
  <si>
    <t>DG</t>
  </si>
  <si>
    <t>DGRO</t>
  </si>
  <si>
    <t>DGRW</t>
  </si>
  <si>
    <t>DGX</t>
  </si>
  <si>
    <t>DHI</t>
  </si>
  <si>
    <t>DHR</t>
  </si>
  <si>
    <t>DIA</t>
  </si>
  <si>
    <t>DIHP</t>
  </si>
  <si>
    <t>DINO</t>
  </si>
  <si>
    <t>DIS</t>
  </si>
  <si>
    <t>DIVO</t>
  </si>
  <si>
    <t>DKNG</t>
  </si>
  <si>
    <t>DKS</t>
  </si>
  <si>
    <t>DLN</t>
  </si>
  <si>
    <t>DLR</t>
  </si>
  <si>
    <t>DLTR</t>
  </si>
  <si>
    <t>DOC</t>
  </si>
  <si>
    <t>DOCS</t>
  </si>
  <si>
    <t>DOCU</t>
  </si>
  <si>
    <t>DON</t>
  </si>
  <si>
    <t>DOV</t>
  </si>
  <si>
    <t>DOW</t>
  </si>
  <si>
    <t>DOX</t>
  </si>
  <si>
    <t>DPZ</t>
  </si>
  <si>
    <t>DRI</t>
  </si>
  <si>
    <t>DRS</t>
  </si>
  <si>
    <t>DSGX</t>
  </si>
  <si>
    <t>DSI</t>
  </si>
  <si>
    <t>DT</t>
  </si>
  <si>
    <t>DTE</t>
  </si>
  <si>
    <t>DTM</t>
  </si>
  <si>
    <t>DUHP</t>
  </si>
  <si>
    <t>DUK</t>
  </si>
  <si>
    <t>DUOL</t>
  </si>
  <si>
    <t>DVA</t>
  </si>
  <si>
    <t>DVN</t>
  </si>
  <si>
    <t>DVY</t>
  </si>
  <si>
    <t>DXCM</t>
  </si>
  <si>
    <t>DXJ</t>
  </si>
  <si>
    <t>DY</t>
  </si>
  <si>
    <t>DYNF</t>
  </si>
  <si>
    <t>E</t>
  </si>
  <si>
    <t>EA</t>
  </si>
  <si>
    <t>EAGG</t>
  </si>
  <si>
    <t>EBAY</t>
  </si>
  <si>
    <t>EC</t>
  </si>
  <si>
    <t>ECL</t>
  </si>
  <si>
    <t>ED</t>
  </si>
  <si>
    <t>EDU</t>
  </si>
  <si>
    <t>EDV</t>
  </si>
  <si>
    <t>EEM</t>
  </si>
  <si>
    <t>EFA</t>
  </si>
  <si>
    <t>EFAV</t>
  </si>
  <si>
    <t>EFG</t>
  </si>
  <si>
    <t>EFV</t>
  </si>
  <si>
    <t>EFX</t>
  </si>
  <si>
    <t>EG</t>
  </si>
  <si>
    <t>EGO</t>
  </si>
  <si>
    <t>EGP</t>
  </si>
  <si>
    <t>EHC</t>
  </si>
  <si>
    <t>EIX</t>
  </si>
  <si>
    <t>EL</t>
  </si>
  <si>
    <t>ELAN</t>
  </si>
  <si>
    <t>ELS</t>
  </si>
  <si>
    <t>ELV</t>
  </si>
  <si>
    <t>EMA</t>
  </si>
  <si>
    <t>EMB</t>
  </si>
  <si>
    <t>EMBJ</t>
  </si>
  <si>
    <t>EME</t>
  </si>
  <si>
    <t>EMLC</t>
  </si>
  <si>
    <t>EMN</t>
  </si>
  <si>
    <t>EMR</t>
  </si>
  <si>
    <t>EMXC</t>
  </si>
  <si>
    <t>ENB</t>
  </si>
  <si>
    <t>ENSG</t>
  </si>
  <si>
    <t>ENTG</t>
  </si>
  <si>
    <t>EOG</t>
  </si>
  <si>
    <t>EPAM</t>
  </si>
  <si>
    <t>EPD</t>
  </si>
  <si>
    <t>EQH</t>
  </si>
  <si>
    <t>EQIX</t>
  </si>
  <si>
    <t>EQNR</t>
  </si>
  <si>
    <t>EQR</t>
  </si>
  <si>
    <t>EQT</t>
  </si>
  <si>
    <t>EQX</t>
  </si>
  <si>
    <t>ERIC</t>
  </si>
  <si>
    <t>ERIE</t>
  </si>
  <si>
    <t>ES</t>
  </si>
  <si>
    <t>ESAB</t>
  </si>
  <si>
    <t>ESGD</t>
  </si>
  <si>
    <t>ESGE</t>
  </si>
  <si>
    <t>ESGU</t>
  </si>
  <si>
    <t>ESGV</t>
  </si>
  <si>
    <t>ESLT</t>
  </si>
  <si>
    <t>ESS</t>
  </si>
  <si>
    <t>ESTC</t>
  </si>
  <si>
    <t>ET</t>
  </si>
  <si>
    <t>ETHA</t>
  </si>
  <si>
    <t>ETN</t>
  </si>
  <si>
    <t>ETR</t>
  </si>
  <si>
    <t>EUFN</t>
  </si>
  <si>
    <t>EVR</t>
  </si>
  <si>
    <t>EVRG</t>
  </si>
  <si>
    <t>EVTR</t>
  </si>
  <si>
    <t>EW</t>
  </si>
  <si>
    <t>EWBC</t>
  </si>
  <si>
    <t>EWJ</t>
  </si>
  <si>
    <t>EWT</t>
  </si>
  <si>
    <t>EWY</t>
  </si>
  <si>
    <t>EWZ</t>
  </si>
  <si>
    <t>EXAS</t>
  </si>
  <si>
    <t>EXC</t>
  </si>
  <si>
    <t>EXE</t>
  </si>
  <si>
    <t>EXEL</t>
  </si>
  <si>
    <t>EXLS</t>
  </si>
  <si>
    <t>EXP</t>
  </si>
  <si>
    <t>EXPD</t>
  </si>
  <si>
    <t>EXPE</t>
  </si>
  <si>
    <t>EXR</t>
  </si>
  <si>
    <t>EZU</t>
  </si>
  <si>
    <t>F</t>
  </si>
  <si>
    <t>FAF</t>
  </si>
  <si>
    <t>FANG</t>
  </si>
  <si>
    <t>FAST</t>
  </si>
  <si>
    <t>FBCG</t>
  </si>
  <si>
    <t>FBND</t>
  </si>
  <si>
    <t>FBTC</t>
  </si>
  <si>
    <t>FCFS</t>
  </si>
  <si>
    <t>FCNCA</t>
  </si>
  <si>
    <t>FCX</t>
  </si>
  <si>
    <t>FDL</t>
  </si>
  <si>
    <t>FDN</t>
  </si>
  <si>
    <t>FDS</t>
  </si>
  <si>
    <t>FDVV</t>
  </si>
  <si>
    <t>FDX</t>
  </si>
  <si>
    <t>FE</t>
  </si>
  <si>
    <t>FELC</t>
  </si>
  <si>
    <t>FELG</t>
  </si>
  <si>
    <t>FENI</t>
  </si>
  <si>
    <t>FER</t>
  </si>
  <si>
    <t>FERG</t>
  </si>
  <si>
    <t>FEZ</t>
  </si>
  <si>
    <t>FFIV</t>
  </si>
  <si>
    <t>FHN</t>
  </si>
  <si>
    <t>FICO</t>
  </si>
  <si>
    <t>FIG</t>
  </si>
  <si>
    <t>FIGR</t>
  </si>
  <si>
    <t>FIS</t>
  </si>
  <si>
    <t>FISV</t>
  </si>
  <si>
    <t>FITB</t>
  </si>
  <si>
    <t>FIVE</t>
  </si>
  <si>
    <t>FIX</t>
  </si>
  <si>
    <t>FLEX</t>
  </si>
  <si>
    <t>FLOT</t>
  </si>
  <si>
    <t>FLR</t>
  </si>
  <si>
    <t>FLS</t>
  </si>
  <si>
    <t>FLUT</t>
  </si>
  <si>
    <t>FMDE</t>
  </si>
  <si>
    <t>FMS</t>
  </si>
  <si>
    <t>FMX</t>
  </si>
  <si>
    <t>FN</t>
  </si>
  <si>
    <t>FND</t>
  </si>
  <si>
    <t>FNDA</t>
  </si>
  <si>
    <t>FNDE</t>
  </si>
  <si>
    <t>FNDF</t>
  </si>
  <si>
    <t>FNDX</t>
  </si>
  <si>
    <t>FNF</t>
  </si>
  <si>
    <t>FNV</t>
  </si>
  <si>
    <t>FOX</t>
  </si>
  <si>
    <t>FOXA</t>
  </si>
  <si>
    <t>FPE</t>
  </si>
  <si>
    <t>FR</t>
  </si>
  <si>
    <t>FRHC</t>
  </si>
  <si>
    <t>FRMI</t>
  </si>
  <si>
    <t>FROG</t>
  </si>
  <si>
    <t>FRT</t>
  </si>
  <si>
    <t>FSEC</t>
  </si>
  <si>
    <t>FSLR</t>
  </si>
  <si>
    <t>FSS</t>
  </si>
  <si>
    <t>FSV</t>
  </si>
  <si>
    <t>FTAI</t>
  </si>
  <si>
    <t>FTCS</t>
  </si>
  <si>
    <t>FTEC</t>
  </si>
  <si>
    <t>FTI</t>
  </si>
  <si>
    <t>FTNT</t>
  </si>
  <si>
    <t>FTS</t>
  </si>
  <si>
    <t>FTSM</t>
  </si>
  <si>
    <t>FTV</t>
  </si>
  <si>
    <t>FUTU</t>
  </si>
  <si>
    <t>FVD</t>
  </si>
  <si>
    <t>FWONA</t>
  </si>
  <si>
    <t>FWONK</t>
  </si>
  <si>
    <t>FXI</t>
  </si>
  <si>
    <t>G</t>
  </si>
  <si>
    <t>GAP</t>
  </si>
  <si>
    <t>GBIL</t>
  </si>
  <si>
    <t>GBTC</t>
  </si>
  <si>
    <t>GD</t>
  </si>
  <si>
    <t>GDDY</t>
  </si>
  <si>
    <t>GDS</t>
  </si>
  <si>
    <t>GDX</t>
  </si>
  <si>
    <t>GDXJ</t>
  </si>
  <si>
    <t>GE</t>
  </si>
  <si>
    <t>GEHC</t>
  </si>
  <si>
    <t>GEN</t>
  </si>
  <si>
    <t>GEV</t>
  </si>
  <si>
    <t>GFI</t>
  </si>
  <si>
    <t>GFL</t>
  </si>
  <si>
    <t>GFS</t>
  </si>
  <si>
    <t>GGAL</t>
  </si>
  <si>
    <t>GGG</t>
  </si>
  <si>
    <t>GH</t>
  </si>
  <si>
    <t>GIB</t>
  </si>
  <si>
    <t>GIL</t>
  </si>
  <si>
    <t>GILD</t>
  </si>
  <si>
    <t>GIS</t>
  </si>
  <si>
    <t>GL</t>
  </si>
  <si>
    <t>GLBE</t>
  </si>
  <si>
    <t>GLD</t>
  </si>
  <si>
    <t>GLDM</t>
  </si>
  <si>
    <t>GLPI</t>
  </si>
  <si>
    <t>GLW</t>
  </si>
  <si>
    <t>GM</t>
  </si>
  <si>
    <t>GMAB</t>
  </si>
  <si>
    <t>GME</t>
  </si>
  <si>
    <t>GMED</t>
  </si>
  <si>
    <t>GNRC</t>
  </si>
  <si>
    <t>GOOG</t>
  </si>
  <si>
    <t>GOOGL</t>
  </si>
  <si>
    <t>GOVT</t>
  </si>
  <si>
    <t>GPC</t>
  </si>
  <si>
    <t>GPN</t>
  </si>
  <si>
    <t>GRAB</t>
  </si>
  <si>
    <t>GRID</t>
  </si>
  <si>
    <t>GRMN</t>
  </si>
  <si>
    <t>GS</t>
  </si>
  <si>
    <t>GSAT</t>
  </si>
  <si>
    <t>GSIE</t>
  </si>
  <si>
    <t>GSK</t>
  </si>
  <si>
    <t>GSLC</t>
  </si>
  <si>
    <t>GTLB</t>
  </si>
  <si>
    <t>GTLS</t>
  </si>
  <si>
    <t>GUNR</t>
  </si>
  <si>
    <t>GWRE</t>
  </si>
  <si>
    <t>GWW</t>
  </si>
  <si>
    <t>H</t>
  </si>
  <si>
    <t>HAL</t>
  </si>
  <si>
    <t>HALO</t>
  </si>
  <si>
    <t>HAS</t>
  </si>
  <si>
    <t>HBAN</t>
  </si>
  <si>
    <t>HBM</t>
  </si>
  <si>
    <t>HCA</t>
  </si>
  <si>
    <t>HD</t>
  </si>
  <si>
    <t>HDB</t>
  </si>
  <si>
    <t>HDV</t>
  </si>
  <si>
    <t>HEFA</t>
  </si>
  <si>
    <t>HEI</t>
  </si>
  <si>
    <t>HEI-A</t>
  </si>
  <si>
    <t>HESM</t>
  </si>
  <si>
    <t>HIG</t>
  </si>
  <si>
    <t>HII</t>
  </si>
  <si>
    <t>HIMS</t>
  </si>
  <si>
    <t>HL</t>
  </si>
  <si>
    <t>HLI</t>
  </si>
  <si>
    <t>HLN</t>
  </si>
  <si>
    <t>HLNE</t>
  </si>
  <si>
    <t>HLT</t>
  </si>
  <si>
    <t>HMC</t>
  </si>
  <si>
    <t>HMY</t>
  </si>
  <si>
    <t>HOLX</t>
  </si>
  <si>
    <t>HON</t>
  </si>
  <si>
    <t>HOOD</t>
  </si>
  <si>
    <t>HPE</t>
  </si>
  <si>
    <t>HPQ</t>
  </si>
  <si>
    <t>HQY</t>
  </si>
  <si>
    <t>HRL</t>
  </si>
  <si>
    <t>HSBC</t>
  </si>
  <si>
    <t>HSIC</t>
  </si>
  <si>
    <t>HST</t>
  </si>
  <si>
    <t>HSY</t>
  </si>
  <si>
    <t>HTHT</t>
  </si>
  <si>
    <t>HUBB</t>
  </si>
  <si>
    <t>HUBS</t>
  </si>
  <si>
    <t>HUM</t>
  </si>
  <si>
    <t>HWM</t>
  </si>
  <si>
    <t>HYG</t>
  </si>
  <si>
    <t>IAG</t>
  </si>
  <si>
    <t>IAGG</t>
  </si>
  <si>
    <t>IAU</t>
  </si>
  <si>
    <t>IAUM</t>
  </si>
  <si>
    <t>IBB</t>
  </si>
  <si>
    <t>IBIT</t>
  </si>
  <si>
    <t>IBKR</t>
  </si>
  <si>
    <t>IBM</t>
  </si>
  <si>
    <t>IBN</t>
  </si>
  <si>
    <t>IBP</t>
  </si>
  <si>
    <t>ICE</t>
  </si>
  <si>
    <t>ICL</t>
  </si>
  <si>
    <t>ICLR</t>
  </si>
  <si>
    <t>ICSH</t>
  </si>
  <si>
    <t>IDA</t>
  </si>
  <si>
    <t>IDCC</t>
  </si>
  <si>
    <t>IDEV</t>
  </si>
  <si>
    <t>IDV</t>
  </si>
  <si>
    <t>IDXX</t>
  </si>
  <si>
    <t>IEF</t>
  </si>
  <si>
    <t>IEFA</t>
  </si>
  <si>
    <t>IEI</t>
  </si>
  <si>
    <t>IEMG</t>
  </si>
  <si>
    <t>IESC</t>
  </si>
  <si>
    <t>IEUR</t>
  </si>
  <si>
    <t>IEX</t>
  </si>
  <si>
    <t>IFF</t>
  </si>
  <si>
    <t>IGF</t>
  </si>
  <si>
    <t>IGIB</t>
  </si>
  <si>
    <t>IGM</t>
  </si>
  <si>
    <t>IGSB</t>
  </si>
  <si>
    <t>IGV</t>
  </si>
  <si>
    <t>IHG</t>
  </si>
  <si>
    <t>IHI</t>
  </si>
  <si>
    <t>IJH</t>
  </si>
  <si>
    <t>IJJ</t>
  </si>
  <si>
    <t>IJK</t>
  </si>
  <si>
    <t>IJR</t>
  </si>
  <si>
    <t>IJS</t>
  </si>
  <si>
    <t>IJT</t>
  </si>
  <si>
    <t>ILMN</t>
  </si>
  <si>
    <t>IMO</t>
  </si>
  <si>
    <t>INCY</t>
  </si>
  <si>
    <t>INDA</t>
  </si>
  <si>
    <t>INFY</t>
  </si>
  <si>
    <t>ING</t>
  </si>
  <si>
    <t>INGR</t>
  </si>
  <si>
    <t>INSM</t>
  </si>
  <si>
    <t>INTC</t>
  </si>
  <si>
    <t>INTU</t>
  </si>
  <si>
    <t>INVH</t>
  </si>
  <si>
    <t>IONQ</t>
  </si>
  <si>
    <t>IONS</t>
  </si>
  <si>
    <t>IOO</t>
  </si>
  <si>
    <t>IOT</t>
  </si>
  <si>
    <t>IP</t>
  </si>
  <si>
    <t>IQLT</t>
  </si>
  <si>
    <t>IQV</t>
  </si>
  <si>
    <t>IR</t>
  </si>
  <si>
    <t>IREN</t>
  </si>
  <si>
    <t>IRM</t>
  </si>
  <si>
    <t>ISRG</t>
  </si>
  <si>
    <t>ISTB</t>
  </si>
  <si>
    <t>IT</t>
  </si>
  <si>
    <t>ITA</t>
  </si>
  <si>
    <t>ITOT</t>
  </si>
  <si>
    <t>ITT</t>
  </si>
  <si>
    <t>ITUB</t>
  </si>
  <si>
    <t>ITW</t>
  </si>
  <si>
    <t>IUSB</t>
  </si>
  <si>
    <t>IUSG</t>
  </si>
  <si>
    <t>IUSV</t>
  </si>
  <si>
    <t>IVE</t>
  </si>
  <si>
    <t>IVV</t>
  </si>
  <si>
    <t>IVW</t>
  </si>
  <si>
    <t>IVZ</t>
  </si>
  <si>
    <t>IWB</t>
  </si>
  <si>
    <t>IWD</t>
  </si>
  <si>
    <t>IWF</t>
  </si>
  <si>
    <t>IWM</t>
  </si>
  <si>
    <t>IWN</t>
  </si>
  <si>
    <t>IWO</t>
  </si>
  <si>
    <t>IWP</t>
  </si>
  <si>
    <t>IWR</t>
  </si>
  <si>
    <t>IWS</t>
  </si>
  <si>
    <t>IWV</t>
  </si>
  <si>
    <t>IWY</t>
  </si>
  <si>
    <t>IX</t>
  </si>
  <si>
    <t>IXJ</t>
  </si>
  <si>
    <t>IXN</t>
  </si>
  <si>
    <t>IXUS</t>
  </si>
  <si>
    <t>IYF</t>
  </si>
  <si>
    <t>IYR</t>
  </si>
  <si>
    <t>IYW</t>
  </si>
  <si>
    <t>J</t>
  </si>
  <si>
    <t>JAAA</t>
  </si>
  <si>
    <t>JAVA</t>
  </si>
  <si>
    <t>JAZZ</t>
  </si>
  <si>
    <t>JBHT</t>
  </si>
  <si>
    <t>JBL</t>
  </si>
  <si>
    <t>JBND</t>
  </si>
  <si>
    <t>JBS</t>
  </si>
  <si>
    <t>JBTM</t>
  </si>
  <si>
    <t>JCI</t>
  </si>
  <si>
    <t>JCPB</t>
  </si>
  <si>
    <t>JD</t>
  </si>
  <si>
    <t>JEF</t>
  </si>
  <si>
    <t>JEPI</t>
  </si>
  <si>
    <t>JEPQ</t>
  </si>
  <si>
    <t>JGLO</t>
  </si>
  <si>
    <t>JGRO</t>
  </si>
  <si>
    <t>JHG</t>
  </si>
  <si>
    <t>JHMM</t>
  </si>
  <si>
    <t>JHX</t>
  </si>
  <si>
    <t>JIRE</t>
  </si>
  <si>
    <t>JKHY</t>
  </si>
  <si>
    <t>JLL</t>
  </si>
  <si>
    <t>JMBS</t>
  </si>
  <si>
    <t>JMST</t>
  </si>
  <si>
    <t>JMTG</t>
  </si>
  <si>
    <t>JMUB</t>
  </si>
  <si>
    <t>JNJ</t>
  </si>
  <si>
    <t>JNK</t>
  </si>
  <si>
    <t>JOBY</t>
  </si>
  <si>
    <t>JPIE</t>
  </si>
  <si>
    <t>JPM</t>
  </si>
  <si>
    <t>JPST</t>
  </si>
  <si>
    <t>JQUA</t>
  </si>
  <si>
    <t>JXN</t>
  </si>
  <si>
    <t>KB</t>
  </si>
  <si>
    <t>KBWB</t>
  </si>
  <si>
    <t>KDP</t>
  </si>
  <si>
    <t>KEP</t>
  </si>
  <si>
    <t>KEY</t>
  </si>
  <si>
    <t>KEYS</t>
  </si>
  <si>
    <t>KGC</t>
  </si>
  <si>
    <t>KHC</t>
  </si>
  <si>
    <t>KIM</t>
  </si>
  <si>
    <t>KLAC</t>
  </si>
  <si>
    <t>KLAR</t>
  </si>
  <si>
    <t>KMB</t>
  </si>
  <si>
    <t>KMI</t>
  </si>
  <si>
    <t>KNSL</t>
  </si>
  <si>
    <t>KNX</t>
  </si>
  <si>
    <t>KO</t>
  </si>
  <si>
    <t>KR</t>
  </si>
  <si>
    <t>KRE</t>
  </si>
  <si>
    <t>KRMN</t>
  </si>
  <si>
    <t>KRYS</t>
  </si>
  <si>
    <t>KSPI</t>
  </si>
  <si>
    <t>KT</t>
  </si>
  <si>
    <t>KTOS</t>
  </si>
  <si>
    <t>KVUE</t>
  </si>
  <si>
    <t>KVYO</t>
  </si>
  <si>
    <t>KWEB</t>
  </si>
  <si>
    <t>KYMR</t>
  </si>
  <si>
    <t>L</t>
  </si>
  <si>
    <t>LAD</t>
  </si>
  <si>
    <t>LAMR</t>
  </si>
  <si>
    <t>LBRDA</t>
  </si>
  <si>
    <t>LBRDK</t>
  </si>
  <si>
    <t>LDOS</t>
  </si>
  <si>
    <t>LECO</t>
  </si>
  <si>
    <t>LEN</t>
  </si>
  <si>
    <t>LEVI</t>
  </si>
  <si>
    <t>LFUS</t>
  </si>
  <si>
    <t>LH</t>
  </si>
  <si>
    <t>LHX</t>
  </si>
  <si>
    <t>LI</t>
  </si>
  <si>
    <t>LII</t>
  </si>
  <si>
    <t>LIN</t>
  </si>
  <si>
    <t>LINE</t>
  </si>
  <si>
    <t>LITE</t>
  </si>
  <si>
    <t>LKQ</t>
  </si>
  <si>
    <t>LLY</t>
  </si>
  <si>
    <t>LLYVA</t>
  </si>
  <si>
    <t>LLYVK</t>
  </si>
  <si>
    <t>LMBS</t>
  </si>
  <si>
    <t>LMT</t>
  </si>
  <si>
    <t>LNC</t>
  </si>
  <si>
    <t>LNG</t>
  </si>
  <si>
    <t>LNT</t>
  </si>
  <si>
    <t>LOGI</t>
  </si>
  <si>
    <t>LOW</t>
  </si>
  <si>
    <t>LPLA</t>
  </si>
  <si>
    <t>LQD</t>
  </si>
  <si>
    <t>LRCX</t>
  </si>
  <si>
    <t>LSCC</t>
  </si>
  <si>
    <t>LTM</t>
  </si>
  <si>
    <t>LULU</t>
  </si>
  <si>
    <t>LUMN</t>
  </si>
  <si>
    <t>LUV</t>
  </si>
  <si>
    <t>LVS</t>
  </si>
  <si>
    <t>LW</t>
  </si>
  <si>
    <t>LYB</t>
  </si>
  <si>
    <t>LYFT</t>
  </si>
  <si>
    <t>LYG</t>
  </si>
  <si>
    <t>LYV</t>
  </si>
  <si>
    <t>MA</t>
  </si>
  <si>
    <t>MAA</t>
  </si>
  <si>
    <t>MAGS</t>
  </si>
  <si>
    <t>MANH</t>
  </si>
  <si>
    <t>MAR</t>
  </si>
  <si>
    <t>MAS</t>
  </si>
  <si>
    <t>MASI</t>
  </si>
  <si>
    <t>MBB</t>
  </si>
  <si>
    <t>MBLY</t>
  </si>
  <si>
    <t>MCD</t>
  </si>
  <si>
    <t>MCHI</t>
  </si>
  <si>
    <t>MCHP</t>
  </si>
  <si>
    <t>MCK</t>
  </si>
  <si>
    <t>MCO</t>
  </si>
  <si>
    <t>MDB</t>
  </si>
  <si>
    <t>MDGL</t>
  </si>
  <si>
    <t>MDLZ</t>
  </si>
  <si>
    <t>MDT</t>
  </si>
  <si>
    <t>MDY</t>
  </si>
  <si>
    <t>MEDP</t>
  </si>
  <si>
    <t>MELI</t>
  </si>
  <si>
    <t>MET</t>
  </si>
  <si>
    <t>META</t>
  </si>
  <si>
    <t>MFC</t>
  </si>
  <si>
    <t>MFG</t>
  </si>
  <si>
    <t>MGA</t>
  </si>
  <si>
    <t>MGC</t>
  </si>
  <si>
    <t>MGK</t>
  </si>
  <si>
    <t>MGM</t>
  </si>
  <si>
    <t>MGV</t>
  </si>
  <si>
    <t>MHK</t>
  </si>
  <si>
    <t>MICC</t>
  </si>
  <si>
    <t>MIDD</t>
  </si>
  <si>
    <t>MINT</t>
  </si>
  <si>
    <t>MKC</t>
  </si>
  <si>
    <t>MKL</t>
  </si>
  <si>
    <t>MKSI</t>
  </si>
  <si>
    <t>MKTX</t>
  </si>
  <si>
    <t>MLI</t>
  </si>
  <si>
    <t>MLM</t>
  </si>
  <si>
    <t>MMC</t>
  </si>
  <si>
    <t>MMM</t>
  </si>
  <si>
    <t>MMYT</t>
  </si>
  <si>
    <t>MNDY</t>
  </si>
  <si>
    <t>MNST</t>
  </si>
  <si>
    <t>MO</t>
  </si>
  <si>
    <t>MOAT</t>
  </si>
  <si>
    <t>MOD</t>
  </si>
  <si>
    <t>MOG-A</t>
  </si>
  <si>
    <t>MOH</t>
  </si>
  <si>
    <t>MORN</t>
  </si>
  <si>
    <t>MOS</t>
  </si>
  <si>
    <t>MP</t>
  </si>
  <si>
    <t>MPC</t>
  </si>
  <si>
    <t>MPLX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</si>
  <si>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</si>
  <si>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</si>
  <si>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</si>
  <si>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</si>
  <si>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</si>
  <si>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</si>
  <si>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</si>
  <si>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</si>
  <si>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</si>
  <si>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</t>
  </si>
  <si>
    <t>MTB</t>
  </si>
  <si>
    <t>MTCH</t>
  </si>
  <si>
    <t>MTD</t>
  </si>
  <si>
    <t>MTSI</t>
  </si>
  <si>
    <t>MTUM</t>
  </si>
  <si>
    <t>MTZ</t>
  </si>
  <si>
    <t>MU</t>
  </si>
  <si>
    <t>MUB</t>
  </si>
  <si>
    <t>MUFG</t>
  </si>
  <si>
    <t>MUSA</t>
  </si>
  <si>
    <t>NBIS</t>
  </si>
  <si>
    <t>NBIX</t>
  </si>
  <si>
    <t>NCLH</t>
  </si>
  <si>
    <t>NDAQ</t>
  </si>
  <si>
    <t>NDSN</t>
  </si>
  <si>
    <t>NEE</t>
  </si>
  <si>
    <t>NEM</t>
  </si>
  <si>
    <t>NET</t>
  </si>
  <si>
    <t>NEU</t>
  </si>
  <si>
    <t>NFG</t>
  </si>
  <si>
    <t>NFLX</t>
  </si>
  <si>
    <t>NGG</t>
  </si>
  <si>
    <t>NI</t>
  </si>
  <si>
    <t>NICE</t>
  </si>
  <si>
    <t>NIO</t>
  </si>
  <si>
    <t>NKE</t>
  </si>
  <si>
    <t>NLY</t>
  </si>
  <si>
    <t>NMR</t>
  </si>
  <si>
    <t>NNN</t>
  </si>
  <si>
    <t>NOBL</t>
  </si>
  <si>
    <t>NOC</t>
  </si>
  <si>
    <t>NOK</t>
  </si>
  <si>
    <t>NOW</t>
  </si>
  <si>
    <t>NRG</t>
  </si>
  <si>
    <t>NSC</t>
  </si>
  <si>
    <t>NTAP</t>
  </si>
  <si>
    <t>NTES</t>
  </si>
  <si>
    <t>NTNX</t>
  </si>
  <si>
    <t>NTR</t>
  </si>
  <si>
    <t>NTRA</t>
  </si>
  <si>
    <t>NTRS</t>
  </si>
  <si>
    <t>NTSK</t>
  </si>
  <si>
    <t>NU</t>
  </si>
  <si>
    <t>NUE</t>
  </si>
  <si>
    <t>NUVL</t>
  </si>
  <si>
    <t>NVDA</t>
  </si>
  <si>
    <t>NVDL</t>
  </si>
  <si>
    <t>NVMI</t>
  </si>
  <si>
    <t>NVO</t>
  </si>
  <si>
    <t>NVR</t>
  </si>
  <si>
    <t>NVS</t>
  </si>
  <si>
    <t>NVT</t>
  </si>
  <si>
    <t>NWG</t>
  </si>
  <si>
    <t>NWS</t>
  </si>
  <si>
    <t>NWSA</t>
  </si>
  <si>
    <t>NXPI</t>
  </si>
  <si>
    <t>NXT</t>
  </si>
  <si>
    <t>NYT</t>
  </si>
  <si>
    <t>O</t>
  </si>
  <si>
    <t>OBDC</t>
  </si>
  <si>
    <t>OC</t>
  </si>
  <si>
    <t>OEF</t>
  </si>
  <si>
    <t>OGE</t>
  </si>
  <si>
    <t>OHI</t>
  </si>
  <si>
    <t>OKE</t>
  </si>
  <si>
    <t>OKLO</t>
  </si>
  <si>
    <t>OKTA</t>
  </si>
  <si>
    <t>OLLI</t>
  </si>
  <si>
    <t>OMC</t>
  </si>
  <si>
    <t>OMF</t>
  </si>
  <si>
    <t>OMFL</t>
  </si>
  <si>
    <t>ON</t>
  </si>
  <si>
    <t>ONB</t>
  </si>
  <si>
    <t>ONC</t>
  </si>
  <si>
    <t>ONEQ</t>
  </si>
  <si>
    <t>ONON</t>
  </si>
  <si>
    <t>ONTO</t>
  </si>
  <si>
    <t>OPEN</t>
  </si>
  <si>
    <t>OR</t>
  </si>
  <si>
    <t>ORA</t>
  </si>
  <si>
    <t>ORCL</t>
  </si>
  <si>
    <t>ORI</t>
  </si>
  <si>
    <t>ORLY</t>
  </si>
  <si>
    <t>OSK</t>
  </si>
  <si>
    <t>OTEX</t>
  </si>
  <si>
    <t>OTF</t>
  </si>
  <si>
    <t>OTIS</t>
  </si>
  <si>
    <t>OVV</t>
  </si>
  <si>
    <t>OWL</t>
  </si>
  <si>
    <t>OXY</t>
  </si>
  <si>
    <t>PAA</t>
  </si>
  <si>
    <t>PAAA</t>
  </si>
  <si>
    <t>PAAS</t>
  </si>
  <si>
    <t>PAC</t>
  </si>
  <si>
    <t>PAG</t>
  </si>
  <si>
    <t>PAGP</t>
  </si>
  <si>
    <t>PANW</t>
  </si>
  <si>
    <t>PATH</t>
  </si>
  <si>
    <t>PAVE</t>
  </si>
  <si>
    <t>PAYC</t>
  </si>
  <si>
    <t>PAYX</t>
  </si>
  <si>
    <t>PB</t>
  </si>
  <si>
    <t>PBA</t>
  </si>
  <si>
    <t>PBR</t>
  </si>
  <si>
    <t>PBR-A</t>
  </si>
  <si>
    <t>PBUS</t>
  </si>
  <si>
    <t>PCAR</t>
  </si>
  <si>
    <t>PCG</t>
  </si>
  <si>
    <t>PCOR</t>
  </si>
  <si>
    <t>PCTY</t>
  </si>
  <si>
    <t>PDBC</t>
  </si>
  <si>
    <t>PDD</t>
  </si>
  <si>
    <t>PDI</t>
  </si>
  <si>
    <t>PEG</t>
  </si>
  <si>
    <t>PEGA</t>
  </si>
  <si>
    <t>PEN</t>
  </si>
  <si>
    <t>PEP</t>
  </si>
  <si>
    <t>PFE</t>
  </si>
  <si>
    <t>PFF</t>
  </si>
  <si>
    <t>PFG</t>
  </si>
  <si>
    <t>PFGC</t>
  </si>
  <si>
    <t>PFSI</t>
  </si>
  <si>
    <t>PG</t>
  </si>
  <si>
    <t>PGR</t>
  </si>
  <si>
    <t>PH</t>
  </si>
  <si>
    <t>PHG</t>
  </si>
  <si>
    <t>PHM</t>
  </si>
  <si>
    <t>PHYS</t>
  </si>
  <si>
    <t>PINS</t>
  </si>
  <si>
    <t>PJT</t>
  </si>
  <si>
    <t>PKG</t>
  </si>
  <si>
    <t>PKX</t>
  </si>
  <si>
    <t>PLD</t>
  </si>
  <si>
    <t>PLNT</t>
  </si>
  <si>
    <t>PLTR</t>
  </si>
  <si>
    <t>PM</t>
  </si>
  <si>
    <t>PNC</t>
  </si>
  <si>
    <t>PNFP</t>
  </si>
  <si>
    <t>PNR</t>
  </si>
  <si>
    <t>PNW</t>
  </si>
  <si>
    <t>PODD</t>
  </si>
  <si>
    <t>POOL</t>
  </si>
  <si>
    <t>PPA</t>
  </si>
  <si>
    <t>PPC</t>
  </si>
  <si>
    <t>PPG</t>
  </si>
  <si>
    <t>PPL</t>
  </si>
  <si>
    <t>PR</t>
  </si>
  <si>
    <t>PRAX</t>
  </si>
  <si>
    <t>PRF</t>
  </si>
  <si>
    <t>PRI</t>
  </si>
  <si>
    <t>PRIM</t>
  </si>
  <si>
    <t>PRU</t>
  </si>
  <si>
    <t>PSA</t>
  </si>
  <si>
    <t>PSKY</t>
  </si>
  <si>
    <t>PSLV</t>
  </si>
  <si>
    <t>PSN</t>
  </si>
  <si>
    <t>PSNY</t>
  </si>
  <si>
    <t>PSO</t>
  </si>
  <si>
    <t>PSTG</t>
  </si>
  <si>
    <t>PSX</t>
  </si>
  <si>
    <t>PTC</t>
  </si>
  <si>
    <t>PUK</t>
  </si>
  <si>
    <t>PULS</t>
  </si>
  <si>
    <t>PVAL</t>
  </si>
  <si>
    <t>PWR</t>
  </si>
  <si>
    <t>PYLD</t>
  </si>
  <si>
    <t>PYPL</t>
  </si>
  <si>
    <t>Q</t>
  </si>
  <si>
    <t>QBTS</t>
  </si>
  <si>
    <t>QCOM</t>
  </si>
  <si>
    <t>QGEN</t>
  </si>
  <si>
    <t>QLD</t>
  </si>
  <si>
    <t>QQQ</t>
  </si>
  <si>
    <t>QQQI</t>
  </si>
  <si>
    <t>QQQM</t>
  </si>
  <si>
    <t>QRVO</t>
  </si>
  <si>
    <t>QS</t>
  </si>
  <si>
    <t>QSR</t>
  </si>
  <si>
    <t>QUAL</t>
  </si>
  <si>
    <t>QXO</t>
  </si>
  <si>
    <t>QYLD</t>
  </si>
  <si>
    <t>R</t>
  </si>
  <si>
    <t>RACE</t>
  </si>
  <si>
    <t>RBA</t>
  </si>
  <si>
    <t>RBC</t>
  </si>
  <si>
    <t>RBLX</t>
  </si>
  <si>
    <t>RBRK</t>
  </si>
  <si>
    <t>RCI</t>
  </si>
  <si>
    <t>RCL</t>
  </si>
  <si>
    <t>RDDT</t>
  </si>
  <si>
    <t>RDVY</t>
  </si>
  <si>
    <t>RDY</t>
  </si>
  <si>
    <t>RECS</t>
  </si>
  <si>
    <t>REET</t>
  </si>
  <si>
    <t>REG</t>
  </si>
  <si>
    <t>REGN</t>
  </si>
  <si>
    <t>RELX</t>
  </si>
  <si>
    <t>REXR</t>
  </si>
  <si>
    <t>RF</t>
  </si>
  <si>
    <t>RGA</t>
  </si>
  <si>
    <t>RGC</t>
  </si>
  <si>
    <t>RGEN</t>
  </si>
  <si>
    <t>RGLD</t>
  </si>
  <si>
    <t>RGTI</t>
  </si>
  <si>
    <t>RIO</t>
  </si>
  <si>
    <t>RIVN</t>
  </si>
  <si>
    <t>RJF</t>
  </si>
  <si>
    <t>RKLB</t>
  </si>
  <si>
    <t>RKT</t>
  </si>
  <si>
    <t>RL</t>
  </si>
  <si>
    <t>RMBS</t>
  </si>
  <si>
    <t>RMD</t>
  </si>
  <si>
    <t>RNA</t>
  </si>
  <si>
    <t>RNR</t>
  </si>
  <si>
    <t>ROIV</t>
  </si>
  <si>
    <t>ROK</t>
  </si>
  <si>
    <t>ROKU</t>
  </si>
  <si>
    <t>ROL</t>
  </si>
  <si>
    <t>ROP</t>
  </si>
  <si>
    <t>ROST</t>
  </si>
  <si>
    <t>RPM</t>
  </si>
  <si>
    <t>RPRX</t>
  </si>
  <si>
    <t>RRC</t>
  </si>
  <si>
    <t>RRR</t>
  </si>
  <si>
    <t>RRX</t>
  </si>
  <si>
    <t>RS</t>
  </si>
  <si>
    <t>RSG</t>
  </si>
  <si>
    <t>RSP</t>
  </si>
  <si>
    <t>RSPT</t>
  </si>
  <si>
    <t>RTO</t>
  </si>
  <si>
    <t>RTX</t>
  </si>
  <si>
    <t>RVMD</t>
  </si>
  <si>
    <t>RVTY</t>
  </si>
  <si>
    <t>RWL</t>
  </si>
  <si>
    <t>RY</t>
  </si>
  <si>
    <t>RYAAY</t>
  </si>
  <si>
    <t>RYAN</t>
  </si>
  <si>
    <t>RYTM</t>
  </si>
  <si>
    <t>SAIA</t>
  </si>
  <si>
    <t>SAIL</t>
  </si>
  <si>
    <t>SAN</t>
  </si>
  <si>
    <t>SANM</t>
  </si>
  <si>
    <t>SAP</t>
  </si>
  <si>
    <t>SARO</t>
  </si>
  <si>
    <t>SATS</t>
  </si>
  <si>
    <t>SBAC</t>
  </si>
  <si>
    <t>SBIL</t>
  </si>
  <si>
    <t>SBS</t>
  </si>
  <si>
    <t>SBSW</t>
  </si>
  <si>
    <t>SBUX</t>
  </si>
  <si>
    <t>SCCO</t>
  </si>
  <si>
    <t>SCHA</t>
  </si>
  <si>
    <t>SCHB</t>
  </si>
  <si>
    <t>SCHC</t>
  </si>
  <si>
    <t>SCHD</t>
  </si>
  <si>
    <t>SCHE</t>
  </si>
  <si>
    <t>SCHF</t>
  </si>
  <si>
    <t>SCHG</t>
  </si>
  <si>
    <t>SCHH</t>
  </si>
  <si>
    <t>SCHI</t>
  </si>
  <si>
    <t>SCHK</t>
  </si>
  <si>
    <t>SCHM</t>
  </si>
  <si>
    <t>SCHO</t>
  </si>
  <si>
    <t>SCHP</t>
  </si>
  <si>
    <t>SCHR</t>
  </si>
  <si>
    <t>SCHV</t>
  </si>
  <si>
    <t>SCHW</t>
  </si>
  <si>
    <t>SCHX</t>
  </si>
  <si>
    <t>SCHZ</t>
  </si>
  <si>
    <t>SCI</t>
  </si>
  <si>
    <t>SCZ</t>
  </si>
  <si>
    <t>SDVY</t>
  </si>
  <si>
    <t>SDY</t>
  </si>
  <si>
    <t>SE</t>
  </si>
  <si>
    <t>SEIC</t>
  </si>
  <si>
    <t>SF</t>
  </si>
  <si>
    <t>SFD</t>
  </si>
  <si>
    <t>SFM</t>
  </si>
  <si>
    <t>SGI</t>
  </si>
  <si>
    <t>SGOL</t>
  </si>
  <si>
    <t>SGOV</t>
  </si>
  <si>
    <t>SHEL</t>
  </si>
  <si>
    <t>SHG</t>
  </si>
  <si>
    <t>SHLD</t>
  </si>
  <si>
    <t>SHOP</t>
  </si>
  <si>
    <t>SHV</t>
  </si>
  <si>
    <t>SHW</t>
  </si>
  <si>
    <t>SHY</t>
  </si>
  <si>
    <t>SHYG</t>
  </si>
  <si>
    <t>SIL</t>
  </si>
  <si>
    <t>SIRI</t>
  </si>
  <si>
    <t>SITM</t>
  </si>
  <si>
    <t>SIVR</t>
  </si>
  <si>
    <t>SJM</t>
  </si>
  <si>
    <t>SJNK</t>
  </si>
  <si>
    <t>SKM</t>
  </si>
  <si>
    <t>SLB</t>
  </si>
  <si>
    <t>SLF</t>
  </si>
  <si>
    <t>SLV</t>
  </si>
  <si>
    <t>SLYV</t>
  </si>
  <si>
    <t>SMBS</t>
  </si>
  <si>
    <t>SMCI</t>
  </si>
  <si>
    <t>SMFG</t>
  </si>
  <si>
    <t>SMH</t>
  </si>
  <si>
    <t>SMMT</t>
  </si>
  <si>
    <t>SMTC</t>
  </si>
  <si>
    <t>SN</t>
  </si>
  <si>
    <t>SNA</t>
  </si>
  <si>
    <t>SNAP</t>
  </si>
  <si>
    <t>SNDK</t>
  </si>
  <si>
    <t>SNN</t>
  </si>
  <si>
    <t>SNOW</t>
  </si>
  <si>
    <t>SNPS</t>
  </si>
  <si>
    <t>SNX</t>
  </si>
  <si>
    <t>SNY</t>
  </si>
  <si>
    <t>SO</t>
  </si>
  <si>
    <t>SOFI</t>
  </si>
  <si>
    <t>SOLS</t>
  </si>
  <si>
    <t>SOLV</t>
  </si>
  <si>
    <t>SONY</t>
  </si>
  <si>
    <t>SOXL</t>
  </si>
  <si>
    <t>SOXX</t>
  </si>
  <si>
    <t>SPAB</t>
  </si>
  <si>
    <t>SPDW</t>
  </si>
  <si>
    <t>SPEM</t>
  </si>
  <si>
    <t>SPG</t>
  </si>
  <si>
    <t>SPGI</t>
  </si>
  <si>
    <t>SPHQ</t>
  </si>
  <si>
    <t>SPHY</t>
  </si>
  <si>
    <t>SPIB</t>
  </si>
  <si>
    <t>SPLV</t>
  </si>
  <si>
    <t>SPMB</t>
  </si>
  <si>
    <t>SPMD</t>
  </si>
  <si>
    <t>SPMO</t>
  </si>
  <si>
    <t>SPOT</t>
  </si>
  <si>
    <t>SPSB</t>
  </si>
  <si>
    <t>SPSM</t>
  </si>
  <si>
    <t>SPTI</t>
  </si>
  <si>
    <t>SPTL</t>
  </si>
  <si>
    <t>SPTM</t>
  </si>
  <si>
    <t>SPTS</t>
  </si>
  <si>
    <t>SPXC</t>
  </si>
  <si>
    <t>SPXL</t>
  </si>
  <si>
    <t>SPYD</t>
  </si>
  <si>
    <t>SPYG</t>
  </si>
  <si>
    <t>SPYI</t>
  </si>
  <si>
    <t>SPYM</t>
  </si>
  <si>
    <t>SPYV</t>
  </si>
  <si>
    <t>SQM</t>
  </si>
  <si>
    <t>SRAD</t>
  </si>
  <si>
    <t>SRE</t>
  </si>
  <si>
    <t>SRLN</t>
  </si>
  <si>
    <t>SSB</t>
  </si>
  <si>
    <t>SSD</t>
  </si>
  <si>
    <t>SSNC</t>
  </si>
  <si>
    <t>SSO</t>
  </si>
  <si>
    <t>STAG</t>
  </si>
  <si>
    <t>STE</t>
  </si>
  <si>
    <t>STEP</t>
  </si>
  <si>
    <t>STIP</t>
  </si>
  <si>
    <t>STLA</t>
  </si>
  <si>
    <t>STLD</t>
  </si>
  <si>
    <t>STM</t>
  </si>
  <si>
    <t>STN</t>
  </si>
  <si>
    <t>STRC</t>
  </si>
  <si>
    <t>STRL</t>
  </si>
  <si>
    <t>STT</t>
  </si>
  <si>
    <t>STWD</t>
  </si>
  <si>
    <t>STX</t>
  </si>
  <si>
    <t>STZ</t>
  </si>
  <si>
    <t>SU</t>
  </si>
  <si>
    <t>SUB</t>
  </si>
  <si>
    <t>SUI</t>
  </si>
  <si>
    <t>SUN</t>
  </si>
  <si>
    <t>SUZ</t>
  </si>
  <si>
    <t>SW</t>
  </si>
  <si>
    <t>SWK</t>
  </si>
  <si>
    <t>SWKS</t>
  </si>
  <si>
    <t>SYF</t>
  </si>
  <si>
    <t>SYK</t>
  </si>
  <si>
    <t>SYM</t>
  </si>
  <si>
    <t>SYY</t>
  </si>
  <si>
    <t>T</t>
  </si>
  <si>
    <t>TAK</t>
  </si>
  <si>
    <t>TAP</t>
  </si>
  <si>
    <t>TBIL</t>
  </si>
  <si>
    <t>TCAF</t>
  </si>
  <si>
    <t>TCOM</t>
  </si>
  <si>
    <t>TD</t>
  </si>
  <si>
    <t>TDG</t>
  </si>
  <si>
    <t>TDY</t>
  </si>
  <si>
    <t>TEAM</t>
  </si>
  <si>
    <t>TECH</t>
  </si>
  <si>
    <t>TECK</t>
  </si>
  <si>
    <t>TECL</t>
  </si>
  <si>
    <t>TEF</t>
  </si>
  <si>
    <t>TEL</t>
  </si>
  <si>
    <t>TEM</t>
  </si>
  <si>
    <t>TER</t>
  </si>
  <si>
    <t>TEVA</t>
  </si>
  <si>
    <t>TFC</t>
  </si>
  <si>
    <t>TFII</t>
  </si>
  <si>
    <t>TFLO</t>
  </si>
  <si>
    <t>TFPM</t>
  </si>
  <si>
    <t>TGT</t>
  </si>
  <si>
    <t>THC</t>
  </si>
  <si>
    <t>THG</t>
  </si>
  <si>
    <t>THRO</t>
  </si>
  <si>
    <t>TIGO</t>
  </si>
  <si>
    <t>TIMB</t>
  </si>
  <si>
    <t>TIP</t>
  </si>
  <si>
    <t>TJX</t>
  </si>
  <si>
    <t>TKO</t>
  </si>
  <si>
    <t>TLH</t>
  </si>
  <si>
    <t>TLK</t>
  </si>
  <si>
    <t>TLN</t>
  </si>
  <si>
    <t>TLT</t>
  </si>
  <si>
    <t>TM</t>
  </si>
  <si>
    <t>TME</t>
  </si>
  <si>
    <t>TMF</t>
  </si>
  <si>
    <t>TMO</t>
  </si>
  <si>
    <t>TMUS</t>
  </si>
  <si>
    <t>TOL</t>
  </si>
  <si>
    <t>TOST</t>
  </si>
  <si>
    <t>TOTL</t>
  </si>
  <si>
    <t>TPG</t>
  </si>
  <si>
    <t>TPL</t>
  </si>
  <si>
    <t>TPR</t>
  </si>
  <si>
    <t>TQQQ</t>
  </si>
  <si>
    <t>TRGP</t>
  </si>
  <si>
    <t>TRI</t>
  </si>
  <si>
    <t>TRMB</t>
  </si>
  <si>
    <t>TROW</t>
  </si>
  <si>
    <t>TRU</t>
  </si>
  <si>
    <t>TRV</t>
  </si>
  <si>
    <t>TS</t>
  </si>
  <si>
    <t>TSCO</t>
  </si>
  <si>
    <t>TSEM</t>
  </si>
  <si>
    <t>TSLA</t>
  </si>
  <si>
    <t>TSLL</t>
  </si>
  <si>
    <t>TSM</t>
  </si>
  <si>
    <t>TSN</t>
  </si>
  <si>
    <t>TT</t>
  </si>
  <si>
    <t>TTAN</t>
  </si>
  <si>
    <t>TTC</t>
  </si>
  <si>
    <t>TTD</t>
  </si>
  <si>
    <t>TTE</t>
  </si>
  <si>
    <t>TTEK</t>
  </si>
  <si>
    <t>TTMI</t>
  </si>
  <si>
    <t>TTWO</t>
  </si>
  <si>
    <t>TU</t>
  </si>
  <si>
    <t>TW</t>
  </si>
  <si>
    <t>TWLO</t>
  </si>
  <si>
    <t>TX</t>
  </si>
  <si>
    <t>TXN</t>
  </si>
  <si>
    <t>TXRH</t>
  </si>
  <si>
    <t>TXT</t>
  </si>
  <si>
    <t>TYL</t>
  </si>
  <si>
    <t>U</t>
  </si>
  <si>
    <t>UAL</t>
  </si>
  <si>
    <t>UBER</t>
  </si>
  <si>
    <t>UBS</t>
  </si>
  <si>
    <t>UDR</t>
  </si>
  <si>
    <t>UEC</t>
  </si>
  <si>
    <t>UGI</t>
  </si>
  <si>
    <t>UHAL</t>
  </si>
  <si>
    <t>UHAL-B</t>
  </si>
  <si>
    <t>UHS</t>
  </si>
  <si>
    <t>UI</t>
  </si>
  <si>
    <t>UL</t>
  </si>
  <si>
    <t>ULS</t>
  </si>
  <si>
    <t>ULTA</t>
  </si>
  <si>
    <t>UMBF</t>
  </si>
  <si>
    <t>UMC</t>
  </si>
  <si>
    <t>UNH</t>
  </si>
  <si>
    <t>UNM</t>
  </si>
  <si>
    <t>UNP</t>
  </si>
  <si>
    <t>UPRO</t>
  </si>
  <si>
    <t>UPS</t>
  </si>
  <si>
    <t>URA</t>
  </si>
  <si>
    <t>URBN</t>
  </si>
  <si>
    <t>URI</t>
  </si>
  <si>
    <t>URTH</t>
  </si>
  <si>
    <t>USB</t>
  </si>
  <si>
    <t>USFD</t>
  </si>
  <si>
    <t>USFR</t>
  </si>
  <si>
    <t>USHY</t>
  </si>
  <si>
    <t>USIG</t>
  </si>
  <si>
    <t>USMV</t>
  </si>
  <si>
    <t>UTHR</t>
  </si>
  <si>
    <t>UWMC</t>
  </si>
  <si>
    <t>V</t>
  </si>
  <si>
    <t>VALE</t>
  </si>
  <si>
    <t>VB</t>
  </si>
  <si>
    <t>VBIL</t>
  </si>
  <si>
    <t>VBK</t>
  </si>
  <si>
    <t>VBR</t>
  </si>
  <si>
    <t>VCIT</t>
  </si>
  <si>
    <t>VCLT</t>
  </si>
  <si>
    <t>VCR</t>
  </si>
  <si>
    <t>VCRB</t>
  </si>
  <si>
    <t>VCSH</t>
  </si>
  <si>
    <t>VDC</t>
  </si>
  <si>
    <t>VDE</t>
  </si>
  <si>
    <t>VEA</t>
  </si>
  <si>
    <t>VEEV</t>
  </si>
  <si>
    <t>VEU</t>
  </si>
  <si>
    <t>VFC</t>
  </si>
  <si>
    <t>VFH</t>
  </si>
  <si>
    <t>VFLO</t>
  </si>
  <si>
    <t>VFS</t>
  </si>
  <si>
    <t>VG</t>
  </si>
  <si>
    <t>VGIT</t>
  </si>
  <si>
    <t>VGK</t>
  </si>
  <si>
    <t>VGLT</t>
  </si>
  <si>
    <t>VGSH</t>
  </si>
  <si>
    <t>VGT</t>
  </si>
  <si>
    <t>VHT</t>
  </si>
  <si>
    <t>VICI</t>
  </si>
  <si>
    <t>VIG</t>
  </si>
  <si>
    <t>VIGI</t>
  </si>
  <si>
    <t>VIK</t>
  </si>
  <si>
    <t>VIPS</t>
  </si>
  <si>
    <t>VIS</t>
  </si>
  <si>
    <t>VIV</t>
  </si>
  <si>
    <t>VLO</t>
  </si>
  <si>
    <t>VLTO</t>
  </si>
  <si>
    <t>VLUE</t>
  </si>
  <si>
    <t>VLY</t>
  </si>
  <si>
    <t>VMBS</t>
  </si>
  <si>
    <t>VMC</t>
  </si>
  <si>
    <t>VMI</t>
  </si>
  <si>
    <t>VNO</t>
  </si>
  <si>
    <t>VNOM</t>
  </si>
  <si>
    <t>VNQ</t>
  </si>
  <si>
    <t>VO</t>
  </si>
  <si>
    <t>VOD</t>
  </si>
  <si>
    <t>VOE</t>
  </si>
  <si>
    <t>VONE</t>
  </si>
  <si>
    <t>VONG</t>
  </si>
  <si>
    <t>VONV</t>
  </si>
  <si>
    <t>VOO</t>
  </si>
  <si>
    <t>VOOG</t>
  </si>
  <si>
    <t>VOOV</t>
  </si>
  <si>
    <t>VOT</t>
  </si>
  <si>
    <t>VOX</t>
  </si>
  <si>
    <t>VOYA</t>
  </si>
  <si>
    <t>VPL</t>
  </si>
  <si>
    <t>VPU</t>
  </si>
  <si>
    <t>VRSK</t>
  </si>
  <si>
    <t>VRSN</t>
  </si>
  <si>
    <t>VRT</t>
  </si>
  <si>
    <t>VRTX</t>
  </si>
  <si>
    <t>VSGX</t>
  </si>
  <si>
    <t>VSS</t>
  </si>
  <si>
    <t>VST</t>
  </si>
  <si>
    <t>VT</t>
  </si>
  <si>
    <t>VTEB</t>
  </si>
  <si>
    <t>VTI</t>
  </si>
  <si>
    <t>VTIP</t>
  </si>
  <si>
    <t>VTR</t>
  </si>
  <si>
    <t>VTRS</t>
  </si>
  <si>
    <t>VTV</t>
  </si>
  <si>
    <t>VTWO</t>
  </si>
  <si>
    <t>VUG</t>
  </si>
  <si>
    <t>VUSB</t>
  </si>
  <si>
    <t>VV</t>
  </si>
  <si>
    <t>VWO</t>
  </si>
  <si>
    <t>VWOB</t>
  </si>
  <si>
    <t>VXF</t>
  </si>
  <si>
    <t>VXUS</t>
  </si>
  <si>
    <t>VYM</t>
  </si>
  <si>
    <t>VYMI</t>
  </si>
  <si>
    <t>VZ</t>
  </si>
  <si>
    <t>W</t>
  </si>
  <si>
    <t>WAB</t>
  </si>
  <si>
    <t>WAL</t>
  </si>
  <si>
    <t>WAT</t>
  </si>
  <si>
    <t>WAY</t>
  </si>
  <si>
    <t>WBD</t>
  </si>
  <si>
    <t>WBS</t>
  </si>
  <si>
    <t>WCC</t>
  </si>
  <si>
    <t>WCN</t>
  </si>
  <si>
    <t>WDAY</t>
  </si>
  <si>
    <t>WDC</t>
  </si>
  <si>
    <t>WDS</t>
  </si>
  <si>
    <t>WEC</t>
  </si>
  <si>
    <t>WELL</t>
  </si>
  <si>
    <t>WES</t>
  </si>
  <si>
    <t>WF</t>
  </si>
  <si>
    <t>WFC</t>
  </si>
  <si>
    <t>WING</t>
  </si>
  <si>
    <t>WIT</t>
  </si>
  <si>
    <t>WLK</t>
  </si>
  <si>
    <t>WM</t>
  </si>
  <si>
    <t>WMB</t>
  </si>
  <si>
    <t>WMG</t>
  </si>
  <si>
    <t>WMS</t>
  </si>
  <si>
    <t>WMT</t>
  </si>
  <si>
    <t>WPC</t>
  </si>
  <si>
    <t>WPM</t>
  </si>
  <si>
    <t>WRB</t>
  </si>
  <si>
    <t>WSM</t>
  </si>
  <si>
    <t>WSO</t>
  </si>
  <si>
    <t>WST</t>
  </si>
  <si>
    <t>WTFC</t>
  </si>
  <si>
    <t>WTRG</t>
  </si>
  <si>
    <t>WTS</t>
  </si>
  <si>
    <t>WTW</t>
  </si>
  <si>
    <t>WWD</t>
  </si>
  <si>
    <t>WY</t>
  </si>
  <si>
    <t>WYNN</t>
  </si>
  <si>
    <t>XAR</t>
  </si>
  <si>
    <t>XBI</t>
  </si>
  <si>
    <t>XEL</t>
  </si>
  <si>
    <t>XLB</t>
  </si>
  <si>
    <t>XLC</t>
  </si>
  <si>
    <t>XLE</t>
  </si>
  <si>
    <t>XLF</t>
  </si>
  <si>
    <t>XLG</t>
  </si>
  <si>
    <t>XLI</t>
  </si>
  <si>
    <t>XLK</t>
  </si>
  <si>
    <t>XLP</t>
  </si>
  <si>
    <t>XLRE</t>
  </si>
  <si>
    <t>XLU</t>
  </si>
  <si>
    <t>XLV</t>
  </si>
  <si>
    <t>XLY</t>
  </si>
  <si>
    <t>XMHQ</t>
  </si>
  <si>
    <t>XMMO</t>
  </si>
  <si>
    <t>XOM</t>
  </si>
  <si>
    <t>XP</t>
  </si>
  <si>
    <t>XPEV</t>
  </si>
  <si>
    <t>XPO</t>
  </si>
  <si>
    <t>XYL</t>
  </si>
  <si>
    <t>XYZ</t>
  </si>
  <si>
    <t>YMM</t>
  </si>
  <si>
    <t>YPF</t>
  </si>
  <si>
    <t>YUM</t>
  </si>
  <si>
    <t>YUMC</t>
  </si>
  <si>
    <t>Z</t>
  </si>
  <si>
    <t>ZBH</t>
  </si>
  <si>
    <t>ZBRA</t>
  </si>
  <si>
    <t>ZG</t>
  </si>
  <si>
    <t>ZION</t>
  </si>
  <si>
    <t>ZM</t>
  </si>
  <si>
    <t>ZS</t>
  </si>
  <si>
    <t>ZTO</t>
  </si>
  <si>
    <t>ZTS</t>
  </si>
  <si>
    <t>ZWS</t>
  </si>
  <si>
    <t>Strategy_Score</t>
  </si>
  <si>
    <t>Lookback_Return_Ann</t>
  </si>
  <si>
    <t>Lookback_ATRP</t>
  </si>
  <si>
    <t>Was_Dropped</t>
  </si>
  <si>
    <t>KKR_Close</t>
  </si>
  <si>
    <t>ODFL_Close</t>
  </si>
  <si>
    <t>KKR_Norm</t>
  </si>
  <si>
    <t>ODFL_Norm</t>
  </si>
  <si>
    <t>portf_Norm</t>
  </si>
  <si>
    <t>KKR_ATRP</t>
  </si>
  <si>
    <t>ODFL_ATRP</t>
  </si>
  <si>
    <t>SPY_ATRP</t>
  </si>
  <si>
    <t>KKR_DRITED_WT</t>
  </si>
  <si>
    <t>ODFL_DRIFTED_WT</t>
  </si>
  <si>
    <t>ODFL_TRP</t>
  </si>
  <si>
    <t>SPY_TRP</t>
  </si>
  <si>
    <t>KKR_TRP</t>
  </si>
  <si>
    <t>SPY Adj Close</t>
  </si>
  <si>
    <t>SPY_Normal</t>
  </si>
  <si>
    <t>port_rtn</t>
  </si>
  <si>
    <t>SPY_rtn</t>
  </si>
  <si>
    <t>sqrt(252)</t>
  </si>
  <si>
    <t>full_sharpe:</t>
  </si>
  <si>
    <t>full_p_sharpe_atrp:</t>
  </si>
  <si>
    <t>full_p_sharpe_trp:</t>
  </si>
  <si>
    <t>full_avg:</t>
  </si>
  <si>
    <t>full_stdev.s:</t>
  </si>
  <si>
    <t>lookback_stdev.s:</t>
  </si>
  <si>
    <t>lookback_avg:</t>
  </si>
  <si>
    <t>lookback_sharpe:</t>
  </si>
  <si>
    <t>lookback_p_atrp_avg:</t>
  </si>
  <si>
    <t>full_p_atrp_avg:</t>
  </si>
  <si>
    <t>lookback_p_sharpe_trp:</t>
  </si>
  <si>
    <t>lookback_p_sharpe_atrp:</t>
  </si>
  <si>
    <t>full_p_trp_avg:</t>
  </si>
  <si>
    <t>holding_avg:</t>
  </si>
  <si>
    <t>holding_stdev.s:</t>
  </si>
  <si>
    <t>holding_sharpe:</t>
  </si>
  <si>
    <t>holding_p_atrp_avg:</t>
  </si>
  <si>
    <t>holding_p_sharpe_atrp:</t>
  </si>
  <si>
    <t>holding_p_trp_avg:</t>
  </si>
  <si>
    <t>holding_p_sharpe_trp:</t>
  </si>
  <si>
    <t>portf_gain</t>
  </si>
  <si>
    <t>portf_trp_avg</t>
  </si>
  <si>
    <t>portf_return_avg</t>
  </si>
  <si>
    <t>portf_return_stdev.s</t>
  </si>
  <si>
    <t>portf_sharpe_atrp</t>
  </si>
  <si>
    <t>portf_atrp_avg</t>
  </si>
  <si>
    <t>portf_sharpe_trp</t>
  </si>
  <si>
    <t>portf_sharpe</t>
  </si>
  <si>
    <t>Input</t>
  </si>
  <si>
    <t>Calculation</t>
  </si>
  <si>
    <t>Results</t>
  </si>
  <si>
    <t>Calc Metrics</t>
  </si>
  <si>
    <t>Diff</t>
  </si>
  <si>
    <t>### Why this works:</t>
  </si>
  <si>
    <t>1.  **The Colon (`:`):** In Excel, when you put a colon between a cell reference (`K$12`) and an **INDEX** function, Excel treats the INDEX as a **cell address** rather than just a value.</t>
  </si>
  <si>
    <t>2.  **`MATCH(..., 0) - 1`**: This finds the row number of the first blank cell and subtracts 1 to get the row right above it.</t>
  </si>
  <si>
    <t>3.  **`K$12:INDEX(...)`**: This creates a dynamic range that starts at K12 and "stretches" exactly to the point where your data breaks.</t>
  </si>
  <si>
    <t>=AVERAGE(K$12:INDEX(K$12:K$1000, MATCH(1, INDEX(--(K$12:K$1000=""), 0), 0) - 1))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</si>
</sst>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0" xfId="0" applyFont="1" applyBorder="1" applyAlignment="1">
      <alignment horizontal="right" vertical="top"/>
    </xf>
    <xf numFmtId="0" fontId="0" fillId="3" borderId="0" xfId="0" applyFill="1"/>
    <xf numFmtId="0" fontId="0" fillId="4" borderId="0" xfId="0" applyFill="1"/>
    <xf numFmtId="0" fontId="0" fillId="0" borderId="0" xfId="0" applyFill="1"/>
    <xf numFmtId="164" fontId="1" fillId="4" borderId="1" xfId="0" applyNumberFormat="1" applyFont="1" applyFill="1" applyBorder="1" applyAlignment="1">
      <alignment horizontal="center" vertical="top"/>
    </xf>
    <xf numFmtId="0" fontId="3" fillId="0" borderId="0" xfId="0" quotePrefix="1" applyFont="1"/>
    <xf numFmtId="0" fontId="0" fillId="5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Border="1"/>
    <xf numFmtId="165" fontId="2" fillId="0" borderId="0" xfId="0" applyNumberFormat="1" applyFont="1" applyFill="1" applyBorder="1" applyAlignment="1">
      <alignment horizontal="center" vertical="top"/>
    </xf>
    <xf numFmtId="0" fontId="0" fillId="0" borderId="0" xfId="0" applyFill="1" applyAlignment="1">
      <alignment wrapText="1"/>
    </xf>
    <xf numFmtId="0" fontId="2" fillId="4" borderId="0" xfId="0" applyFont="1" applyFill="1" applyBorder="1" applyAlignment="1">
      <alignment horizontal="center" vertical="top"/>
    </xf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/>
    <xf numFmtId="0" fontId="0" fillId="0" borderId="0" xfId="0" applyAlignment="1">
      <alignment horizontal="left"/>
    </xf>
    <xf numFmtId="0" fontId="0" fillId="6" borderId="0" xfId="0" applyFill="1"/>
    <xf numFmtId="0" fontId="0" fillId="6" borderId="0" xfId="0" quotePrefix="1" applyFill="1"/>
    <xf numFmtId="0" fontId="0" fillId="0" borderId="0" xfId="0" quotePrefix="1"/>
    <xf numFmtId="0" fontId="0" fillId="0" borderId="0" xfId="0" quotePrefix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7" workbookViewId="0">
      <selection activeCell="I21" sqref="I21"/>
    </sheetView>
  </sheetViews>
  <sheetFormatPr defaultRowHeight="14.4" x14ac:dyDescent="0.3"/>
  <cols>
    <col min="1" max="1" width="22.21875" bestFit="1" customWidth="1"/>
    <col min="2" max="2" width="23.33203125" customWidth="1"/>
    <col min="3" max="3" width="12.6640625" style="27" bestFit="1" customWidth="1"/>
    <col min="4" max="6" width="12.6640625" bestFit="1" customWidth="1"/>
    <col min="8" max="8" width="19.88671875" bestFit="1" customWidth="1"/>
    <col min="9" max="9" width="21.5546875" bestFit="1" customWidth="1"/>
    <col min="10" max="11" width="12.6640625" bestFit="1" customWidth="1"/>
  </cols>
  <sheetData>
    <row r="1" spans="1:4" x14ac:dyDescent="0.3">
      <c r="B1" s="1" t="s">
        <v>0</v>
      </c>
    </row>
    <row r="2" spans="1:4" x14ac:dyDescent="0.3">
      <c r="A2" s="1" t="s">
        <v>1</v>
      </c>
      <c r="B2" t="s">
        <v>2</v>
      </c>
    </row>
    <row r="3" spans="1:4" x14ac:dyDescent="0.3">
      <c r="A3" s="1" t="s">
        <v>3</v>
      </c>
      <c r="B3" t="s">
        <v>4</v>
      </c>
    </row>
    <row r="4" spans="1:4" x14ac:dyDescent="0.3">
      <c r="A4" s="1" t="s">
        <v>5</v>
      </c>
      <c r="B4" t="s">
        <v>6</v>
      </c>
    </row>
    <row r="5" spans="1:4" x14ac:dyDescent="0.3">
      <c r="A5" s="1" t="s">
        <v>7</v>
      </c>
      <c r="B5" t="s">
        <v>8</v>
      </c>
    </row>
    <row r="6" spans="1:4" x14ac:dyDescent="0.3">
      <c r="A6" s="1" t="s">
        <v>9</v>
      </c>
      <c r="B6" t="s">
        <v>10</v>
      </c>
    </row>
    <row r="7" spans="1:4" x14ac:dyDescent="0.3">
      <c r="A7" s="1" t="s">
        <v>11</v>
      </c>
      <c r="B7" t="s">
        <v>12</v>
      </c>
    </row>
    <row r="8" spans="1:4" x14ac:dyDescent="0.3">
      <c r="A8" s="1" t="s">
        <v>13</v>
      </c>
      <c r="B8" t="s">
        <v>14</v>
      </c>
    </row>
    <row r="9" spans="1:4" x14ac:dyDescent="0.3">
      <c r="A9" s="1" t="s">
        <v>15</v>
      </c>
      <c r="B9" t="s">
        <v>16</v>
      </c>
    </row>
    <row r="10" spans="1:4" x14ac:dyDescent="0.3">
      <c r="A10" s="1" t="s">
        <v>17</v>
      </c>
      <c r="B10" t="s">
        <v>18</v>
      </c>
    </row>
    <row r="11" spans="1:4" x14ac:dyDescent="0.3">
      <c r="A11" s="1" t="s">
        <v>19</v>
      </c>
      <c r="B11" t="s">
        <v>20</v>
      </c>
    </row>
    <row r="12" spans="1:4" x14ac:dyDescent="0.3">
      <c r="A12" s="1" t="s">
        <v>21</v>
      </c>
      <c r="B12" t="s">
        <v>22</v>
      </c>
    </row>
    <row r="13" spans="1:4" x14ac:dyDescent="0.3">
      <c r="A13" s="1" t="s">
        <v>23</v>
      </c>
      <c r="B13" t="s">
        <v>24</v>
      </c>
      <c r="C13" s="27" t="s">
        <v>1737</v>
      </c>
      <c r="D13" s="32" t="s">
        <v>1738</v>
      </c>
    </row>
    <row r="14" spans="1:4" x14ac:dyDescent="0.3">
      <c r="A14" s="1" t="s">
        <v>25</v>
      </c>
      <c r="B14" s="15" t="s">
        <v>26</v>
      </c>
      <c r="C14" s="27">
        <v>0.12884308989659848</v>
      </c>
      <c r="D14" s="32">
        <f>B14-C14</f>
        <v>-4.7184478546569153E-16</v>
      </c>
    </row>
    <row r="15" spans="1:4" x14ac:dyDescent="0.3">
      <c r="A15" s="1" t="s">
        <v>27</v>
      </c>
      <c r="B15" s="15" t="s">
        <v>28</v>
      </c>
      <c r="C15" s="27">
        <v>6.7435226540031907</v>
      </c>
      <c r="D15" s="32">
        <f t="shared" ref="D15:D37" si="0">B15-C15</f>
        <v>0</v>
      </c>
    </row>
    <row r="16" spans="1:4" x14ac:dyDescent="0.3">
      <c r="A16" s="1" t="s">
        <v>29</v>
      </c>
      <c r="B16" s="15" t="s">
        <v>30</v>
      </c>
      <c r="C16" s="27">
        <v>0.25908425314747746</v>
      </c>
      <c r="D16" s="32">
        <f t="shared" si="0"/>
        <v>-4.4408920985006262E-16</v>
      </c>
    </row>
    <row r="17" spans="1:7" x14ac:dyDescent="0.3">
      <c r="A17" s="1" t="s">
        <v>31</v>
      </c>
      <c r="B17" s="15" t="s">
        <v>32</v>
      </c>
      <c r="C17" s="27">
        <v>0.25596617446493569</v>
      </c>
      <c r="D17" s="32">
        <f t="shared" si="0"/>
        <v>-6.6613381477509392E-16</v>
      </c>
    </row>
    <row r="18" spans="1:7" x14ac:dyDescent="0.3">
      <c r="A18" s="1" t="s">
        <v>33</v>
      </c>
      <c r="B18" s="15" t="s">
        <v>34</v>
      </c>
      <c r="C18" s="27">
        <v>0.15916694773595841</v>
      </c>
      <c r="D18" s="32">
        <f t="shared" si="0"/>
        <v>-4.163336342344337E-16</v>
      </c>
    </row>
    <row r="19" spans="1:7" x14ac:dyDescent="0.3">
      <c r="A19" s="1" t="s">
        <v>35</v>
      </c>
      <c r="B19" s="15" t="s">
        <v>36</v>
      </c>
      <c r="C19" s="27">
        <v>13.443521311456809</v>
      </c>
      <c r="D19" s="32">
        <f t="shared" si="0"/>
        <v>0</v>
      </c>
    </row>
    <row r="20" spans="1:7" x14ac:dyDescent="0.3">
      <c r="A20" s="1" t="s">
        <v>37</v>
      </c>
      <c r="B20" s="15" t="s">
        <v>38</v>
      </c>
      <c r="C20" s="27">
        <v>0.51007446837663473</v>
      </c>
      <c r="D20" s="32">
        <f t="shared" si="0"/>
        <v>0</v>
      </c>
    </row>
    <row r="21" spans="1:7" x14ac:dyDescent="0.3">
      <c r="A21" s="1" t="s">
        <v>39</v>
      </c>
      <c r="B21" s="15" t="s">
        <v>40</v>
      </c>
      <c r="C21" s="27">
        <v>0.49392737414561738</v>
      </c>
      <c r="D21" s="32">
        <f t="shared" si="0"/>
        <v>0</v>
      </c>
    </row>
    <row r="22" spans="1:7" x14ac:dyDescent="0.3">
      <c r="A22" s="1" t="s">
        <v>41</v>
      </c>
      <c r="B22" s="15" t="s">
        <v>42</v>
      </c>
      <c r="C22" s="27">
        <v>-3.9766317528490275E-2</v>
      </c>
      <c r="D22" s="32">
        <f t="shared" si="0"/>
        <v>7.6327832942979512E-17</v>
      </c>
    </row>
    <row r="23" spans="1:7" x14ac:dyDescent="0.3">
      <c r="A23" s="1" t="s">
        <v>43</v>
      </c>
      <c r="B23" s="15" t="s">
        <v>44</v>
      </c>
      <c r="C23" s="27">
        <v>-11.892442390425684</v>
      </c>
      <c r="D23" s="32">
        <f t="shared" si="0"/>
        <v>8.3488771451811772E-14</v>
      </c>
    </row>
    <row r="24" spans="1:7" x14ac:dyDescent="0.3">
      <c r="A24" s="1" t="s">
        <v>45</v>
      </c>
      <c r="B24" s="15" t="s">
        <v>46</v>
      </c>
      <c r="C24" s="27">
        <v>-0.24404631906178717</v>
      </c>
      <c r="D24" s="32">
        <f t="shared" si="0"/>
        <v>0</v>
      </c>
      <c r="G24" s="17"/>
    </row>
    <row r="25" spans="1:7" x14ac:dyDescent="0.3">
      <c r="A25" s="1" t="s">
        <v>47</v>
      </c>
      <c r="B25" s="15" t="s">
        <v>48</v>
      </c>
      <c r="C25" s="27">
        <v>-0.25169852355243816</v>
      </c>
      <c r="D25" s="32">
        <f t="shared" si="0"/>
        <v>0</v>
      </c>
    </row>
    <row r="26" spans="1:7" x14ac:dyDescent="0.3">
      <c r="A26" s="1" t="s">
        <v>49</v>
      </c>
      <c r="B26" s="15" t="s">
        <v>50</v>
      </c>
      <c r="C26" s="27">
        <v>2.1461847425559458E-3</v>
      </c>
      <c r="D26" s="32">
        <f t="shared" si="0"/>
        <v>-5.6378512969246231E-18</v>
      </c>
    </row>
    <row r="27" spans="1:7" x14ac:dyDescent="0.3">
      <c r="A27" s="1" t="s">
        <v>51</v>
      </c>
      <c r="B27" s="15" t="s">
        <v>52</v>
      </c>
      <c r="C27" s="27">
        <v>0.41857487636559082</v>
      </c>
      <c r="D27" s="32">
        <f t="shared" si="0"/>
        <v>-8.3266726846886741E-16</v>
      </c>
    </row>
    <row r="28" spans="1:7" x14ac:dyDescent="0.3">
      <c r="A28" s="1" t="s">
        <v>53</v>
      </c>
      <c r="B28" s="15" t="s">
        <v>54</v>
      </c>
      <c r="C28" s="27">
        <v>1.2770005622660421E-2</v>
      </c>
      <c r="D28" s="32">
        <f t="shared" si="0"/>
        <v>-2.0816681711721685E-17</v>
      </c>
    </row>
    <row r="29" spans="1:7" x14ac:dyDescent="0.3">
      <c r="A29" s="1" t="s">
        <v>55</v>
      </c>
      <c r="B29" s="15" t="s">
        <v>56</v>
      </c>
      <c r="C29" s="27">
        <v>1.6790501998420564E-2</v>
      </c>
      <c r="D29" s="32">
        <f t="shared" si="0"/>
        <v>-6.591949208711867E-17</v>
      </c>
    </row>
    <row r="30" spans="1:7" x14ac:dyDescent="0.3">
      <c r="A30" s="1" t="s">
        <v>57</v>
      </c>
      <c r="B30" s="15" t="s">
        <v>58</v>
      </c>
      <c r="C30" s="27">
        <v>1.8421292676487792E-2</v>
      </c>
      <c r="D30" s="32">
        <f t="shared" si="0"/>
        <v>-9.0205620750793969E-17</v>
      </c>
    </row>
    <row r="31" spans="1:7" x14ac:dyDescent="0.3">
      <c r="A31" s="1" t="s">
        <v>59</v>
      </c>
      <c r="B31" s="15" t="s">
        <v>60</v>
      </c>
      <c r="C31" s="27">
        <v>7.519907593864998</v>
      </c>
      <c r="D31" s="32">
        <f t="shared" si="0"/>
        <v>-7.9936057773011271E-15</v>
      </c>
    </row>
    <row r="32" spans="1:7" x14ac:dyDescent="0.3">
      <c r="A32" s="1" t="s">
        <v>61</v>
      </c>
      <c r="B32" s="15" t="s">
        <v>62</v>
      </c>
      <c r="C32" s="27">
        <v>0.15231180087724713</v>
      </c>
      <c r="D32" s="32">
        <f t="shared" si="0"/>
        <v>0</v>
      </c>
    </row>
    <row r="33" spans="1:4" x14ac:dyDescent="0.3">
      <c r="A33" s="1" t="s">
        <v>63</v>
      </c>
      <c r="B33" s="15" t="s">
        <v>64</v>
      </c>
      <c r="C33" s="27">
        <v>0.26028737755209663</v>
      </c>
      <c r="D33" s="32">
        <f t="shared" si="0"/>
        <v>-6.106226635438361E-16</v>
      </c>
    </row>
    <row r="34" spans="1:4" x14ac:dyDescent="0.3">
      <c r="A34" s="1" t="s">
        <v>65</v>
      </c>
      <c r="B34" s="15" t="s">
        <v>66</v>
      </c>
      <c r="C34" s="27">
        <v>-1.8600480298115105E-2</v>
      </c>
      <c r="D34" s="32">
        <f t="shared" si="0"/>
        <v>0</v>
      </c>
    </row>
    <row r="35" spans="1:4" x14ac:dyDescent="0.3">
      <c r="A35" s="1" t="s">
        <v>67</v>
      </c>
      <c r="B35" s="15" t="s">
        <v>68</v>
      </c>
      <c r="C35" s="27">
        <v>-7.6347586991434975</v>
      </c>
      <c r="D35" s="32">
        <f t="shared" si="0"/>
        <v>7.1054273576010019E-15</v>
      </c>
    </row>
    <row r="36" spans="1:4" x14ac:dyDescent="0.3">
      <c r="A36" s="1" t="s">
        <v>69</v>
      </c>
      <c r="B36" s="15" t="s">
        <v>70</v>
      </c>
      <c r="C36" s="27">
        <v>-0.33626327944349105</v>
      </c>
      <c r="D36" s="32">
        <f t="shared" si="0"/>
        <v>1.0547118733938987E-15</v>
      </c>
    </row>
    <row r="37" spans="1:4" x14ac:dyDescent="0.3">
      <c r="A37" s="1" t="s">
        <v>71</v>
      </c>
      <c r="B37" s="15" t="s">
        <v>72</v>
      </c>
      <c r="C37" s="27">
        <v>-0.30349611992550107</v>
      </c>
      <c r="D37" s="32">
        <f t="shared" si="0"/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"/>
  <sheetViews>
    <sheetView workbookViewId="0">
      <selection activeCell="A12" sqref="A12:XFD12"/>
    </sheetView>
  </sheetViews>
  <sheetFormatPr defaultRowHeight="14.4" x14ac:dyDescent="0.3"/>
  <cols>
    <col min="1" max="1" width="18.109375" bestFit="1" customWidth="1"/>
    <col min="2" max="7" width="12" bestFit="1" customWidth="1"/>
    <col min="8" max="9" width="12.6640625" bestFit="1" customWidth="1"/>
    <col min="10" max="10" width="11.88671875" bestFit="1" customWidth="1"/>
    <col min="11" max="11" width="12.6640625" bestFit="1" customWidth="1"/>
    <col min="12" max="15" width="11.109375" customWidth="1"/>
    <col min="16" max="16" width="12.77734375" customWidth="1"/>
    <col min="17" max="17" width="11.109375" customWidth="1"/>
    <col min="19" max="21" width="12" bestFit="1" customWidth="1"/>
    <col min="22" max="22" width="15.109375" bestFit="1" customWidth="1"/>
    <col min="23" max="23" width="17.33203125" bestFit="1" customWidth="1"/>
    <col min="24" max="24" width="12" bestFit="1" customWidth="1"/>
    <col min="31" max="31" width="10.109375" customWidth="1"/>
    <col min="34" max="34" width="10.77734375" customWidth="1"/>
    <col min="35" max="35" width="12.6640625" bestFit="1" customWidth="1"/>
  </cols>
  <sheetData>
    <row r="1" spans="1:35" ht="28.8" x14ac:dyDescent="0.3">
      <c r="A1" s="1" t="s">
        <v>73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1" t="s">
        <v>82</v>
      </c>
      <c r="L1" t="s">
        <v>1688</v>
      </c>
      <c r="M1" t="s">
        <v>1689</v>
      </c>
      <c r="N1" t="s">
        <v>1690</v>
      </c>
      <c r="O1" t="s">
        <v>1691</v>
      </c>
      <c r="P1" t="s">
        <v>1692</v>
      </c>
      <c r="Q1" t="s">
        <v>1703</v>
      </c>
      <c r="S1" t="s">
        <v>1693</v>
      </c>
      <c r="T1" t="s">
        <v>1694</v>
      </c>
      <c r="U1" t="s">
        <v>1695</v>
      </c>
      <c r="V1" t="s">
        <v>1696</v>
      </c>
      <c r="W1" t="s">
        <v>1697</v>
      </c>
      <c r="X1" t="s">
        <v>75</v>
      </c>
      <c r="Z1" t="s">
        <v>1700</v>
      </c>
      <c r="AA1" t="s">
        <v>1698</v>
      </c>
      <c r="AB1" t="s">
        <v>1699</v>
      </c>
      <c r="AC1" t="s">
        <v>1696</v>
      </c>
      <c r="AD1" t="s">
        <v>1697</v>
      </c>
      <c r="AE1" t="s">
        <v>76</v>
      </c>
      <c r="AG1" s="9" t="s">
        <v>1701</v>
      </c>
      <c r="AH1" t="s">
        <v>1702</v>
      </c>
      <c r="AI1" t="s">
        <v>1704</v>
      </c>
    </row>
    <row r="2" spans="1:35" x14ac:dyDescent="0.3">
      <c r="A2" s="2">
        <v>45986</v>
      </c>
      <c r="B2" s="5">
        <v>1</v>
      </c>
      <c r="C2" s="5">
        <v>3.5386396052533603E-2</v>
      </c>
      <c r="D2" s="5">
        <v>2.9973923325584208E-2</v>
      </c>
      <c r="E2" s="5">
        <v>1</v>
      </c>
      <c r="F2" s="5">
        <v>1.47135640808172E-2</v>
      </c>
      <c r="G2" s="5">
        <v>1.7378099968649158E-2</v>
      </c>
      <c r="H2" s="5"/>
      <c r="I2" s="5"/>
      <c r="J2" t="s">
        <v>83</v>
      </c>
      <c r="L2">
        <v>120.59</v>
      </c>
      <c r="M2">
        <v>134.06399999999999</v>
      </c>
      <c r="N2">
        <f>L2/L$2</f>
        <v>1</v>
      </c>
      <c r="O2">
        <f>M2/M$2</f>
        <v>1</v>
      </c>
      <c r="P2">
        <f>AVERAGE(N2:O2)</f>
        <v>1</v>
      </c>
      <c r="S2">
        <v>3.6039248909090972E-2</v>
      </c>
      <c r="T2">
        <v>3.4733543195976248E-2</v>
      </c>
      <c r="U2">
        <v>1.47135640808172E-2</v>
      </c>
      <c r="V2">
        <v>0.5</v>
      </c>
      <c r="W2">
        <v>0.5</v>
      </c>
      <c r="X2">
        <f>SUMPRODUCT(S2:T2,V2:W2)</f>
        <v>3.538639605253361E-2</v>
      </c>
      <c r="Z2">
        <v>3.9397960029853261E-2</v>
      </c>
      <c r="AA2">
        <v>2.0549886621315159E-2</v>
      </c>
      <c r="AB2">
        <v>1.47135640808172E-2</v>
      </c>
      <c r="AC2">
        <v>0.5</v>
      </c>
      <c r="AD2">
        <v>0.5</v>
      </c>
      <c r="AE2">
        <f>SUMPRODUCT(Z2:AA2,AC2:AD2)</f>
        <v>2.9973923325584212E-2</v>
      </c>
      <c r="AG2">
        <v>673.03099999999995</v>
      </c>
      <c r="AH2">
        <f>AG2/AG$2</f>
        <v>1</v>
      </c>
    </row>
    <row r="3" spans="1:35" x14ac:dyDescent="0.3">
      <c r="A3" s="2">
        <v>45987</v>
      </c>
      <c r="B3" s="5">
        <v>1.0022423420138611</v>
      </c>
      <c r="C3" s="5">
        <v>3.4183038633910257E-2</v>
      </c>
      <c r="D3" s="5">
        <v>1.956861355913363E-2</v>
      </c>
      <c r="E3" s="5">
        <v>1.006904585375711</v>
      </c>
      <c r="F3" s="5">
        <v>1.4270989815790549E-2</v>
      </c>
      <c r="G3" s="5">
        <v>9.8291518980991831E-3</v>
      </c>
      <c r="H3" s="5">
        <v>2.2423420138608652E-3</v>
      </c>
      <c r="I3" s="5">
        <v>6.9045853757108144E-3</v>
      </c>
      <c r="J3" t="s">
        <v>83</v>
      </c>
      <c r="L3">
        <v>120.61</v>
      </c>
      <c r="M3">
        <v>134.643</v>
      </c>
      <c r="N3">
        <f t="shared" ref="N3:N18" si="0">L3/L$2</f>
        <v>1.0001658512314453</v>
      </c>
      <c r="O3">
        <f t="shared" ref="O3:O18" si="1">M3/M$2</f>
        <v>1.0043188327962764</v>
      </c>
      <c r="P3">
        <f t="shared" ref="P3:P18" si="2">AVERAGE(N3:O3)</f>
        <v>1.0022423420138609</v>
      </c>
      <c r="Q3">
        <f>P3/P2-1</f>
        <v>2.2423420138608652E-3</v>
      </c>
      <c r="S3">
        <v>3.4825144407188827E-2</v>
      </c>
      <c r="T3">
        <v>3.354358804676584E-2</v>
      </c>
      <c r="U3">
        <v>1.4270989815790549E-2</v>
      </c>
      <c r="V3">
        <v>0.49896407750133409</v>
      </c>
      <c r="W3">
        <v>0.50103592249866591</v>
      </c>
      <c r="X3">
        <f t="shared" ref="X3:X18" si="3">SUMPRODUCT(S3:T3,V3:W3)</f>
        <v>3.4183038633910263E-2</v>
      </c>
      <c r="Z3">
        <v>1.9119475997015151E-2</v>
      </c>
      <c r="AA3">
        <v>2.001589388234087E-2</v>
      </c>
      <c r="AB3">
        <v>1.4270989815790549E-2</v>
      </c>
      <c r="AC3">
        <v>0.49896407750133409</v>
      </c>
      <c r="AD3">
        <v>0.50103592249866591</v>
      </c>
      <c r="AE3">
        <f t="shared" ref="AE3:AE18" si="4">SUMPRODUCT(Z3:AA3,AC3:AD3)</f>
        <v>1.9568613559133627E-2</v>
      </c>
      <c r="AG3">
        <v>677.678</v>
      </c>
      <c r="AH3">
        <f t="shared" ref="AH3:AH18" si="5">AG3/AG$2</f>
        <v>1.0069045853757108</v>
      </c>
      <c r="AI3">
        <f>AH3/AH2-1</f>
        <v>6.9045853757108144E-3</v>
      </c>
    </row>
    <row r="4" spans="1:35" x14ac:dyDescent="0.3">
      <c r="A4" s="2">
        <v>45989</v>
      </c>
      <c r="B4" s="5">
        <v>1.009784049013859</v>
      </c>
      <c r="C4" s="5">
        <v>3.2675566781861613E-2</v>
      </c>
      <c r="D4" s="5">
        <v>1.639734035283745E-2</v>
      </c>
      <c r="E4" s="5">
        <v>1.0124006175049891</v>
      </c>
      <c r="F4" s="5">
        <v>1.359670678147853E-2</v>
      </c>
      <c r="G4" s="5">
        <v>5.8381776901773206E-3</v>
      </c>
      <c r="H4" s="5">
        <v>7.5248337491347073E-3</v>
      </c>
      <c r="I4" s="5">
        <v>5.458344523505243E-3</v>
      </c>
      <c r="J4" t="s">
        <v>83</v>
      </c>
      <c r="L4">
        <v>122.08799999999999</v>
      </c>
      <c r="M4">
        <v>135.02199999999999</v>
      </c>
      <c r="N4">
        <f t="shared" si="0"/>
        <v>1.0124222572352599</v>
      </c>
      <c r="O4">
        <f t="shared" si="1"/>
        <v>1.0071458407924574</v>
      </c>
      <c r="P4">
        <f t="shared" si="2"/>
        <v>1.0097840490138585</v>
      </c>
      <c r="Q4">
        <f t="shared" ref="Q4:Q18" si="6">P4/P3-1</f>
        <v>7.5248337491347073E-3</v>
      </c>
      <c r="S4">
        <v>3.3242642701730121E-2</v>
      </c>
      <c r="T4">
        <v>3.2105519962857397E-2</v>
      </c>
      <c r="U4">
        <v>1.359670678147853E-2</v>
      </c>
      <c r="V4">
        <v>0.50130632298261091</v>
      </c>
      <c r="W4">
        <v>0.4986936770173892</v>
      </c>
      <c r="X4">
        <f t="shared" si="3"/>
        <v>3.2675566781861606E-2</v>
      </c>
      <c r="Z4">
        <v>1.8150842015595262E-2</v>
      </c>
      <c r="AA4">
        <v>1.463465213076408E-2</v>
      </c>
      <c r="AB4">
        <v>1.359670678147853E-2</v>
      </c>
      <c r="AC4">
        <v>0.50130632298261091</v>
      </c>
      <c r="AD4">
        <v>0.4986936770173892</v>
      </c>
      <c r="AE4">
        <f t="shared" si="4"/>
        <v>1.639734035283745E-2</v>
      </c>
      <c r="AG4">
        <v>681.37699999999995</v>
      </c>
      <c r="AH4">
        <f t="shared" si="5"/>
        <v>1.0124006175049887</v>
      </c>
      <c r="AI4">
        <f t="shared" ref="AI4:AI18" si="7">AH4/AH3-1</f>
        <v>5.458344523505243E-3</v>
      </c>
    </row>
    <row r="5" spans="1:35" x14ac:dyDescent="0.3">
      <c r="A5" s="2">
        <v>45992</v>
      </c>
      <c r="B5" s="5">
        <v>1.025592140384566</v>
      </c>
      <c r="C5" s="5">
        <v>3.3130292358258283E-2</v>
      </c>
      <c r="D5" s="5">
        <v>4.5589160449046998E-2</v>
      </c>
      <c r="E5" s="5">
        <v>1.0077782449842581</v>
      </c>
      <c r="F5" s="5">
        <v>1.317174789372199E-2</v>
      </c>
      <c r="G5" s="5">
        <v>6.8365508517306542E-3</v>
      </c>
      <c r="H5" s="5">
        <v>1.5654922838349131E-2</v>
      </c>
      <c r="I5" s="5">
        <v>-4.5657543474464379E-3</v>
      </c>
      <c r="J5" t="s">
        <v>83</v>
      </c>
      <c r="L5">
        <v>121.968</v>
      </c>
      <c r="M5">
        <v>139.39400000000001</v>
      </c>
      <c r="N5">
        <f t="shared" si="0"/>
        <v>1.0114271498465877</v>
      </c>
      <c r="O5">
        <f t="shared" si="1"/>
        <v>1.0397571309225446</v>
      </c>
      <c r="P5">
        <f t="shared" si="2"/>
        <v>1.0255921403845663</v>
      </c>
      <c r="Q5">
        <f t="shared" si="6"/>
        <v>1.5654922838349128E-2</v>
      </c>
      <c r="S5">
        <v>3.3307249740092693E-2</v>
      </c>
      <c r="T5">
        <v>3.2958156486303007E-2</v>
      </c>
      <c r="U5">
        <v>1.317174789372199E-2</v>
      </c>
      <c r="V5">
        <v>0.49309423796253588</v>
      </c>
      <c r="W5">
        <v>0.50690576203746396</v>
      </c>
      <c r="X5">
        <f t="shared" si="3"/>
        <v>3.313029235825829E-2</v>
      </c>
      <c r="Z5">
        <v>3.3721959858323491E-2</v>
      </c>
      <c r="AA5">
        <v>5.7133018637817973E-2</v>
      </c>
      <c r="AB5">
        <v>1.317174789372199E-2</v>
      </c>
      <c r="AC5">
        <v>0.49309423796253588</v>
      </c>
      <c r="AD5">
        <v>0.50690576203746396</v>
      </c>
      <c r="AE5">
        <f t="shared" si="4"/>
        <v>4.5589160449046998E-2</v>
      </c>
      <c r="AG5">
        <v>678.26599999999996</v>
      </c>
      <c r="AH5">
        <f t="shared" si="5"/>
        <v>1.0077782449842578</v>
      </c>
      <c r="AI5">
        <f t="shared" si="7"/>
        <v>-4.5657543474464379E-3</v>
      </c>
    </row>
    <row r="6" spans="1:35" x14ac:dyDescent="0.3">
      <c r="A6" s="2">
        <v>45993</v>
      </c>
      <c r="B6" s="5">
        <v>1.0342806694214119</v>
      </c>
      <c r="C6" s="5">
        <v>3.2234268395892572E-2</v>
      </c>
      <c r="D6" s="5">
        <v>2.4204022758006628E-2</v>
      </c>
      <c r="E6" s="5">
        <v>1.009644429454216</v>
      </c>
      <c r="F6" s="5">
        <v>1.267880045926003E-2</v>
      </c>
      <c r="G6" s="5">
        <v>6.5869832028985064E-3</v>
      </c>
      <c r="H6" s="5">
        <v>8.471719599555616E-3</v>
      </c>
      <c r="I6" s="5">
        <v>1.851780864734698E-3</v>
      </c>
      <c r="J6" t="s">
        <v>83</v>
      </c>
      <c r="L6">
        <v>122.45699999999999</v>
      </c>
      <c r="M6">
        <v>141.18</v>
      </c>
      <c r="N6">
        <f t="shared" si="0"/>
        <v>1.0154822124554275</v>
      </c>
      <c r="O6">
        <f t="shared" si="1"/>
        <v>1.0530791263873971</v>
      </c>
      <c r="P6">
        <f t="shared" si="2"/>
        <v>1.0342806694214124</v>
      </c>
      <c r="Q6">
        <f t="shared" si="6"/>
        <v>8.471719599555616E-3</v>
      </c>
      <c r="S6">
        <v>3.1975330274472517E-2</v>
      </c>
      <c r="T6">
        <v>3.2483961937279857E-2</v>
      </c>
      <c r="U6">
        <v>1.267880045926003E-2</v>
      </c>
      <c r="V6">
        <v>0.49091230382537221</v>
      </c>
      <c r="W6">
        <v>0.50908769617462768</v>
      </c>
      <c r="X6">
        <f t="shared" si="3"/>
        <v>3.2234268395892572E-2</v>
      </c>
      <c r="Z6">
        <v>1.6389426492564779E-2</v>
      </c>
      <c r="AA6">
        <v>3.1739623176087223E-2</v>
      </c>
      <c r="AB6">
        <v>1.267880045926003E-2</v>
      </c>
      <c r="AC6">
        <v>0.49091230382537221</v>
      </c>
      <c r="AD6">
        <v>0.50908769617462768</v>
      </c>
      <c r="AE6">
        <f t="shared" si="4"/>
        <v>2.4204022758006628E-2</v>
      </c>
      <c r="AG6">
        <v>679.52200000000005</v>
      </c>
      <c r="AH6">
        <f t="shared" si="5"/>
        <v>1.0096444294542155</v>
      </c>
      <c r="AI6">
        <f t="shared" si="7"/>
        <v>1.8517808647346978E-3</v>
      </c>
    </row>
    <row r="7" spans="1:35" x14ac:dyDescent="0.3">
      <c r="A7" s="2">
        <v>45994</v>
      </c>
      <c r="B7" s="5">
        <v>1.0864453331855539</v>
      </c>
      <c r="C7" s="5">
        <v>3.2220821573646703E-2</v>
      </c>
      <c r="D7" s="5">
        <v>5.2166092906441967E-2</v>
      </c>
      <c r="E7" s="5">
        <v>1.0131405537040641</v>
      </c>
      <c r="F7" s="5">
        <v>1.2277785517224551E-2</v>
      </c>
      <c r="G7" s="5">
        <v>7.6333638863428652E-3</v>
      </c>
      <c r="H7" s="5">
        <v>5.0435694397462427E-2</v>
      </c>
      <c r="I7" s="5">
        <v>3.4627282118901981E-3</v>
      </c>
      <c r="J7" t="s">
        <v>83</v>
      </c>
      <c r="L7">
        <v>126.25</v>
      </c>
      <c r="M7">
        <v>150.94999999999999</v>
      </c>
      <c r="N7">
        <f t="shared" si="0"/>
        <v>1.0469358984990462</v>
      </c>
      <c r="O7">
        <f t="shared" si="1"/>
        <v>1.1259547678720612</v>
      </c>
      <c r="P7">
        <f t="shared" si="2"/>
        <v>1.0864453331855537</v>
      </c>
      <c r="Q7">
        <f t="shared" si="6"/>
        <v>5.0435694397462427E-2</v>
      </c>
      <c r="S7">
        <v>3.1509951486548247E-2</v>
      </c>
      <c r="T7">
        <v>3.2881803199719513E-2</v>
      </c>
      <c r="U7">
        <v>1.2277785517224551E-2</v>
      </c>
      <c r="V7">
        <v>0.48181710874919847</v>
      </c>
      <c r="W7">
        <v>0.51818289125080153</v>
      </c>
      <c r="X7">
        <f t="shared" si="3"/>
        <v>3.2220821573646696E-2</v>
      </c>
      <c r="Z7">
        <v>3.7948514851485121E-2</v>
      </c>
      <c r="AA7">
        <v>6.5385889367340216E-2</v>
      </c>
      <c r="AB7">
        <v>1.2277785517224551E-2</v>
      </c>
      <c r="AC7">
        <v>0.48181710874919847</v>
      </c>
      <c r="AD7">
        <v>0.51818289125080153</v>
      </c>
      <c r="AE7">
        <f t="shared" si="4"/>
        <v>5.2166092906441974E-2</v>
      </c>
      <c r="AG7">
        <v>681.875</v>
      </c>
      <c r="AH7">
        <f t="shared" si="5"/>
        <v>1.0131405537040643</v>
      </c>
      <c r="AI7">
        <f t="shared" si="7"/>
        <v>3.4627282118901981E-3</v>
      </c>
    </row>
    <row r="8" spans="1:35" x14ac:dyDescent="0.3">
      <c r="A8" s="2">
        <v>45995</v>
      </c>
      <c r="B8" s="5">
        <v>1.104061674315983</v>
      </c>
      <c r="C8" s="5">
        <v>3.0879868447591181E-2</v>
      </c>
      <c r="D8" s="5">
        <v>2.013095298795704E-2</v>
      </c>
      <c r="E8" s="5">
        <v>1.0138819757188009</v>
      </c>
      <c r="F8" s="5">
        <v>1.181305423567966E-2</v>
      </c>
      <c r="G8" s="5">
        <v>5.8882665517737036E-3</v>
      </c>
      <c r="H8" s="5">
        <v>1.6214659488459349E-2</v>
      </c>
      <c r="I8" s="5">
        <v>7.3180568285979852E-4</v>
      </c>
      <c r="J8" t="s">
        <v>83</v>
      </c>
      <c r="L8">
        <v>128.196</v>
      </c>
      <c r="M8">
        <v>153.51</v>
      </c>
      <c r="N8">
        <f t="shared" si="0"/>
        <v>1.063073223318683</v>
      </c>
      <c r="O8">
        <f t="shared" si="1"/>
        <v>1.1450501253132832</v>
      </c>
      <c r="P8">
        <f t="shared" si="2"/>
        <v>1.1040616743159832</v>
      </c>
      <c r="Q8">
        <f t="shared" si="6"/>
        <v>1.6214659488459349E-2</v>
      </c>
      <c r="S8">
        <v>3.0233118415382541E-2</v>
      </c>
      <c r="T8">
        <v>3.14803160840939E-2</v>
      </c>
      <c r="U8">
        <v>1.181305423567966E-2</v>
      </c>
      <c r="V8">
        <v>0.48143742693419078</v>
      </c>
      <c r="W8">
        <v>0.51856257306580911</v>
      </c>
      <c r="X8">
        <f t="shared" si="3"/>
        <v>3.0879868447591177E-2</v>
      </c>
      <c r="Z8">
        <v>1.9852413491840519E-2</v>
      </c>
      <c r="AA8">
        <v>2.0389551169304899E-2</v>
      </c>
      <c r="AB8">
        <v>1.181305423567966E-2</v>
      </c>
      <c r="AC8">
        <v>0.48143742693419078</v>
      </c>
      <c r="AD8">
        <v>0.51856257306580911</v>
      </c>
      <c r="AE8">
        <f t="shared" si="4"/>
        <v>2.013095298795704E-2</v>
      </c>
      <c r="AG8">
        <v>682.37400000000002</v>
      </c>
      <c r="AH8">
        <f t="shared" si="5"/>
        <v>1.0138819757188007</v>
      </c>
      <c r="AI8">
        <f t="shared" si="7"/>
        <v>7.3180568285979852E-4</v>
      </c>
    </row>
    <row r="9" spans="1:35" x14ac:dyDescent="0.3">
      <c r="A9" s="2">
        <v>45996</v>
      </c>
      <c r="B9" s="5">
        <v>1.114278827693862</v>
      </c>
      <c r="C9" s="5">
        <v>3.0221831141497749E-2</v>
      </c>
      <c r="D9" s="5">
        <v>2.5348253020506039E-2</v>
      </c>
      <c r="E9" s="5">
        <v>1.01580759281519</v>
      </c>
      <c r="F9" s="5">
        <v>1.1365129576218861E-2</v>
      </c>
      <c r="G9" s="5">
        <v>5.8332236312840157E-3</v>
      </c>
      <c r="H9" s="5">
        <v>9.2541509370016595E-3</v>
      </c>
      <c r="I9" s="5">
        <v>1.899251729989393E-3</v>
      </c>
      <c r="J9" t="s">
        <v>83</v>
      </c>
      <c r="L9">
        <v>129.185</v>
      </c>
      <c r="M9">
        <v>155.15</v>
      </c>
      <c r="N9">
        <f t="shared" si="0"/>
        <v>1.0712745667136578</v>
      </c>
      <c r="O9">
        <f t="shared" si="1"/>
        <v>1.1572830886740662</v>
      </c>
      <c r="P9">
        <f t="shared" si="2"/>
        <v>1.114278827693862</v>
      </c>
      <c r="Q9">
        <f t="shared" si="6"/>
        <v>9.2541509370016595E-3</v>
      </c>
      <c r="S9">
        <v>2.9785049695574418E-2</v>
      </c>
      <c r="T9">
        <v>3.0626151276138439E-2</v>
      </c>
      <c r="U9">
        <v>1.1365129576218861E-2</v>
      </c>
      <c r="V9">
        <v>0.48070309696666907</v>
      </c>
      <c r="W9">
        <v>0.51929690303333087</v>
      </c>
      <c r="X9">
        <f t="shared" si="3"/>
        <v>3.0221831141497756E-2</v>
      </c>
      <c r="Z9">
        <v>2.6969075357046051E-2</v>
      </c>
      <c r="AA9">
        <v>2.3847889139542309E-2</v>
      </c>
      <c r="AB9">
        <v>1.1365129576218861E-2</v>
      </c>
      <c r="AC9">
        <v>0.48070309696666907</v>
      </c>
      <c r="AD9">
        <v>0.51929690303333087</v>
      </c>
      <c r="AE9">
        <f t="shared" si="4"/>
        <v>2.5348253020506042E-2</v>
      </c>
      <c r="AG9">
        <v>683.67</v>
      </c>
      <c r="AH9">
        <f t="shared" si="5"/>
        <v>1.0158075928151897</v>
      </c>
      <c r="AI9">
        <f t="shared" si="7"/>
        <v>1.899251729989393E-3</v>
      </c>
    </row>
    <row r="10" spans="1:35" x14ac:dyDescent="0.3">
      <c r="A10" s="2">
        <v>45999</v>
      </c>
      <c r="B10" s="5">
        <v>1.104728905236092</v>
      </c>
      <c r="C10" s="5">
        <v>3.018797453913449E-2</v>
      </c>
      <c r="D10" s="5">
        <v>2.6351521427903531E-2</v>
      </c>
      <c r="E10" s="5">
        <v>1.012755727447918</v>
      </c>
      <c r="F10" s="5">
        <v>1.1114864819766149E-2</v>
      </c>
      <c r="G10" s="5">
        <v>7.4161991502546152E-3</v>
      </c>
      <c r="H10" s="5">
        <v>-8.5704961993532391E-3</v>
      </c>
      <c r="I10" s="5">
        <v>-3.0043734550294632E-3</v>
      </c>
      <c r="J10" t="s">
        <v>83</v>
      </c>
      <c r="L10">
        <v>130.00299999999999</v>
      </c>
      <c r="M10">
        <v>151.68</v>
      </c>
      <c r="N10">
        <f t="shared" si="0"/>
        <v>1.0780578820797744</v>
      </c>
      <c r="O10">
        <f t="shared" si="1"/>
        <v>1.1313999283924097</v>
      </c>
      <c r="P10">
        <f t="shared" si="2"/>
        <v>1.104728905236092</v>
      </c>
      <c r="Q10">
        <f t="shared" si="6"/>
        <v>-8.5704961993532391E-3</v>
      </c>
      <c r="S10">
        <v>2.8459871466700312E-2</v>
      </c>
      <c r="T10">
        <v>3.183460283699114E-2</v>
      </c>
      <c r="U10">
        <v>1.1114864819766149E-2</v>
      </c>
      <c r="V10">
        <v>0.4879287022228237</v>
      </c>
      <c r="W10">
        <v>0.5120712977771763</v>
      </c>
      <c r="X10">
        <f t="shared" si="3"/>
        <v>3.0187974539134486E-2</v>
      </c>
      <c r="Z10">
        <v>1.366891533272321E-2</v>
      </c>
      <c r="AA10">
        <v>3.8436181434599238E-2</v>
      </c>
      <c r="AB10">
        <v>1.1114864819766149E-2</v>
      </c>
      <c r="AC10">
        <v>0.4879287022228237</v>
      </c>
      <c r="AD10">
        <v>0.5120712977771763</v>
      </c>
      <c r="AE10">
        <f t="shared" si="4"/>
        <v>2.6351521427903535E-2</v>
      </c>
      <c r="AG10">
        <v>681.61599999999999</v>
      </c>
      <c r="AH10">
        <f t="shared" si="5"/>
        <v>1.0127557274479184</v>
      </c>
      <c r="AI10">
        <f t="shared" si="7"/>
        <v>-3.0043734550294632E-3</v>
      </c>
    </row>
    <row r="11" spans="1:35" x14ac:dyDescent="0.3">
      <c r="A11" s="2">
        <v>46000</v>
      </c>
      <c r="B11" s="5">
        <v>1.117252360002752</v>
      </c>
      <c r="C11" s="5">
        <v>3.0756102299964672E-2</v>
      </c>
      <c r="D11" s="5">
        <v>4.2540725066551051E-2</v>
      </c>
      <c r="E11" s="5">
        <v>1.0118820678393721</v>
      </c>
      <c r="F11" s="5">
        <v>1.0622691629090389E-2</v>
      </c>
      <c r="G11" s="5">
        <v>4.0996845944660572E-3</v>
      </c>
      <c r="H11" s="5">
        <v>1.133622439614124E-2</v>
      </c>
      <c r="I11" s="5">
        <v>-8.6265580620148441E-4</v>
      </c>
      <c r="J11" t="s">
        <v>83</v>
      </c>
      <c r="L11">
        <v>135.53299999999999</v>
      </c>
      <c r="M11">
        <v>148.88999999999999</v>
      </c>
      <c r="N11">
        <f t="shared" si="0"/>
        <v>1.1239157475744257</v>
      </c>
      <c r="O11">
        <f t="shared" si="1"/>
        <v>1.1105889724310776</v>
      </c>
      <c r="P11">
        <f t="shared" si="2"/>
        <v>1.1172523600027517</v>
      </c>
      <c r="Q11">
        <f t="shared" si="6"/>
        <v>1.1336224396141237E-2</v>
      </c>
      <c r="S11">
        <v>2.948901886504748E-2</v>
      </c>
      <c r="T11">
        <v>3.2038390402354858E-2</v>
      </c>
      <c r="U11">
        <v>1.0622691629090389E-2</v>
      </c>
      <c r="V11">
        <v>0.50298204228973731</v>
      </c>
      <c r="W11">
        <v>0.49701795771026258</v>
      </c>
      <c r="X11">
        <f t="shared" si="3"/>
        <v>3.0756102299964665E-2</v>
      </c>
      <c r="Z11">
        <v>5.7963743147425313E-2</v>
      </c>
      <c r="AA11">
        <v>2.6932634831083289E-2</v>
      </c>
      <c r="AB11">
        <v>1.0622691629090389E-2</v>
      </c>
      <c r="AC11">
        <v>0.50298204228973731</v>
      </c>
      <c r="AD11">
        <v>0.49701795771026258</v>
      </c>
      <c r="AE11">
        <f t="shared" si="4"/>
        <v>4.2540725066551051E-2</v>
      </c>
      <c r="AG11">
        <v>681.02800000000002</v>
      </c>
      <c r="AH11">
        <f t="shared" si="5"/>
        <v>1.0118820678393716</v>
      </c>
      <c r="AI11">
        <f t="shared" si="7"/>
        <v>-8.6265580620148441E-4</v>
      </c>
    </row>
    <row r="12" spans="1:35" x14ac:dyDescent="0.3">
      <c r="A12" s="2">
        <v>46001</v>
      </c>
      <c r="B12" s="5">
        <v>1.172533682185039</v>
      </c>
      <c r="C12" s="5">
        <v>3.1196712492172152E-2</v>
      </c>
      <c r="D12" s="5">
        <v>5.5775356352026233E-2</v>
      </c>
      <c r="E12" s="5">
        <v>1.0185920113635181</v>
      </c>
      <c r="F12" s="5">
        <v>1.059466805632673E-2</v>
      </c>
      <c r="G12" s="5">
        <v>1.114005811443184E-2</v>
      </c>
      <c r="H12" s="5">
        <v>4.9479709474188338E-2</v>
      </c>
      <c r="I12" s="5">
        <v>6.6311517294441744E-3</v>
      </c>
      <c r="J12" s="13" t="s">
        <v>83</v>
      </c>
      <c r="L12">
        <v>141.28299999999999</v>
      </c>
      <c r="M12">
        <v>157.32</v>
      </c>
      <c r="N12">
        <f t="shared" si="0"/>
        <v>1.1715979766149762</v>
      </c>
      <c r="O12">
        <f t="shared" si="1"/>
        <v>1.1734693877551021</v>
      </c>
      <c r="P12">
        <f t="shared" si="2"/>
        <v>1.1725336821850392</v>
      </c>
      <c r="Q12">
        <f t="shared" si="6"/>
        <v>4.9479709474188338E-2</v>
      </c>
      <c r="S12">
        <v>2.955848369173637E-2</v>
      </c>
      <c r="T12">
        <v>3.2832328698143003E-2</v>
      </c>
      <c r="U12">
        <v>1.059466805632673E-2</v>
      </c>
      <c r="V12">
        <v>0.49960098989722868</v>
      </c>
      <c r="W12">
        <v>0.50039901010277132</v>
      </c>
      <c r="X12">
        <f t="shared" si="3"/>
        <v>3.1196712492172152E-2</v>
      </c>
      <c r="Z12">
        <v>4.606357452772103E-2</v>
      </c>
      <c r="AA12">
        <v>6.5471650139842255E-2</v>
      </c>
      <c r="AB12">
        <v>1.059466805632673E-2</v>
      </c>
      <c r="AC12">
        <v>0.49960098989722868</v>
      </c>
      <c r="AD12">
        <v>0.50039901010277132</v>
      </c>
      <c r="AE12">
        <f t="shared" si="4"/>
        <v>5.5775356352026226E-2</v>
      </c>
      <c r="AG12">
        <v>685.54399999999998</v>
      </c>
      <c r="AH12">
        <f t="shared" si="5"/>
        <v>1.0185920113635183</v>
      </c>
      <c r="AI12">
        <f t="shared" si="7"/>
        <v>6.6311517294441735E-3</v>
      </c>
    </row>
    <row r="13" spans="1:35" s="14" customFormat="1" x14ac:dyDescent="0.3">
      <c r="A13" s="16">
        <v>46002</v>
      </c>
      <c r="B13" s="14">
        <v>1.1835884679100079</v>
      </c>
      <c r="C13" s="14">
        <v>3.0963579089116362E-2</v>
      </c>
      <c r="D13" s="14">
        <v>3.1720773472026578E-2</v>
      </c>
      <c r="E13" s="14">
        <v>1.020963373158146</v>
      </c>
      <c r="F13" s="14">
        <v>1.0548842670248521E-2</v>
      </c>
      <c r="G13" s="14">
        <v>1.027301568821504E-2</v>
      </c>
      <c r="H13" s="14">
        <v>9.4281178382598085E-3</v>
      </c>
      <c r="I13" s="14">
        <v>2.3280781394046102E-3</v>
      </c>
      <c r="J13" s="14" t="s">
        <v>84</v>
      </c>
      <c r="L13" s="14">
        <v>142.51</v>
      </c>
      <c r="M13" s="14">
        <v>158.91999999999999</v>
      </c>
      <c r="N13" s="14">
        <f t="shared" si="0"/>
        <v>1.1817729496641511</v>
      </c>
      <c r="O13" s="14">
        <f t="shared" si="1"/>
        <v>1.1854039861558658</v>
      </c>
      <c r="P13" s="14">
        <f t="shared" si="2"/>
        <v>1.1835884679100084</v>
      </c>
      <c r="Q13" s="14">
        <f t="shared" si="6"/>
        <v>9.4281178382598085E-3</v>
      </c>
      <c r="S13" s="14">
        <v>2.901723501531454E-2</v>
      </c>
      <c r="T13" s="14">
        <v>3.2903961274448133E-2</v>
      </c>
      <c r="U13" s="14">
        <v>1.0548842670248521E-2</v>
      </c>
      <c r="V13" s="14">
        <v>0.49923304497505661</v>
      </c>
      <c r="W13" s="14">
        <v>0.50076695502494351</v>
      </c>
      <c r="X13" s="14">
        <f t="shared" si="3"/>
        <v>3.0963579089116362E-2</v>
      </c>
      <c r="Z13" s="14">
        <v>2.528945337169311E-2</v>
      </c>
      <c r="AA13" s="14">
        <v>3.8132393657186021E-2</v>
      </c>
      <c r="AB13" s="14">
        <v>1.0548842670248521E-2</v>
      </c>
      <c r="AC13" s="14">
        <v>0.49923304497505661</v>
      </c>
      <c r="AD13" s="14">
        <v>0.50076695502494351</v>
      </c>
      <c r="AE13" s="14">
        <f t="shared" si="4"/>
        <v>3.1720773472026578E-2</v>
      </c>
      <c r="AG13" s="14">
        <v>687.14</v>
      </c>
      <c r="AH13" s="14">
        <f t="shared" si="5"/>
        <v>1.0209633731581458</v>
      </c>
      <c r="AI13" s="14">
        <f t="shared" si="7"/>
        <v>2.3280781394046102E-3</v>
      </c>
    </row>
    <row r="14" spans="1:35" x14ac:dyDescent="0.3">
      <c r="A14" s="2">
        <v>46003</v>
      </c>
      <c r="B14" s="5">
        <v>1.160181521169126</v>
      </c>
      <c r="C14" s="5">
        <v>3.2023154492711051E-2</v>
      </c>
      <c r="D14" s="5">
        <v>3.7676563308392322E-2</v>
      </c>
      <c r="E14" s="5">
        <v>1.0099846812405371</v>
      </c>
      <c r="F14" s="5">
        <v>1.094958855539427E-2</v>
      </c>
      <c r="G14" s="5">
        <v>1.466860659270822E-2</v>
      </c>
      <c r="H14" s="5">
        <v>-1.977625447991593E-2</v>
      </c>
      <c r="I14" s="5">
        <v>-1.075326716535197E-2</v>
      </c>
      <c r="J14" t="s">
        <v>84</v>
      </c>
      <c r="L14">
        <v>136.352</v>
      </c>
      <c r="M14">
        <v>159.49</v>
      </c>
      <c r="N14">
        <f t="shared" si="0"/>
        <v>1.1307073555021145</v>
      </c>
      <c r="O14">
        <f t="shared" si="1"/>
        <v>1.1896556868361381</v>
      </c>
      <c r="P14">
        <f t="shared" si="2"/>
        <v>1.1601815211691262</v>
      </c>
      <c r="Q14">
        <f t="shared" si="6"/>
        <v>-1.9776254479915933E-2</v>
      </c>
      <c r="S14">
        <v>3.216684972215933E-2</v>
      </c>
      <c r="T14">
        <v>3.1886579469630347E-2</v>
      </c>
      <c r="U14">
        <v>1.094958855539427E-2</v>
      </c>
      <c r="V14">
        <v>0.4872976059654397</v>
      </c>
      <c r="W14">
        <v>0.51270239403456042</v>
      </c>
      <c r="X14">
        <f t="shared" si="3"/>
        <v>3.2023154492711051E-2</v>
      </c>
      <c r="Z14">
        <v>5.6075451771884437E-2</v>
      </c>
      <c r="AA14">
        <v>2.0189353564486791E-2</v>
      </c>
      <c r="AB14">
        <v>1.094958855539427E-2</v>
      </c>
      <c r="AC14">
        <v>0.4872976059654397</v>
      </c>
      <c r="AD14">
        <v>0.51270239403456042</v>
      </c>
      <c r="AE14">
        <f t="shared" si="4"/>
        <v>3.7676563308392322E-2</v>
      </c>
      <c r="AG14">
        <v>679.75099999999998</v>
      </c>
      <c r="AH14">
        <f t="shared" si="5"/>
        <v>1.0099846812405373</v>
      </c>
      <c r="AI14">
        <f t="shared" si="7"/>
        <v>-1.0753267165351965E-2</v>
      </c>
    </row>
    <row r="15" spans="1:35" x14ac:dyDescent="0.3">
      <c r="A15" s="2">
        <v>46006</v>
      </c>
      <c r="B15" s="5">
        <v>1.145201106543819</v>
      </c>
      <c r="C15" s="5">
        <v>3.2655789016478379E-2</v>
      </c>
      <c r="D15" s="5">
        <v>3.5434390175264577E-2</v>
      </c>
      <c r="E15" s="5">
        <v>1.0084587485569021</v>
      </c>
      <c r="F15" s="5">
        <v>1.0865969400093991E-2</v>
      </c>
      <c r="G15" s="5">
        <v>9.5635339254247463E-3</v>
      </c>
      <c r="H15" s="5">
        <v>-1.2912130000322319E-2</v>
      </c>
      <c r="I15" s="5">
        <v>-1.510847354398881E-3</v>
      </c>
      <c r="J15" t="s">
        <v>84</v>
      </c>
      <c r="L15">
        <v>134.565</v>
      </c>
      <c r="M15">
        <v>157.46</v>
      </c>
      <c r="N15">
        <f t="shared" si="0"/>
        <v>1.1158885479724687</v>
      </c>
      <c r="O15">
        <f t="shared" si="1"/>
        <v>1.1745136651151691</v>
      </c>
      <c r="P15">
        <f t="shared" si="2"/>
        <v>1.1452011065438188</v>
      </c>
      <c r="Q15">
        <f t="shared" si="6"/>
        <v>-1.2912130000322319E-2</v>
      </c>
      <c r="S15">
        <v>3.258658100074116E-2</v>
      </c>
      <c r="T15">
        <v>3.2721542557269653E-2</v>
      </c>
      <c r="U15">
        <v>1.0865969400093991E-2</v>
      </c>
      <c r="V15">
        <v>0.4872020039083727</v>
      </c>
      <c r="W15">
        <v>0.51279799609162735</v>
      </c>
      <c r="X15">
        <f t="shared" si="3"/>
        <v>3.2655789016478379E-2</v>
      </c>
      <c r="Z15">
        <v>3.2489874781703898E-2</v>
      </c>
      <c r="AA15">
        <v>3.8231931919217643E-2</v>
      </c>
      <c r="AB15">
        <v>1.0865969400093991E-2</v>
      </c>
      <c r="AC15">
        <v>0.4872020039083727</v>
      </c>
      <c r="AD15">
        <v>0.51279799609162735</v>
      </c>
      <c r="AE15">
        <f t="shared" si="4"/>
        <v>3.5434390175264577E-2</v>
      </c>
      <c r="AG15">
        <v>678.72400000000005</v>
      </c>
      <c r="AH15">
        <f t="shared" si="5"/>
        <v>1.0084587485569017</v>
      </c>
      <c r="AI15">
        <f t="shared" si="7"/>
        <v>-1.510847354398881E-3</v>
      </c>
    </row>
    <row r="16" spans="1:35" x14ac:dyDescent="0.3">
      <c r="A16" s="2">
        <v>46007</v>
      </c>
      <c r="B16" s="5">
        <v>1.137340845341094</v>
      </c>
      <c r="C16" s="5">
        <v>3.2480003935494058E-2</v>
      </c>
      <c r="D16" s="5">
        <v>2.7260867018853149E-2</v>
      </c>
      <c r="E16" s="5">
        <v>1.005704046321789</v>
      </c>
      <c r="F16" s="5">
        <v>1.075928536566656E-2</v>
      </c>
      <c r="G16" s="5">
        <v>8.9854772703768723E-3</v>
      </c>
      <c r="H16" s="5">
        <v>-6.8636514214056588E-3</v>
      </c>
      <c r="I16" s="5">
        <v>-2.7315963484419998E-3</v>
      </c>
      <c r="J16" t="s">
        <v>84</v>
      </c>
      <c r="L16">
        <v>133.137</v>
      </c>
      <c r="M16">
        <v>156.94</v>
      </c>
      <c r="N16">
        <f t="shared" si="0"/>
        <v>1.1040467700472676</v>
      </c>
      <c r="O16">
        <f t="shared" si="1"/>
        <v>1.1706349206349207</v>
      </c>
      <c r="P16">
        <f t="shared" si="2"/>
        <v>1.137340845341094</v>
      </c>
      <c r="Q16">
        <f t="shared" si="6"/>
        <v>-6.8636514214056588E-3</v>
      </c>
      <c r="S16">
        <v>3.2452700462542637E-2</v>
      </c>
      <c r="T16">
        <v>3.2505754330080558E-2</v>
      </c>
      <c r="U16">
        <v>1.075928536566656E-2</v>
      </c>
      <c r="V16">
        <v>0.48536319370300929</v>
      </c>
      <c r="W16">
        <v>0.51463680629699082</v>
      </c>
      <c r="X16">
        <f t="shared" si="3"/>
        <v>3.2480003935494065E-2</v>
      </c>
      <c r="Z16">
        <v>2.6168533165085651E-2</v>
      </c>
      <c r="AA16">
        <v>2.8291066649675019E-2</v>
      </c>
      <c r="AB16">
        <v>1.075928536566656E-2</v>
      </c>
      <c r="AC16">
        <v>0.48536319370300929</v>
      </c>
      <c r="AD16">
        <v>0.51463680629699082</v>
      </c>
      <c r="AE16">
        <f t="shared" si="4"/>
        <v>2.7260867018853149E-2</v>
      </c>
      <c r="AG16">
        <v>676.87</v>
      </c>
      <c r="AH16">
        <f t="shared" si="5"/>
        <v>1.0057040463217892</v>
      </c>
      <c r="AI16">
        <f t="shared" si="7"/>
        <v>-2.7315963484420003E-3</v>
      </c>
    </row>
    <row r="17" spans="1:35" x14ac:dyDescent="0.3">
      <c r="A17" s="2">
        <v>46008</v>
      </c>
      <c r="B17" s="5">
        <v>1.127740588796218</v>
      </c>
      <c r="C17" s="5">
        <v>3.2378197025849473E-2</v>
      </c>
      <c r="D17" s="5">
        <v>2.7460252185776791E-2</v>
      </c>
      <c r="E17" s="5">
        <v>0.99463769128019375</v>
      </c>
      <c r="F17" s="5">
        <v>1.108485991443401E-2</v>
      </c>
      <c r="G17" s="5">
        <v>1.376112526926212E-2</v>
      </c>
      <c r="H17" s="5">
        <v>-8.4409670014068405E-3</v>
      </c>
      <c r="I17" s="5">
        <v>-1.100359005422025E-2</v>
      </c>
      <c r="J17" t="s">
        <v>84</v>
      </c>
      <c r="L17">
        <v>131.91</v>
      </c>
      <c r="M17">
        <v>155.72999999999999</v>
      </c>
      <c r="N17">
        <f t="shared" si="0"/>
        <v>1.0938717969980927</v>
      </c>
      <c r="O17">
        <f t="shared" si="1"/>
        <v>1.161609380594343</v>
      </c>
      <c r="P17">
        <f t="shared" si="2"/>
        <v>1.1277405887962177</v>
      </c>
      <c r="Q17">
        <f t="shared" si="6"/>
        <v>-8.4409670014068405E-3</v>
      </c>
      <c r="S17">
        <v>3.2403867008490649E-2</v>
      </c>
      <c r="T17">
        <v>3.2354023951398019E-2</v>
      </c>
      <c r="U17">
        <v>1.108485991443401E-2</v>
      </c>
      <c r="V17">
        <v>0.48498378433187478</v>
      </c>
      <c r="W17">
        <v>0.51501621566812528</v>
      </c>
      <c r="X17">
        <f t="shared" si="3"/>
        <v>3.2378197025849473E-2</v>
      </c>
      <c r="Z17">
        <v>2.7844742627549102E-2</v>
      </c>
      <c r="AA17">
        <v>2.7098182752199319E-2</v>
      </c>
      <c r="AB17">
        <v>1.108485991443401E-2</v>
      </c>
      <c r="AC17">
        <v>0.48498378433187478</v>
      </c>
      <c r="AD17">
        <v>0.51501621566812528</v>
      </c>
      <c r="AE17">
        <f t="shared" si="4"/>
        <v>2.7460252185776791E-2</v>
      </c>
      <c r="AG17">
        <v>669.42200000000003</v>
      </c>
      <c r="AH17">
        <f t="shared" si="5"/>
        <v>0.99463769128019375</v>
      </c>
      <c r="AI17">
        <f t="shared" si="7"/>
        <v>-1.1003590054220247E-2</v>
      </c>
    </row>
    <row r="18" spans="1:35" x14ac:dyDescent="0.3">
      <c r="A18" s="2">
        <v>46009</v>
      </c>
      <c r="B18" s="5">
        <v>1.137511623095387</v>
      </c>
      <c r="C18" s="5">
        <v>3.1852028452868393E-2</v>
      </c>
      <c r="D18" s="5">
        <v>2.862743975875787E-2</v>
      </c>
      <c r="E18" s="5">
        <v>1.0021484894455079</v>
      </c>
      <c r="F18" s="5">
        <v>1.12021015878465E-2</v>
      </c>
      <c r="G18" s="5">
        <v>1.38062528447968E-2</v>
      </c>
      <c r="H18" s="5">
        <v>8.6642570075436964E-3</v>
      </c>
      <c r="I18" s="5">
        <v>7.5512905162959942E-3</v>
      </c>
      <c r="J18" t="s">
        <v>84</v>
      </c>
      <c r="L18">
        <v>131.72999999999999</v>
      </c>
      <c r="M18">
        <v>158.55000000000001</v>
      </c>
      <c r="N18">
        <f t="shared" si="0"/>
        <v>1.0923791359150841</v>
      </c>
      <c r="O18">
        <f t="shared" si="1"/>
        <v>1.1826441102756893</v>
      </c>
      <c r="P18">
        <f t="shared" si="2"/>
        <v>1.1375116230953868</v>
      </c>
      <c r="Q18">
        <f t="shared" si="6"/>
        <v>8.6642570075436964E-3</v>
      </c>
      <c r="S18">
        <v>3.2257606609932668E-2</v>
      </c>
      <c r="T18">
        <v>3.1477405932948503E-2</v>
      </c>
      <c r="U18">
        <v>1.12021015878465E-2</v>
      </c>
      <c r="V18">
        <v>0.48016174680594093</v>
      </c>
      <c r="W18">
        <v>0.51983825319405896</v>
      </c>
      <c r="X18">
        <f t="shared" si="3"/>
        <v>3.1852028452868393E-2</v>
      </c>
      <c r="Z18">
        <v>2.978061185758751E-2</v>
      </c>
      <c r="AA18">
        <v>2.7562283191422291E-2</v>
      </c>
      <c r="AB18">
        <v>1.12021015878465E-2</v>
      </c>
      <c r="AC18">
        <v>0.48016174680594093</v>
      </c>
      <c r="AD18">
        <v>0.51983825319405896</v>
      </c>
      <c r="AE18">
        <f t="shared" si="4"/>
        <v>2.8627439758757874E-2</v>
      </c>
      <c r="AG18">
        <v>674.47699999999998</v>
      </c>
      <c r="AH18">
        <f t="shared" si="5"/>
        <v>1.0021484894455084</v>
      </c>
      <c r="AI18">
        <f t="shared" si="7"/>
        <v>7.5512905162959942E-3</v>
      </c>
    </row>
    <row r="19" spans="1:35" x14ac:dyDescent="0.3">
      <c r="O19" s="10" t="s">
        <v>25</v>
      </c>
      <c r="P19" s="5">
        <f>LN(P18/P2)</f>
        <v>0.12884308989659848</v>
      </c>
    </row>
    <row r="20" spans="1:35" x14ac:dyDescent="0.3">
      <c r="O20" s="12" t="s">
        <v>33</v>
      </c>
      <c r="P20" s="5">
        <f>LN(P12/P2)</f>
        <v>0.15916694773595841</v>
      </c>
    </row>
    <row r="21" spans="1:35" x14ac:dyDescent="0.3">
      <c r="O21" s="12" t="s">
        <v>41</v>
      </c>
      <c r="P21" s="14">
        <f>LN(P18/P13)</f>
        <v>-3.9707808367349537E-2</v>
      </c>
    </row>
    <row r="22" spans="1:35" x14ac:dyDescent="0.3">
      <c r="I22" s="6"/>
      <c r="O22" s="10"/>
    </row>
    <row r="23" spans="1:35" x14ac:dyDescent="0.3">
      <c r="I23" s="6"/>
      <c r="O23" s="10"/>
    </row>
    <row r="24" spans="1:35" x14ac:dyDescent="0.3">
      <c r="I24" s="6"/>
    </row>
    <row r="25" spans="1:35" x14ac:dyDescent="0.3">
      <c r="I25" s="6"/>
      <c r="P25" s="11" t="s">
        <v>1709</v>
      </c>
      <c r="Q25">
        <f>AVERAGE(Q$3:Q$18)</f>
        <v>8.2589457898470525E-3</v>
      </c>
      <c r="W25" s="11" t="s">
        <v>1715</v>
      </c>
      <c r="X25">
        <f>AVERAGE(X$3:X$18)</f>
        <v>3.187745179227796E-2</v>
      </c>
      <c r="AD25" s="11" t="s">
        <v>1718</v>
      </c>
      <c r="AE25">
        <f>AVERAGE(AE$3:AE$18)</f>
        <v>3.2265770299967619E-2</v>
      </c>
    </row>
    <row r="26" spans="1:35" x14ac:dyDescent="0.3">
      <c r="I26" s="6"/>
      <c r="P26" s="11" t="s">
        <v>1710</v>
      </c>
      <c r="Q26">
        <f>_xlfn.STDEV.S(Q$3:Q$18)</f>
        <v>1.9441871353567085E-2</v>
      </c>
      <c r="W26" s="11"/>
      <c r="AD26" s="11"/>
    </row>
    <row r="27" spans="1:35" x14ac:dyDescent="0.3">
      <c r="I27" s="6"/>
      <c r="P27" s="11" t="s">
        <v>1705</v>
      </c>
      <c r="Q27">
        <f>SQRT(252)</f>
        <v>15.874507866387544</v>
      </c>
    </row>
    <row r="28" spans="1:35" x14ac:dyDescent="0.3">
      <c r="P28" s="11" t="s">
        <v>1706</v>
      </c>
      <c r="Q28" s="5">
        <f>Q25/Q26*Q27</f>
        <v>6.7435226540031907</v>
      </c>
      <c r="W28" s="11" t="s">
        <v>1707</v>
      </c>
      <c r="X28" s="5">
        <f>$Q25/X25</f>
        <v>0.25908425314747746</v>
      </c>
      <c r="AD28" s="11" t="s">
        <v>1708</v>
      </c>
      <c r="AE28" s="5">
        <f>$Q25/AE25</f>
        <v>0.25596617446493569</v>
      </c>
    </row>
    <row r="30" spans="1:35" x14ac:dyDescent="0.3">
      <c r="P30" s="11" t="s">
        <v>1712</v>
      </c>
      <c r="Q30">
        <f>AVERAGE(Q$3:Q$12)</f>
        <v>1.6204376069480008E-2</v>
      </c>
      <c r="W30" s="11" t="s">
        <v>1714</v>
      </c>
      <c r="X30">
        <f>AVERAGE(X$3:X$12)</f>
        <v>3.1768647666392966E-2</v>
      </c>
      <c r="AD30" s="11" t="s">
        <v>1712</v>
      </c>
      <c r="AE30">
        <f>AVERAGE(AE$3:AE$12)</f>
        <v>3.2807203888041057E-2</v>
      </c>
    </row>
    <row r="31" spans="1:35" x14ac:dyDescent="0.3">
      <c r="P31" s="11" t="s">
        <v>1711</v>
      </c>
      <c r="Q31">
        <f>_xlfn.STDEV.S(Q$3:Q$12)</f>
        <v>1.913460688053813E-2</v>
      </c>
      <c r="W31" s="11"/>
      <c r="AD31" s="11"/>
    </row>
    <row r="32" spans="1:35" x14ac:dyDescent="0.3">
      <c r="P32" s="11" t="s">
        <v>1705</v>
      </c>
      <c r="Q32">
        <f>SQRT(252)</f>
        <v>15.874507866387544</v>
      </c>
      <c r="W32" s="11"/>
      <c r="AD32" s="11"/>
    </row>
    <row r="33" spans="10:31" x14ac:dyDescent="0.3">
      <c r="P33" s="11" t="s">
        <v>1713</v>
      </c>
      <c r="Q33" s="5">
        <f>Q30/Q31*Q32</f>
        <v>13.443521311456809</v>
      </c>
      <c r="W33" s="11" t="s">
        <v>1717</v>
      </c>
      <c r="X33" s="5">
        <f>$Q30/X30</f>
        <v>0.51007446837663473</v>
      </c>
      <c r="AD33" s="11" t="s">
        <v>1716</v>
      </c>
      <c r="AE33" s="5">
        <f>$Q30/AE30</f>
        <v>0.49392737414561738</v>
      </c>
    </row>
    <row r="35" spans="10:31" x14ac:dyDescent="0.3">
      <c r="J35" s="11"/>
      <c r="P35" s="11" t="s">
        <v>1719</v>
      </c>
      <c r="Q35">
        <f>AVERAGE(Q$14:Q$18)</f>
        <v>-7.8657491791014108E-3</v>
      </c>
      <c r="W35" s="11" t="s">
        <v>1722</v>
      </c>
      <c r="X35">
        <f>AVERAGE(X$14:X$18)</f>
        <v>3.2277834584680268E-2</v>
      </c>
      <c r="AD35" s="11" t="s">
        <v>1724</v>
      </c>
      <c r="AE35">
        <f>AVERAGE(AE$14:AE$18)</f>
        <v>3.129190248940894E-2</v>
      </c>
    </row>
    <row r="36" spans="10:31" x14ac:dyDescent="0.3">
      <c r="J36" s="11"/>
      <c r="P36" s="11" t="s">
        <v>1720</v>
      </c>
      <c r="Q36">
        <f>_xlfn.STDEV.S(Q$14:Q$18)</f>
        <v>1.0510735891258033E-2</v>
      </c>
      <c r="W36" s="11"/>
      <c r="AD36" s="11"/>
    </row>
    <row r="37" spans="10:31" x14ac:dyDescent="0.3">
      <c r="J37" s="11"/>
      <c r="P37" s="11" t="s">
        <v>1705</v>
      </c>
      <c r="Q37">
        <f>SQRT(252)</f>
        <v>15.874507866387544</v>
      </c>
      <c r="W37" s="11"/>
      <c r="AD37" s="11"/>
    </row>
    <row r="38" spans="10:31" x14ac:dyDescent="0.3">
      <c r="J38" s="11"/>
      <c r="K38" s="15"/>
      <c r="P38" s="11" t="s">
        <v>1721</v>
      </c>
      <c r="Q38" s="14">
        <f>Q35/Q36*Q37</f>
        <v>-11.879748336415634</v>
      </c>
      <c r="W38" s="11" t="s">
        <v>1723</v>
      </c>
      <c r="X38" s="14">
        <f>$Q35/X35</f>
        <v>-0.2436888744338091</v>
      </c>
      <c r="AD38" s="11" t="s">
        <v>1725</v>
      </c>
      <c r="AE38" s="14">
        <f>$Q35/AE35</f>
        <v>-0.25136692093948754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selection activeCell="B2" sqref="B2:B5"/>
    </sheetView>
  </sheetViews>
  <sheetFormatPr defaultRowHeight="14.4" x14ac:dyDescent="0.3"/>
  <cols>
    <col min="1" max="1" width="16.21875" customWidth="1"/>
    <col min="2" max="2" width="9.5546875" bestFit="1" customWidth="1"/>
    <col min="3" max="3" width="10.77734375" bestFit="1" customWidth="1"/>
    <col min="4" max="5" width="10.77734375" customWidth="1"/>
    <col min="6" max="6" width="10.33203125" customWidth="1"/>
    <col min="7" max="7" width="10.77734375" customWidth="1"/>
    <col min="8" max="8" width="12" bestFit="1" customWidth="1"/>
    <col min="9" max="9" width="14.77734375" bestFit="1" customWidth="1"/>
    <col min="10" max="10" width="15.6640625" bestFit="1" customWidth="1"/>
    <col min="11" max="11" width="12.6640625" bestFit="1" customWidth="1"/>
    <col min="12" max="12" width="15.109375" bestFit="1" customWidth="1"/>
    <col min="13" max="13" width="17.21875" customWidth="1"/>
    <col min="14" max="15" width="12" bestFit="1" customWidth="1"/>
    <col min="17" max="17" width="8" style="15" bestFit="1" customWidth="1"/>
    <col min="18" max="18" width="12" style="15" bestFit="1" customWidth="1"/>
    <col min="19" max="19" width="12.6640625" style="15" bestFit="1" customWidth="1"/>
  </cols>
  <sheetData>
    <row r="1" spans="1:17" x14ac:dyDescent="0.3">
      <c r="A1" s="26" t="s">
        <v>1736</v>
      </c>
      <c r="B1" s="5"/>
      <c r="G1" s="15"/>
      <c r="H1" s="15"/>
      <c r="I1" s="15"/>
    </row>
    <row r="2" spans="1:17" x14ac:dyDescent="0.3">
      <c r="A2" s="5" t="str">
        <f>I8</f>
        <v>portf_gain</v>
      </c>
      <c r="B2" s="5">
        <f>J8</f>
        <v>0.12884308989659848</v>
      </c>
      <c r="G2" s="15"/>
      <c r="H2" s="31"/>
      <c r="I2" s="15"/>
      <c r="M2" s="19"/>
      <c r="N2" s="11" t="s">
        <v>1727</v>
      </c>
      <c r="O2" s="28">
        <f>AVERAGE(O$12:INDEX(O$12:O$1001, MATCH(1, INDEX(--(O$12:O$1001=""), 0), 0) - 1))</f>
        <v>3.2265770299967619E-2</v>
      </c>
    </row>
    <row r="3" spans="1:17" x14ac:dyDescent="0.3">
      <c r="A3" s="5" t="str">
        <f>J6</f>
        <v>portf_sharpe</v>
      </c>
      <c r="B3" s="5">
        <f>K6</f>
        <v>6.7435226540031907</v>
      </c>
      <c r="G3" s="15"/>
      <c r="H3" s="31"/>
      <c r="I3" s="15"/>
      <c r="J3" s="11" t="s">
        <v>1728</v>
      </c>
      <c r="K3" s="29">
        <f>AVERAGE(K$12:INDEX(K$12:K$1001, MATCH(1, INDEX(--(K$12:K$1001=""), 0), 0) - 1))</f>
        <v>8.2589457898470525E-3</v>
      </c>
      <c r="M3" s="19"/>
      <c r="N3" s="19" t="s">
        <v>1732</v>
      </c>
      <c r="O3" s="5">
        <f>$K3/O2</f>
        <v>0.25596617446493569</v>
      </c>
    </row>
    <row r="4" spans="1:17" x14ac:dyDescent="0.3">
      <c r="A4" s="5" t="str">
        <f>M6</f>
        <v>portf_sharpe_atrp</v>
      </c>
      <c r="B4" s="5">
        <f>N6</f>
        <v>0.25908425314747746</v>
      </c>
      <c r="J4" s="11" t="s">
        <v>1729</v>
      </c>
      <c r="K4" s="28">
        <f>_xlfn.STDEV.S(K$12:INDEX(K$12:K$1001, MATCH(1, INDEX(--(K$12:K$1001=""), 0), 0) - 1))</f>
        <v>1.9441871353567085E-2</v>
      </c>
      <c r="M4" s="19"/>
      <c r="N4" s="15"/>
      <c r="O4" s="15"/>
    </row>
    <row r="5" spans="1:17" x14ac:dyDescent="0.3">
      <c r="A5" s="5" t="str">
        <f>N3</f>
        <v>portf_sharpe_trp</v>
      </c>
      <c r="B5" s="5">
        <f>O3</f>
        <v>0.25596617446493569</v>
      </c>
      <c r="J5" s="11" t="s">
        <v>1705</v>
      </c>
      <c r="K5">
        <f>SQRT(252)</f>
        <v>15.874507866387544</v>
      </c>
      <c r="M5" s="11" t="s">
        <v>1731</v>
      </c>
      <c r="N5" s="28">
        <f>AVERAGE(N$12:INDEX(N$12:N$1001, MATCH(1, INDEX(--(N$12:N$1001=""), 0), 0) - 1))</f>
        <v>3.187745179227796E-2</v>
      </c>
    </row>
    <row r="6" spans="1:17" x14ac:dyDescent="0.3">
      <c r="J6" s="11" t="s">
        <v>1733</v>
      </c>
      <c r="K6" s="5">
        <f>K3/K4*K5</f>
        <v>6.7435226540031907</v>
      </c>
      <c r="M6" s="11" t="s">
        <v>1730</v>
      </c>
      <c r="N6" s="5">
        <f>$K3/N5</f>
        <v>0.25908425314747746</v>
      </c>
    </row>
    <row r="8" spans="1:17" x14ac:dyDescent="0.3">
      <c r="A8" s="20"/>
      <c r="I8" s="12" t="s">
        <v>1726</v>
      </c>
      <c r="J8" s="28">
        <f>LN(INDEX(J$11:J$1001, MATCH(1, INDEX(--(J$11:J$1001=""), 0), 0) - 1) / J11)</f>
        <v>0.12884308989659848</v>
      </c>
    </row>
    <row r="9" spans="1:17" x14ac:dyDescent="0.3">
      <c r="A9" s="25" t="s">
        <v>1734</v>
      </c>
      <c r="B9" s="25"/>
      <c r="C9" s="25"/>
      <c r="D9" s="25"/>
      <c r="E9" s="25"/>
      <c r="F9" s="25"/>
      <c r="G9" s="25"/>
      <c r="H9" s="24" t="s">
        <v>1735</v>
      </c>
      <c r="I9" s="24"/>
      <c r="J9" s="24"/>
      <c r="K9" s="24"/>
      <c r="L9" s="24"/>
      <c r="M9" s="24"/>
      <c r="N9" s="24"/>
      <c r="O9" s="24"/>
    </row>
    <row r="10" spans="1:17" x14ac:dyDescent="0.3">
      <c r="A10" s="23" t="s">
        <v>73</v>
      </c>
      <c r="B10" s="14" t="s">
        <v>1688</v>
      </c>
      <c r="C10" s="14" t="s">
        <v>1689</v>
      </c>
      <c r="D10" s="14" t="s">
        <v>1693</v>
      </c>
      <c r="E10" s="14" t="s">
        <v>1694</v>
      </c>
      <c r="F10" s="14" t="s">
        <v>1700</v>
      </c>
      <c r="G10" s="14" t="s">
        <v>1698</v>
      </c>
      <c r="H10" s="18" t="s">
        <v>1690</v>
      </c>
      <c r="I10" s="18" t="s">
        <v>1691</v>
      </c>
      <c r="J10" s="18" t="s">
        <v>1692</v>
      </c>
      <c r="K10" s="18" t="s">
        <v>1703</v>
      </c>
      <c r="L10" s="18" t="s">
        <v>1696</v>
      </c>
      <c r="M10" s="18" t="s">
        <v>1697</v>
      </c>
      <c r="N10" s="18" t="s">
        <v>75</v>
      </c>
      <c r="O10" s="18" t="s">
        <v>76</v>
      </c>
      <c r="Q10" s="22"/>
    </row>
    <row r="11" spans="1:17" x14ac:dyDescent="0.3">
      <c r="A11" s="21">
        <v>45986</v>
      </c>
      <c r="B11">
        <v>120.59</v>
      </c>
      <c r="C11">
        <v>134.06399999999999</v>
      </c>
      <c r="D11">
        <v>3.6039248909090972E-2</v>
      </c>
      <c r="E11">
        <v>3.4733543195976248E-2</v>
      </c>
      <c r="F11">
        <v>3.9397960029853261E-2</v>
      </c>
      <c r="G11">
        <v>2.0549886621315159E-2</v>
      </c>
      <c r="H11">
        <f>B11/B$11</f>
        <v>1</v>
      </c>
      <c r="I11">
        <f>C11/C$11</f>
        <v>1</v>
      </c>
      <c r="J11">
        <f>AVERAGE(H11:I11)</f>
        <v>1</v>
      </c>
      <c r="L11">
        <f>$H11/SUM($H11:$I11)</f>
        <v>0.5</v>
      </c>
      <c r="M11">
        <f>$I11/SUM($H11:$I11)</f>
        <v>0.5</v>
      </c>
      <c r="N11">
        <f>SUMPRODUCT(D11:E11,L11:M11)</f>
        <v>3.538639605253361E-2</v>
      </c>
      <c r="O11">
        <f>SUMPRODUCT(F11:G11,L11:M11)</f>
        <v>2.9973923325584212E-2</v>
      </c>
    </row>
    <row r="12" spans="1:17" x14ac:dyDescent="0.3">
      <c r="A12" s="21">
        <v>45987</v>
      </c>
      <c r="B12">
        <v>120.61</v>
      </c>
      <c r="C12">
        <v>134.643</v>
      </c>
      <c r="D12">
        <v>3.4825144407188827E-2</v>
      </c>
      <c r="E12">
        <v>3.354358804676584E-2</v>
      </c>
      <c r="F12">
        <v>1.9119475997015151E-2</v>
      </c>
      <c r="G12">
        <v>2.001589388234087E-2</v>
      </c>
      <c r="H12">
        <f t="shared" ref="H12:I13" si="0">B12/B$11</f>
        <v>1.0001658512314453</v>
      </c>
      <c r="I12">
        <f t="shared" si="0"/>
        <v>1.0043188327962764</v>
      </c>
      <c r="J12">
        <f t="shared" ref="J12:J27" si="1">AVERAGE(H12:I12)</f>
        <v>1.0022423420138609</v>
      </c>
      <c r="K12">
        <f>J12/J11-1</f>
        <v>2.2423420138608652E-3</v>
      </c>
      <c r="L12">
        <f t="shared" ref="L12:L27" si="2">$H12/SUM($H12:$I12)</f>
        <v>0.49896407750133409</v>
      </c>
      <c r="M12">
        <f t="shared" ref="M12:M27" si="3">$I12/SUM($H12:$I12)</f>
        <v>0.50103592249866591</v>
      </c>
      <c r="N12">
        <f t="shared" ref="N12:N27" si="4">SUMPRODUCT(D12:E12,L12:M12)</f>
        <v>3.4183038633910263E-2</v>
      </c>
      <c r="O12">
        <f t="shared" ref="O12:O27" si="5">SUMPRODUCT(F12:G12,L12:M12)</f>
        <v>1.9568613559133627E-2</v>
      </c>
    </row>
    <row r="13" spans="1:17" x14ac:dyDescent="0.3">
      <c r="A13" s="21">
        <v>45989</v>
      </c>
      <c r="B13">
        <v>122.08799999999999</v>
      </c>
      <c r="C13">
        <v>135.02199999999999</v>
      </c>
      <c r="D13">
        <v>3.3242642701730121E-2</v>
      </c>
      <c r="E13">
        <v>3.2105519962857397E-2</v>
      </c>
      <c r="F13">
        <v>1.8150842015595262E-2</v>
      </c>
      <c r="G13">
        <v>1.463465213076408E-2</v>
      </c>
      <c r="H13">
        <f t="shared" si="0"/>
        <v>1.0124222572352599</v>
      </c>
      <c r="I13">
        <f t="shared" si="0"/>
        <v>1.0071458407924574</v>
      </c>
      <c r="J13">
        <f t="shared" si="1"/>
        <v>1.0097840490138585</v>
      </c>
      <c r="K13">
        <f t="shared" ref="K13:K21" si="6">J13/J12-1</f>
        <v>7.5248337491347073E-3</v>
      </c>
      <c r="L13">
        <f t="shared" si="2"/>
        <v>0.50130632298261091</v>
      </c>
      <c r="M13">
        <f t="shared" si="3"/>
        <v>0.4986936770173892</v>
      </c>
      <c r="N13">
        <f t="shared" si="4"/>
        <v>3.2675566781861606E-2</v>
      </c>
      <c r="O13">
        <f t="shared" si="5"/>
        <v>1.639734035283745E-2</v>
      </c>
    </row>
    <row r="14" spans="1:17" x14ac:dyDescent="0.3">
      <c r="A14" s="21">
        <v>45992</v>
      </c>
      <c r="B14">
        <v>121.968</v>
      </c>
      <c r="C14">
        <v>139.39400000000001</v>
      </c>
      <c r="D14">
        <v>3.3307249740092693E-2</v>
      </c>
      <c r="E14">
        <v>3.2958156486303007E-2</v>
      </c>
      <c r="F14">
        <v>3.3721959858323491E-2</v>
      </c>
      <c r="G14">
        <v>5.7133018637817973E-2</v>
      </c>
      <c r="H14">
        <f>B14/B$11</f>
        <v>1.0114271498465877</v>
      </c>
      <c r="I14">
        <f>C14/C$11</f>
        <v>1.0397571309225446</v>
      </c>
      <c r="J14">
        <f t="shared" si="1"/>
        <v>1.0255921403845663</v>
      </c>
      <c r="K14">
        <f>J14/J13-1</f>
        <v>1.5654922838349128E-2</v>
      </c>
      <c r="L14">
        <f t="shared" si="2"/>
        <v>0.49309423796253588</v>
      </c>
      <c r="M14">
        <f t="shared" si="3"/>
        <v>0.50690576203746396</v>
      </c>
      <c r="N14">
        <f t="shared" si="4"/>
        <v>3.313029235825829E-2</v>
      </c>
      <c r="O14">
        <f t="shared" si="5"/>
        <v>4.5589160449046998E-2</v>
      </c>
    </row>
    <row r="15" spans="1:17" x14ac:dyDescent="0.3">
      <c r="A15" s="21">
        <v>45993</v>
      </c>
      <c r="B15">
        <v>122.45699999999999</v>
      </c>
      <c r="C15">
        <v>141.18</v>
      </c>
      <c r="D15">
        <v>3.1975330274472517E-2</v>
      </c>
      <c r="E15">
        <v>3.2483961937279857E-2</v>
      </c>
      <c r="F15">
        <v>1.6389426492564779E-2</v>
      </c>
      <c r="G15">
        <v>3.1739623176087223E-2</v>
      </c>
      <c r="H15">
        <f>B15/B$11</f>
        <v>1.0154822124554275</v>
      </c>
      <c r="I15">
        <f>C15/C$11</f>
        <v>1.0530791263873971</v>
      </c>
      <c r="J15">
        <f t="shared" si="1"/>
        <v>1.0342806694214124</v>
      </c>
      <c r="K15">
        <f t="shared" si="6"/>
        <v>8.471719599555616E-3</v>
      </c>
      <c r="L15">
        <f t="shared" si="2"/>
        <v>0.49091230382537221</v>
      </c>
      <c r="M15">
        <f t="shared" si="3"/>
        <v>0.50908769617462768</v>
      </c>
      <c r="N15">
        <f t="shared" si="4"/>
        <v>3.2234268395892572E-2</v>
      </c>
      <c r="O15">
        <f t="shared" si="5"/>
        <v>2.4204022758006628E-2</v>
      </c>
    </row>
    <row r="16" spans="1:17" x14ac:dyDescent="0.3">
      <c r="A16" s="21">
        <v>45994</v>
      </c>
      <c r="B16">
        <v>126.25</v>
      </c>
      <c r="C16">
        <v>150.94999999999999</v>
      </c>
      <c r="D16">
        <v>3.1509951486548247E-2</v>
      </c>
      <c r="E16">
        <v>3.2881803199719513E-2</v>
      </c>
      <c r="F16">
        <v>3.7948514851485121E-2</v>
      </c>
      <c r="G16">
        <v>6.5385889367340216E-2</v>
      </c>
      <c r="H16">
        <f>B16/B$11</f>
        <v>1.0469358984990462</v>
      </c>
      <c r="I16">
        <f>C16/C$11</f>
        <v>1.1259547678720612</v>
      </c>
      <c r="J16">
        <f t="shared" si="1"/>
        <v>1.0864453331855537</v>
      </c>
      <c r="K16">
        <f t="shared" si="6"/>
        <v>5.0435694397462427E-2</v>
      </c>
      <c r="L16">
        <f t="shared" si="2"/>
        <v>0.48181710874919847</v>
      </c>
      <c r="M16">
        <f t="shared" si="3"/>
        <v>0.51818289125080153</v>
      </c>
      <c r="N16">
        <f t="shared" si="4"/>
        <v>3.2220821573646696E-2</v>
      </c>
      <c r="O16">
        <f t="shared" si="5"/>
        <v>5.2166092906441974E-2</v>
      </c>
    </row>
    <row r="17" spans="1:15" x14ac:dyDescent="0.3">
      <c r="A17" s="21">
        <v>45995</v>
      </c>
      <c r="B17">
        <v>128.196</v>
      </c>
      <c r="C17">
        <v>153.51</v>
      </c>
      <c r="D17">
        <v>3.0233118415382541E-2</v>
      </c>
      <c r="E17">
        <v>3.14803160840939E-2</v>
      </c>
      <c r="F17">
        <v>1.9852413491840519E-2</v>
      </c>
      <c r="G17">
        <v>2.0389551169304899E-2</v>
      </c>
      <c r="H17">
        <f t="shared" ref="H17:H27" si="7">B17/B$11</f>
        <v>1.063073223318683</v>
      </c>
      <c r="I17">
        <f t="shared" ref="I17:I27" si="8">C17/C$11</f>
        <v>1.1450501253132832</v>
      </c>
      <c r="J17">
        <f t="shared" si="1"/>
        <v>1.1040616743159832</v>
      </c>
      <c r="K17">
        <f t="shared" ref="K17:K27" si="9">J17/J16-1</f>
        <v>1.6214659488459349E-2</v>
      </c>
      <c r="L17">
        <f t="shared" si="2"/>
        <v>0.48143742693419078</v>
      </c>
      <c r="M17">
        <f t="shared" si="3"/>
        <v>0.51856257306580911</v>
      </c>
      <c r="N17">
        <f t="shared" si="4"/>
        <v>3.0879868447591177E-2</v>
      </c>
      <c r="O17">
        <f t="shared" si="5"/>
        <v>2.013095298795704E-2</v>
      </c>
    </row>
    <row r="18" spans="1:15" x14ac:dyDescent="0.3">
      <c r="A18" s="21">
        <v>45996</v>
      </c>
      <c r="B18">
        <v>129.185</v>
      </c>
      <c r="C18">
        <v>155.15</v>
      </c>
      <c r="D18">
        <v>2.9785049695574418E-2</v>
      </c>
      <c r="E18">
        <v>3.0626151276138439E-2</v>
      </c>
      <c r="F18">
        <v>2.6969075357046051E-2</v>
      </c>
      <c r="G18">
        <v>2.3847889139542309E-2</v>
      </c>
      <c r="H18">
        <f t="shared" si="7"/>
        <v>1.0712745667136578</v>
      </c>
      <c r="I18">
        <f t="shared" si="8"/>
        <v>1.1572830886740662</v>
      </c>
      <c r="J18">
        <f t="shared" si="1"/>
        <v>1.114278827693862</v>
      </c>
      <c r="K18">
        <f t="shared" si="9"/>
        <v>9.2541509370016595E-3</v>
      </c>
      <c r="L18">
        <f t="shared" si="2"/>
        <v>0.48070309696666913</v>
      </c>
      <c r="M18">
        <f t="shared" si="3"/>
        <v>0.51929690303333087</v>
      </c>
      <c r="N18">
        <f t="shared" si="4"/>
        <v>3.0221831141497756E-2</v>
      </c>
      <c r="O18">
        <f t="shared" si="5"/>
        <v>2.5348253020506042E-2</v>
      </c>
    </row>
    <row r="19" spans="1:15" x14ac:dyDescent="0.3">
      <c r="A19" s="21">
        <v>45999</v>
      </c>
      <c r="B19">
        <v>130.00299999999999</v>
      </c>
      <c r="C19">
        <v>151.68</v>
      </c>
      <c r="D19">
        <v>2.8459871466700312E-2</v>
      </c>
      <c r="E19">
        <v>3.183460283699114E-2</v>
      </c>
      <c r="F19">
        <v>1.366891533272321E-2</v>
      </c>
      <c r="G19">
        <v>3.8436181434599238E-2</v>
      </c>
      <c r="H19">
        <f t="shared" si="7"/>
        <v>1.0780578820797744</v>
      </c>
      <c r="I19">
        <f t="shared" si="8"/>
        <v>1.1313999283924097</v>
      </c>
      <c r="J19">
        <f t="shared" si="1"/>
        <v>1.104728905236092</v>
      </c>
      <c r="K19">
        <f t="shared" si="9"/>
        <v>-8.5704961993532391E-3</v>
      </c>
      <c r="L19">
        <f t="shared" si="2"/>
        <v>0.4879287022228237</v>
      </c>
      <c r="M19">
        <f t="shared" si="3"/>
        <v>0.5120712977771763</v>
      </c>
      <c r="N19">
        <f t="shared" si="4"/>
        <v>3.0187974539134486E-2</v>
      </c>
      <c r="O19">
        <f t="shared" si="5"/>
        <v>2.6351521427903535E-2</v>
      </c>
    </row>
    <row r="20" spans="1:15" x14ac:dyDescent="0.3">
      <c r="A20" s="21">
        <v>46000</v>
      </c>
      <c r="B20">
        <v>135.53299999999999</v>
      </c>
      <c r="C20">
        <v>148.88999999999999</v>
      </c>
      <c r="D20">
        <v>2.948901886504748E-2</v>
      </c>
      <c r="E20">
        <v>3.2038390402354858E-2</v>
      </c>
      <c r="F20">
        <v>5.7963743147425313E-2</v>
      </c>
      <c r="G20">
        <v>2.6932634831083289E-2</v>
      </c>
      <c r="H20">
        <f t="shared" si="7"/>
        <v>1.1239157475744257</v>
      </c>
      <c r="I20">
        <f t="shared" si="8"/>
        <v>1.1105889724310776</v>
      </c>
      <c r="J20">
        <f t="shared" si="1"/>
        <v>1.1172523600027517</v>
      </c>
      <c r="K20">
        <f t="shared" si="9"/>
        <v>1.1336224396141237E-2</v>
      </c>
      <c r="L20">
        <f t="shared" si="2"/>
        <v>0.50298204228973731</v>
      </c>
      <c r="M20">
        <f t="shared" si="3"/>
        <v>0.49701795771026264</v>
      </c>
      <c r="N20">
        <f t="shared" si="4"/>
        <v>3.0756102299964665E-2</v>
      </c>
      <c r="O20">
        <f t="shared" si="5"/>
        <v>4.2540725066551051E-2</v>
      </c>
    </row>
    <row r="21" spans="1:15" x14ac:dyDescent="0.3">
      <c r="A21" s="21">
        <v>46001</v>
      </c>
      <c r="B21">
        <v>141.28299999999999</v>
      </c>
      <c r="C21">
        <v>157.32</v>
      </c>
      <c r="D21">
        <v>2.955848369173637E-2</v>
      </c>
      <c r="E21">
        <v>3.2832328698143003E-2</v>
      </c>
      <c r="F21">
        <v>4.606357452772103E-2</v>
      </c>
      <c r="G21">
        <v>6.5471650139842255E-2</v>
      </c>
      <c r="H21">
        <f t="shared" si="7"/>
        <v>1.1715979766149762</v>
      </c>
      <c r="I21">
        <f t="shared" si="8"/>
        <v>1.1734693877551021</v>
      </c>
      <c r="J21">
        <f t="shared" si="1"/>
        <v>1.1725336821850392</v>
      </c>
      <c r="K21">
        <f t="shared" si="9"/>
        <v>4.9479709474188338E-2</v>
      </c>
      <c r="L21">
        <f t="shared" si="2"/>
        <v>0.49960098989722868</v>
      </c>
      <c r="M21">
        <f t="shared" si="3"/>
        <v>0.50039901010277132</v>
      </c>
      <c r="N21">
        <f t="shared" si="4"/>
        <v>3.1196712492172152E-2</v>
      </c>
      <c r="O21">
        <f t="shared" si="5"/>
        <v>5.5775356352026226E-2</v>
      </c>
    </row>
    <row r="22" spans="1:15" x14ac:dyDescent="0.3">
      <c r="A22" s="21">
        <v>46002</v>
      </c>
      <c r="B22">
        <v>142.51</v>
      </c>
      <c r="C22">
        <v>158.91999999999999</v>
      </c>
      <c r="D22">
        <v>2.901723501531454E-2</v>
      </c>
      <c r="E22">
        <v>3.2903961274448133E-2</v>
      </c>
      <c r="F22">
        <v>2.528945337169311E-2</v>
      </c>
      <c r="G22">
        <v>3.8132393657186021E-2</v>
      </c>
      <c r="H22">
        <f t="shared" ref="H22:H27" si="10">B22/B$11</f>
        <v>1.1817729496641511</v>
      </c>
      <c r="I22">
        <f t="shared" ref="I22:I27" si="11">C22/C$11</f>
        <v>1.1854039861558658</v>
      </c>
      <c r="J22">
        <f t="shared" si="1"/>
        <v>1.1835884679100084</v>
      </c>
      <c r="K22">
        <f t="shared" ref="K22:K27" si="12">J22/J21-1</f>
        <v>9.4281178382598085E-3</v>
      </c>
      <c r="L22">
        <f>$H22/SUM($H22:$I22)</f>
        <v>0.49923304497505661</v>
      </c>
      <c r="M22">
        <f>$I22/SUM($H22:$I22)</f>
        <v>0.50076695502494351</v>
      </c>
      <c r="N22">
        <f>SUMPRODUCT(D22:E22,L22:M22)</f>
        <v>3.0963579089116362E-2</v>
      </c>
      <c r="O22">
        <f>SUMPRODUCT(F22:G22,L22:M22)</f>
        <v>3.1720773472026578E-2</v>
      </c>
    </row>
    <row r="23" spans="1:15" x14ac:dyDescent="0.3">
      <c r="A23" s="21">
        <v>46003</v>
      </c>
      <c r="B23">
        <v>136.352</v>
      </c>
      <c r="C23">
        <v>159.49</v>
      </c>
      <c r="D23">
        <v>3.216684972215933E-2</v>
      </c>
      <c r="E23">
        <v>3.1886579469630347E-2</v>
      </c>
      <c r="F23">
        <v>5.6075451771884437E-2</v>
      </c>
      <c r="G23">
        <v>2.0189353564486791E-2</v>
      </c>
      <c r="H23">
        <f t="shared" si="10"/>
        <v>1.1307073555021145</v>
      </c>
      <c r="I23">
        <f t="shared" si="11"/>
        <v>1.1896556868361381</v>
      </c>
      <c r="J23">
        <f t="shared" si="1"/>
        <v>1.1601815211691262</v>
      </c>
      <c r="K23">
        <f t="shared" si="12"/>
        <v>-1.9776254479915933E-2</v>
      </c>
      <c r="L23">
        <f t="shared" si="2"/>
        <v>0.4872976059654397</v>
      </c>
      <c r="M23">
        <f t="shared" si="3"/>
        <v>0.51270239403456042</v>
      </c>
      <c r="N23">
        <f t="shared" si="4"/>
        <v>3.2023154492711051E-2</v>
      </c>
      <c r="O23">
        <f t="shared" si="5"/>
        <v>3.7676563308392322E-2</v>
      </c>
    </row>
    <row r="24" spans="1:15" x14ac:dyDescent="0.3">
      <c r="A24" s="21">
        <v>46006</v>
      </c>
      <c r="B24">
        <v>134.565</v>
      </c>
      <c r="C24">
        <v>157.46</v>
      </c>
      <c r="D24">
        <v>3.258658100074116E-2</v>
      </c>
      <c r="E24">
        <v>3.2721542557269653E-2</v>
      </c>
      <c r="F24">
        <v>3.2489874781703898E-2</v>
      </c>
      <c r="G24">
        <v>3.8231931919217643E-2</v>
      </c>
      <c r="H24">
        <f t="shared" si="10"/>
        <v>1.1158885479724687</v>
      </c>
      <c r="I24">
        <f t="shared" si="11"/>
        <v>1.1745136651151691</v>
      </c>
      <c r="J24">
        <f t="shared" si="1"/>
        <v>1.1452011065438188</v>
      </c>
      <c r="K24">
        <f t="shared" si="12"/>
        <v>-1.2912130000322319E-2</v>
      </c>
      <c r="L24">
        <f t="shared" si="2"/>
        <v>0.4872020039083727</v>
      </c>
      <c r="M24">
        <f t="shared" si="3"/>
        <v>0.51279799609162735</v>
      </c>
      <c r="N24">
        <f t="shared" si="4"/>
        <v>3.2655789016478379E-2</v>
      </c>
      <c r="O24">
        <f t="shared" si="5"/>
        <v>3.5434390175264577E-2</v>
      </c>
    </row>
    <row r="25" spans="1:15" x14ac:dyDescent="0.3">
      <c r="A25" s="21">
        <v>46007</v>
      </c>
      <c r="B25">
        <v>133.137</v>
      </c>
      <c r="C25">
        <v>156.94</v>
      </c>
      <c r="D25">
        <v>3.2452700462542637E-2</v>
      </c>
      <c r="E25">
        <v>3.2505754330080558E-2</v>
      </c>
      <c r="F25">
        <v>2.6168533165085651E-2</v>
      </c>
      <c r="G25">
        <v>2.8291066649675019E-2</v>
      </c>
      <c r="H25">
        <f t="shared" si="10"/>
        <v>1.1040467700472676</v>
      </c>
      <c r="I25">
        <f t="shared" si="11"/>
        <v>1.1706349206349207</v>
      </c>
      <c r="J25">
        <f t="shared" si="1"/>
        <v>1.137340845341094</v>
      </c>
      <c r="K25">
        <f t="shared" si="12"/>
        <v>-6.8636514214056588E-3</v>
      </c>
      <c r="L25">
        <f t="shared" si="2"/>
        <v>0.48536319370300934</v>
      </c>
      <c r="M25">
        <f t="shared" si="3"/>
        <v>0.51463680629699082</v>
      </c>
      <c r="N25">
        <f t="shared" si="4"/>
        <v>3.2480003935494065E-2</v>
      </c>
      <c r="O25">
        <f t="shared" si="5"/>
        <v>2.7260867018853149E-2</v>
      </c>
    </row>
    <row r="26" spans="1:15" s="15" customFormat="1" x14ac:dyDescent="0.3">
      <c r="A26" s="21">
        <v>46008</v>
      </c>
      <c r="B26" s="15">
        <v>131.91</v>
      </c>
      <c r="C26" s="15">
        <v>155.72999999999999</v>
      </c>
      <c r="D26" s="15">
        <v>3.2403867008490649E-2</v>
      </c>
      <c r="E26" s="15">
        <v>3.2354023951398019E-2</v>
      </c>
      <c r="F26" s="15">
        <v>2.7844742627549102E-2</v>
      </c>
      <c r="G26" s="15">
        <v>2.7098182752199319E-2</v>
      </c>
      <c r="H26">
        <f t="shared" si="10"/>
        <v>1.0938717969980927</v>
      </c>
      <c r="I26">
        <f t="shared" si="11"/>
        <v>1.161609380594343</v>
      </c>
      <c r="J26">
        <f t="shared" si="1"/>
        <v>1.1277405887962177</v>
      </c>
      <c r="K26">
        <f t="shared" si="12"/>
        <v>-8.4409670014068405E-3</v>
      </c>
      <c r="L26">
        <f t="shared" si="2"/>
        <v>0.48498378433187478</v>
      </c>
      <c r="M26">
        <f t="shared" si="3"/>
        <v>0.51501621566812528</v>
      </c>
      <c r="N26">
        <f t="shared" si="4"/>
        <v>3.2378197025849473E-2</v>
      </c>
      <c r="O26">
        <f t="shared" si="5"/>
        <v>2.7460252185776791E-2</v>
      </c>
    </row>
    <row r="27" spans="1:15" x14ac:dyDescent="0.3">
      <c r="A27" s="21">
        <v>46009</v>
      </c>
      <c r="B27">
        <v>131.72999999999999</v>
      </c>
      <c r="C27">
        <v>158.55000000000001</v>
      </c>
      <c r="D27">
        <v>3.2257606609932668E-2</v>
      </c>
      <c r="E27">
        <v>3.1477405932948503E-2</v>
      </c>
      <c r="F27">
        <v>2.978061185758751E-2</v>
      </c>
      <c r="G27">
        <v>2.7562283191422291E-2</v>
      </c>
      <c r="H27">
        <f t="shared" si="10"/>
        <v>1.0923791359150841</v>
      </c>
      <c r="I27">
        <f t="shared" si="11"/>
        <v>1.1826441102756893</v>
      </c>
      <c r="J27">
        <f t="shared" si="1"/>
        <v>1.1375116230953868</v>
      </c>
      <c r="K27">
        <f t="shared" si="12"/>
        <v>8.6642570075436964E-3</v>
      </c>
      <c r="L27">
        <f t="shared" si="2"/>
        <v>0.48016174680594093</v>
      </c>
      <c r="M27">
        <f>$I27/SUM($H27:$I27)</f>
        <v>0.51983825319405896</v>
      </c>
      <c r="N27">
        <f t="shared" si="4"/>
        <v>3.1852028452868393E-2</v>
      </c>
      <c r="O27">
        <f t="shared" si="5"/>
        <v>2.8627439758757874E-2</v>
      </c>
    </row>
    <row r="28" spans="1:15" x14ac:dyDescent="0.3">
      <c r="A28" s="21"/>
    </row>
    <row r="29" spans="1:15" x14ac:dyDescent="0.3">
      <c r="A29" s="21"/>
    </row>
    <row r="30" spans="1:15" x14ac:dyDescent="0.3">
      <c r="A30" s="21"/>
    </row>
    <row r="31" spans="1:15" x14ac:dyDescent="0.3">
      <c r="A31" s="21"/>
    </row>
    <row r="32" spans="1:15" x14ac:dyDescent="0.3">
      <c r="A32" s="20"/>
    </row>
    <row r="33" spans="1:1" x14ac:dyDescent="0.3">
      <c r="A33" s="20"/>
    </row>
  </sheetData>
  <mergeCells count="2">
    <mergeCell ref="A9:G9"/>
    <mergeCell ref="H9:O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H14" sqref="H13:H14"/>
    </sheetView>
  </sheetViews>
  <sheetFormatPr defaultRowHeight="14.4" x14ac:dyDescent="0.3"/>
  <sheetData>
    <row r="1" spans="1:1" x14ac:dyDescent="0.3">
      <c r="A1" s="30" t="s">
        <v>1743</v>
      </c>
    </row>
    <row r="3" spans="1:1" x14ac:dyDescent="0.3">
      <c r="A3" t="s">
        <v>1739</v>
      </c>
    </row>
    <row r="4" spans="1:1" x14ac:dyDescent="0.3">
      <c r="A4" t="s">
        <v>1740</v>
      </c>
    </row>
    <row r="5" spans="1:1" x14ac:dyDescent="0.3">
      <c r="A5" t="s">
        <v>1741</v>
      </c>
    </row>
    <row r="6" spans="1:1" x14ac:dyDescent="0.3">
      <c r="A6" t="s">
        <v>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52"/>
  <sheetViews>
    <sheetView workbookViewId="0">
      <selection activeCell="D36" sqref="D36:D52"/>
    </sheetView>
  </sheetViews>
  <sheetFormatPr defaultRowHeight="14.4" x14ac:dyDescent="0.3"/>
  <cols>
    <col min="1" max="6" width="9.77734375" customWidth="1"/>
    <col min="7" max="7" width="18.109375" bestFit="1" customWidth="1"/>
  </cols>
  <sheetData>
    <row r="1" spans="1:7" x14ac:dyDescent="0.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73</v>
      </c>
    </row>
    <row r="2" spans="1:7" hidden="1" x14ac:dyDescent="0.3">
      <c r="A2">
        <v>666.66</v>
      </c>
      <c r="B2">
        <v>674.21799999999996</v>
      </c>
      <c r="C2">
        <v>662.52200000000005</v>
      </c>
      <c r="D2">
        <v>673.03099999999995</v>
      </c>
      <c r="E2">
        <v>81316678</v>
      </c>
      <c r="F2" t="s">
        <v>12</v>
      </c>
      <c r="G2" s="3">
        <v>45986</v>
      </c>
    </row>
    <row r="3" spans="1:7" hidden="1" x14ac:dyDescent="0.3">
      <c r="A3">
        <v>675.63400000000001</v>
      </c>
      <c r="B3">
        <v>679.69200000000001</v>
      </c>
      <c r="C3">
        <v>674.726</v>
      </c>
      <c r="D3">
        <v>677.678</v>
      </c>
      <c r="E3">
        <v>72091994</v>
      </c>
      <c r="F3" t="s">
        <v>12</v>
      </c>
      <c r="G3" s="3">
        <v>45987</v>
      </c>
    </row>
    <row r="4" spans="1:7" hidden="1" x14ac:dyDescent="0.3">
      <c r="A4">
        <v>678.85400000000004</v>
      </c>
      <c r="B4">
        <v>681.65599999999995</v>
      </c>
      <c r="C4">
        <v>678.495</v>
      </c>
      <c r="D4">
        <v>681.37699999999995</v>
      </c>
      <c r="E4">
        <v>49357418</v>
      </c>
      <c r="F4" t="s">
        <v>12</v>
      </c>
      <c r="G4" s="3">
        <v>45989</v>
      </c>
    </row>
    <row r="5" spans="1:7" hidden="1" x14ac:dyDescent="0.3">
      <c r="A5">
        <v>676.81</v>
      </c>
      <c r="B5">
        <v>680.97799999999995</v>
      </c>
      <c r="C5">
        <v>676.74</v>
      </c>
      <c r="D5">
        <v>678.26599999999996</v>
      </c>
      <c r="E5">
        <v>61382043</v>
      </c>
      <c r="F5" t="s">
        <v>12</v>
      </c>
      <c r="G5" s="3">
        <v>45992</v>
      </c>
    </row>
    <row r="6" spans="1:7" hidden="1" x14ac:dyDescent="0.3">
      <c r="A6">
        <v>679.91099999999994</v>
      </c>
      <c r="B6">
        <v>681.80499999999995</v>
      </c>
      <c r="C6">
        <v>677.32899999999995</v>
      </c>
      <c r="D6">
        <v>679.52200000000005</v>
      </c>
      <c r="E6">
        <v>63139823</v>
      </c>
      <c r="F6" t="s">
        <v>12</v>
      </c>
      <c r="G6" s="3">
        <v>45993</v>
      </c>
    </row>
    <row r="7" spans="1:7" hidden="1" x14ac:dyDescent="0.3">
      <c r="A7">
        <v>678.56500000000005</v>
      </c>
      <c r="B7">
        <v>682.89200000000005</v>
      </c>
      <c r="C7">
        <v>677.68700000000001</v>
      </c>
      <c r="D7">
        <v>681.875</v>
      </c>
      <c r="E7">
        <v>57407635</v>
      </c>
      <c r="F7" t="s">
        <v>12</v>
      </c>
      <c r="G7" s="3">
        <v>45994</v>
      </c>
    </row>
    <row r="8" spans="1:7" hidden="1" x14ac:dyDescent="0.3">
      <c r="A8">
        <v>683.28099999999995</v>
      </c>
      <c r="B8">
        <v>683.351</v>
      </c>
      <c r="C8">
        <v>679.33299999999997</v>
      </c>
      <c r="D8">
        <v>682.37400000000002</v>
      </c>
      <c r="E8">
        <v>62153417</v>
      </c>
      <c r="F8" t="s">
        <v>12</v>
      </c>
      <c r="G8" s="3">
        <v>45995</v>
      </c>
    </row>
    <row r="9" spans="1:7" hidden="1" x14ac:dyDescent="0.3">
      <c r="A9">
        <v>683.45</v>
      </c>
      <c r="B9">
        <v>686.36199999999997</v>
      </c>
      <c r="C9">
        <v>682.56299999999999</v>
      </c>
      <c r="D9">
        <v>683.67</v>
      </c>
      <c r="E9">
        <v>79475152</v>
      </c>
      <c r="F9" t="s">
        <v>12</v>
      </c>
      <c r="G9" s="3">
        <v>45996</v>
      </c>
    </row>
    <row r="10" spans="1:7" hidden="1" x14ac:dyDescent="0.3">
      <c r="A10">
        <v>684.56700000000001</v>
      </c>
      <c r="B10">
        <v>684.61699999999996</v>
      </c>
      <c r="C10">
        <v>679.56200000000001</v>
      </c>
      <c r="D10">
        <v>681.61599999999999</v>
      </c>
      <c r="E10">
        <v>55394702</v>
      </c>
      <c r="F10" t="s">
        <v>12</v>
      </c>
      <c r="G10" s="3">
        <v>45999</v>
      </c>
    </row>
    <row r="11" spans="1:7" hidden="1" x14ac:dyDescent="0.3">
      <c r="A11">
        <v>681.13699999999994</v>
      </c>
      <c r="B11">
        <v>683.37099999999998</v>
      </c>
      <c r="C11">
        <v>680.57899999999995</v>
      </c>
      <c r="D11">
        <v>681.02800000000002</v>
      </c>
      <c r="E11">
        <v>58482402</v>
      </c>
      <c r="F11" t="s">
        <v>12</v>
      </c>
      <c r="G11" s="3">
        <v>46000</v>
      </c>
    </row>
    <row r="12" spans="1:7" hidden="1" x14ac:dyDescent="0.3">
      <c r="A12">
        <v>680.54899999999998</v>
      </c>
      <c r="B12">
        <v>686.94</v>
      </c>
      <c r="C12">
        <v>679.303</v>
      </c>
      <c r="D12">
        <v>685.54399999999998</v>
      </c>
      <c r="E12">
        <v>85924447</v>
      </c>
      <c r="F12" t="s">
        <v>12</v>
      </c>
      <c r="G12" s="3">
        <v>46001</v>
      </c>
    </row>
    <row r="13" spans="1:7" hidden="1" x14ac:dyDescent="0.3">
      <c r="A13">
        <v>683.12099999999998</v>
      </c>
      <c r="B13">
        <v>687.21900000000005</v>
      </c>
      <c r="C13">
        <v>680.16</v>
      </c>
      <c r="D13">
        <v>687.14</v>
      </c>
      <c r="E13">
        <v>86428338</v>
      </c>
      <c r="F13" t="s">
        <v>12</v>
      </c>
      <c r="G13" s="3">
        <v>46002</v>
      </c>
    </row>
    <row r="14" spans="1:7" hidden="1" x14ac:dyDescent="0.3">
      <c r="A14">
        <v>686.14200000000005</v>
      </c>
      <c r="B14">
        <v>686.85</v>
      </c>
      <c r="C14">
        <v>677.16899999999998</v>
      </c>
      <c r="D14">
        <v>679.75099999999998</v>
      </c>
      <c r="E14">
        <v>113494678</v>
      </c>
      <c r="F14" t="s">
        <v>12</v>
      </c>
      <c r="G14" s="3">
        <v>46003</v>
      </c>
    </row>
    <row r="15" spans="1:7" hidden="1" x14ac:dyDescent="0.3">
      <c r="A15">
        <v>683.72</v>
      </c>
      <c r="B15">
        <v>683.74</v>
      </c>
      <c r="C15">
        <v>677.24900000000002</v>
      </c>
      <c r="D15">
        <v>678.72400000000005</v>
      </c>
      <c r="E15">
        <v>91079336</v>
      </c>
      <c r="F15" t="s">
        <v>12</v>
      </c>
      <c r="G15" s="3">
        <v>46006</v>
      </c>
    </row>
    <row r="16" spans="1:7" hidden="1" x14ac:dyDescent="0.3">
      <c r="A16">
        <v>677.22900000000004</v>
      </c>
      <c r="B16">
        <v>679.07299999999998</v>
      </c>
      <c r="C16">
        <v>672.99099999999999</v>
      </c>
      <c r="D16">
        <v>676.87</v>
      </c>
      <c r="E16">
        <v>122391184</v>
      </c>
      <c r="F16" t="s">
        <v>12</v>
      </c>
      <c r="G16" s="3">
        <v>46007</v>
      </c>
    </row>
    <row r="17" spans="1:7" hidden="1" x14ac:dyDescent="0.3">
      <c r="A17">
        <v>677.88699999999994</v>
      </c>
      <c r="B17">
        <v>678.43499999999995</v>
      </c>
      <c r="C17">
        <v>669.22299999999996</v>
      </c>
      <c r="D17">
        <v>669.42200000000003</v>
      </c>
      <c r="E17">
        <v>110952088</v>
      </c>
      <c r="F17" t="s">
        <v>12</v>
      </c>
      <c r="G17" s="3">
        <v>46008</v>
      </c>
    </row>
    <row r="18" spans="1:7" hidden="1" x14ac:dyDescent="0.3">
      <c r="A18">
        <v>675.60400000000004</v>
      </c>
      <c r="B18">
        <v>678.73400000000004</v>
      </c>
      <c r="C18">
        <v>672.91200000000003</v>
      </c>
      <c r="D18">
        <v>674.47699999999998</v>
      </c>
      <c r="E18">
        <v>108971155</v>
      </c>
      <c r="F18" t="s">
        <v>12</v>
      </c>
      <c r="G18" s="3">
        <v>46009</v>
      </c>
    </row>
    <row r="19" spans="1:7" hidden="1" x14ac:dyDescent="0.3">
      <c r="A19">
        <v>118.514</v>
      </c>
      <c r="B19">
        <v>120.7</v>
      </c>
      <c r="C19">
        <v>115.949</v>
      </c>
      <c r="D19">
        <v>120.59</v>
      </c>
      <c r="E19">
        <v>4743325</v>
      </c>
      <c r="F19" t="s">
        <v>91</v>
      </c>
      <c r="G19" s="3">
        <v>45986</v>
      </c>
    </row>
    <row r="20" spans="1:7" hidden="1" x14ac:dyDescent="0.3">
      <c r="A20">
        <v>120.89</v>
      </c>
      <c r="B20">
        <v>122.387</v>
      </c>
      <c r="C20">
        <v>120.081</v>
      </c>
      <c r="D20">
        <v>120.61</v>
      </c>
      <c r="E20">
        <v>3435748</v>
      </c>
      <c r="F20" t="s">
        <v>91</v>
      </c>
      <c r="G20" s="3">
        <v>45987</v>
      </c>
    </row>
    <row r="21" spans="1:7" hidden="1" x14ac:dyDescent="0.3">
      <c r="A21">
        <v>121.059</v>
      </c>
      <c r="B21">
        <v>122.627</v>
      </c>
      <c r="C21">
        <v>120.411</v>
      </c>
      <c r="D21">
        <v>122.08799999999999</v>
      </c>
      <c r="E21">
        <v>1189964</v>
      </c>
      <c r="F21" t="s">
        <v>91</v>
      </c>
      <c r="G21" s="3">
        <v>45989</v>
      </c>
    </row>
    <row r="22" spans="1:7" hidden="1" x14ac:dyDescent="0.3">
      <c r="A22">
        <v>120.271</v>
      </c>
      <c r="B22">
        <v>122.986</v>
      </c>
      <c r="C22">
        <v>118.873</v>
      </c>
      <c r="D22">
        <v>121.968</v>
      </c>
      <c r="E22">
        <v>2600028</v>
      </c>
      <c r="F22" t="s">
        <v>91</v>
      </c>
      <c r="G22" s="3">
        <v>45992</v>
      </c>
    </row>
    <row r="23" spans="1:7" hidden="1" x14ac:dyDescent="0.3">
      <c r="A23">
        <v>122.098</v>
      </c>
      <c r="B23">
        <v>123.625</v>
      </c>
      <c r="C23">
        <v>121.61799999999999</v>
      </c>
      <c r="D23">
        <v>122.45699999999999</v>
      </c>
      <c r="E23">
        <v>2445146</v>
      </c>
      <c r="F23" t="s">
        <v>91</v>
      </c>
      <c r="G23" s="3">
        <v>45993</v>
      </c>
    </row>
    <row r="24" spans="1:7" hidden="1" x14ac:dyDescent="0.3">
      <c r="A24">
        <v>122.776</v>
      </c>
      <c r="B24">
        <v>126.68899999999999</v>
      </c>
      <c r="C24">
        <v>121.898</v>
      </c>
      <c r="D24">
        <v>126.25</v>
      </c>
      <c r="E24">
        <v>3089618</v>
      </c>
      <c r="F24" t="s">
        <v>91</v>
      </c>
      <c r="G24" s="3">
        <v>45994</v>
      </c>
    </row>
    <row r="25" spans="1:7" hidden="1" x14ac:dyDescent="0.3">
      <c r="A25">
        <v>126.60899999999999</v>
      </c>
      <c r="B25">
        <v>128.26599999999999</v>
      </c>
      <c r="C25">
        <v>125.721</v>
      </c>
      <c r="D25">
        <v>128.196</v>
      </c>
      <c r="E25">
        <v>2877933</v>
      </c>
      <c r="F25" t="s">
        <v>91</v>
      </c>
      <c r="G25" s="3">
        <v>45995</v>
      </c>
    </row>
    <row r="26" spans="1:7" hidden="1" x14ac:dyDescent="0.3">
      <c r="A26">
        <v>127.907</v>
      </c>
      <c r="B26">
        <v>130.762</v>
      </c>
      <c r="C26">
        <v>127.27800000000001</v>
      </c>
      <c r="D26">
        <v>129.185</v>
      </c>
      <c r="E26">
        <v>2844873</v>
      </c>
      <c r="F26" t="s">
        <v>91</v>
      </c>
      <c r="G26" s="3">
        <v>45996</v>
      </c>
    </row>
    <row r="27" spans="1:7" hidden="1" x14ac:dyDescent="0.3">
      <c r="A27">
        <v>129.31399999999999</v>
      </c>
      <c r="B27">
        <v>130.233</v>
      </c>
      <c r="C27">
        <v>128.45599999999999</v>
      </c>
      <c r="D27">
        <v>130.00299999999999</v>
      </c>
      <c r="E27">
        <v>4123899</v>
      </c>
      <c r="F27" t="s">
        <v>91</v>
      </c>
      <c r="G27" s="3">
        <v>45999</v>
      </c>
    </row>
    <row r="28" spans="1:7" hidden="1" x14ac:dyDescent="0.3">
      <c r="A28">
        <v>129.863</v>
      </c>
      <c r="B28">
        <v>137.29</v>
      </c>
      <c r="C28">
        <v>129.434</v>
      </c>
      <c r="D28">
        <v>135.53299999999999</v>
      </c>
      <c r="E28">
        <v>5785320</v>
      </c>
      <c r="F28" t="s">
        <v>91</v>
      </c>
      <c r="G28" s="3">
        <v>46000</v>
      </c>
    </row>
    <row r="29" spans="1:7" hidden="1" x14ac:dyDescent="0.3">
      <c r="A29">
        <v>136.25200000000001</v>
      </c>
      <c r="B29">
        <v>142.041</v>
      </c>
      <c r="C29">
        <v>135.643</v>
      </c>
      <c r="D29">
        <v>141.28299999999999</v>
      </c>
      <c r="E29">
        <v>7362288</v>
      </c>
      <c r="F29" t="s">
        <v>91</v>
      </c>
      <c r="G29" s="3">
        <v>46001</v>
      </c>
    </row>
    <row r="30" spans="1:7" hidden="1" x14ac:dyDescent="0.3">
      <c r="A30">
        <v>141.28299999999999</v>
      </c>
      <c r="B30">
        <v>144.577</v>
      </c>
      <c r="C30">
        <v>140.97300000000001</v>
      </c>
      <c r="D30">
        <v>142.51</v>
      </c>
      <c r="E30">
        <v>6867889</v>
      </c>
      <c r="F30" t="s">
        <v>91</v>
      </c>
      <c r="G30" s="3">
        <v>46002</v>
      </c>
    </row>
    <row r="31" spans="1:7" hidden="1" x14ac:dyDescent="0.3">
      <c r="A31">
        <v>143.12899999999999</v>
      </c>
      <c r="B31">
        <v>143.12899999999999</v>
      </c>
      <c r="C31">
        <v>135.483</v>
      </c>
      <c r="D31">
        <v>136.352</v>
      </c>
      <c r="E31">
        <v>5453317</v>
      </c>
      <c r="F31" t="s">
        <v>91</v>
      </c>
      <c r="G31" s="3">
        <v>46003</v>
      </c>
    </row>
    <row r="32" spans="1:7" hidden="1" x14ac:dyDescent="0.3">
      <c r="A32">
        <v>137.529</v>
      </c>
      <c r="B32">
        <v>137.529</v>
      </c>
      <c r="C32">
        <v>133.15700000000001</v>
      </c>
      <c r="D32">
        <v>134.565</v>
      </c>
      <c r="E32">
        <v>5484674</v>
      </c>
      <c r="F32" t="s">
        <v>91</v>
      </c>
      <c r="G32" s="3">
        <v>46006</v>
      </c>
    </row>
    <row r="33" spans="1:7" hidden="1" x14ac:dyDescent="0.3">
      <c r="A33">
        <v>134.79400000000001</v>
      </c>
      <c r="B33">
        <v>135.583</v>
      </c>
      <c r="C33">
        <v>132.09899999999999</v>
      </c>
      <c r="D33">
        <v>133.137</v>
      </c>
      <c r="E33">
        <v>4257241</v>
      </c>
      <c r="F33" t="s">
        <v>91</v>
      </c>
      <c r="G33" s="3">
        <v>46007</v>
      </c>
    </row>
    <row r="34" spans="1:7" hidden="1" x14ac:dyDescent="0.3">
      <c r="A34">
        <v>133.27699999999999</v>
      </c>
      <c r="B34">
        <v>135.47300000000001</v>
      </c>
      <c r="C34">
        <v>131.80000000000001</v>
      </c>
      <c r="D34">
        <v>131.91</v>
      </c>
      <c r="E34">
        <v>3533526</v>
      </c>
      <c r="F34" t="s">
        <v>91</v>
      </c>
      <c r="G34" s="3">
        <v>46008</v>
      </c>
    </row>
    <row r="35" spans="1:7" hidden="1" x14ac:dyDescent="0.3">
      <c r="A35">
        <v>134.20500000000001</v>
      </c>
      <c r="B35">
        <v>135.54300000000001</v>
      </c>
      <c r="C35">
        <v>131.62</v>
      </c>
      <c r="D35">
        <v>131.72999999999999</v>
      </c>
      <c r="E35">
        <v>4299218</v>
      </c>
      <c r="F35" t="s">
        <v>91</v>
      </c>
      <c r="G35" s="3">
        <v>46009</v>
      </c>
    </row>
    <row r="36" spans="1:7" x14ac:dyDescent="0.3">
      <c r="A36">
        <v>132.06800000000001</v>
      </c>
      <c r="B36">
        <v>134.81299999999999</v>
      </c>
      <c r="C36">
        <v>132.05799999999999</v>
      </c>
      <c r="D36">
        <v>134.06399999999999</v>
      </c>
      <c r="E36">
        <v>2070398</v>
      </c>
      <c r="F36" t="s">
        <v>92</v>
      </c>
      <c r="G36" s="3">
        <v>45986</v>
      </c>
    </row>
    <row r="37" spans="1:7" x14ac:dyDescent="0.3">
      <c r="A37">
        <v>133.18600000000001</v>
      </c>
      <c r="B37">
        <v>135.87100000000001</v>
      </c>
      <c r="C37">
        <v>133.17599999999999</v>
      </c>
      <c r="D37">
        <v>134.643</v>
      </c>
      <c r="E37">
        <v>1463095</v>
      </c>
      <c r="F37" t="s">
        <v>92</v>
      </c>
      <c r="G37" s="3">
        <v>45987</v>
      </c>
    </row>
    <row r="38" spans="1:7" x14ac:dyDescent="0.3">
      <c r="A38">
        <v>135.48099999999999</v>
      </c>
      <c r="B38">
        <v>136.11000000000001</v>
      </c>
      <c r="C38">
        <v>134.13399999999999</v>
      </c>
      <c r="D38">
        <v>135.02199999999999</v>
      </c>
      <c r="E38">
        <v>588765</v>
      </c>
      <c r="F38" t="s">
        <v>92</v>
      </c>
      <c r="G38" s="3">
        <v>45989</v>
      </c>
    </row>
    <row r="39" spans="1:7" x14ac:dyDescent="0.3">
      <c r="A39">
        <v>136.12</v>
      </c>
      <c r="B39">
        <v>142.98599999999999</v>
      </c>
      <c r="C39">
        <v>135.73099999999999</v>
      </c>
      <c r="D39">
        <v>139.39400000000001</v>
      </c>
      <c r="E39">
        <v>2633612</v>
      </c>
      <c r="F39" t="s">
        <v>92</v>
      </c>
      <c r="G39" s="3">
        <v>45992</v>
      </c>
    </row>
    <row r="40" spans="1:7" x14ac:dyDescent="0.3">
      <c r="A40">
        <v>139.22399999999999</v>
      </c>
      <c r="B40">
        <v>142.16800000000001</v>
      </c>
      <c r="C40">
        <v>137.68700000000001</v>
      </c>
      <c r="D40">
        <v>141.18</v>
      </c>
      <c r="E40">
        <v>2298449</v>
      </c>
      <c r="F40" t="s">
        <v>92</v>
      </c>
      <c r="G40" s="3">
        <v>45993</v>
      </c>
    </row>
    <row r="41" spans="1:7" x14ac:dyDescent="0.3">
      <c r="A41">
        <v>142.30000000000001</v>
      </c>
      <c r="B41">
        <v>151.05000000000001</v>
      </c>
      <c r="C41">
        <v>141.5</v>
      </c>
      <c r="D41">
        <v>150.94999999999999</v>
      </c>
      <c r="E41">
        <v>4491200</v>
      </c>
      <c r="F41" t="s">
        <v>92</v>
      </c>
      <c r="G41" s="3">
        <v>45994</v>
      </c>
    </row>
    <row r="42" spans="1:7" x14ac:dyDescent="0.3">
      <c r="A42">
        <v>151.69</v>
      </c>
      <c r="B42">
        <v>154.03</v>
      </c>
      <c r="C42">
        <v>150.9</v>
      </c>
      <c r="D42">
        <v>153.51</v>
      </c>
      <c r="E42">
        <v>4582700</v>
      </c>
      <c r="F42" t="s">
        <v>92</v>
      </c>
      <c r="G42" s="3">
        <v>45995</v>
      </c>
    </row>
    <row r="43" spans="1:7" x14ac:dyDescent="0.3">
      <c r="A43">
        <v>153.03</v>
      </c>
      <c r="B43">
        <v>156.72999999999999</v>
      </c>
      <c r="C43">
        <v>153.03</v>
      </c>
      <c r="D43">
        <v>155.15</v>
      </c>
      <c r="E43">
        <v>2833500</v>
      </c>
      <c r="F43" t="s">
        <v>92</v>
      </c>
      <c r="G43" s="3">
        <v>45996</v>
      </c>
    </row>
    <row r="44" spans="1:7" x14ac:dyDescent="0.3">
      <c r="A44">
        <v>157.03</v>
      </c>
      <c r="B44">
        <v>157.03</v>
      </c>
      <c r="C44">
        <v>151.19999999999999</v>
      </c>
      <c r="D44">
        <v>151.68</v>
      </c>
      <c r="E44">
        <v>3444700</v>
      </c>
      <c r="F44" t="s">
        <v>92</v>
      </c>
      <c r="G44" s="3">
        <v>45999</v>
      </c>
    </row>
    <row r="45" spans="1:7" x14ac:dyDescent="0.3">
      <c r="A45">
        <v>151.79</v>
      </c>
      <c r="B45">
        <v>151.87</v>
      </c>
      <c r="C45">
        <v>147.86000000000001</v>
      </c>
      <c r="D45">
        <v>148.88999999999999</v>
      </c>
      <c r="E45">
        <v>1674500</v>
      </c>
      <c r="F45" t="s">
        <v>92</v>
      </c>
      <c r="G45" s="3">
        <v>46000</v>
      </c>
    </row>
    <row r="46" spans="1:7" x14ac:dyDescent="0.3">
      <c r="A46">
        <v>149.32</v>
      </c>
      <c r="B46">
        <v>158.79</v>
      </c>
      <c r="C46">
        <v>148.49</v>
      </c>
      <c r="D46">
        <v>157.32</v>
      </c>
      <c r="E46">
        <v>2991400</v>
      </c>
      <c r="F46" t="s">
        <v>92</v>
      </c>
      <c r="G46" s="3">
        <v>46001</v>
      </c>
    </row>
    <row r="47" spans="1:7" x14ac:dyDescent="0.3">
      <c r="A47">
        <v>157.13</v>
      </c>
      <c r="B47">
        <v>163.19</v>
      </c>
      <c r="C47">
        <v>157.13</v>
      </c>
      <c r="D47">
        <v>158.91999999999999</v>
      </c>
      <c r="E47">
        <v>3657400</v>
      </c>
      <c r="F47" t="s">
        <v>92</v>
      </c>
      <c r="G47" s="3">
        <v>46002</v>
      </c>
    </row>
    <row r="48" spans="1:7" x14ac:dyDescent="0.3">
      <c r="A48">
        <v>159.12</v>
      </c>
      <c r="B48">
        <v>161.24</v>
      </c>
      <c r="C48">
        <v>158.02000000000001</v>
      </c>
      <c r="D48">
        <v>159.49</v>
      </c>
      <c r="E48">
        <v>2264000</v>
      </c>
      <c r="F48" t="s">
        <v>92</v>
      </c>
      <c r="G48" s="3">
        <v>46003</v>
      </c>
    </row>
    <row r="49" spans="1:7" x14ac:dyDescent="0.3">
      <c r="A49">
        <v>160.13999999999999</v>
      </c>
      <c r="B49">
        <v>160.9</v>
      </c>
      <c r="C49">
        <v>154.88</v>
      </c>
      <c r="D49">
        <v>157.46</v>
      </c>
      <c r="E49">
        <v>2593400</v>
      </c>
      <c r="F49" t="s">
        <v>92</v>
      </c>
      <c r="G49" s="3">
        <v>46006</v>
      </c>
    </row>
    <row r="50" spans="1:7" x14ac:dyDescent="0.3">
      <c r="A50">
        <v>158.78</v>
      </c>
      <c r="B50">
        <v>159.30000000000001</v>
      </c>
      <c r="C50">
        <v>154.86000000000001</v>
      </c>
      <c r="D50">
        <v>156.94</v>
      </c>
      <c r="E50">
        <v>2208500</v>
      </c>
      <c r="F50" t="s">
        <v>92</v>
      </c>
      <c r="G50" s="3">
        <v>46007</v>
      </c>
    </row>
    <row r="51" spans="1:7" x14ac:dyDescent="0.3">
      <c r="A51">
        <v>156.13</v>
      </c>
      <c r="B51">
        <v>159.04</v>
      </c>
      <c r="C51">
        <v>154.82</v>
      </c>
      <c r="D51">
        <v>155.72999999999999</v>
      </c>
      <c r="E51">
        <v>2272500</v>
      </c>
      <c r="F51" t="s">
        <v>92</v>
      </c>
      <c r="G51" s="3">
        <v>46008</v>
      </c>
    </row>
    <row r="52" spans="1:7" x14ac:dyDescent="0.3">
      <c r="A52">
        <v>156.91</v>
      </c>
      <c r="B52">
        <v>160.1</v>
      </c>
      <c r="C52">
        <v>156.31</v>
      </c>
      <c r="D52">
        <v>158.55000000000001</v>
      </c>
      <c r="E52">
        <v>2631400</v>
      </c>
      <c r="F52" t="s">
        <v>92</v>
      </c>
      <c r="G52" s="3">
        <v>46009</v>
      </c>
    </row>
  </sheetData>
  <autoFilter ref="A1:G52">
    <filterColumn colId="5">
      <filters>
        <filter val="ODFL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O17" sqref="O17"/>
    </sheetView>
  </sheetViews>
  <sheetFormatPr defaultRowHeight="14.4" x14ac:dyDescent="0.3"/>
  <cols>
    <col min="1" max="1" width="18.109375" bestFit="1" customWidth="1"/>
    <col min="2" max="4" width="8" bestFit="1" customWidth="1"/>
  </cols>
  <sheetData>
    <row r="1" spans="1:4" x14ac:dyDescent="0.3">
      <c r="A1" s="1" t="s">
        <v>73</v>
      </c>
      <c r="B1" s="1" t="s">
        <v>91</v>
      </c>
      <c r="C1" s="1" t="s">
        <v>92</v>
      </c>
      <c r="D1" s="1" t="s">
        <v>12</v>
      </c>
    </row>
    <row r="2" spans="1:4" x14ac:dyDescent="0.3">
      <c r="A2" s="2">
        <v>45986</v>
      </c>
      <c r="B2">
        <v>120.59</v>
      </c>
      <c r="C2">
        <v>134.06399999999999</v>
      </c>
      <c r="D2">
        <v>673.03099999999995</v>
      </c>
    </row>
    <row r="3" spans="1:4" x14ac:dyDescent="0.3">
      <c r="A3" s="2">
        <v>45987</v>
      </c>
      <c r="B3">
        <v>120.61</v>
      </c>
      <c r="C3">
        <v>134.643</v>
      </c>
      <c r="D3">
        <v>677.678</v>
      </c>
    </row>
    <row r="4" spans="1:4" x14ac:dyDescent="0.3">
      <c r="A4" s="2">
        <v>45989</v>
      </c>
      <c r="B4">
        <v>122.08799999999999</v>
      </c>
      <c r="C4">
        <v>135.02199999999999</v>
      </c>
      <c r="D4">
        <v>681.37699999999995</v>
      </c>
    </row>
    <row r="5" spans="1:4" x14ac:dyDescent="0.3">
      <c r="A5" s="2">
        <v>45992</v>
      </c>
      <c r="B5">
        <v>121.968</v>
      </c>
      <c r="C5">
        <v>139.39400000000001</v>
      </c>
      <c r="D5">
        <v>678.26599999999996</v>
      </c>
    </row>
    <row r="6" spans="1:4" x14ac:dyDescent="0.3">
      <c r="A6" s="2">
        <v>45993</v>
      </c>
      <c r="B6">
        <v>122.45699999999999</v>
      </c>
      <c r="C6">
        <v>141.18</v>
      </c>
      <c r="D6">
        <v>679.52200000000005</v>
      </c>
    </row>
    <row r="7" spans="1:4" x14ac:dyDescent="0.3">
      <c r="A7" s="2">
        <v>45994</v>
      </c>
      <c r="B7">
        <v>126.25</v>
      </c>
      <c r="C7">
        <v>150.94999999999999</v>
      </c>
      <c r="D7">
        <v>681.875</v>
      </c>
    </row>
    <row r="8" spans="1:4" x14ac:dyDescent="0.3">
      <c r="A8" s="2">
        <v>45995</v>
      </c>
      <c r="B8">
        <v>128.196</v>
      </c>
      <c r="C8">
        <v>153.51</v>
      </c>
      <c r="D8">
        <v>682.37400000000002</v>
      </c>
    </row>
    <row r="9" spans="1:4" x14ac:dyDescent="0.3">
      <c r="A9" s="2">
        <v>45996</v>
      </c>
      <c r="B9">
        <v>129.185</v>
      </c>
      <c r="C9">
        <v>155.15</v>
      </c>
      <c r="D9">
        <v>683.67</v>
      </c>
    </row>
    <row r="10" spans="1:4" x14ac:dyDescent="0.3">
      <c r="A10" s="2">
        <v>45999</v>
      </c>
      <c r="B10">
        <v>130.00299999999999</v>
      </c>
      <c r="C10">
        <v>151.68</v>
      </c>
      <c r="D10">
        <v>681.61599999999999</v>
      </c>
    </row>
    <row r="11" spans="1:4" x14ac:dyDescent="0.3">
      <c r="A11" s="2">
        <v>46000</v>
      </c>
      <c r="B11">
        <v>135.53299999999999</v>
      </c>
      <c r="C11">
        <v>148.88999999999999</v>
      </c>
      <c r="D11">
        <v>681.02800000000002</v>
      </c>
    </row>
    <row r="12" spans="1:4" x14ac:dyDescent="0.3">
      <c r="A12" s="2">
        <v>46001</v>
      </c>
      <c r="B12">
        <v>141.28299999999999</v>
      </c>
      <c r="C12">
        <v>157.32</v>
      </c>
      <c r="D12">
        <v>685.54399999999998</v>
      </c>
    </row>
    <row r="13" spans="1:4" x14ac:dyDescent="0.3">
      <c r="A13" s="2">
        <v>46002</v>
      </c>
      <c r="B13">
        <v>142.51</v>
      </c>
      <c r="C13">
        <v>158.91999999999999</v>
      </c>
      <c r="D13">
        <v>687.14</v>
      </c>
    </row>
    <row r="14" spans="1:4" x14ac:dyDescent="0.3">
      <c r="A14" s="2">
        <v>46003</v>
      </c>
      <c r="B14">
        <v>136.352</v>
      </c>
      <c r="C14">
        <v>159.49</v>
      </c>
      <c r="D14">
        <v>679.75099999999998</v>
      </c>
    </row>
    <row r="15" spans="1:4" x14ac:dyDescent="0.3">
      <c r="A15" s="2">
        <v>46006</v>
      </c>
      <c r="B15">
        <v>134.565</v>
      </c>
      <c r="C15">
        <v>157.46</v>
      </c>
      <c r="D15">
        <v>678.72400000000005</v>
      </c>
    </row>
    <row r="16" spans="1:4" x14ac:dyDescent="0.3">
      <c r="A16" s="2">
        <v>46007</v>
      </c>
      <c r="B16">
        <v>133.137</v>
      </c>
      <c r="C16">
        <v>156.94</v>
      </c>
      <c r="D16">
        <v>676.87</v>
      </c>
    </row>
    <row r="17" spans="1:4" x14ac:dyDescent="0.3">
      <c r="A17" s="2">
        <v>46008</v>
      </c>
      <c r="B17">
        <v>131.91</v>
      </c>
      <c r="C17">
        <v>155.72999999999999</v>
      </c>
      <c r="D17">
        <v>669.42200000000003</v>
      </c>
    </row>
    <row r="18" spans="1:4" x14ac:dyDescent="0.3">
      <c r="A18" s="2">
        <v>46009</v>
      </c>
      <c r="B18">
        <v>131.72999999999999</v>
      </c>
      <c r="C18">
        <v>158.55000000000001</v>
      </c>
      <c r="D18">
        <v>674.47699999999998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52"/>
  <sheetViews>
    <sheetView workbookViewId="0">
      <selection activeCell="H1" sqref="H1:H52"/>
    </sheetView>
  </sheetViews>
  <sheetFormatPr defaultRowHeight="14.4" x14ac:dyDescent="0.3"/>
  <cols>
    <col min="1" max="1" width="10.33203125" style="7" bestFit="1" customWidth="1"/>
    <col min="2" max="2" width="8.33203125" bestFit="1" customWidth="1"/>
    <col min="3" max="4" width="8" bestFit="1" customWidth="1"/>
    <col min="5" max="5" width="8.44140625" bestFit="1" customWidth="1"/>
    <col min="6" max="6" width="10" bestFit="1" customWidth="1"/>
    <col min="7" max="9" width="12" bestFit="1" customWidth="1"/>
    <col min="10" max="10" width="12" hidden="1" customWidth="1"/>
    <col min="11" max="11" width="12.6640625" hidden="1" customWidth="1"/>
    <col min="12" max="12" width="10.6640625" hidden="1" customWidth="1"/>
    <col min="13" max="13" width="12.6640625" hidden="1" customWidth="1"/>
    <col min="14" max="14" width="12" hidden="1" customWidth="1"/>
    <col min="15" max="15" width="12.6640625" hidden="1" customWidth="1"/>
    <col min="16" max="16" width="12.6640625" bestFit="1" customWidth="1"/>
    <col min="17" max="19" width="11" customWidth="1"/>
    <col min="20" max="20" width="5.88671875" bestFit="1" customWidth="1"/>
  </cols>
  <sheetData>
    <row r="1" spans="1:20" s="9" customFormat="1" ht="37.200000000000003" customHeight="1" x14ac:dyDescent="0.3">
      <c r="A1" s="8" t="s">
        <v>73</v>
      </c>
      <c r="B1" s="9" t="s">
        <v>85</v>
      </c>
      <c r="C1" s="9" t="s">
        <v>86</v>
      </c>
      <c r="D1" s="9" t="s">
        <v>87</v>
      </c>
      <c r="E1" s="9" t="s">
        <v>88</v>
      </c>
      <c r="F1" s="9" t="s">
        <v>89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  <c r="M1" s="9" t="s">
        <v>99</v>
      </c>
      <c r="N1" s="9" t="s">
        <v>100</v>
      </c>
      <c r="O1" s="9" t="s">
        <v>101</v>
      </c>
      <c r="P1" s="9" t="s">
        <v>102</v>
      </c>
      <c r="Q1" s="9" t="s">
        <v>103</v>
      </c>
      <c r="R1" s="9" t="s">
        <v>104</v>
      </c>
      <c r="S1" s="9" t="s">
        <v>105</v>
      </c>
      <c r="T1" s="9" t="s">
        <v>90</v>
      </c>
    </row>
    <row r="2" spans="1:20" hidden="1" x14ac:dyDescent="0.3">
      <c r="A2" s="7">
        <v>45986</v>
      </c>
      <c r="B2">
        <v>118.514</v>
      </c>
      <c r="C2">
        <v>120.7</v>
      </c>
      <c r="D2">
        <v>115.949</v>
      </c>
      <c r="E2">
        <v>120.59</v>
      </c>
      <c r="F2">
        <v>4743325</v>
      </c>
      <c r="G2">
        <v>4.3459730259472797</v>
      </c>
      <c r="H2">
        <v>3.6039248909090903E-2</v>
      </c>
      <c r="I2">
        <v>3.9397960029853199E-2</v>
      </c>
      <c r="J2">
        <v>51.266115139848203</v>
      </c>
      <c r="K2">
        <v>-1.0332460668532301E-2</v>
      </c>
      <c r="L2">
        <v>0.6</v>
      </c>
      <c r="M2">
        <v>-0.14375405356124399</v>
      </c>
      <c r="N2">
        <v>1.22142098776994</v>
      </c>
      <c r="O2">
        <v>-1.6851871479002301E-2</v>
      </c>
      <c r="P2">
        <v>2.5111360467884002E-2</v>
      </c>
      <c r="Q2">
        <v>0</v>
      </c>
      <c r="R2">
        <v>529899964.61949998</v>
      </c>
      <c r="S2">
        <v>0</v>
      </c>
      <c r="T2" t="s">
        <v>91</v>
      </c>
    </row>
    <row r="3" spans="1:20" hidden="1" x14ac:dyDescent="0.3">
      <c r="A3" s="7">
        <v>45987</v>
      </c>
      <c r="B3">
        <v>120.89</v>
      </c>
      <c r="C3">
        <v>122.387</v>
      </c>
      <c r="D3">
        <v>120.081</v>
      </c>
      <c r="E3">
        <v>120.61</v>
      </c>
      <c r="F3">
        <v>3435748</v>
      </c>
      <c r="G3">
        <v>4.2002606669510403</v>
      </c>
      <c r="H3">
        <v>3.4825144407188799E-2</v>
      </c>
      <c r="I3">
        <v>1.9119475997015099E-2</v>
      </c>
      <c r="J3">
        <v>51.302080164769599</v>
      </c>
      <c r="K3">
        <v>3.3692442078117001E-3</v>
      </c>
      <c r="L3">
        <v>0.6</v>
      </c>
      <c r="M3">
        <v>-0.14413759281021399</v>
      </c>
      <c r="N3">
        <v>1.21587876276121</v>
      </c>
      <c r="O3">
        <v>-1.66888151511939E-2</v>
      </c>
      <c r="P3">
        <v>1.6585123144530201E-4</v>
      </c>
      <c r="Q3">
        <v>0</v>
      </c>
      <c r="R3">
        <v>529899964.61949998</v>
      </c>
      <c r="S3">
        <v>0</v>
      </c>
      <c r="T3" t="s">
        <v>91</v>
      </c>
    </row>
    <row r="4" spans="1:20" hidden="1" x14ac:dyDescent="0.3">
      <c r="A4" s="7">
        <v>45989</v>
      </c>
      <c r="B4">
        <v>121.059</v>
      </c>
      <c r="C4">
        <v>122.627</v>
      </c>
      <c r="D4">
        <v>120.411</v>
      </c>
      <c r="E4">
        <v>122.08799999999999</v>
      </c>
      <c r="F4">
        <v>1189964</v>
      </c>
      <c r="G4">
        <v>4.0585277621688203</v>
      </c>
      <c r="H4">
        <v>3.32426427017301E-2</v>
      </c>
      <c r="I4">
        <v>1.8150842015595199E-2</v>
      </c>
      <c r="J4">
        <v>54.003565546605302</v>
      </c>
      <c r="K4">
        <v>3.33130205159455E-2</v>
      </c>
      <c r="L4">
        <v>0.8</v>
      </c>
      <c r="M4">
        <v>-0.13988128045251999</v>
      </c>
      <c r="N4">
        <v>1.2373840443080799</v>
      </c>
      <c r="O4">
        <v>-4.6389525261501998E-3</v>
      </c>
      <c r="P4">
        <v>1.2254373600862199E-2</v>
      </c>
      <c r="Q4">
        <v>0</v>
      </c>
      <c r="R4">
        <v>528966341.02200001</v>
      </c>
      <c r="S4">
        <v>0</v>
      </c>
      <c r="T4" t="s">
        <v>91</v>
      </c>
    </row>
    <row r="5" spans="1:20" hidden="1" x14ac:dyDescent="0.3">
      <c r="A5" s="7">
        <v>45992</v>
      </c>
      <c r="B5">
        <v>120.271</v>
      </c>
      <c r="C5">
        <v>122.986</v>
      </c>
      <c r="D5">
        <v>118.873</v>
      </c>
      <c r="E5">
        <v>121.968</v>
      </c>
      <c r="F5">
        <v>2600028</v>
      </c>
      <c r="G5">
        <v>4.0624186362996202</v>
      </c>
      <c r="H5">
        <v>3.3307249740092602E-2</v>
      </c>
      <c r="I5">
        <v>3.3721959858323401E-2</v>
      </c>
      <c r="J5">
        <v>53.742887353443301</v>
      </c>
      <c r="K5">
        <v>3.6147239472275897E-2</v>
      </c>
      <c r="L5">
        <v>0.6</v>
      </c>
      <c r="M5">
        <v>-0.13860339079721501</v>
      </c>
      <c r="N5">
        <v>1.24128659499511</v>
      </c>
      <c r="O5">
        <v>-5.6172904930007397E-3</v>
      </c>
      <c r="P5">
        <v>-9.828975820718169E-4</v>
      </c>
      <c r="Q5">
        <v>0</v>
      </c>
      <c r="R5">
        <v>528966341.02200001</v>
      </c>
      <c r="S5">
        <v>0</v>
      </c>
      <c r="T5" t="s">
        <v>91</v>
      </c>
    </row>
    <row r="6" spans="1:20" hidden="1" x14ac:dyDescent="0.3">
      <c r="A6" s="7">
        <v>45993</v>
      </c>
      <c r="B6">
        <v>122.098</v>
      </c>
      <c r="C6">
        <v>123.625</v>
      </c>
      <c r="D6">
        <v>121.61799999999999</v>
      </c>
      <c r="E6">
        <v>122.45699999999999</v>
      </c>
      <c r="F6">
        <v>2445146</v>
      </c>
      <c r="G6">
        <v>3.9156030194210798</v>
      </c>
      <c r="H6">
        <v>3.1975330274472497E-2</v>
      </c>
      <c r="I6">
        <v>1.6389426492564699E-2</v>
      </c>
      <c r="J6">
        <v>54.702441222701403</v>
      </c>
      <c r="K6">
        <v>3.8360764162702399E-2</v>
      </c>
      <c r="L6">
        <v>0.8</v>
      </c>
      <c r="M6">
        <v>-0.11247246017137601</v>
      </c>
      <c r="N6">
        <v>1.28071184040917</v>
      </c>
      <c r="O6">
        <v>-1.6305632780844099E-3</v>
      </c>
      <c r="P6">
        <v>4.0092483274301004E-3</v>
      </c>
      <c r="Q6">
        <v>0</v>
      </c>
      <c r="R6">
        <v>525729556.6365</v>
      </c>
      <c r="S6">
        <v>0</v>
      </c>
      <c r="T6" t="s">
        <v>91</v>
      </c>
    </row>
    <row r="7" spans="1:20" hidden="1" x14ac:dyDescent="0.3">
      <c r="A7" s="7">
        <v>45994</v>
      </c>
      <c r="B7">
        <v>122.776</v>
      </c>
      <c r="C7">
        <v>126.68899999999999</v>
      </c>
      <c r="D7">
        <v>121.898</v>
      </c>
      <c r="E7">
        <v>126.25</v>
      </c>
      <c r="F7">
        <v>3089618</v>
      </c>
      <c r="G7">
        <v>3.97813137517671</v>
      </c>
      <c r="H7">
        <v>3.1509951486548199E-2</v>
      </c>
      <c r="I7">
        <v>3.79485148514851E-2</v>
      </c>
      <c r="J7">
        <v>61.392385170572602</v>
      </c>
      <c r="K7">
        <v>7.6896831151106598E-2</v>
      </c>
      <c r="L7">
        <v>0.8</v>
      </c>
      <c r="M7">
        <v>-9.7177025097204897E-2</v>
      </c>
      <c r="N7">
        <v>1.27967340063295</v>
      </c>
      <c r="O7">
        <v>0</v>
      </c>
      <c r="P7">
        <v>3.09741378606367E-2</v>
      </c>
      <c r="Q7">
        <v>0</v>
      </c>
      <c r="R7">
        <v>525729556.6365</v>
      </c>
      <c r="S7">
        <v>0</v>
      </c>
      <c r="T7" t="s">
        <v>91</v>
      </c>
    </row>
    <row r="8" spans="1:20" hidden="1" x14ac:dyDescent="0.3">
      <c r="A8" s="7">
        <v>45995</v>
      </c>
      <c r="B8">
        <v>126.60899999999999</v>
      </c>
      <c r="C8">
        <v>128.26599999999999</v>
      </c>
      <c r="D8">
        <v>125.721</v>
      </c>
      <c r="E8">
        <v>128.196</v>
      </c>
      <c r="F8">
        <v>2877933</v>
      </c>
      <c r="G8">
        <v>3.87576484837837</v>
      </c>
      <c r="H8">
        <v>3.0233118415382499E-2</v>
      </c>
      <c r="I8">
        <v>1.9852413491840502E-2</v>
      </c>
      <c r="J8">
        <v>64.305103479315093</v>
      </c>
      <c r="K8">
        <v>8.7392805340435795E-2</v>
      </c>
      <c r="L8">
        <v>0.8</v>
      </c>
      <c r="M8">
        <v>-7.6982373126252293E-2</v>
      </c>
      <c r="N8">
        <v>1.27082535425734</v>
      </c>
      <c r="O8">
        <v>0</v>
      </c>
      <c r="P8">
        <v>1.5413861386138501E-2</v>
      </c>
      <c r="Q8">
        <v>0</v>
      </c>
      <c r="R8">
        <v>523050520.35149997</v>
      </c>
      <c r="S8">
        <v>0</v>
      </c>
      <c r="T8" t="s">
        <v>91</v>
      </c>
    </row>
    <row r="9" spans="1:20" hidden="1" x14ac:dyDescent="0.3">
      <c r="A9" s="7">
        <v>45996</v>
      </c>
      <c r="B9">
        <v>127.907</v>
      </c>
      <c r="C9">
        <v>130.762</v>
      </c>
      <c r="D9">
        <v>127.27800000000001</v>
      </c>
      <c r="E9">
        <v>129.185</v>
      </c>
      <c r="F9">
        <v>2844873</v>
      </c>
      <c r="G9">
        <v>3.84778164492278</v>
      </c>
      <c r="H9">
        <v>2.9785049695574401E-2</v>
      </c>
      <c r="I9">
        <v>2.6969075357045999E-2</v>
      </c>
      <c r="J9">
        <v>65.720562622873302</v>
      </c>
      <c r="K9">
        <v>9.02515802887984E-2</v>
      </c>
      <c r="L9">
        <v>0.8</v>
      </c>
      <c r="M9">
        <v>-8.9699329732598795E-2</v>
      </c>
      <c r="N9">
        <v>1.2635562126895701</v>
      </c>
      <c r="O9">
        <v>0</v>
      </c>
      <c r="P9">
        <v>7.7147492901494799E-3</v>
      </c>
      <c r="Q9">
        <v>0</v>
      </c>
      <c r="R9">
        <v>523050520.35149997</v>
      </c>
      <c r="S9">
        <v>0</v>
      </c>
      <c r="T9" t="s">
        <v>91</v>
      </c>
    </row>
    <row r="10" spans="1:20" hidden="1" x14ac:dyDescent="0.3">
      <c r="A10" s="7">
        <v>45999</v>
      </c>
      <c r="B10">
        <v>129.31399999999999</v>
      </c>
      <c r="C10">
        <v>130.233</v>
      </c>
      <c r="D10">
        <v>128.45599999999999</v>
      </c>
      <c r="E10">
        <v>130.00299999999999</v>
      </c>
      <c r="F10">
        <v>4123899</v>
      </c>
      <c r="G10">
        <v>3.69986867028544</v>
      </c>
      <c r="H10">
        <v>2.8459871466700301E-2</v>
      </c>
      <c r="I10">
        <v>1.36689153327232E-2</v>
      </c>
      <c r="J10">
        <v>66.890039317030201</v>
      </c>
      <c r="K10">
        <v>9.3298236466541506E-2</v>
      </c>
      <c r="L10">
        <v>1</v>
      </c>
      <c r="M10">
        <v>-7.2888414856316794E-2</v>
      </c>
      <c r="N10">
        <v>1.25470576039365</v>
      </c>
      <c r="O10">
        <v>0</v>
      </c>
      <c r="P10">
        <v>6.3320044896852902E-3</v>
      </c>
      <c r="Q10">
        <v>0</v>
      </c>
      <c r="R10">
        <v>523050520.35149997</v>
      </c>
      <c r="S10">
        <v>0</v>
      </c>
      <c r="T10" t="s">
        <v>91</v>
      </c>
    </row>
    <row r="11" spans="1:20" hidden="1" x14ac:dyDescent="0.3">
      <c r="A11" s="7">
        <v>46000</v>
      </c>
      <c r="B11">
        <v>129.863</v>
      </c>
      <c r="C11">
        <v>137.29</v>
      </c>
      <c r="D11">
        <v>129.434</v>
      </c>
      <c r="E11">
        <v>135.53299999999999</v>
      </c>
      <c r="F11">
        <v>5785320</v>
      </c>
      <c r="G11">
        <v>3.9967351938364799</v>
      </c>
      <c r="H11">
        <v>2.9489018865047401E-2</v>
      </c>
      <c r="I11">
        <v>5.7963743147425299E-2</v>
      </c>
      <c r="J11">
        <v>73.477631456414002</v>
      </c>
      <c r="K11">
        <v>0.12091338400337399</v>
      </c>
      <c r="L11">
        <v>1</v>
      </c>
      <c r="M11">
        <v>-4.5300062379288401E-2</v>
      </c>
      <c r="N11">
        <v>1.2271582430113199</v>
      </c>
      <c r="O11">
        <v>0</v>
      </c>
      <c r="P11">
        <v>4.2537479904309797E-2</v>
      </c>
      <c r="Q11">
        <v>0</v>
      </c>
      <c r="R11">
        <v>523050520.35149997</v>
      </c>
      <c r="S11">
        <v>0</v>
      </c>
      <c r="T11" t="s">
        <v>91</v>
      </c>
    </row>
    <row r="12" spans="1:20" hidden="1" x14ac:dyDescent="0.3">
      <c r="A12" s="7">
        <v>46001</v>
      </c>
      <c r="B12">
        <v>136.25200000000001</v>
      </c>
      <c r="C12">
        <v>142.041</v>
      </c>
      <c r="D12">
        <v>135.643</v>
      </c>
      <c r="E12">
        <v>141.28299999999999</v>
      </c>
      <c r="F12">
        <v>7362288</v>
      </c>
      <c r="G12">
        <v>4.1761112514195897</v>
      </c>
      <c r="H12">
        <v>2.95584836917363E-2</v>
      </c>
      <c r="I12">
        <v>4.6063574527721002E-2</v>
      </c>
      <c r="J12">
        <v>78.309953935840994</v>
      </c>
      <c r="K12">
        <v>0.180240086210497</v>
      </c>
      <c r="L12">
        <v>1</v>
      </c>
      <c r="M12">
        <v>-4.2788788597911402E-2</v>
      </c>
      <c r="N12">
        <v>1.21784876785757</v>
      </c>
      <c r="O12">
        <v>0</v>
      </c>
      <c r="P12">
        <v>4.2425092044004097E-2</v>
      </c>
      <c r="Q12">
        <v>0</v>
      </c>
      <c r="R12">
        <v>523050520.35149997</v>
      </c>
      <c r="S12">
        <v>0</v>
      </c>
      <c r="T12" t="s">
        <v>91</v>
      </c>
    </row>
    <row r="13" spans="1:20" hidden="1" x14ac:dyDescent="0.3">
      <c r="A13" s="7">
        <v>46002</v>
      </c>
      <c r="B13">
        <v>141.28299999999999</v>
      </c>
      <c r="C13">
        <v>144.577</v>
      </c>
      <c r="D13">
        <v>140.97300000000001</v>
      </c>
      <c r="E13">
        <v>142.51</v>
      </c>
      <c r="F13">
        <v>6867889</v>
      </c>
      <c r="G13">
        <v>4.1352461620324696</v>
      </c>
      <c r="H13">
        <v>2.9017235015314499E-2</v>
      </c>
      <c r="I13">
        <v>2.52894533716931E-2</v>
      </c>
      <c r="J13">
        <v>79.181623463319497</v>
      </c>
      <c r="K13">
        <v>0.17823599444407701</v>
      </c>
      <c r="L13">
        <v>1</v>
      </c>
      <c r="M13">
        <v>-2.9375354417756998E-2</v>
      </c>
      <c r="N13">
        <v>1.21750966312244</v>
      </c>
      <c r="O13">
        <v>0</v>
      </c>
      <c r="P13">
        <v>8.6846966726357097E-3</v>
      </c>
      <c r="Q13">
        <v>0</v>
      </c>
      <c r="R13">
        <v>523050520.35149997</v>
      </c>
      <c r="S13">
        <v>0</v>
      </c>
      <c r="T13" t="s">
        <v>91</v>
      </c>
    </row>
    <row r="14" spans="1:20" hidden="1" x14ac:dyDescent="0.3">
      <c r="A14" s="7">
        <v>46003</v>
      </c>
      <c r="B14">
        <v>143.12899999999999</v>
      </c>
      <c r="C14">
        <v>143.12899999999999</v>
      </c>
      <c r="D14">
        <v>135.483</v>
      </c>
      <c r="E14">
        <v>136.352</v>
      </c>
      <c r="F14">
        <v>5453317</v>
      </c>
      <c r="G14">
        <v>4.3860142933158599</v>
      </c>
      <c r="H14">
        <v>3.2166849722159302E-2</v>
      </c>
      <c r="I14">
        <v>5.6075451771884402E-2</v>
      </c>
      <c r="J14">
        <v>65.051966336719602</v>
      </c>
      <c r="K14">
        <v>0.11165282046683001</v>
      </c>
      <c r="L14">
        <v>0.8</v>
      </c>
      <c r="M14">
        <v>-5.6192919223705701E-2</v>
      </c>
      <c r="N14">
        <v>1.30213046781815</v>
      </c>
      <c r="O14">
        <v>-4.3211002736650003E-2</v>
      </c>
      <c r="P14">
        <v>-4.3211002736650003E-2</v>
      </c>
      <c r="Q14">
        <v>0</v>
      </c>
      <c r="R14">
        <v>523050520.35149997</v>
      </c>
      <c r="S14">
        <v>0</v>
      </c>
      <c r="T14" t="s">
        <v>91</v>
      </c>
    </row>
    <row r="15" spans="1:20" hidden="1" x14ac:dyDescent="0.3">
      <c r="A15" s="7">
        <v>46006</v>
      </c>
      <c r="B15">
        <v>137.529</v>
      </c>
      <c r="C15">
        <v>137.529</v>
      </c>
      <c r="D15">
        <v>133.15700000000001</v>
      </c>
      <c r="E15">
        <v>134.565</v>
      </c>
      <c r="F15">
        <v>5484674</v>
      </c>
      <c r="G15">
        <v>4.3850132723647297</v>
      </c>
      <c r="H15">
        <v>3.2586581000741098E-2</v>
      </c>
      <c r="I15">
        <v>3.2489874781703898E-2</v>
      </c>
      <c r="J15">
        <v>61.615839827413801</v>
      </c>
      <c r="K15">
        <v>0.118169580535797</v>
      </c>
      <c r="L15">
        <v>0.6</v>
      </c>
      <c r="M15">
        <v>-6.4441694334538294E-2</v>
      </c>
      <c r="N15">
        <v>1.30824018796399</v>
      </c>
      <c r="O15">
        <v>-5.5750473650971799E-2</v>
      </c>
      <c r="P15">
        <v>-1.3105785026989E-2</v>
      </c>
      <c r="Q15">
        <v>0</v>
      </c>
      <c r="R15">
        <v>523050520.35149997</v>
      </c>
      <c r="S15">
        <v>0</v>
      </c>
      <c r="T15" t="s">
        <v>91</v>
      </c>
    </row>
    <row r="16" spans="1:20" hidden="1" x14ac:dyDescent="0.3">
      <c r="A16" s="7">
        <v>46007</v>
      </c>
      <c r="B16">
        <v>134.79400000000001</v>
      </c>
      <c r="C16">
        <v>135.583</v>
      </c>
      <c r="D16">
        <v>132.09899999999999</v>
      </c>
      <c r="E16">
        <v>133.137</v>
      </c>
      <c r="F16">
        <v>4257241</v>
      </c>
      <c r="G16">
        <v>4.3206551814815297</v>
      </c>
      <c r="H16">
        <v>3.2452700462542602E-2</v>
      </c>
      <c r="I16">
        <v>2.6168533165085599E-2</v>
      </c>
      <c r="J16">
        <v>58.9367738210927</v>
      </c>
      <c r="K16">
        <v>0.1139586837019</v>
      </c>
      <c r="L16">
        <v>0.4</v>
      </c>
      <c r="M16">
        <v>-7.1366796559625606E-2</v>
      </c>
      <c r="N16">
        <v>1.31463130264842</v>
      </c>
      <c r="O16">
        <v>-6.5770823100133199E-2</v>
      </c>
      <c r="P16">
        <v>-1.0611971909486101E-2</v>
      </c>
      <c r="Q16">
        <v>0</v>
      </c>
      <c r="R16">
        <v>525729556.6365</v>
      </c>
      <c r="S16">
        <v>0</v>
      </c>
      <c r="T16" t="s">
        <v>91</v>
      </c>
    </row>
    <row r="17" spans="1:20" hidden="1" x14ac:dyDescent="0.3">
      <c r="A17" s="7">
        <v>46008</v>
      </c>
      <c r="B17">
        <v>133.27699999999999</v>
      </c>
      <c r="C17">
        <v>135.47300000000001</v>
      </c>
      <c r="D17">
        <v>131.80000000000001</v>
      </c>
      <c r="E17">
        <v>131.91</v>
      </c>
      <c r="F17">
        <v>3533526</v>
      </c>
      <c r="G17">
        <v>4.2743940970900001</v>
      </c>
      <c r="H17">
        <v>3.24038670084906E-2</v>
      </c>
      <c r="I17">
        <v>2.7844742627549102E-2</v>
      </c>
      <c r="J17">
        <v>56.657232660932301</v>
      </c>
      <c r="K17">
        <v>0.15900644038905901</v>
      </c>
      <c r="L17">
        <v>0.2</v>
      </c>
      <c r="M17">
        <v>-9.3887640660739902E-2</v>
      </c>
      <c r="N17">
        <v>1.2604904059058</v>
      </c>
      <c r="O17">
        <v>-7.4380745210862298E-2</v>
      </c>
      <c r="P17">
        <v>-9.2160706640528299E-3</v>
      </c>
      <c r="Q17">
        <v>0</v>
      </c>
      <c r="R17">
        <v>525729556.6365</v>
      </c>
      <c r="S17">
        <v>0</v>
      </c>
      <c r="T17" t="s">
        <v>91</v>
      </c>
    </row>
    <row r="18" spans="1:20" hidden="1" x14ac:dyDescent="0.3">
      <c r="A18" s="7">
        <v>46009</v>
      </c>
      <c r="B18">
        <v>134.20500000000001</v>
      </c>
      <c r="C18">
        <v>135.54300000000001</v>
      </c>
      <c r="D18">
        <v>131.62</v>
      </c>
      <c r="E18">
        <v>131.72999999999999</v>
      </c>
      <c r="F18">
        <v>4299218</v>
      </c>
      <c r="G18">
        <v>4.2492945187264297</v>
      </c>
      <c r="H18">
        <v>3.2257606609932599E-2</v>
      </c>
      <c r="I18">
        <v>2.97806118575875E-2</v>
      </c>
      <c r="J18">
        <v>56.313133668950698</v>
      </c>
      <c r="K18">
        <v>0.15581019899624399</v>
      </c>
      <c r="L18">
        <v>0</v>
      </c>
      <c r="M18">
        <v>-9.4744545184682796E-2</v>
      </c>
      <c r="N18">
        <v>1.25238355984914</v>
      </c>
      <c r="O18">
        <v>-7.5643814469160006E-2</v>
      </c>
      <c r="P18">
        <v>-1.36456675005691E-3</v>
      </c>
      <c r="Q18">
        <v>0</v>
      </c>
      <c r="R18">
        <v>528966341.02200001</v>
      </c>
      <c r="S18">
        <v>0</v>
      </c>
      <c r="T18" t="s">
        <v>91</v>
      </c>
    </row>
    <row r="19" spans="1:20" hidden="1" x14ac:dyDescent="0.3">
      <c r="A19" s="7">
        <v>45986</v>
      </c>
      <c r="B19">
        <v>132.06800000000001</v>
      </c>
      <c r="C19">
        <v>134.81299999999999</v>
      </c>
      <c r="D19">
        <v>132.05799999999999</v>
      </c>
      <c r="E19">
        <v>134.06399999999999</v>
      </c>
      <c r="F19">
        <v>2070398</v>
      </c>
      <c r="G19">
        <v>4.6565177350253597</v>
      </c>
      <c r="H19">
        <v>3.4733543195976199E-2</v>
      </c>
      <c r="I19">
        <v>2.05498866213151E-2</v>
      </c>
      <c r="J19">
        <v>48.090576319862997</v>
      </c>
      <c r="K19">
        <v>-1.7551059292534799E-2</v>
      </c>
      <c r="L19">
        <v>0.4</v>
      </c>
      <c r="M19">
        <v>-0.14548581119487999</v>
      </c>
      <c r="N19">
        <v>0.67241807859570402</v>
      </c>
      <c r="O19">
        <v>-4.97306492770061E-2</v>
      </c>
      <c r="P19">
        <v>1.51134264166943E-2</v>
      </c>
      <c r="Q19">
        <v>0</v>
      </c>
      <c r="R19">
        <v>269798645.82050002</v>
      </c>
      <c r="S19">
        <v>0</v>
      </c>
      <c r="T19" t="s">
        <v>92</v>
      </c>
    </row>
    <row r="20" spans="1:20" hidden="1" x14ac:dyDescent="0.3">
      <c r="A20" s="7">
        <v>45987</v>
      </c>
      <c r="B20">
        <v>133.18600000000001</v>
      </c>
      <c r="C20">
        <v>135.87100000000001</v>
      </c>
      <c r="D20">
        <v>133.17599999999999</v>
      </c>
      <c r="E20">
        <v>134.643</v>
      </c>
      <c r="F20">
        <v>1463095</v>
      </c>
      <c r="G20">
        <v>4.5164093253806898</v>
      </c>
      <c r="H20">
        <v>3.3543588046765799E-2</v>
      </c>
      <c r="I20">
        <v>2.0015893882340801E-2</v>
      </c>
      <c r="J20">
        <v>49.0224503950406</v>
      </c>
      <c r="K20">
        <v>-8.6731801415097492E-3</v>
      </c>
      <c r="L20">
        <v>0.6</v>
      </c>
      <c r="M20">
        <v>-0.12400324245891001</v>
      </c>
      <c r="N20">
        <v>0.69515374399850005</v>
      </c>
      <c r="O20">
        <v>-4.5626594839807202E-2</v>
      </c>
      <c r="P20">
        <v>4.3188327962764197E-3</v>
      </c>
      <c r="Q20">
        <v>0</v>
      </c>
      <c r="R20">
        <v>269798645.82050002</v>
      </c>
      <c r="S20">
        <v>0</v>
      </c>
      <c r="T20" t="s">
        <v>92</v>
      </c>
    </row>
    <row r="21" spans="1:20" hidden="1" x14ac:dyDescent="0.3">
      <c r="A21" s="7">
        <v>45989</v>
      </c>
      <c r="B21">
        <v>135.48099999999999</v>
      </c>
      <c r="C21">
        <v>136.11000000000001</v>
      </c>
      <c r="D21">
        <v>134.13399999999999</v>
      </c>
      <c r="E21">
        <v>135.02199999999999</v>
      </c>
      <c r="F21">
        <v>588765</v>
      </c>
      <c r="G21">
        <v>4.3349515164249297</v>
      </c>
      <c r="H21">
        <v>3.2105519962857397E-2</v>
      </c>
      <c r="I21">
        <v>1.4634652130764E-2</v>
      </c>
      <c r="J21">
        <v>49.659500907184899</v>
      </c>
      <c r="K21">
        <v>-6.1754292990629997E-3</v>
      </c>
      <c r="L21">
        <v>0.8</v>
      </c>
      <c r="M21">
        <v>-0.13988748930422301</v>
      </c>
      <c r="N21">
        <v>0.72349916987104101</v>
      </c>
      <c r="O21">
        <v>-4.2940175786787702E-2</v>
      </c>
      <c r="P21">
        <v>2.8148511248262602E-3</v>
      </c>
      <c r="Q21">
        <v>0</v>
      </c>
      <c r="R21">
        <v>269348856.13700002</v>
      </c>
      <c r="S21">
        <v>0</v>
      </c>
      <c r="T21" t="s">
        <v>92</v>
      </c>
    </row>
    <row r="22" spans="1:20" hidden="1" x14ac:dyDescent="0.3">
      <c r="A22" s="7">
        <v>45992</v>
      </c>
      <c r="B22">
        <v>136.12</v>
      </c>
      <c r="C22">
        <v>142.98599999999999</v>
      </c>
      <c r="D22">
        <v>135.73099999999999</v>
      </c>
      <c r="E22">
        <v>139.39400000000001</v>
      </c>
      <c r="F22">
        <v>2633612</v>
      </c>
      <c r="G22">
        <v>4.5941692652517201</v>
      </c>
      <c r="H22">
        <v>3.2958156486303E-2</v>
      </c>
      <c r="I22">
        <v>5.7133018637817903E-2</v>
      </c>
      <c r="J22">
        <v>56.424434959223802</v>
      </c>
      <c r="K22">
        <v>1.7637868854852599E-2</v>
      </c>
      <c r="L22">
        <v>0.8</v>
      </c>
      <c r="M22">
        <v>-0.10384985175926</v>
      </c>
      <c r="N22">
        <v>0.66747127513346305</v>
      </c>
      <c r="O22">
        <v>-1.1950666288630601E-2</v>
      </c>
      <c r="P22">
        <v>3.2379908459362297E-2</v>
      </c>
      <c r="Q22">
        <v>0</v>
      </c>
      <c r="R22">
        <v>269798645.82050002</v>
      </c>
      <c r="S22">
        <v>0</v>
      </c>
      <c r="T22" t="s">
        <v>92</v>
      </c>
    </row>
    <row r="23" spans="1:20" hidden="1" x14ac:dyDescent="0.3">
      <c r="A23" s="7">
        <v>45993</v>
      </c>
      <c r="B23">
        <v>139.22399999999999</v>
      </c>
      <c r="C23">
        <v>142.16800000000001</v>
      </c>
      <c r="D23">
        <v>137.68700000000001</v>
      </c>
      <c r="E23">
        <v>141.18</v>
      </c>
      <c r="F23">
        <v>2298449</v>
      </c>
      <c r="G23">
        <v>4.5860857463051703</v>
      </c>
      <c r="H23">
        <v>3.2483961937279801E-2</v>
      </c>
      <c r="I23">
        <v>3.1739623176087202E-2</v>
      </c>
      <c r="J23">
        <v>58.856807133001702</v>
      </c>
      <c r="K23">
        <v>7.4067731301110601E-3</v>
      </c>
      <c r="L23">
        <v>1</v>
      </c>
      <c r="M23">
        <v>-8.1472346489407294E-2</v>
      </c>
      <c r="N23">
        <v>0.685132506070667</v>
      </c>
      <c r="O23">
        <v>0</v>
      </c>
      <c r="P23">
        <v>1.2812603124955101E-2</v>
      </c>
      <c r="Q23">
        <v>0</v>
      </c>
      <c r="R23">
        <v>269798645.82050002</v>
      </c>
      <c r="S23">
        <v>0</v>
      </c>
      <c r="T23" t="s">
        <v>92</v>
      </c>
    </row>
    <row r="24" spans="1:20" hidden="1" x14ac:dyDescent="0.3">
      <c r="A24" s="7">
        <v>45994</v>
      </c>
      <c r="B24">
        <v>142.30000000000001</v>
      </c>
      <c r="C24">
        <v>151.05000000000001</v>
      </c>
      <c r="D24">
        <v>141.5</v>
      </c>
      <c r="E24">
        <v>150.94999999999999</v>
      </c>
      <c r="F24">
        <v>4491200</v>
      </c>
      <c r="G24">
        <v>4.9635081929976499</v>
      </c>
      <c r="H24">
        <v>3.2881803199719499E-2</v>
      </c>
      <c r="I24">
        <v>6.5385889367340203E-2</v>
      </c>
      <c r="J24">
        <v>69.038266985339007</v>
      </c>
      <c r="K24">
        <v>9.9914017983357306E-2</v>
      </c>
      <c r="L24">
        <v>1</v>
      </c>
      <c r="M24">
        <v>-2.0637403211171999E-2</v>
      </c>
      <c r="N24">
        <v>0.73249101645533499</v>
      </c>
      <c r="O24">
        <v>0</v>
      </c>
      <c r="P24">
        <v>6.9202436605751302E-2</v>
      </c>
      <c r="Q24">
        <v>0</v>
      </c>
      <c r="R24">
        <v>270081663.00800002</v>
      </c>
      <c r="S24">
        <v>0</v>
      </c>
      <c r="T24" t="s">
        <v>92</v>
      </c>
    </row>
    <row r="25" spans="1:20" hidden="1" x14ac:dyDescent="0.3">
      <c r="A25" s="7">
        <v>45995</v>
      </c>
      <c r="B25">
        <v>151.69</v>
      </c>
      <c r="C25">
        <v>154.03</v>
      </c>
      <c r="D25">
        <v>150.9</v>
      </c>
      <c r="E25">
        <v>153.51</v>
      </c>
      <c r="F25">
        <v>4582700</v>
      </c>
      <c r="G25">
        <v>4.8325433220692497</v>
      </c>
      <c r="H25">
        <v>3.14803160840939E-2</v>
      </c>
      <c r="I25">
        <v>2.0389551169304899E-2</v>
      </c>
      <c r="J25">
        <v>71.059203304630103</v>
      </c>
      <c r="K25">
        <v>8.8106039126736493E-2</v>
      </c>
      <c r="L25">
        <v>1</v>
      </c>
      <c r="M25">
        <v>-2.0198841484064801E-2</v>
      </c>
      <c r="N25">
        <v>0.74745524345595404</v>
      </c>
      <c r="O25">
        <v>0</v>
      </c>
      <c r="P25">
        <v>1.6959258032461101E-2</v>
      </c>
      <c r="Q25">
        <v>0</v>
      </c>
      <c r="R25">
        <v>270081663.00800002</v>
      </c>
      <c r="S25">
        <v>0</v>
      </c>
      <c r="T25" t="s">
        <v>92</v>
      </c>
    </row>
    <row r="26" spans="1:20" hidden="1" x14ac:dyDescent="0.3">
      <c r="A26" s="7">
        <v>45996</v>
      </c>
      <c r="B26">
        <v>153.03</v>
      </c>
      <c r="C26">
        <v>156.72999999999999</v>
      </c>
      <c r="D26">
        <v>153.03</v>
      </c>
      <c r="E26">
        <v>155.15</v>
      </c>
      <c r="F26">
        <v>2833500</v>
      </c>
      <c r="G26">
        <v>4.7516473704928703</v>
      </c>
      <c r="H26">
        <v>3.0626151276138401E-2</v>
      </c>
      <c r="I26">
        <v>2.3847889139542298E-2</v>
      </c>
      <c r="J26">
        <v>72.306291175449601</v>
      </c>
      <c r="K26">
        <v>0.104262603113145</v>
      </c>
      <c r="L26">
        <v>1</v>
      </c>
      <c r="M26">
        <v>-1.35447966139034E-2</v>
      </c>
      <c r="N26">
        <v>0.74951125403989005</v>
      </c>
      <c r="O26">
        <v>0</v>
      </c>
      <c r="P26">
        <v>1.0683343104683701E-2</v>
      </c>
      <c r="Q26">
        <v>0</v>
      </c>
      <c r="R26">
        <v>270388728.722</v>
      </c>
      <c r="S26">
        <v>0</v>
      </c>
      <c r="T26" t="s">
        <v>92</v>
      </c>
    </row>
    <row r="27" spans="1:20" hidden="1" x14ac:dyDescent="0.3">
      <c r="A27" s="7">
        <v>45999</v>
      </c>
      <c r="B27">
        <v>157.03</v>
      </c>
      <c r="C27">
        <v>157.03</v>
      </c>
      <c r="D27">
        <v>151.19999999999999</v>
      </c>
      <c r="E27">
        <v>151.68</v>
      </c>
      <c r="F27">
        <v>3444700</v>
      </c>
      <c r="G27">
        <v>4.8286725583148096</v>
      </c>
      <c r="H27">
        <v>3.1834602836991098E-2</v>
      </c>
      <c r="I27">
        <v>3.8436181434599197E-2</v>
      </c>
      <c r="J27">
        <v>65.8414715554661</v>
      </c>
      <c r="K27">
        <v>0.103793562659641</v>
      </c>
      <c r="L27">
        <v>0.8</v>
      </c>
      <c r="M27">
        <v>-1.19651015424287E-2</v>
      </c>
      <c r="N27">
        <v>0.77908835874807403</v>
      </c>
      <c r="O27">
        <v>-2.23654527876249E-2</v>
      </c>
      <c r="P27">
        <v>-2.23654527876249E-2</v>
      </c>
      <c r="Q27">
        <v>0</v>
      </c>
      <c r="R27">
        <v>270388728.722</v>
      </c>
      <c r="S27">
        <v>0</v>
      </c>
      <c r="T27" t="s">
        <v>92</v>
      </c>
    </row>
    <row r="28" spans="1:20" hidden="1" x14ac:dyDescent="0.3">
      <c r="A28" s="7">
        <v>46000</v>
      </c>
      <c r="B28">
        <v>151.79</v>
      </c>
      <c r="C28">
        <v>151.87</v>
      </c>
      <c r="D28">
        <v>147.86000000000001</v>
      </c>
      <c r="E28">
        <v>148.88999999999999</v>
      </c>
      <c r="F28">
        <v>1674500</v>
      </c>
      <c r="G28">
        <v>4.7701959470066102</v>
      </c>
      <c r="H28">
        <v>3.2038390402354802E-2</v>
      </c>
      <c r="I28">
        <v>2.6932634831083199E-2</v>
      </c>
      <c r="J28">
        <v>61.110447038682302</v>
      </c>
      <c r="K28">
        <v>6.6371586343224098E-2</v>
      </c>
      <c r="L28">
        <v>0.6</v>
      </c>
      <c r="M28">
        <v>-1.3300455921505701E-2</v>
      </c>
      <c r="N28">
        <v>0.79582438084265805</v>
      </c>
      <c r="O28">
        <v>-4.0348050273928598E-2</v>
      </c>
      <c r="P28">
        <v>-1.8393987341772298E-2</v>
      </c>
      <c r="Q28">
        <v>0</v>
      </c>
      <c r="R28">
        <v>270081663.00800002</v>
      </c>
      <c r="S28">
        <v>0</v>
      </c>
      <c r="T28" t="s">
        <v>92</v>
      </c>
    </row>
    <row r="29" spans="1:20" hidden="1" x14ac:dyDescent="0.3">
      <c r="A29" s="7">
        <v>46001</v>
      </c>
      <c r="B29">
        <v>149.32</v>
      </c>
      <c r="C29">
        <v>158.79</v>
      </c>
      <c r="D29">
        <v>148.49</v>
      </c>
      <c r="E29">
        <v>157.32</v>
      </c>
      <c r="F29">
        <v>2991400</v>
      </c>
      <c r="G29">
        <v>5.1651819507918502</v>
      </c>
      <c r="H29">
        <v>3.2832328698142899E-2</v>
      </c>
      <c r="I29">
        <v>6.54716501398422E-2</v>
      </c>
      <c r="J29">
        <v>68.480120881039397</v>
      </c>
      <c r="K29">
        <v>0.14425363852582401</v>
      </c>
      <c r="L29">
        <v>0.6</v>
      </c>
      <c r="M29">
        <v>1.4739490992605001E-2</v>
      </c>
      <c r="N29">
        <v>0.84858656164115198</v>
      </c>
      <c r="O29">
        <v>0</v>
      </c>
      <c r="P29">
        <v>5.6618980455369797E-2</v>
      </c>
      <c r="Q29">
        <v>0</v>
      </c>
      <c r="R29">
        <v>270388728.722</v>
      </c>
      <c r="S29">
        <v>0</v>
      </c>
      <c r="T29" t="s">
        <v>92</v>
      </c>
    </row>
    <row r="30" spans="1:20" hidden="1" x14ac:dyDescent="0.3">
      <c r="A30" s="7">
        <v>46002</v>
      </c>
      <c r="B30">
        <v>157.13</v>
      </c>
      <c r="C30">
        <v>163.19</v>
      </c>
      <c r="D30">
        <v>157.13</v>
      </c>
      <c r="E30">
        <v>158.91999999999999</v>
      </c>
      <c r="F30">
        <v>3657400</v>
      </c>
      <c r="G30">
        <v>5.2290975257352903</v>
      </c>
      <c r="H30">
        <v>3.2903961274448099E-2</v>
      </c>
      <c r="I30">
        <v>3.8132393657186001E-2</v>
      </c>
      <c r="J30">
        <v>69.655485469494707</v>
      </c>
      <c r="K30">
        <v>0.14138787939727299</v>
      </c>
      <c r="L30">
        <v>0.6</v>
      </c>
      <c r="M30">
        <v>4.3275520313168198E-2</v>
      </c>
      <c r="N30">
        <v>0.84212126084684702</v>
      </c>
      <c r="O30">
        <v>0</v>
      </c>
      <c r="P30">
        <v>1.0170353419781199E-2</v>
      </c>
      <c r="Q30">
        <v>0</v>
      </c>
      <c r="R30">
        <v>272472725.05049998</v>
      </c>
      <c r="S30">
        <v>0</v>
      </c>
      <c r="T30" t="s">
        <v>92</v>
      </c>
    </row>
    <row r="31" spans="1:20" hidden="1" x14ac:dyDescent="0.3">
      <c r="A31" s="7">
        <v>46003</v>
      </c>
      <c r="B31">
        <v>159.12</v>
      </c>
      <c r="C31">
        <v>161.24</v>
      </c>
      <c r="D31">
        <v>158.02000000000001</v>
      </c>
      <c r="E31">
        <v>159.49</v>
      </c>
      <c r="F31">
        <v>2264000</v>
      </c>
      <c r="G31">
        <v>5.0855905596113402</v>
      </c>
      <c r="H31">
        <v>3.1886579469630298E-2</v>
      </c>
      <c r="I31">
        <v>2.0189353564486701E-2</v>
      </c>
      <c r="J31">
        <v>70.083480456221494</v>
      </c>
      <c r="K31">
        <v>0.15092909976547</v>
      </c>
      <c r="L31">
        <v>0.6</v>
      </c>
      <c r="M31">
        <v>5.6013951263582398E-2</v>
      </c>
      <c r="N31">
        <v>0.81081245307564398</v>
      </c>
      <c r="O31">
        <v>0</v>
      </c>
      <c r="P31">
        <v>3.5867102944879799E-3</v>
      </c>
      <c r="Q31">
        <v>0</v>
      </c>
      <c r="R31">
        <v>272472725.05049998</v>
      </c>
      <c r="S31">
        <v>0</v>
      </c>
      <c r="T31" t="s">
        <v>92</v>
      </c>
    </row>
    <row r="32" spans="1:20" hidden="1" x14ac:dyDescent="0.3">
      <c r="A32" s="7">
        <v>46006</v>
      </c>
      <c r="B32">
        <v>160.13999999999999</v>
      </c>
      <c r="C32">
        <v>160.9</v>
      </c>
      <c r="D32">
        <v>154.88</v>
      </c>
      <c r="E32">
        <v>157.46</v>
      </c>
      <c r="F32">
        <v>2593400</v>
      </c>
      <c r="G32">
        <v>5.1523340910676696</v>
      </c>
      <c r="H32">
        <v>3.2721542557269598E-2</v>
      </c>
      <c r="I32">
        <v>3.8231931919217602E-2</v>
      </c>
      <c r="J32">
        <v>66.486816265597</v>
      </c>
      <c r="K32">
        <v>0.164800047343581</v>
      </c>
      <c r="L32">
        <v>0.6</v>
      </c>
      <c r="M32">
        <v>3.7463830592676502E-2</v>
      </c>
      <c r="N32">
        <v>0.82418284409837095</v>
      </c>
      <c r="O32">
        <v>-1.27280707254373E-2</v>
      </c>
      <c r="P32">
        <v>-1.27280707254373E-2</v>
      </c>
      <c r="Q32">
        <v>0</v>
      </c>
      <c r="R32">
        <v>272472725.05049998</v>
      </c>
      <c r="S32">
        <v>0</v>
      </c>
      <c r="T32" t="s">
        <v>92</v>
      </c>
    </row>
    <row r="33" spans="1:20" hidden="1" x14ac:dyDescent="0.3">
      <c r="A33" s="7">
        <v>46007</v>
      </c>
      <c r="B33">
        <v>158.78</v>
      </c>
      <c r="C33">
        <v>159.30000000000001</v>
      </c>
      <c r="D33">
        <v>154.86000000000001</v>
      </c>
      <c r="E33">
        <v>156.94</v>
      </c>
      <c r="F33">
        <v>2208500</v>
      </c>
      <c r="G33">
        <v>5.1014530845628396</v>
      </c>
      <c r="H33">
        <v>3.2505754330080502E-2</v>
      </c>
      <c r="I33">
        <v>2.8291066649675001E-2</v>
      </c>
      <c r="J33">
        <v>65.558691217363304</v>
      </c>
      <c r="K33">
        <v>0.18868724815948101</v>
      </c>
      <c r="L33">
        <v>0.6</v>
      </c>
      <c r="M33">
        <v>6.4204484998855102E-2</v>
      </c>
      <c r="N33">
        <v>0.80898099267524104</v>
      </c>
      <c r="O33">
        <v>-1.5988463226534601E-2</v>
      </c>
      <c r="P33">
        <v>-3.3024260129557101E-3</v>
      </c>
      <c r="Q33">
        <v>0</v>
      </c>
      <c r="R33">
        <v>275773020.09899998</v>
      </c>
      <c r="S33">
        <v>0</v>
      </c>
      <c r="T33" t="s">
        <v>92</v>
      </c>
    </row>
    <row r="34" spans="1:20" hidden="1" x14ac:dyDescent="0.3">
      <c r="A34" s="7">
        <v>46008</v>
      </c>
      <c r="B34">
        <v>156.13</v>
      </c>
      <c r="C34">
        <v>159.04</v>
      </c>
      <c r="D34">
        <v>154.82</v>
      </c>
      <c r="E34">
        <v>155.72999999999999</v>
      </c>
      <c r="F34">
        <v>2272500</v>
      </c>
      <c r="G34">
        <v>5.0384921499512103</v>
      </c>
      <c r="H34">
        <v>3.2354023951397998E-2</v>
      </c>
      <c r="I34">
        <v>2.7098182752199301E-2</v>
      </c>
      <c r="J34">
        <v>63.342866614454302</v>
      </c>
      <c r="K34">
        <v>0.201314480109231</v>
      </c>
      <c r="L34">
        <v>0.4</v>
      </c>
      <c r="M34">
        <v>6.7063833622665506E-2</v>
      </c>
      <c r="N34">
        <v>0.81080407418711398</v>
      </c>
      <c r="O34">
        <v>-2.3575145777164699E-2</v>
      </c>
      <c r="P34">
        <v>-7.7099528482222901E-3</v>
      </c>
      <c r="Q34">
        <v>0</v>
      </c>
      <c r="R34">
        <v>277427501.84249997</v>
      </c>
      <c r="S34">
        <v>0</v>
      </c>
      <c r="T34" t="s">
        <v>92</v>
      </c>
    </row>
    <row r="35" spans="1:20" hidden="1" x14ac:dyDescent="0.3">
      <c r="A35" s="7">
        <v>46009</v>
      </c>
      <c r="B35">
        <v>156.91</v>
      </c>
      <c r="C35">
        <v>160.1</v>
      </c>
      <c r="D35">
        <v>156.31</v>
      </c>
      <c r="E35">
        <v>158.55000000000001</v>
      </c>
      <c r="F35">
        <v>2631400</v>
      </c>
      <c r="G35">
        <v>4.9907427106689797</v>
      </c>
      <c r="H35">
        <v>3.1477405932948399E-2</v>
      </c>
      <c r="I35">
        <v>2.7562283191422201E-2</v>
      </c>
      <c r="J35">
        <v>66.209353916245504</v>
      </c>
      <c r="K35">
        <v>0.21586490901143299</v>
      </c>
      <c r="L35">
        <v>0.4</v>
      </c>
      <c r="M35">
        <v>8.7659505355700607E-2</v>
      </c>
      <c r="N35">
        <v>0.84986084038569898</v>
      </c>
      <c r="O35">
        <v>-5.8937864442911696E-3</v>
      </c>
      <c r="P35">
        <v>1.81082643036025E-2</v>
      </c>
      <c r="Q35">
        <v>0</v>
      </c>
      <c r="R35">
        <v>277427501.84249997</v>
      </c>
      <c r="S35">
        <v>0</v>
      </c>
      <c r="T35" t="s">
        <v>92</v>
      </c>
    </row>
    <row r="36" spans="1:20" x14ac:dyDescent="0.3">
      <c r="A36" s="7">
        <v>45986</v>
      </c>
      <c r="B36">
        <v>666.66</v>
      </c>
      <c r="C36">
        <v>674.21799999999996</v>
      </c>
      <c r="D36">
        <v>662.52200000000005</v>
      </c>
      <c r="E36">
        <v>673.03099999999995</v>
      </c>
      <c r="F36">
        <v>81316678</v>
      </c>
      <c r="G36">
        <v>9.9026847468764707</v>
      </c>
      <c r="H36">
        <v>1.47135640808171E-2</v>
      </c>
      <c r="I36">
        <v>1.7378099968649099E-2</v>
      </c>
      <c r="J36">
        <v>53.872505902271897</v>
      </c>
      <c r="K36">
        <v>-1.4914646944400201E-2</v>
      </c>
      <c r="L36">
        <v>0.8</v>
      </c>
      <c r="M36">
        <v>0</v>
      </c>
      <c r="N36">
        <v>0.99999999999997502</v>
      </c>
      <c r="O36">
        <v>-1.79962501732654E-2</v>
      </c>
      <c r="P36">
        <v>9.40518327434158E-3</v>
      </c>
      <c r="Q36">
        <v>0</v>
      </c>
      <c r="R36">
        <v>40854070628.694397</v>
      </c>
      <c r="S36">
        <v>0</v>
      </c>
      <c r="T36" t="s">
        <v>12</v>
      </c>
    </row>
    <row r="37" spans="1:20" x14ac:dyDescent="0.3">
      <c r="A37" s="7">
        <v>45987</v>
      </c>
      <c r="B37">
        <v>675.63400000000001</v>
      </c>
      <c r="C37">
        <v>679.69200000000001</v>
      </c>
      <c r="D37">
        <v>674.726</v>
      </c>
      <c r="E37">
        <v>677.678</v>
      </c>
      <c r="F37">
        <v>72091994</v>
      </c>
      <c r="G37">
        <v>9.6711358363853002</v>
      </c>
      <c r="H37">
        <v>1.4270989815790501E-2</v>
      </c>
      <c r="I37">
        <v>9.8291518980991796E-3</v>
      </c>
      <c r="J37">
        <v>56.839654860524099</v>
      </c>
      <c r="K37">
        <v>-1.0741041346732001E-2</v>
      </c>
      <c r="L37">
        <v>0.8</v>
      </c>
      <c r="M37">
        <v>0</v>
      </c>
      <c r="N37">
        <v>0.99999999999997502</v>
      </c>
      <c r="O37">
        <v>-1.12159214433185E-2</v>
      </c>
      <c r="P37">
        <v>6.9045853757108101E-3</v>
      </c>
      <c r="Q37">
        <v>0</v>
      </c>
      <c r="R37">
        <v>40910960573.439499</v>
      </c>
      <c r="S37">
        <v>0</v>
      </c>
      <c r="T37" t="s">
        <v>12</v>
      </c>
    </row>
    <row r="38" spans="1:20" x14ac:dyDescent="0.3">
      <c r="A38" s="7">
        <v>45989</v>
      </c>
      <c r="B38">
        <v>678.85400000000004</v>
      </c>
      <c r="C38">
        <v>681.65599999999995</v>
      </c>
      <c r="D38">
        <v>678.495</v>
      </c>
      <c r="E38">
        <v>681.37699999999995</v>
      </c>
      <c r="F38">
        <v>49357418</v>
      </c>
      <c r="G38">
        <v>9.2644832766434906</v>
      </c>
      <c r="H38">
        <v>1.35967067814785E-2</v>
      </c>
      <c r="I38">
        <v>5.8381776901773198E-3</v>
      </c>
      <c r="J38">
        <v>59.095193012644302</v>
      </c>
      <c r="K38">
        <v>-5.8187972831995598E-3</v>
      </c>
      <c r="L38">
        <v>1</v>
      </c>
      <c r="M38">
        <v>0</v>
      </c>
      <c r="N38">
        <v>0.99999999999997502</v>
      </c>
      <c r="O38">
        <v>0</v>
      </c>
      <c r="P38">
        <v>5.4583445235052404E-3</v>
      </c>
      <c r="Q38">
        <v>0</v>
      </c>
      <c r="R38">
        <v>40910960573.439499</v>
      </c>
      <c r="S38">
        <v>0</v>
      </c>
      <c r="T38" t="s">
        <v>12</v>
      </c>
    </row>
    <row r="39" spans="1:20" x14ac:dyDescent="0.3">
      <c r="A39" s="7">
        <v>45992</v>
      </c>
      <c r="B39">
        <v>676.81</v>
      </c>
      <c r="C39">
        <v>680.97799999999995</v>
      </c>
      <c r="D39">
        <v>676.74</v>
      </c>
      <c r="E39">
        <v>678.26599999999996</v>
      </c>
      <c r="F39">
        <v>61382043</v>
      </c>
      <c r="G39">
        <v>8.9339487568832396</v>
      </c>
      <c r="H39">
        <v>1.31717478937219E-2</v>
      </c>
      <c r="I39">
        <v>6.8365508517306498E-3</v>
      </c>
      <c r="J39">
        <v>56.4244449187687</v>
      </c>
      <c r="K39">
        <v>6.4765788320619801E-4</v>
      </c>
      <c r="L39">
        <v>0.8</v>
      </c>
      <c r="M39">
        <v>0</v>
      </c>
      <c r="N39">
        <v>0.99999999999997502</v>
      </c>
      <c r="O39">
        <v>-4.5657543474464301E-3</v>
      </c>
      <c r="P39">
        <v>-4.5657543474464301E-3</v>
      </c>
      <c r="Q39">
        <v>0</v>
      </c>
      <c r="R39">
        <v>41031554675.095001</v>
      </c>
      <c r="S39">
        <v>0</v>
      </c>
      <c r="T39" t="s">
        <v>12</v>
      </c>
    </row>
    <row r="40" spans="1:20" x14ac:dyDescent="0.3">
      <c r="A40" s="7">
        <v>45993</v>
      </c>
      <c r="B40">
        <v>679.91099999999994</v>
      </c>
      <c r="C40">
        <v>681.80499999999995</v>
      </c>
      <c r="D40">
        <v>677.32899999999995</v>
      </c>
      <c r="E40">
        <v>679.52200000000005</v>
      </c>
      <c r="F40">
        <v>63139823</v>
      </c>
      <c r="G40">
        <v>8.6155238456772896</v>
      </c>
      <c r="H40">
        <v>1.267880045926E-2</v>
      </c>
      <c r="I40">
        <v>6.5869832028985003E-3</v>
      </c>
      <c r="J40">
        <v>57.264189155196803</v>
      </c>
      <c r="K40">
        <v>-7.7788283525792503E-4</v>
      </c>
      <c r="L40">
        <v>0.8</v>
      </c>
      <c r="M40">
        <v>0</v>
      </c>
      <c r="N40">
        <v>0.99999999999997502</v>
      </c>
      <c r="O40">
        <v>-2.7224282592455099E-3</v>
      </c>
      <c r="P40">
        <v>1.85178086473469E-3</v>
      </c>
      <c r="Q40">
        <v>0</v>
      </c>
      <c r="R40">
        <v>41141626696.647003</v>
      </c>
      <c r="S40">
        <v>0</v>
      </c>
      <c r="T40" t="s">
        <v>12</v>
      </c>
    </row>
    <row r="41" spans="1:20" x14ac:dyDescent="0.3">
      <c r="A41" s="7">
        <v>45994</v>
      </c>
      <c r="B41">
        <v>678.56500000000005</v>
      </c>
      <c r="C41">
        <v>682.89200000000005</v>
      </c>
      <c r="D41">
        <v>677.68700000000001</v>
      </c>
      <c r="E41">
        <v>681.875</v>
      </c>
      <c r="F41">
        <v>57407635</v>
      </c>
      <c r="G41">
        <v>8.3719149995574895</v>
      </c>
      <c r="H41">
        <v>1.22777855172245E-2</v>
      </c>
      <c r="I41">
        <v>7.63336388634286E-3</v>
      </c>
      <c r="J41">
        <v>58.863555053283001</v>
      </c>
      <c r="K41">
        <v>8.0431276024572895E-4</v>
      </c>
      <c r="L41">
        <v>0.8</v>
      </c>
      <c r="M41">
        <v>0</v>
      </c>
      <c r="N41">
        <v>0.99999999999997402</v>
      </c>
      <c r="O41">
        <v>0</v>
      </c>
      <c r="P41">
        <v>3.46272821188997E-3</v>
      </c>
      <c r="Q41">
        <v>0</v>
      </c>
      <c r="R41">
        <v>41141626696.647003</v>
      </c>
      <c r="S41">
        <v>0</v>
      </c>
      <c r="T41" t="s">
        <v>12</v>
      </c>
    </row>
    <row r="42" spans="1:20" x14ac:dyDescent="0.3">
      <c r="A42" s="7">
        <v>45995</v>
      </c>
      <c r="B42">
        <v>683.28099999999995</v>
      </c>
      <c r="C42">
        <v>683.351</v>
      </c>
      <c r="D42">
        <v>679.33299999999997</v>
      </c>
      <c r="E42">
        <v>682.37400000000002</v>
      </c>
      <c r="F42">
        <v>62153417</v>
      </c>
      <c r="G42">
        <v>8.0609210710176704</v>
      </c>
      <c r="H42">
        <v>1.1813054235679601E-2</v>
      </c>
      <c r="I42">
        <v>5.8882665517737002E-3</v>
      </c>
      <c r="J42">
        <v>59.212173010355002</v>
      </c>
      <c r="K42">
        <v>1.35506668389651E-2</v>
      </c>
      <c r="L42">
        <v>0.8</v>
      </c>
      <c r="M42">
        <v>0</v>
      </c>
      <c r="N42">
        <v>0.99999999999997402</v>
      </c>
      <c r="O42">
        <v>0</v>
      </c>
      <c r="P42">
        <v>7.3180568285979798E-4</v>
      </c>
      <c r="Q42">
        <v>0</v>
      </c>
      <c r="R42">
        <v>41220730396.733902</v>
      </c>
      <c r="S42">
        <v>0</v>
      </c>
      <c r="T42" t="s">
        <v>12</v>
      </c>
    </row>
    <row r="43" spans="1:20" x14ac:dyDescent="0.3">
      <c r="A43" s="7">
        <v>45996</v>
      </c>
      <c r="B43">
        <v>683.45</v>
      </c>
      <c r="C43">
        <v>686.36199999999997</v>
      </c>
      <c r="D43">
        <v>682.56299999999999</v>
      </c>
      <c r="E43">
        <v>683.67</v>
      </c>
      <c r="F43">
        <v>79475152</v>
      </c>
      <c r="G43">
        <v>7.7699981373735403</v>
      </c>
      <c r="H43">
        <v>1.13651295762188E-2</v>
      </c>
      <c r="I43">
        <v>5.8332236312840097E-3</v>
      </c>
      <c r="J43">
        <v>60.156600292559901</v>
      </c>
      <c r="K43">
        <v>1.19689039408867E-2</v>
      </c>
      <c r="L43">
        <v>0.8</v>
      </c>
      <c r="M43">
        <v>0</v>
      </c>
      <c r="N43">
        <v>0.99999999999997402</v>
      </c>
      <c r="O43">
        <v>0</v>
      </c>
      <c r="P43">
        <v>1.89925172998961E-3</v>
      </c>
      <c r="Q43">
        <v>0</v>
      </c>
      <c r="R43">
        <v>41262527237.098999</v>
      </c>
      <c r="S43">
        <v>0</v>
      </c>
      <c r="T43" t="s">
        <v>12</v>
      </c>
    </row>
    <row r="44" spans="1:20" x14ac:dyDescent="0.3">
      <c r="A44" s="7">
        <v>45999</v>
      </c>
      <c r="B44">
        <v>684.56700000000001</v>
      </c>
      <c r="C44">
        <v>684.61699999999996</v>
      </c>
      <c r="D44">
        <v>679.56200000000001</v>
      </c>
      <c r="E44">
        <v>681.61599999999999</v>
      </c>
      <c r="F44">
        <v>55394702</v>
      </c>
      <c r="G44">
        <v>7.5760696989897198</v>
      </c>
      <c r="H44">
        <v>1.1114864819766101E-2</v>
      </c>
      <c r="I44">
        <v>7.41619915025461E-3</v>
      </c>
      <c r="J44">
        <v>57.869588159937003</v>
      </c>
      <c r="K44">
        <v>1.9871770893339299E-2</v>
      </c>
      <c r="L44">
        <v>0.8</v>
      </c>
      <c r="M44">
        <v>0</v>
      </c>
      <c r="N44">
        <v>0.99999999999997402</v>
      </c>
      <c r="O44">
        <v>-3.0043734550294601E-3</v>
      </c>
      <c r="P44">
        <v>-3.0043734550294601E-3</v>
      </c>
      <c r="Q44">
        <v>0</v>
      </c>
      <c r="R44">
        <v>41262527237.098999</v>
      </c>
      <c r="S44">
        <v>0</v>
      </c>
      <c r="T44" t="s">
        <v>12</v>
      </c>
    </row>
    <row r="45" spans="1:20" x14ac:dyDescent="0.3">
      <c r="A45" s="7">
        <v>46000</v>
      </c>
      <c r="B45">
        <v>681.13699999999994</v>
      </c>
      <c r="C45">
        <v>683.37099999999998</v>
      </c>
      <c r="D45">
        <v>680.57899999999995</v>
      </c>
      <c r="E45">
        <v>681.02800000000002</v>
      </c>
      <c r="F45">
        <v>58482402</v>
      </c>
      <c r="G45">
        <v>7.2343504347761698</v>
      </c>
      <c r="H45">
        <v>1.0622691629090301E-2</v>
      </c>
      <c r="I45">
        <v>4.0996845944660503E-3</v>
      </c>
      <c r="J45">
        <v>57.199184172348701</v>
      </c>
      <c r="K45">
        <v>1.7989724855117899E-2</v>
      </c>
      <c r="L45">
        <v>0.6</v>
      </c>
      <c r="M45">
        <v>0</v>
      </c>
      <c r="N45">
        <v>0.99999999999997402</v>
      </c>
      <c r="O45">
        <v>-3.8644375210261598E-3</v>
      </c>
      <c r="P45">
        <v>-8.6265580620170602E-4</v>
      </c>
      <c r="Q45">
        <v>0</v>
      </c>
      <c r="R45">
        <v>41262527237.098999</v>
      </c>
      <c r="S45">
        <v>0</v>
      </c>
      <c r="T45" t="s">
        <v>12</v>
      </c>
    </row>
    <row r="46" spans="1:20" x14ac:dyDescent="0.3">
      <c r="A46" s="7">
        <v>46001</v>
      </c>
      <c r="B46">
        <v>680.54899999999998</v>
      </c>
      <c r="C46">
        <v>686.94</v>
      </c>
      <c r="D46">
        <v>679.303</v>
      </c>
      <c r="E46">
        <v>685.54399999999998</v>
      </c>
      <c r="F46">
        <v>85924447</v>
      </c>
      <c r="G46">
        <v>7.2631111180064503</v>
      </c>
      <c r="H46">
        <v>1.05946680563267E-2</v>
      </c>
      <c r="I46">
        <v>1.11400581144318E-2</v>
      </c>
      <c r="J46">
        <v>60.941677814796499</v>
      </c>
      <c r="K46">
        <v>8.9957493906673795E-3</v>
      </c>
      <c r="L46">
        <v>0.6</v>
      </c>
      <c r="M46">
        <v>0</v>
      </c>
      <c r="N46">
        <v>0.99999999999997402</v>
      </c>
      <c r="O46">
        <v>0</v>
      </c>
      <c r="P46">
        <v>6.6311517294441701E-3</v>
      </c>
      <c r="Q46">
        <v>0</v>
      </c>
      <c r="R46">
        <v>41277078808.391998</v>
      </c>
      <c r="S46">
        <v>0</v>
      </c>
      <c r="T46" t="s">
        <v>12</v>
      </c>
    </row>
    <row r="47" spans="1:20" x14ac:dyDescent="0.3">
      <c r="A47" s="7">
        <v>46002</v>
      </c>
      <c r="B47">
        <v>683.12099999999998</v>
      </c>
      <c r="C47">
        <v>687.21900000000005</v>
      </c>
      <c r="D47">
        <v>680.16</v>
      </c>
      <c r="E47">
        <v>687.14</v>
      </c>
      <c r="F47">
        <v>86428338</v>
      </c>
      <c r="G47">
        <v>7.2485317524345598</v>
      </c>
      <c r="H47">
        <v>1.05488426702485E-2</v>
      </c>
      <c r="I47">
        <v>1.0273015688215001E-2</v>
      </c>
      <c r="J47">
        <v>62.199642833828698</v>
      </c>
      <c r="K47">
        <v>9.0339330502151594E-3</v>
      </c>
      <c r="L47">
        <v>0.6</v>
      </c>
      <c r="M47">
        <v>0</v>
      </c>
      <c r="N47">
        <v>0.99999999999997402</v>
      </c>
      <c r="O47">
        <v>0</v>
      </c>
      <c r="P47">
        <v>2.3280781394046102E-3</v>
      </c>
      <c r="Q47">
        <v>0</v>
      </c>
      <c r="R47">
        <v>41302882552.292</v>
      </c>
      <c r="S47">
        <v>0</v>
      </c>
      <c r="T47" t="s">
        <v>12</v>
      </c>
    </row>
    <row r="48" spans="1:20" x14ac:dyDescent="0.3">
      <c r="A48" s="7">
        <v>46003</v>
      </c>
      <c r="B48">
        <v>686.14200000000005</v>
      </c>
      <c r="C48">
        <v>686.85</v>
      </c>
      <c r="D48">
        <v>677.16899999999998</v>
      </c>
      <c r="E48">
        <v>679.75099999999998</v>
      </c>
      <c r="F48">
        <v>113494678</v>
      </c>
      <c r="G48">
        <v>7.4429937701178099</v>
      </c>
      <c r="H48">
        <v>1.0949588555394201E-2</v>
      </c>
      <c r="I48">
        <v>1.4668606592708199E-2</v>
      </c>
      <c r="J48">
        <v>53.593568050039998</v>
      </c>
      <c r="K48">
        <v>-2.3717027681117099E-3</v>
      </c>
      <c r="L48">
        <v>0.4</v>
      </c>
      <c r="M48">
        <v>0</v>
      </c>
      <c r="N48">
        <v>0.99999999999997502</v>
      </c>
      <c r="O48">
        <v>-1.0753267165352E-2</v>
      </c>
      <c r="P48">
        <v>-1.0753267165352E-2</v>
      </c>
      <c r="Q48">
        <v>0</v>
      </c>
      <c r="R48">
        <v>41424811473.309998</v>
      </c>
      <c r="S48">
        <v>0</v>
      </c>
      <c r="T48" t="s">
        <v>12</v>
      </c>
    </row>
    <row r="49" spans="1:20" x14ac:dyDescent="0.3">
      <c r="A49" s="7">
        <v>46006</v>
      </c>
      <c r="B49">
        <v>683.72</v>
      </c>
      <c r="C49">
        <v>683.74</v>
      </c>
      <c r="D49">
        <v>677.24900000000002</v>
      </c>
      <c r="E49">
        <v>678.72400000000005</v>
      </c>
      <c r="F49">
        <v>91079336</v>
      </c>
      <c r="G49">
        <v>7.3749942151093899</v>
      </c>
      <c r="H49">
        <v>1.08659694000939E-2</v>
      </c>
      <c r="I49">
        <v>9.5635339254247394E-3</v>
      </c>
      <c r="J49">
        <v>52.506149208836199</v>
      </c>
      <c r="K49">
        <v>1.29301853565353E-2</v>
      </c>
      <c r="L49">
        <v>0.4</v>
      </c>
      <c r="M49">
        <v>0</v>
      </c>
      <c r="N49">
        <v>0.99999999999997502</v>
      </c>
      <c r="O49">
        <v>-1.2247867974502899E-2</v>
      </c>
      <c r="P49">
        <v>-1.5108473543987699E-3</v>
      </c>
      <c r="Q49">
        <v>0</v>
      </c>
      <c r="R49">
        <v>41566733864.883003</v>
      </c>
      <c r="S49">
        <v>0</v>
      </c>
      <c r="T49" t="s">
        <v>12</v>
      </c>
    </row>
    <row r="50" spans="1:20" x14ac:dyDescent="0.3">
      <c r="A50" s="7">
        <v>46007</v>
      </c>
      <c r="B50">
        <v>677.22900000000004</v>
      </c>
      <c r="C50">
        <v>679.07299999999998</v>
      </c>
      <c r="D50">
        <v>672.99099999999999</v>
      </c>
      <c r="E50">
        <v>676.87</v>
      </c>
      <c r="F50">
        <v>122391184</v>
      </c>
      <c r="G50">
        <v>7.2826374854587197</v>
      </c>
      <c r="H50">
        <v>1.0759285365666499E-2</v>
      </c>
      <c r="I50">
        <v>8.9854772703768706E-3</v>
      </c>
      <c r="J50">
        <v>50.513567263287896</v>
      </c>
      <c r="K50">
        <v>1.0329129039480399E-2</v>
      </c>
      <c r="L50">
        <v>0.4</v>
      </c>
      <c r="M50">
        <v>0</v>
      </c>
      <c r="N50">
        <v>0.99999999999997502</v>
      </c>
      <c r="O50">
        <v>-1.4946008091509699E-2</v>
      </c>
      <c r="P50">
        <v>-2.73159634844211E-3</v>
      </c>
      <c r="Q50">
        <v>0</v>
      </c>
      <c r="R50">
        <v>41617600251.543999</v>
      </c>
      <c r="S50">
        <v>0</v>
      </c>
      <c r="T50" t="s">
        <v>12</v>
      </c>
    </row>
    <row r="51" spans="1:20" x14ac:dyDescent="0.3">
      <c r="A51" s="7">
        <v>46008</v>
      </c>
      <c r="B51">
        <v>677.88699999999994</v>
      </c>
      <c r="C51">
        <v>678.43499999999995</v>
      </c>
      <c r="D51">
        <v>669.22299999999996</v>
      </c>
      <c r="E51">
        <v>669.42200000000003</v>
      </c>
      <c r="F51">
        <v>110952088</v>
      </c>
      <c r="G51">
        <v>7.4204490936402401</v>
      </c>
      <c r="H51">
        <v>1.1084859914434E-2</v>
      </c>
      <c r="I51">
        <v>1.37611252692621E-2</v>
      </c>
      <c r="J51">
        <v>43.389820148838602</v>
      </c>
      <c r="K51">
        <v>8.6076880078469406E-3</v>
      </c>
      <c r="L51">
        <v>0.2</v>
      </c>
      <c r="M51">
        <v>0</v>
      </c>
      <c r="N51">
        <v>0.99999999999997602</v>
      </c>
      <c r="O51">
        <v>-2.57851383997438E-2</v>
      </c>
      <c r="P51">
        <v>-1.1003590054220099E-2</v>
      </c>
      <c r="Q51">
        <v>0</v>
      </c>
      <c r="R51">
        <v>41838351514.209</v>
      </c>
      <c r="S51">
        <v>0</v>
      </c>
      <c r="T51" t="s">
        <v>12</v>
      </c>
    </row>
    <row r="52" spans="1:20" x14ac:dyDescent="0.3">
      <c r="A52" s="7">
        <v>46009</v>
      </c>
      <c r="B52">
        <v>675.60400000000004</v>
      </c>
      <c r="C52">
        <v>678.73400000000004</v>
      </c>
      <c r="D52">
        <v>672.91200000000003</v>
      </c>
      <c r="E52">
        <v>674.47699999999998</v>
      </c>
      <c r="F52">
        <v>108971155</v>
      </c>
      <c r="G52">
        <v>7.5555598726659401</v>
      </c>
      <c r="H52">
        <v>1.1202101587846401E-2</v>
      </c>
      <c r="I52">
        <v>1.38062528447968E-2</v>
      </c>
      <c r="J52">
        <v>48.679810515568597</v>
      </c>
      <c r="K52">
        <v>2.4830771802137799E-2</v>
      </c>
      <c r="L52">
        <v>0.2</v>
      </c>
      <c r="M52">
        <v>0</v>
      </c>
      <c r="N52">
        <v>0.99999999999997602</v>
      </c>
      <c r="O52">
        <v>-1.8428558954507099E-2</v>
      </c>
      <c r="P52">
        <v>7.5512905162959899E-3</v>
      </c>
      <c r="Q52">
        <v>0</v>
      </c>
      <c r="R52">
        <v>42062148120.325996</v>
      </c>
      <c r="S52">
        <v>0</v>
      </c>
      <c r="T52" t="s">
        <v>12</v>
      </c>
    </row>
  </sheetData>
  <autoFilter ref="A1:T52">
    <filterColumn colId="19">
      <filters>
        <filter val="SPY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2" sqref="B2:C18"/>
    </sheetView>
  </sheetViews>
  <sheetFormatPr defaultRowHeight="14.4" x14ac:dyDescent="0.3"/>
  <cols>
    <col min="1" max="1" width="18.109375" bestFit="1" customWidth="1"/>
    <col min="2" max="4" width="12" bestFit="1" customWidth="1"/>
    <col min="6" max="8" width="12" bestFit="1" customWidth="1"/>
    <col min="9" max="11" width="8.88671875" customWidth="1"/>
  </cols>
  <sheetData>
    <row r="1" spans="1:8" x14ac:dyDescent="0.3">
      <c r="A1" s="1" t="s">
        <v>73</v>
      </c>
      <c r="B1" s="4" t="s">
        <v>91</v>
      </c>
      <c r="C1" s="4" t="s">
        <v>92</v>
      </c>
      <c r="D1" s="4" t="s">
        <v>12</v>
      </c>
      <c r="F1" t="s">
        <v>91</v>
      </c>
      <c r="G1" t="s">
        <v>92</v>
      </c>
      <c r="H1" t="s">
        <v>12</v>
      </c>
    </row>
    <row r="2" spans="1:8" x14ac:dyDescent="0.3">
      <c r="A2" s="2">
        <v>45986</v>
      </c>
      <c r="B2" s="5">
        <v>3.6039248909090972E-2</v>
      </c>
      <c r="C2" s="5">
        <v>3.4733543195976248E-2</v>
      </c>
      <c r="D2" s="5">
        <v>1.47135640808172E-2</v>
      </c>
      <c r="F2">
        <v>3.6039248909090903E-2</v>
      </c>
      <c r="G2">
        <v>3.4733543195976199E-2</v>
      </c>
      <c r="H2">
        <v>1.47135640808171E-2</v>
      </c>
    </row>
    <row r="3" spans="1:8" x14ac:dyDescent="0.3">
      <c r="A3" s="2">
        <v>45987</v>
      </c>
      <c r="B3" s="5">
        <v>3.4825144407188827E-2</v>
      </c>
      <c r="C3" s="5">
        <v>3.354358804676584E-2</v>
      </c>
      <c r="D3" s="5">
        <v>1.4270989815790549E-2</v>
      </c>
      <c r="F3">
        <v>3.4825144407188799E-2</v>
      </c>
      <c r="G3">
        <v>3.3543588046765799E-2</v>
      </c>
      <c r="H3">
        <v>1.4270989815790501E-2</v>
      </c>
    </row>
    <row r="4" spans="1:8" x14ac:dyDescent="0.3">
      <c r="A4" s="2">
        <v>45989</v>
      </c>
      <c r="B4" s="5">
        <v>3.3242642701730121E-2</v>
      </c>
      <c r="C4" s="5">
        <v>3.2105519962857397E-2</v>
      </c>
      <c r="D4" s="5">
        <v>1.359670678147853E-2</v>
      </c>
      <c r="F4">
        <v>3.32426427017301E-2</v>
      </c>
      <c r="G4">
        <v>3.2105519962857397E-2</v>
      </c>
      <c r="H4">
        <v>1.35967067814785E-2</v>
      </c>
    </row>
    <row r="5" spans="1:8" x14ac:dyDescent="0.3">
      <c r="A5" s="2">
        <v>45992</v>
      </c>
      <c r="B5" s="5">
        <v>3.3307249740092693E-2</v>
      </c>
      <c r="C5" s="5">
        <v>3.2958156486303007E-2</v>
      </c>
      <c r="D5" s="5">
        <v>1.317174789372199E-2</v>
      </c>
      <c r="F5">
        <v>3.3307249740092602E-2</v>
      </c>
      <c r="G5">
        <v>3.2958156486303E-2</v>
      </c>
      <c r="H5">
        <v>1.31717478937219E-2</v>
      </c>
    </row>
    <row r="6" spans="1:8" x14ac:dyDescent="0.3">
      <c r="A6" s="2">
        <v>45993</v>
      </c>
      <c r="B6" s="5">
        <v>3.1975330274472517E-2</v>
      </c>
      <c r="C6" s="5">
        <v>3.2483961937279857E-2</v>
      </c>
      <c r="D6" s="5">
        <v>1.267880045926003E-2</v>
      </c>
      <c r="F6">
        <v>3.1975330274472497E-2</v>
      </c>
      <c r="G6">
        <v>3.2483961937279801E-2</v>
      </c>
      <c r="H6">
        <v>1.267880045926E-2</v>
      </c>
    </row>
    <row r="7" spans="1:8" x14ac:dyDescent="0.3">
      <c r="A7" s="2">
        <v>45994</v>
      </c>
      <c r="B7" s="5">
        <v>3.1509951486548247E-2</v>
      </c>
      <c r="C7" s="5">
        <v>3.2881803199719513E-2</v>
      </c>
      <c r="D7" s="5">
        <v>1.2277785517224551E-2</v>
      </c>
      <c r="F7">
        <v>3.1509951486548199E-2</v>
      </c>
      <c r="G7">
        <v>3.2881803199719499E-2</v>
      </c>
      <c r="H7">
        <v>1.22777855172245E-2</v>
      </c>
    </row>
    <row r="8" spans="1:8" x14ac:dyDescent="0.3">
      <c r="A8" s="2">
        <v>45995</v>
      </c>
      <c r="B8" s="5">
        <v>3.0233118415382541E-2</v>
      </c>
      <c r="C8" s="5">
        <v>3.14803160840939E-2</v>
      </c>
      <c r="D8" s="5">
        <v>1.181305423567966E-2</v>
      </c>
      <c r="F8">
        <v>3.0233118415382499E-2</v>
      </c>
      <c r="G8">
        <v>3.14803160840939E-2</v>
      </c>
      <c r="H8">
        <v>1.1813054235679601E-2</v>
      </c>
    </row>
    <row r="9" spans="1:8" x14ac:dyDescent="0.3">
      <c r="A9" s="2">
        <v>45996</v>
      </c>
      <c r="B9" s="5">
        <v>2.9785049695574418E-2</v>
      </c>
      <c r="C9" s="5">
        <v>3.0626151276138439E-2</v>
      </c>
      <c r="D9" s="5">
        <v>1.1365129576218861E-2</v>
      </c>
      <c r="F9">
        <v>2.9785049695574401E-2</v>
      </c>
      <c r="G9">
        <v>3.0626151276138401E-2</v>
      </c>
      <c r="H9">
        <v>1.13651295762188E-2</v>
      </c>
    </row>
    <row r="10" spans="1:8" x14ac:dyDescent="0.3">
      <c r="A10" s="2">
        <v>45999</v>
      </c>
      <c r="B10" s="5">
        <v>2.8459871466700312E-2</v>
      </c>
      <c r="C10" s="5">
        <v>3.183460283699114E-2</v>
      </c>
      <c r="D10" s="5">
        <v>1.1114864819766149E-2</v>
      </c>
      <c r="F10">
        <v>2.8459871466700301E-2</v>
      </c>
      <c r="G10">
        <v>3.1834602836991098E-2</v>
      </c>
      <c r="H10">
        <v>1.1114864819766101E-2</v>
      </c>
    </row>
    <row r="11" spans="1:8" x14ac:dyDescent="0.3">
      <c r="A11" s="2">
        <v>46000</v>
      </c>
      <c r="B11" s="5">
        <v>2.948901886504748E-2</v>
      </c>
      <c r="C11" s="5">
        <v>3.2038390402354858E-2</v>
      </c>
      <c r="D11" s="5">
        <v>1.0622691629090389E-2</v>
      </c>
      <c r="F11">
        <v>2.9489018865047401E-2</v>
      </c>
      <c r="G11">
        <v>3.2038390402354802E-2</v>
      </c>
      <c r="H11">
        <v>1.0622691629090301E-2</v>
      </c>
    </row>
    <row r="12" spans="1:8" x14ac:dyDescent="0.3">
      <c r="A12" s="2">
        <v>46001</v>
      </c>
      <c r="B12" s="5">
        <v>2.955848369173637E-2</v>
      </c>
      <c r="C12" s="5">
        <v>3.2832328698143003E-2</v>
      </c>
      <c r="D12" s="5">
        <v>1.059466805632673E-2</v>
      </c>
      <c r="F12">
        <v>2.95584836917363E-2</v>
      </c>
      <c r="G12">
        <v>3.2832328698142899E-2</v>
      </c>
      <c r="H12">
        <v>1.05946680563267E-2</v>
      </c>
    </row>
    <row r="13" spans="1:8" x14ac:dyDescent="0.3">
      <c r="A13" s="2">
        <v>46002</v>
      </c>
      <c r="B13" s="5">
        <v>2.901723501531454E-2</v>
      </c>
      <c r="C13" s="5">
        <v>3.2903961274448133E-2</v>
      </c>
      <c r="D13" s="5">
        <v>1.0548842670248521E-2</v>
      </c>
      <c r="F13">
        <v>2.9017235015314499E-2</v>
      </c>
      <c r="G13">
        <v>3.2903961274448099E-2</v>
      </c>
      <c r="H13">
        <v>1.05488426702485E-2</v>
      </c>
    </row>
    <row r="14" spans="1:8" x14ac:dyDescent="0.3">
      <c r="A14" s="2">
        <v>46003</v>
      </c>
      <c r="B14" s="5">
        <v>3.216684972215933E-2</v>
      </c>
      <c r="C14" s="5">
        <v>3.1886579469630347E-2</v>
      </c>
      <c r="D14" s="5">
        <v>1.094958855539427E-2</v>
      </c>
      <c r="F14">
        <v>3.2166849722159302E-2</v>
      </c>
      <c r="G14">
        <v>3.1886579469630298E-2</v>
      </c>
      <c r="H14">
        <v>1.0949588555394201E-2</v>
      </c>
    </row>
    <row r="15" spans="1:8" x14ac:dyDescent="0.3">
      <c r="A15" s="2">
        <v>46006</v>
      </c>
      <c r="B15" s="5">
        <v>3.258658100074116E-2</v>
      </c>
      <c r="C15" s="5">
        <v>3.2721542557269653E-2</v>
      </c>
      <c r="D15" s="5">
        <v>1.0865969400093991E-2</v>
      </c>
      <c r="F15">
        <v>3.2586581000741098E-2</v>
      </c>
      <c r="G15">
        <v>3.2721542557269598E-2</v>
      </c>
      <c r="H15">
        <v>1.08659694000939E-2</v>
      </c>
    </row>
    <row r="16" spans="1:8" x14ac:dyDescent="0.3">
      <c r="A16" s="2">
        <v>46007</v>
      </c>
      <c r="B16" s="5">
        <v>3.2452700462542637E-2</v>
      </c>
      <c r="C16" s="5">
        <v>3.2505754330080558E-2</v>
      </c>
      <c r="D16" s="5">
        <v>1.075928536566656E-2</v>
      </c>
      <c r="F16">
        <v>3.2452700462542602E-2</v>
      </c>
      <c r="G16">
        <v>3.2505754330080502E-2</v>
      </c>
      <c r="H16">
        <v>1.0759285365666499E-2</v>
      </c>
    </row>
    <row r="17" spans="1:8" x14ac:dyDescent="0.3">
      <c r="A17" s="2">
        <v>46008</v>
      </c>
      <c r="B17" s="5">
        <v>3.2403867008490649E-2</v>
      </c>
      <c r="C17" s="5">
        <v>3.2354023951398019E-2</v>
      </c>
      <c r="D17" s="5">
        <v>1.108485991443401E-2</v>
      </c>
      <c r="F17">
        <v>3.24038670084906E-2</v>
      </c>
      <c r="G17">
        <v>3.2354023951397998E-2</v>
      </c>
      <c r="H17">
        <v>1.1084859914434E-2</v>
      </c>
    </row>
    <row r="18" spans="1:8" x14ac:dyDescent="0.3">
      <c r="A18" s="2">
        <v>46009</v>
      </c>
      <c r="B18" s="5">
        <v>3.2257606609932668E-2</v>
      </c>
      <c r="C18" s="5">
        <v>3.1477405932948503E-2</v>
      </c>
      <c r="D18" s="5">
        <v>1.12021015878465E-2</v>
      </c>
      <c r="F18">
        <v>3.2257606609932599E-2</v>
      </c>
      <c r="G18">
        <v>3.1477405932948399E-2</v>
      </c>
      <c r="H18">
        <v>1.1202101587846401E-2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2" sqref="B2:C18"/>
    </sheetView>
  </sheetViews>
  <sheetFormatPr defaultRowHeight="14.4" x14ac:dyDescent="0.3"/>
  <cols>
    <col min="1" max="1" width="18.109375" bestFit="1" customWidth="1"/>
    <col min="2" max="4" width="12" bestFit="1" customWidth="1"/>
    <col min="6" max="8" width="12" bestFit="1" customWidth="1"/>
  </cols>
  <sheetData>
    <row r="1" spans="1:8" x14ac:dyDescent="0.3">
      <c r="A1" s="1" t="s">
        <v>73</v>
      </c>
      <c r="B1" s="4" t="s">
        <v>91</v>
      </c>
      <c r="C1" s="4" t="s">
        <v>92</v>
      </c>
      <c r="D1" s="4" t="s">
        <v>12</v>
      </c>
      <c r="F1" t="s">
        <v>91</v>
      </c>
      <c r="G1" t="s">
        <v>92</v>
      </c>
      <c r="H1" t="s">
        <v>12</v>
      </c>
    </row>
    <row r="2" spans="1:8" x14ac:dyDescent="0.3">
      <c r="A2" s="2">
        <v>45986</v>
      </c>
      <c r="B2" s="5">
        <v>3.9397960029853261E-2</v>
      </c>
      <c r="C2" s="5">
        <v>2.0549886621315159E-2</v>
      </c>
      <c r="D2" s="5">
        <v>1.7378099968649158E-2</v>
      </c>
      <c r="F2">
        <v>3.9397960029853199E-2</v>
      </c>
      <c r="G2">
        <v>2.05498866213151E-2</v>
      </c>
      <c r="H2">
        <v>1.7378099968649099E-2</v>
      </c>
    </row>
    <row r="3" spans="1:8" x14ac:dyDescent="0.3">
      <c r="A3" s="2">
        <v>45987</v>
      </c>
      <c r="B3" s="5">
        <v>1.9119475997015151E-2</v>
      </c>
      <c r="C3" s="5">
        <v>2.001589388234087E-2</v>
      </c>
      <c r="D3" s="5">
        <v>9.8291518980991831E-3</v>
      </c>
      <c r="F3">
        <v>1.9119475997015099E-2</v>
      </c>
      <c r="G3">
        <v>2.0015893882340801E-2</v>
      </c>
      <c r="H3">
        <v>9.8291518980991796E-3</v>
      </c>
    </row>
    <row r="4" spans="1:8" x14ac:dyDescent="0.3">
      <c r="A4" s="2">
        <v>45989</v>
      </c>
      <c r="B4" s="5">
        <v>1.8150842015595262E-2</v>
      </c>
      <c r="C4" s="5">
        <v>1.463465213076408E-2</v>
      </c>
      <c r="D4" s="5">
        <v>5.8381776901773206E-3</v>
      </c>
      <c r="F4">
        <v>1.8150842015595199E-2</v>
      </c>
      <c r="G4">
        <v>1.4634652130764E-2</v>
      </c>
      <c r="H4">
        <v>5.8381776901773198E-3</v>
      </c>
    </row>
    <row r="5" spans="1:8" x14ac:dyDescent="0.3">
      <c r="A5" s="2">
        <v>45992</v>
      </c>
      <c r="B5" s="5">
        <v>3.3721959858323491E-2</v>
      </c>
      <c r="C5" s="5">
        <v>5.7133018637817973E-2</v>
      </c>
      <c r="D5" s="5">
        <v>6.8365508517306542E-3</v>
      </c>
      <c r="F5">
        <v>3.3721959858323401E-2</v>
      </c>
      <c r="G5">
        <v>5.7133018637817903E-2</v>
      </c>
      <c r="H5">
        <v>6.8365508517306498E-3</v>
      </c>
    </row>
    <row r="6" spans="1:8" x14ac:dyDescent="0.3">
      <c r="A6" s="2">
        <v>45993</v>
      </c>
      <c r="B6" s="5">
        <v>1.6389426492564779E-2</v>
      </c>
      <c r="C6" s="5">
        <v>3.1739623176087223E-2</v>
      </c>
      <c r="D6" s="5">
        <v>6.5869832028985064E-3</v>
      </c>
      <c r="F6">
        <v>1.6389426492564699E-2</v>
      </c>
      <c r="G6">
        <v>3.1739623176087202E-2</v>
      </c>
      <c r="H6">
        <v>6.5869832028985003E-3</v>
      </c>
    </row>
    <row r="7" spans="1:8" x14ac:dyDescent="0.3">
      <c r="A7" s="2">
        <v>45994</v>
      </c>
      <c r="B7" s="5">
        <v>3.7948514851485121E-2</v>
      </c>
      <c r="C7" s="5">
        <v>6.5385889367340216E-2</v>
      </c>
      <c r="D7" s="5">
        <v>7.6333638863428652E-3</v>
      </c>
      <c r="F7">
        <v>3.79485148514851E-2</v>
      </c>
      <c r="G7">
        <v>6.5385889367340203E-2</v>
      </c>
      <c r="H7">
        <v>7.63336388634286E-3</v>
      </c>
    </row>
    <row r="8" spans="1:8" x14ac:dyDescent="0.3">
      <c r="A8" s="2">
        <v>45995</v>
      </c>
      <c r="B8" s="5">
        <v>1.9852413491840519E-2</v>
      </c>
      <c r="C8" s="5">
        <v>2.0389551169304899E-2</v>
      </c>
      <c r="D8" s="5">
        <v>5.8882665517737036E-3</v>
      </c>
      <c r="F8">
        <v>1.9852413491840502E-2</v>
      </c>
      <c r="G8">
        <v>2.0389551169304899E-2</v>
      </c>
      <c r="H8">
        <v>5.8882665517737002E-3</v>
      </c>
    </row>
    <row r="9" spans="1:8" x14ac:dyDescent="0.3">
      <c r="A9" s="2">
        <v>45996</v>
      </c>
      <c r="B9" s="5">
        <v>2.6969075357046051E-2</v>
      </c>
      <c r="C9" s="5">
        <v>2.3847889139542309E-2</v>
      </c>
      <c r="D9" s="5">
        <v>5.8332236312840157E-3</v>
      </c>
      <c r="F9">
        <v>2.6969075357045999E-2</v>
      </c>
      <c r="G9">
        <v>2.3847889139542298E-2</v>
      </c>
      <c r="H9">
        <v>5.8332236312840097E-3</v>
      </c>
    </row>
    <row r="10" spans="1:8" x14ac:dyDescent="0.3">
      <c r="A10" s="2">
        <v>45999</v>
      </c>
      <c r="B10" s="5">
        <v>1.366891533272321E-2</v>
      </c>
      <c r="C10" s="5">
        <v>3.8436181434599238E-2</v>
      </c>
      <c r="D10" s="5">
        <v>7.4161991502546152E-3</v>
      </c>
      <c r="F10">
        <v>1.36689153327232E-2</v>
      </c>
      <c r="G10">
        <v>3.8436181434599197E-2</v>
      </c>
      <c r="H10">
        <v>7.41619915025461E-3</v>
      </c>
    </row>
    <row r="11" spans="1:8" x14ac:dyDescent="0.3">
      <c r="A11" s="2">
        <v>46000</v>
      </c>
      <c r="B11" s="5">
        <v>5.7963743147425313E-2</v>
      </c>
      <c r="C11" s="5">
        <v>2.6932634831083289E-2</v>
      </c>
      <c r="D11" s="5">
        <v>4.0996845944660572E-3</v>
      </c>
      <c r="F11">
        <v>5.7963743147425299E-2</v>
      </c>
      <c r="G11">
        <v>2.6932634831083199E-2</v>
      </c>
      <c r="H11">
        <v>4.0996845944660503E-3</v>
      </c>
    </row>
    <row r="12" spans="1:8" x14ac:dyDescent="0.3">
      <c r="A12" s="2">
        <v>46001</v>
      </c>
      <c r="B12" s="5">
        <v>4.606357452772103E-2</v>
      </c>
      <c r="C12" s="5">
        <v>6.5471650139842255E-2</v>
      </c>
      <c r="D12" s="5">
        <v>1.114005811443184E-2</v>
      </c>
      <c r="F12">
        <v>4.6063574527721002E-2</v>
      </c>
      <c r="G12">
        <v>6.54716501398422E-2</v>
      </c>
      <c r="H12">
        <v>1.11400581144318E-2</v>
      </c>
    </row>
    <row r="13" spans="1:8" x14ac:dyDescent="0.3">
      <c r="A13" s="2">
        <v>46002</v>
      </c>
      <c r="B13" s="5">
        <v>2.528945337169311E-2</v>
      </c>
      <c r="C13" s="5">
        <v>3.8132393657186021E-2</v>
      </c>
      <c r="D13" s="5">
        <v>1.027301568821504E-2</v>
      </c>
      <c r="F13">
        <v>2.52894533716931E-2</v>
      </c>
      <c r="G13">
        <v>3.8132393657186001E-2</v>
      </c>
      <c r="H13">
        <v>1.0273015688215001E-2</v>
      </c>
    </row>
    <row r="14" spans="1:8" x14ac:dyDescent="0.3">
      <c r="A14" s="2">
        <v>46003</v>
      </c>
      <c r="B14" s="5">
        <v>5.6075451771884437E-2</v>
      </c>
      <c r="C14" s="5">
        <v>2.0189353564486791E-2</v>
      </c>
      <c r="D14" s="5">
        <v>1.466860659270822E-2</v>
      </c>
      <c r="F14">
        <v>5.6075451771884402E-2</v>
      </c>
      <c r="G14">
        <v>2.0189353564486701E-2</v>
      </c>
      <c r="H14">
        <v>1.4668606592708199E-2</v>
      </c>
    </row>
    <row r="15" spans="1:8" x14ac:dyDescent="0.3">
      <c r="A15" s="2">
        <v>46006</v>
      </c>
      <c r="B15" s="5">
        <v>3.2489874781703898E-2</v>
      </c>
      <c r="C15" s="5">
        <v>3.8231931919217643E-2</v>
      </c>
      <c r="D15" s="5">
        <v>9.5635339254247463E-3</v>
      </c>
      <c r="F15">
        <v>3.2489874781703898E-2</v>
      </c>
      <c r="G15">
        <v>3.8231931919217602E-2</v>
      </c>
      <c r="H15">
        <v>9.5635339254247394E-3</v>
      </c>
    </row>
    <row r="16" spans="1:8" x14ac:dyDescent="0.3">
      <c r="A16" s="2">
        <v>46007</v>
      </c>
      <c r="B16" s="5">
        <v>2.6168533165085651E-2</v>
      </c>
      <c r="C16" s="5">
        <v>2.8291066649675019E-2</v>
      </c>
      <c r="D16" s="5">
        <v>8.9854772703768723E-3</v>
      </c>
      <c r="F16">
        <v>2.6168533165085599E-2</v>
      </c>
      <c r="G16">
        <v>2.8291066649675001E-2</v>
      </c>
      <c r="H16">
        <v>8.9854772703768706E-3</v>
      </c>
    </row>
    <row r="17" spans="1:8" x14ac:dyDescent="0.3">
      <c r="A17" s="2">
        <v>46008</v>
      </c>
      <c r="B17" s="5">
        <v>2.7844742627549102E-2</v>
      </c>
      <c r="C17" s="5">
        <v>2.7098182752199319E-2</v>
      </c>
      <c r="D17" s="5">
        <v>1.376112526926212E-2</v>
      </c>
      <c r="F17">
        <v>2.7844742627549102E-2</v>
      </c>
      <c r="G17">
        <v>2.7098182752199301E-2</v>
      </c>
      <c r="H17">
        <v>1.37611252692621E-2</v>
      </c>
    </row>
    <row r="18" spans="1:8" x14ac:dyDescent="0.3">
      <c r="A18" s="2">
        <v>46009</v>
      </c>
      <c r="B18" s="5">
        <v>2.978061185758751E-2</v>
      </c>
      <c r="C18" s="5">
        <v>2.7562283191422291E-2</v>
      </c>
      <c r="D18" s="5">
        <v>1.38062528447968E-2</v>
      </c>
      <c r="F18">
        <v>2.97806118575875E-2</v>
      </c>
      <c r="G18">
        <v>2.7562283191422201E-2</v>
      </c>
      <c r="H18">
        <v>1.38062528447968E-2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1" sqref="B1:C18"/>
    </sheetView>
  </sheetViews>
  <sheetFormatPr defaultRowHeight="14.4" x14ac:dyDescent="0.3"/>
  <cols>
    <col min="1" max="1" width="18.109375" bestFit="1" customWidth="1"/>
    <col min="2" max="3" width="12" bestFit="1" customWidth="1"/>
  </cols>
  <sheetData>
    <row r="1" spans="1:3" x14ac:dyDescent="0.3">
      <c r="A1" s="1" t="s">
        <v>73</v>
      </c>
      <c r="B1" s="1" t="s">
        <v>91</v>
      </c>
      <c r="C1" s="1" t="s">
        <v>92</v>
      </c>
    </row>
    <row r="2" spans="1:3" x14ac:dyDescent="0.3">
      <c r="A2" s="2">
        <v>45986</v>
      </c>
      <c r="B2">
        <v>0.5</v>
      </c>
      <c r="C2">
        <v>0.5</v>
      </c>
    </row>
    <row r="3" spans="1:3" x14ac:dyDescent="0.3">
      <c r="A3" s="2">
        <v>45987</v>
      </c>
      <c r="B3">
        <v>0.49896407750133409</v>
      </c>
      <c r="C3">
        <v>0.50103592249866591</v>
      </c>
    </row>
    <row r="4" spans="1:3" x14ac:dyDescent="0.3">
      <c r="A4" s="2">
        <v>45989</v>
      </c>
      <c r="B4">
        <v>0.50130632298261091</v>
      </c>
      <c r="C4">
        <v>0.4986936770173892</v>
      </c>
    </row>
    <row r="5" spans="1:3" x14ac:dyDescent="0.3">
      <c r="A5" s="2">
        <v>45992</v>
      </c>
      <c r="B5">
        <v>0.49309423796253588</v>
      </c>
      <c r="C5">
        <v>0.50690576203746396</v>
      </c>
    </row>
    <row r="6" spans="1:3" x14ac:dyDescent="0.3">
      <c r="A6" s="2">
        <v>45993</v>
      </c>
      <c r="B6">
        <v>0.49091230382537221</v>
      </c>
      <c r="C6">
        <v>0.50908769617462768</v>
      </c>
    </row>
    <row r="7" spans="1:3" x14ac:dyDescent="0.3">
      <c r="A7" s="2">
        <v>45994</v>
      </c>
      <c r="B7">
        <v>0.48181710874919847</v>
      </c>
      <c r="C7">
        <v>0.51818289125080153</v>
      </c>
    </row>
    <row r="8" spans="1:3" x14ac:dyDescent="0.3">
      <c r="A8" s="2">
        <v>45995</v>
      </c>
      <c r="B8">
        <v>0.48143742693419078</v>
      </c>
      <c r="C8">
        <v>0.51856257306580911</v>
      </c>
    </row>
    <row r="9" spans="1:3" x14ac:dyDescent="0.3">
      <c r="A9" s="2">
        <v>45996</v>
      </c>
      <c r="B9">
        <v>0.48070309696666907</v>
      </c>
      <c r="C9">
        <v>0.51929690303333087</v>
      </c>
    </row>
    <row r="10" spans="1:3" x14ac:dyDescent="0.3">
      <c r="A10" s="2">
        <v>45999</v>
      </c>
      <c r="B10">
        <v>0.4879287022228237</v>
      </c>
      <c r="C10">
        <v>0.5120712977771763</v>
      </c>
    </row>
    <row r="11" spans="1:3" x14ac:dyDescent="0.3">
      <c r="A11" s="2">
        <v>46000</v>
      </c>
      <c r="B11">
        <v>0.50298204228973731</v>
      </c>
      <c r="C11">
        <v>0.49701795771026258</v>
      </c>
    </row>
    <row r="12" spans="1:3" x14ac:dyDescent="0.3">
      <c r="A12" s="2">
        <v>46001</v>
      </c>
      <c r="B12">
        <v>0.49960098989722868</v>
      </c>
      <c r="C12">
        <v>0.50039901010277132</v>
      </c>
    </row>
    <row r="13" spans="1:3" x14ac:dyDescent="0.3">
      <c r="A13" s="2">
        <v>46002</v>
      </c>
      <c r="B13">
        <v>0.49923304497505661</v>
      </c>
      <c r="C13">
        <v>0.50076695502494351</v>
      </c>
    </row>
    <row r="14" spans="1:3" x14ac:dyDescent="0.3">
      <c r="A14" s="2">
        <v>46003</v>
      </c>
      <c r="B14">
        <v>0.4872976059654397</v>
      </c>
      <c r="C14">
        <v>0.51270239403456042</v>
      </c>
    </row>
    <row r="15" spans="1:3" x14ac:dyDescent="0.3">
      <c r="A15" s="2">
        <v>46006</v>
      </c>
      <c r="B15">
        <v>0.4872020039083727</v>
      </c>
      <c r="C15">
        <v>0.51279799609162735</v>
      </c>
    </row>
    <row r="16" spans="1:3" x14ac:dyDescent="0.3">
      <c r="A16" s="2">
        <v>46007</v>
      </c>
      <c r="B16">
        <v>0.48536319370300929</v>
      </c>
      <c r="C16">
        <v>0.51463680629699082</v>
      </c>
    </row>
    <row r="17" spans="1:3" x14ac:dyDescent="0.3">
      <c r="A17" s="2">
        <v>46008</v>
      </c>
      <c r="B17">
        <v>0.48498378433187478</v>
      </c>
      <c r="C17">
        <v>0.51501621566812528</v>
      </c>
    </row>
    <row r="18" spans="1:3" x14ac:dyDescent="0.3">
      <c r="A18" s="2">
        <v>46009</v>
      </c>
      <c r="B18">
        <v>0.48016174680594093</v>
      </c>
      <c r="C18">
        <v>0.51983825319405896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3"/>
  <sheetViews>
    <sheetView workbookViewId="0"/>
  </sheetViews>
  <sheetFormatPr defaultRowHeight="14.4" x14ac:dyDescent="0.3"/>
  <sheetData>
    <row r="1" spans="1:15" x14ac:dyDescent="0.3">
      <c r="A1" s="1" t="s">
        <v>90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</row>
    <row r="2" spans="1:15" x14ac:dyDescent="0.3">
      <c r="A2" s="1" t="s">
        <v>107</v>
      </c>
      <c r="B2">
        <v>3.905512617173732</v>
      </c>
      <c r="C2">
        <v>2.7270466694413482E-2</v>
      </c>
      <c r="D2">
        <v>2.293071906377862E-2</v>
      </c>
      <c r="E2">
        <v>44.391141151407751</v>
      </c>
      <c r="F2">
        <v>-1.9746883962244669E-2</v>
      </c>
      <c r="G2">
        <v>0.2</v>
      </c>
      <c r="H2">
        <v>8.1838573875124235E-2</v>
      </c>
      <c r="I2">
        <v>0.89234958940524312</v>
      </c>
      <c r="J2">
        <v>-8.7343869487636949E-2</v>
      </c>
      <c r="K2">
        <v>2.0122659182699509E-2</v>
      </c>
      <c r="L2">
        <v>0</v>
      </c>
      <c r="M2">
        <v>220438919.0255</v>
      </c>
      <c r="N2">
        <v>0</v>
      </c>
      <c r="O2" t="b">
        <v>1</v>
      </c>
    </row>
    <row r="3" spans="1:15" x14ac:dyDescent="0.3">
      <c r="A3" s="1" t="s">
        <v>108</v>
      </c>
      <c r="B3">
        <v>1.7308632344817221</v>
      </c>
      <c r="C3">
        <v>3.8773817976741093E-2</v>
      </c>
      <c r="D3">
        <v>4.502688172043022E-2</v>
      </c>
      <c r="E3">
        <v>66.977954886815496</v>
      </c>
      <c r="F3">
        <v>0.1508120649651972</v>
      </c>
      <c r="G3">
        <v>0.4</v>
      </c>
      <c r="H3">
        <v>0.1564323055793749</v>
      </c>
      <c r="I3">
        <v>2.4515493271447828</v>
      </c>
      <c r="J3">
        <v>0</v>
      </c>
      <c r="K3">
        <v>2.6915113871635699E-2</v>
      </c>
      <c r="L3">
        <v>0</v>
      </c>
      <c r="M3">
        <v>185632165.61414999</v>
      </c>
      <c r="N3">
        <v>0</v>
      </c>
      <c r="O3" t="b">
        <v>1</v>
      </c>
    </row>
    <row r="4" spans="1:15" x14ac:dyDescent="0.3">
      <c r="A4" s="1" t="s">
        <v>109</v>
      </c>
      <c r="B4">
        <v>0.52416928477297098</v>
      </c>
      <c r="C4">
        <v>3.4621485123710112E-2</v>
      </c>
      <c r="D4">
        <v>2.8401585204755709E-2</v>
      </c>
      <c r="E4">
        <v>69.988494630866285</v>
      </c>
      <c r="F4">
        <v>0.13749060856498871</v>
      </c>
      <c r="G4">
        <v>0.8</v>
      </c>
      <c r="H4">
        <v>8.2039305827499617E-2</v>
      </c>
      <c r="I4">
        <v>1.487944521823757</v>
      </c>
      <c r="J4">
        <v>0</v>
      </c>
      <c r="K4">
        <v>7.3186959414504038E-3</v>
      </c>
      <c r="L4">
        <v>0</v>
      </c>
      <c r="M4">
        <v>696133264</v>
      </c>
      <c r="N4">
        <v>0</v>
      </c>
      <c r="O4" t="b">
        <v>1</v>
      </c>
    </row>
    <row r="5" spans="1:15" x14ac:dyDescent="0.3">
      <c r="A5" s="1" t="s">
        <v>110</v>
      </c>
      <c r="B5">
        <v>4.5563246491982614</v>
      </c>
      <c r="C5">
        <v>5.5154638048641347E-2</v>
      </c>
      <c r="D5">
        <v>4.5151918653916039E-2</v>
      </c>
      <c r="E5">
        <v>33.404316997525562</v>
      </c>
      <c r="F5">
        <v>-0.21828573591476</v>
      </c>
      <c r="G5">
        <v>0.4</v>
      </c>
      <c r="H5">
        <v>-8.5352025759205304E-3</v>
      </c>
      <c r="I5">
        <v>1.8648808335063769</v>
      </c>
      <c r="J5">
        <v>-0.2040659023027267</v>
      </c>
      <c r="K5">
        <v>1.1757501530924591E-2</v>
      </c>
      <c r="L5">
        <v>0</v>
      </c>
      <c r="M5">
        <v>76325204.423999995</v>
      </c>
      <c r="N5">
        <v>0</v>
      </c>
      <c r="O5" t="b">
        <v>0</v>
      </c>
    </row>
    <row r="6" spans="1:15" x14ac:dyDescent="0.3">
      <c r="A6" s="1" t="s">
        <v>111</v>
      </c>
      <c r="B6">
        <v>4.9559362083582563</v>
      </c>
      <c r="C6">
        <v>1.779388913631837E-2</v>
      </c>
      <c r="D6">
        <v>1.1869926288691201E-2</v>
      </c>
      <c r="E6">
        <v>58.820907480083157</v>
      </c>
      <c r="F6">
        <v>3.4701944438252808E-2</v>
      </c>
      <c r="G6">
        <v>0.2</v>
      </c>
      <c r="H6">
        <v>0.21571380452998681</v>
      </c>
      <c r="I6">
        <v>0.8916099759205558</v>
      </c>
      <c r="J6">
        <v>-2.589167675100212E-2</v>
      </c>
      <c r="K6">
        <v>5.7705988350469362E-3</v>
      </c>
      <c r="L6">
        <v>0</v>
      </c>
      <c r="M6">
        <v>11112909724.613001</v>
      </c>
      <c r="N6">
        <v>0</v>
      </c>
      <c r="O6" t="b">
        <v>1</v>
      </c>
    </row>
    <row r="7" spans="1:15" x14ac:dyDescent="0.3">
      <c r="A7" s="1" t="s">
        <v>112</v>
      </c>
      <c r="B7">
        <v>5.0843942749751019</v>
      </c>
      <c r="C7">
        <v>2.2760882766258411E-2</v>
      </c>
      <c r="D7">
        <v>2.211448498766691E-2</v>
      </c>
      <c r="E7">
        <v>47.574510847085641</v>
      </c>
      <c r="F7">
        <v>2.958555336369173E-2</v>
      </c>
      <c r="G7">
        <v>0.2</v>
      </c>
      <c r="H7">
        <v>-9.8802716932206991E-3</v>
      </c>
      <c r="I7">
        <v>3.891061359064673E-2</v>
      </c>
      <c r="J7">
        <v>-4.6976458441769009E-2</v>
      </c>
      <c r="K7">
        <v>9.823244880430293E-3</v>
      </c>
      <c r="L7">
        <v>0</v>
      </c>
      <c r="M7">
        <v>1119136698.1860001</v>
      </c>
      <c r="N7">
        <v>0</v>
      </c>
      <c r="O7" t="b">
        <v>1</v>
      </c>
    </row>
    <row r="8" spans="1:15" x14ac:dyDescent="0.3">
      <c r="A8" s="1" t="s">
        <v>113</v>
      </c>
      <c r="B8">
        <v>5.9641488681475452E-2</v>
      </c>
      <c r="C8">
        <v>2.4343464767949161E-2</v>
      </c>
      <c r="D8">
        <v>3.265306122448982E-2</v>
      </c>
      <c r="E8">
        <v>47.892650267441041</v>
      </c>
      <c r="F8">
        <v>4.098360655737876E-3</v>
      </c>
      <c r="G8">
        <v>0.2</v>
      </c>
      <c r="H8">
        <v>2.4435935438085851E-2</v>
      </c>
      <c r="I8">
        <v>0.173116750301054</v>
      </c>
      <c r="J8">
        <v>-6.4885496183206048E-2</v>
      </c>
      <c r="K8">
        <v>-8.0971659919027994E-3</v>
      </c>
      <c r="L8">
        <v>0</v>
      </c>
      <c r="M8">
        <v>70374169.194124997</v>
      </c>
      <c r="N8">
        <v>0</v>
      </c>
      <c r="O8" t="b">
        <v>0</v>
      </c>
    </row>
    <row r="9" spans="1:15" x14ac:dyDescent="0.3">
      <c r="A9" s="1" t="s">
        <v>114</v>
      </c>
      <c r="B9">
        <v>3.352475953346636</v>
      </c>
      <c r="C9">
        <v>2.627950108447626E-2</v>
      </c>
      <c r="D9">
        <v>3.4255702751430743E-2</v>
      </c>
      <c r="E9">
        <v>63.931647605880947</v>
      </c>
      <c r="F9">
        <v>6.1314475873543987E-2</v>
      </c>
      <c r="G9">
        <v>0.8</v>
      </c>
      <c r="H9">
        <v>-6.8157810899681249E-3</v>
      </c>
      <c r="I9">
        <v>0.91758967997939789</v>
      </c>
      <c r="J9">
        <v>0</v>
      </c>
      <c r="K9">
        <v>1.7385756439907359E-2</v>
      </c>
      <c r="L9">
        <v>0</v>
      </c>
      <c r="M9">
        <v>567842690</v>
      </c>
      <c r="N9">
        <v>0</v>
      </c>
      <c r="O9" t="b">
        <v>1</v>
      </c>
    </row>
    <row r="10" spans="1:15" x14ac:dyDescent="0.3">
      <c r="A10" s="1" t="s">
        <v>115</v>
      </c>
      <c r="B10">
        <v>2.4940999526948202</v>
      </c>
      <c r="C10">
        <v>2.0454843295400881E-2</v>
      </c>
      <c r="D10">
        <v>1.950267362136273E-2</v>
      </c>
      <c r="E10">
        <v>38.277863750819137</v>
      </c>
      <c r="F10">
        <v>-2.6537650890975258E-2</v>
      </c>
      <c r="G10">
        <v>0.4</v>
      </c>
      <c r="H10">
        <v>-0.1472336907515791</v>
      </c>
      <c r="I10">
        <v>0.1423132981480596</v>
      </c>
      <c r="J10">
        <v>-6.1570667733891422E-2</v>
      </c>
      <c r="K10">
        <v>1.071792703852004E-2</v>
      </c>
      <c r="L10">
        <v>0</v>
      </c>
      <c r="M10">
        <v>737553806.90250003</v>
      </c>
      <c r="N10">
        <v>0</v>
      </c>
      <c r="O10" t="b">
        <v>1</v>
      </c>
    </row>
    <row r="11" spans="1:15" x14ac:dyDescent="0.3">
      <c r="A11" s="1" t="s">
        <v>116</v>
      </c>
      <c r="B11">
        <v>6.8259867551984144</v>
      </c>
      <c r="C11">
        <v>5.3524557007750453E-2</v>
      </c>
      <c r="D11">
        <v>0.12114796518466241</v>
      </c>
      <c r="E11">
        <v>66.012456884965587</v>
      </c>
      <c r="F11">
        <v>0.2017527327553712</v>
      </c>
      <c r="G11">
        <v>0.8</v>
      </c>
      <c r="H11">
        <v>0.18238055485840621</v>
      </c>
      <c r="I11">
        <v>-0.45758647630305033</v>
      </c>
      <c r="J11">
        <v>-5.45894096545263E-3</v>
      </c>
      <c r="K11">
        <v>3.6492197659297787E-2</v>
      </c>
      <c r="L11">
        <v>0</v>
      </c>
      <c r="M11">
        <v>2908489</v>
      </c>
      <c r="N11">
        <v>1</v>
      </c>
      <c r="O11" t="b">
        <v>0</v>
      </c>
    </row>
    <row r="12" spans="1:15" x14ac:dyDescent="0.3">
      <c r="A12" s="1" t="s">
        <v>117</v>
      </c>
      <c r="B12">
        <v>1.540098242520713</v>
      </c>
      <c r="C12">
        <v>1.6782153672449739E-2</v>
      </c>
      <c r="D12">
        <v>1.6781083142639271E-2</v>
      </c>
      <c r="E12">
        <v>51.900952179492833</v>
      </c>
      <c r="F12">
        <v>2.2051453391246149E-2</v>
      </c>
      <c r="G12">
        <v>0.2</v>
      </c>
      <c r="H12">
        <v>-5.1404764248831628E-2</v>
      </c>
      <c r="I12">
        <v>-0.1814475125175046</v>
      </c>
      <c r="J12">
        <v>-2.7860169491525481E-2</v>
      </c>
      <c r="K12">
        <v>-1.6318537859008051E-3</v>
      </c>
      <c r="L12">
        <v>0</v>
      </c>
      <c r="M12">
        <v>163032223</v>
      </c>
      <c r="N12">
        <v>0</v>
      </c>
      <c r="O12" t="b">
        <v>1</v>
      </c>
    </row>
    <row r="13" spans="1:15" x14ac:dyDescent="0.3">
      <c r="A13" s="1" t="s">
        <v>118</v>
      </c>
      <c r="B13">
        <v>0.39119560113067953</v>
      </c>
      <c r="C13">
        <v>2.3132611976268671E-2</v>
      </c>
      <c r="D13">
        <v>2.8726864171249551E-2</v>
      </c>
      <c r="E13">
        <v>36.619366537155749</v>
      </c>
      <c r="F13">
        <v>-2.4031303022957862E-2</v>
      </c>
      <c r="G13">
        <v>0.2</v>
      </c>
      <c r="H13">
        <v>-8.3554093063878773E-2</v>
      </c>
      <c r="I13">
        <v>1.496166954680278E-2</v>
      </c>
      <c r="J13">
        <v>-6.9290038525041342E-2</v>
      </c>
      <c r="K13">
        <v>-9.8714255603173928E-3</v>
      </c>
      <c r="L13">
        <v>0</v>
      </c>
      <c r="M13">
        <v>115652883.21070001</v>
      </c>
      <c r="N13">
        <v>0</v>
      </c>
      <c r="O13" t="b">
        <v>1</v>
      </c>
    </row>
    <row r="14" spans="1:15" x14ac:dyDescent="0.3">
      <c r="A14" s="1" t="s">
        <v>119</v>
      </c>
      <c r="B14">
        <v>3.2951167586337649</v>
      </c>
      <c r="C14">
        <v>3.3350540306508088E-2</v>
      </c>
      <c r="D14">
        <v>3.188077224766582E-2</v>
      </c>
      <c r="E14">
        <v>22.842958656409991</v>
      </c>
      <c r="F14">
        <v>-0.24152688749856049</v>
      </c>
      <c r="G14">
        <v>0.2</v>
      </c>
      <c r="H14">
        <v>-0.22643588990504471</v>
      </c>
      <c r="I14">
        <v>0.88888501133104769</v>
      </c>
      <c r="J14">
        <v>-0.25926828354012821</v>
      </c>
      <c r="K14">
        <v>-1.1469861099021589E-2</v>
      </c>
      <c r="L14">
        <v>0</v>
      </c>
      <c r="M14">
        <v>94843482.583550006</v>
      </c>
      <c r="N14">
        <v>0</v>
      </c>
      <c r="O14" t="b">
        <v>1</v>
      </c>
    </row>
    <row r="15" spans="1:15" x14ac:dyDescent="0.3">
      <c r="A15" s="1" t="s">
        <v>120</v>
      </c>
      <c r="B15">
        <v>6.7722336754356798</v>
      </c>
      <c r="C15">
        <v>2.4877796177487619E-2</v>
      </c>
      <c r="D15">
        <v>2.0534861509073452E-2</v>
      </c>
      <c r="E15">
        <v>67.022151272542033</v>
      </c>
      <c r="F15">
        <v>0.11314659578818249</v>
      </c>
      <c r="G15">
        <v>0.4</v>
      </c>
      <c r="H15">
        <v>6.5484044680011608E-2</v>
      </c>
      <c r="I15">
        <v>0.84456470242772375</v>
      </c>
      <c r="J15">
        <v>-2.308960967564611E-3</v>
      </c>
      <c r="K15">
        <v>9.9803361406896052E-3</v>
      </c>
      <c r="L15">
        <v>0</v>
      </c>
      <c r="M15">
        <v>975432946.75200009</v>
      </c>
      <c r="N15">
        <v>0</v>
      </c>
      <c r="O15" t="b">
        <v>1</v>
      </c>
    </row>
    <row r="16" spans="1:15" x14ac:dyDescent="0.3">
      <c r="A16" s="1" t="s">
        <v>121</v>
      </c>
      <c r="B16">
        <v>1.3931617158906531</v>
      </c>
      <c r="C16">
        <v>9.8417708602295401E-3</v>
      </c>
      <c r="D16">
        <v>1.1274689875385029E-2</v>
      </c>
      <c r="E16">
        <v>61.649809922370871</v>
      </c>
      <c r="F16">
        <v>8.6143629717772008E-3</v>
      </c>
      <c r="G16">
        <v>0.6</v>
      </c>
      <c r="H16">
        <v>-3.090232003904942E-2</v>
      </c>
      <c r="I16">
        <v>0.95089915033756944</v>
      </c>
      <c r="J16">
        <v>0</v>
      </c>
      <c r="K16">
        <v>8.118732907930859E-3</v>
      </c>
      <c r="L16">
        <v>0</v>
      </c>
      <c r="M16">
        <v>341976001.46399999</v>
      </c>
      <c r="N16">
        <v>0</v>
      </c>
      <c r="O16" t="b">
        <v>1</v>
      </c>
    </row>
    <row r="17" spans="1:15" x14ac:dyDescent="0.3">
      <c r="A17" s="1" t="s">
        <v>122</v>
      </c>
      <c r="B17">
        <v>0.57073595769799335</v>
      </c>
      <c r="C17">
        <v>8.59802376469373E-3</v>
      </c>
      <c r="D17">
        <v>1.2753860731938569E-2</v>
      </c>
      <c r="E17">
        <v>62.316289722930819</v>
      </c>
      <c r="F17">
        <v>9.4313082328540965E-3</v>
      </c>
      <c r="G17">
        <v>0.6</v>
      </c>
      <c r="H17">
        <v>-1.2128311753183541E-2</v>
      </c>
      <c r="I17">
        <v>0.82142108412319026</v>
      </c>
      <c r="J17">
        <v>-2.9668853426823022E-4</v>
      </c>
      <c r="K17">
        <v>1.124744064739458E-2</v>
      </c>
      <c r="L17">
        <v>0</v>
      </c>
      <c r="M17">
        <v>63924838.12985</v>
      </c>
      <c r="N17">
        <v>0</v>
      </c>
      <c r="O17" t="b">
        <v>0</v>
      </c>
    </row>
    <row r="18" spans="1:15" x14ac:dyDescent="0.3">
      <c r="A18" s="1" t="s">
        <v>123</v>
      </c>
      <c r="B18">
        <v>8.7658678608664857</v>
      </c>
      <c r="C18">
        <v>2.5546783612235849E-2</v>
      </c>
      <c r="D18">
        <v>2.1420452889575451E-2</v>
      </c>
      <c r="E18">
        <v>58.879976228588902</v>
      </c>
      <c r="F18">
        <v>4.3424053519841799E-2</v>
      </c>
      <c r="G18">
        <v>0.6</v>
      </c>
      <c r="H18">
        <v>-5.6232479959296998E-2</v>
      </c>
      <c r="I18">
        <v>0.74974687243324634</v>
      </c>
      <c r="J18">
        <v>-9.0394501241841674E-3</v>
      </c>
      <c r="K18">
        <v>-3.4560873605947728E-3</v>
      </c>
      <c r="L18">
        <v>0</v>
      </c>
      <c r="M18">
        <v>1330194601.5</v>
      </c>
      <c r="N18">
        <v>0</v>
      </c>
      <c r="O18" t="b">
        <v>1</v>
      </c>
    </row>
    <row r="19" spans="1:15" x14ac:dyDescent="0.3">
      <c r="A19" s="1" t="s">
        <v>124</v>
      </c>
      <c r="B19">
        <v>1.0201988295611419</v>
      </c>
      <c r="C19">
        <v>1.442074981145211E-2</v>
      </c>
      <c r="D19">
        <v>1.0525095695538431E-2</v>
      </c>
      <c r="E19">
        <v>33.242159724493433</v>
      </c>
      <c r="F19">
        <v>-2.615585591910297E-2</v>
      </c>
      <c r="G19">
        <v>0</v>
      </c>
      <c r="H19">
        <v>-9.8826269664237007E-2</v>
      </c>
      <c r="I19">
        <v>-4.6888604371301677E-2</v>
      </c>
      <c r="J19">
        <v>-5.2645674816475307E-2</v>
      </c>
      <c r="K19">
        <v>-5.6085408046058216E-4</v>
      </c>
      <c r="L19">
        <v>0</v>
      </c>
      <c r="M19">
        <v>74836830.139499992</v>
      </c>
      <c r="N19">
        <v>0</v>
      </c>
      <c r="O19" t="b">
        <v>0</v>
      </c>
    </row>
    <row r="20" spans="1:15" x14ac:dyDescent="0.3">
      <c r="A20" s="1" t="s">
        <v>125</v>
      </c>
      <c r="B20">
        <v>7.1944370241123288</v>
      </c>
      <c r="C20">
        <v>2.555114900064754E-2</v>
      </c>
      <c r="D20">
        <v>2.890932982917209E-2</v>
      </c>
      <c r="E20">
        <v>73.199743922135895</v>
      </c>
      <c r="F20">
        <v>0.21795287715792239</v>
      </c>
      <c r="G20">
        <v>0.4</v>
      </c>
      <c r="H20">
        <v>9.5335728022188884E-2</v>
      </c>
      <c r="I20">
        <v>1.6823489653040711</v>
      </c>
      <c r="J20">
        <v>0</v>
      </c>
      <c r="K20">
        <v>1.929481610194039E-2</v>
      </c>
      <c r="L20">
        <v>0</v>
      </c>
      <c r="M20">
        <v>760697177.13199997</v>
      </c>
      <c r="N20">
        <v>0</v>
      </c>
      <c r="O20" t="b">
        <v>1</v>
      </c>
    </row>
    <row r="21" spans="1:15" x14ac:dyDescent="0.3">
      <c r="A21" s="1" t="s">
        <v>126</v>
      </c>
      <c r="B21">
        <v>1.509897610070098</v>
      </c>
      <c r="C21">
        <v>2.613432587162326E-2</v>
      </c>
      <c r="D21">
        <v>3.1266389150922919E-2</v>
      </c>
      <c r="E21">
        <v>44.18729322312484</v>
      </c>
      <c r="F21">
        <v>4.8223221316264109E-2</v>
      </c>
      <c r="G21">
        <v>0.4</v>
      </c>
      <c r="H21">
        <v>-7.0751709854627504E-2</v>
      </c>
      <c r="I21">
        <v>-0.19851508466392431</v>
      </c>
      <c r="J21">
        <v>-4.1653396499329857E-2</v>
      </c>
      <c r="K21">
        <v>2.4099688387040348E-3</v>
      </c>
      <c r="L21">
        <v>0</v>
      </c>
      <c r="M21">
        <v>177902422.67039999</v>
      </c>
      <c r="N21">
        <v>0</v>
      </c>
      <c r="O21" t="b">
        <v>1</v>
      </c>
    </row>
    <row r="22" spans="1:15" x14ac:dyDescent="0.3">
      <c r="A22" s="1" t="s">
        <v>127</v>
      </c>
      <c r="B22">
        <v>4.256672112738161</v>
      </c>
      <c r="C22">
        <v>1.651960272568502E-2</v>
      </c>
      <c r="D22">
        <v>1.24187927381109E-2</v>
      </c>
      <c r="E22">
        <v>49.386727351466831</v>
      </c>
      <c r="F22">
        <v>2.0782163626855921E-2</v>
      </c>
      <c r="G22">
        <v>0.4</v>
      </c>
      <c r="H22">
        <v>-0.2204038705122616</v>
      </c>
      <c r="I22">
        <v>0.27236223659088499</v>
      </c>
      <c r="J22">
        <v>-8.7555299095980477E-3</v>
      </c>
      <c r="K22">
        <v>4.2950906568135494E-3</v>
      </c>
      <c r="L22">
        <v>0</v>
      </c>
      <c r="M22">
        <v>495731700.50400001</v>
      </c>
      <c r="N22">
        <v>0</v>
      </c>
      <c r="O22" t="b">
        <v>1</v>
      </c>
    </row>
    <row r="23" spans="1:15" x14ac:dyDescent="0.3">
      <c r="A23" s="1" t="s">
        <v>128</v>
      </c>
      <c r="B23">
        <v>7.0396663677991986</v>
      </c>
      <c r="C23">
        <v>2.345773531422592E-2</v>
      </c>
      <c r="D23">
        <v>2.3892035988004049E-2</v>
      </c>
      <c r="E23">
        <v>48.079315332438028</v>
      </c>
      <c r="F23">
        <v>4.6197107659347036E-3</v>
      </c>
      <c r="G23">
        <v>0.2</v>
      </c>
      <c r="H23">
        <v>-0.17767809446391361</v>
      </c>
      <c r="I23">
        <v>0.84561562630408671</v>
      </c>
      <c r="J23">
        <v>-3.2715551974214267E-2</v>
      </c>
      <c r="K23">
        <v>-2.161263507896805E-3</v>
      </c>
      <c r="L23">
        <v>0</v>
      </c>
      <c r="M23">
        <v>395505825</v>
      </c>
      <c r="N23">
        <v>0</v>
      </c>
      <c r="O23" t="b">
        <v>1</v>
      </c>
    </row>
    <row r="24" spans="1:15" x14ac:dyDescent="0.3">
      <c r="A24" s="1" t="s">
        <v>129</v>
      </c>
      <c r="B24">
        <v>0.15737918866114589</v>
      </c>
      <c r="C24">
        <v>1.956236030592242E-2</v>
      </c>
      <c r="D24">
        <v>2.098694841516463E-2</v>
      </c>
      <c r="E24">
        <v>46.899333371914501</v>
      </c>
      <c r="F24">
        <v>-3.6904938822014399E-3</v>
      </c>
      <c r="G24">
        <v>0.4</v>
      </c>
      <c r="H24">
        <v>-0.14149723336281339</v>
      </c>
      <c r="I24">
        <v>0.81526727062902848</v>
      </c>
      <c r="J24">
        <v>-3.3413031202316423E-2</v>
      </c>
      <c r="K24">
        <v>1.249987414544762E-2</v>
      </c>
      <c r="L24">
        <v>0</v>
      </c>
      <c r="M24">
        <v>81047659.340865001</v>
      </c>
      <c r="N24">
        <v>0</v>
      </c>
      <c r="O24" t="b">
        <v>0</v>
      </c>
    </row>
    <row r="25" spans="1:15" x14ac:dyDescent="0.3">
      <c r="A25" s="1" t="s">
        <v>130</v>
      </c>
      <c r="B25">
        <v>1.545751421568367</v>
      </c>
      <c r="C25">
        <v>1.5810078976867821E-2</v>
      </c>
      <c r="D25">
        <v>1.1660018410555389E-2</v>
      </c>
      <c r="E25">
        <v>30.290417051446209</v>
      </c>
      <c r="F25">
        <v>-5.6219472170202837E-2</v>
      </c>
      <c r="G25">
        <v>0</v>
      </c>
      <c r="H25">
        <v>-8.5081286555740473E-2</v>
      </c>
      <c r="I25">
        <v>-3.9449677505201709E-3</v>
      </c>
      <c r="J25">
        <v>-7.4060043564731615E-2</v>
      </c>
      <c r="K25">
        <v>-5.7962172056132974E-3</v>
      </c>
      <c r="L25">
        <v>0</v>
      </c>
      <c r="M25">
        <v>155664990.759</v>
      </c>
      <c r="N25">
        <v>0</v>
      </c>
      <c r="O25" t="b">
        <v>1</v>
      </c>
    </row>
    <row r="26" spans="1:15" x14ac:dyDescent="0.3">
      <c r="A26" s="1" t="s">
        <v>131</v>
      </c>
      <c r="B26">
        <v>0.1770615811138187</v>
      </c>
      <c r="C26">
        <v>2.455777824047416E-2</v>
      </c>
      <c r="D26">
        <v>0.11095700416088761</v>
      </c>
      <c r="E26">
        <v>34.056457723067467</v>
      </c>
      <c r="F26">
        <v>-5.7516339869281063E-2</v>
      </c>
      <c r="G26">
        <v>0.2</v>
      </c>
      <c r="H26">
        <v>-9.8613064621633398E-2</v>
      </c>
      <c r="I26">
        <v>0.30113364957019262</v>
      </c>
      <c r="J26">
        <v>-0.10099750623441391</v>
      </c>
      <c r="K26">
        <v>-8.6185044359949226E-2</v>
      </c>
      <c r="L26">
        <v>0</v>
      </c>
      <c r="M26">
        <v>41359519.457774997</v>
      </c>
      <c r="N26">
        <v>0</v>
      </c>
      <c r="O26" t="b">
        <v>0</v>
      </c>
    </row>
    <row r="27" spans="1:15" x14ac:dyDescent="0.3">
      <c r="A27" s="1" t="s">
        <v>132</v>
      </c>
      <c r="B27">
        <v>8.6700144483928874</v>
      </c>
      <c r="C27">
        <v>3.9147579574628111E-2</v>
      </c>
      <c r="D27">
        <v>2.934934754142773E-2</v>
      </c>
      <c r="E27">
        <v>64.168330686842495</v>
      </c>
      <c r="F27">
        <v>1.041115389528624E-2</v>
      </c>
      <c r="G27">
        <v>0.8</v>
      </c>
      <c r="H27">
        <v>0.17336806303529911</v>
      </c>
      <c r="I27">
        <v>2.5584397630471378</v>
      </c>
      <c r="J27">
        <v>-1.712869055668254E-3</v>
      </c>
      <c r="K27">
        <v>9.0387309621720036E-4</v>
      </c>
      <c r="L27">
        <v>0</v>
      </c>
      <c r="M27">
        <v>42176371.9045</v>
      </c>
      <c r="N27">
        <v>1</v>
      </c>
      <c r="O27" t="b">
        <v>0</v>
      </c>
    </row>
    <row r="28" spans="1:15" x14ac:dyDescent="0.3">
      <c r="A28" s="1" t="s">
        <v>133</v>
      </c>
      <c r="B28">
        <v>5.6087310161559234</v>
      </c>
      <c r="C28">
        <v>3.4176655999975152E-2</v>
      </c>
      <c r="D28">
        <v>3.7048321247943529E-2</v>
      </c>
      <c r="E28">
        <v>46.980257972199581</v>
      </c>
      <c r="F28">
        <v>-2.0443489420121089E-2</v>
      </c>
      <c r="G28">
        <v>0.4</v>
      </c>
      <c r="H28">
        <v>2.5307724034536822E-2</v>
      </c>
      <c r="I28">
        <v>0.95858523648605343</v>
      </c>
      <c r="J28">
        <v>-5.7001666379359772E-2</v>
      </c>
      <c r="K28">
        <v>-1.3050276641808909E-2</v>
      </c>
      <c r="L28">
        <v>0</v>
      </c>
      <c r="M28">
        <v>329279263.83520001</v>
      </c>
      <c r="N28">
        <v>0</v>
      </c>
      <c r="O28" t="b">
        <v>1</v>
      </c>
    </row>
    <row r="29" spans="1:15" x14ac:dyDescent="0.3">
      <c r="A29" s="1" t="s">
        <v>134</v>
      </c>
      <c r="B29">
        <v>1.987896932769093</v>
      </c>
      <c r="C29">
        <v>1.7551004138729811E-2</v>
      </c>
      <c r="D29">
        <v>2.4703347930498679E-2</v>
      </c>
      <c r="E29">
        <v>33.274755106412101</v>
      </c>
      <c r="F29">
        <v>-6.8544971586937509E-2</v>
      </c>
      <c r="G29">
        <v>0.2</v>
      </c>
      <c r="H29">
        <v>1.377526565477106E-2</v>
      </c>
      <c r="I29">
        <v>0.15428256331337589</v>
      </c>
      <c r="J29">
        <v>-7.7647212110847907E-2</v>
      </c>
      <c r="K29">
        <v>-1.6455509339261432E-2</v>
      </c>
      <c r="L29">
        <v>0</v>
      </c>
      <c r="M29">
        <v>328539696.25540012</v>
      </c>
      <c r="N29">
        <v>0</v>
      </c>
      <c r="O29" t="b">
        <v>1</v>
      </c>
    </row>
    <row r="30" spans="1:15" x14ac:dyDescent="0.3">
      <c r="A30" s="1" t="s">
        <v>135</v>
      </c>
      <c r="B30">
        <v>2.5908190685645351</v>
      </c>
      <c r="C30">
        <v>1.8537629282802909E-2</v>
      </c>
      <c r="D30">
        <v>1.3594733829421911E-2</v>
      </c>
      <c r="E30">
        <v>66.355571398775055</v>
      </c>
      <c r="F30">
        <v>2.5610919498055159E-2</v>
      </c>
      <c r="G30">
        <v>0.8</v>
      </c>
      <c r="H30">
        <v>7.9010560089897361E-2</v>
      </c>
      <c r="I30">
        <v>0.56894786644019746</v>
      </c>
      <c r="J30">
        <v>-1.6429744981785179E-3</v>
      </c>
      <c r="K30">
        <v>4.2949176807449701E-4</v>
      </c>
      <c r="L30">
        <v>0</v>
      </c>
      <c r="M30">
        <v>144455730.345</v>
      </c>
      <c r="N30">
        <v>0</v>
      </c>
      <c r="O30" t="b">
        <v>1</v>
      </c>
    </row>
    <row r="31" spans="1:15" x14ac:dyDescent="0.3">
      <c r="A31" s="1" t="s">
        <v>136</v>
      </c>
      <c r="B31">
        <v>0.36303732727296972</v>
      </c>
      <c r="C31">
        <v>2.6618567091173492E-2</v>
      </c>
      <c r="D31">
        <v>2.5362026615830209E-2</v>
      </c>
      <c r="E31">
        <v>47.548416682433057</v>
      </c>
      <c r="F31">
        <v>-2.885279520354311E-2</v>
      </c>
      <c r="G31">
        <v>0.4</v>
      </c>
      <c r="H31">
        <v>3.4378627970089358E-2</v>
      </c>
      <c r="I31">
        <v>1.122362491983957</v>
      </c>
      <c r="J31">
        <v>-3.293625469758199E-2</v>
      </c>
      <c r="K31">
        <v>-1.145934505602819E-2</v>
      </c>
      <c r="L31">
        <v>0</v>
      </c>
      <c r="M31">
        <v>140542410.85605001</v>
      </c>
      <c r="N31">
        <v>0</v>
      </c>
      <c r="O31" t="b">
        <v>1</v>
      </c>
    </row>
    <row r="32" spans="1:15" x14ac:dyDescent="0.3">
      <c r="A32" s="1" t="s">
        <v>137</v>
      </c>
      <c r="B32">
        <v>2.6912881867476779</v>
      </c>
      <c r="C32">
        <v>2.060158599722646E-2</v>
      </c>
      <c r="D32">
        <v>1.0594404256133611E-2</v>
      </c>
      <c r="E32">
        <v>43.436389675320463</v>
      </c>
      <c r="F32">
        <v>-5.1286520403494677E-2</v>
      </c>
      <c r="G32">
        <v>0.6</v>
      </c>
      <c r="H32">
        <v>-7.980212944263905E-2</v>
      </c>
      <c r="I32">
        <v>0.19406639598801911</v>
      </c>
      <c r="J32">
        <v>-5.7508332972598608E-2</v>
      </c>
      <c r="K32">
        <v>1.878978449267654E-3</v>
      </c>
      <c r="L32">
        <v>0</v>
      </c>
      <c r="M32">
        <v>57088644.625</v>
      </c>
      <c r="N32">
        <v>0</v>
      </c>
      <c r="O32" t="b">
        <v>0</v>
      </c>
    </row>
    <row r="33" spans="1:15" x14ac:dyDescent="0.3">
      <c r="A33" s="1" t="s">
        <v>138</v>
      </c>
      <c r="B33">
        <v>1.5873190292404771</v>
      </c>
      <c r="C33">
        <v>1.4887210350866849E-2</v>
      </c>
      <c r="D33">
        <v>1.213621826435194E-2</v>
      </c>
      <c r="E33">
        <v>37.254713175786442</v>
      </c>
      <c r="F33">
        <v>-5.1337716761720047E-2</v>
      </c>
      <c r="G33">
        <v>0.4</v>
      </c>
      <c r="H33">
        <v>-6.6852382144238498E-2</v>
      </c>
      <c r="I33">
        <v>-0.14578305462636981</v>
      </c>
      <c r="J33">
        <v>-6.3132644453816944E-2</v>
      </c>
      <c r="K33">
        <v>-7.6873679606138667E-3</v>
      </c>
      <c r="L33">
        <v>0</v>
      </c>
      <c r="M33">
        <v>209318077.59799999</v>
      </c>
      <c r="N33">
        <v>0</v>
      </c>
      <c r="O33" t="b">
        <v>1</v>
      </c>
    </row>
    <row r="34" spans="1:15" x14ac:dyDescent="0.3">
      <c r="A34" s="1" t="s">
        <v>139</v>
      </c>
      <c r="B34">
        <v>3.5503892943966999</v>
      </c>
      <c r="C34">
        <v>5.0104280191881172E-2</v>
      </c>
      <c r="D34">
        <v>4.4171605983629833E-2</v>
      </c>
      <c r="E34">
        <v>52.201381910228299</v>
      </c>
      <c r="F34">
        <v>-6.8734393481403644E-2</v>
      </c>
      <c r="G34">
        <v>0.6</v>
      </c>
      <c r="H34">
        <v>-6.5078811521807334E-2</v>
      </c>
      <c r="I34">
        <v>3.1551532046565338</v>
      </c>
      <c r="J34">
        <v>-0.10246991766941101</v>
      </c>
      <c r="K34">
        <v>3.5662087109032507E-2</v>
      </c>
      <c r="L34">
        <v>0</v>
      </c>
      <c r="M34">
        <v>364610006</v>
      </c>
      <c r="N34">
        <v>0</v>
      </c>
      <c r="O34" t="b">
        <v>1</v>
      </c>
    </row>
    <row r="35" spans="1:15" x14ac:dyDescent="0.3">
      <c r="A35" s="1" t="s">
        <v>140</v>
      </c>
      <c r="B35">
        <v>0.89582285674125273</v>
      </c>
      <c r="C35">
        <v>5.7095147019837651E-2</v>
      </c>
      <c r="D35">
        <v>6.755895474824733E-2</v>
      </c>
      <c r="E35">
        <v>64.782850329620089</v>
      </c>
      <c r="F35">
        <v>0.3207070707070705</v>
      </c>
      <c r="G35">
        <v>0.6</v>
      </c>
      <c r="H35">
        <v>0.14828715422526981</v>
      </c>
      <c r="I35">
        <v>2.5702375793351528</v>
      </c>
      <c r="J35">
        <v>-1.3827781269641791E-2</v>
      </c>
      <c r="K35">
        <v>1.8831168831168869E-2</v>
      </c>
      <c r="L35">
        <v>0</v>
      </c>
      <c r="M35">
        <v>142861895.47495499</v>
      </c>
      <c r="N35">
        <v>0</v>
      </c>
      <c r="O35" t="b">
        <v>1</v>
      </c>
    </row>
    <row r="36" spans="1:15" x14ac:dyDescent="0.3">
      <c r="A36" s="1" t="s">
        <v>141</v>
      </c>
      <c r="B36">
        <v>3.4325973851737079</v>
      </c>
      <c r="C36">
        <v>3.182633361000712E-2</v>
      </c>
      <c r="D36">
        <v>5.0707437832625657E-2</v>
      </c>
      <c r="E36">
        <v>55.461292306687348</v>
      </c>
      <c r="F36">
        <v>2.98979211825483E-2</v>
      </c>
      <c r="G36">
        <v>0.4</v>
      </c>
      <c r="H36">
        <v>-4.2531069533944033E-2</v>
      </c>
      <c r="I36">
        <v>0.93286307646651134</v>
      </c>
      <c r="J36">
        <v>-2.7360940769064371E-2</v>
      </c>
      <c r="K36">
        <v>3.912595261722851E-2</v>
      </c>
      <c r="L36">
        <v>0</v>
      </c>
      <c r="M36">
        <v>77457086.112949997</v>
      </c>
      <c r="N36">
        <v>1</v>
      </c>
      <c r="O36" t="b">
        <v>0</v>
      </c>
    </row>
    <row r="37" spans="1:15" x14ac:dyDescent="0.3">
      <c r="A37" s="1" t="s">
        <v>142</v>
      </c>
      <c r="B37">
        <v>0.26905361861571953</v>
      </c>
      <c r="C37">
        <v>2.70560913464631E-3</v>
      </c>
      <c r="D37">
        <v>3.6965937236344689E-3</v>
      </c>
      <c r="E37">
        <v>51.268986728092237</v>
      </c>
      <c r="F37">
        <v>2.642648577143802E-3</v>
      </c>
      <c r="G37">
        <v>0.2</v>
      </c>
      <c r="H37">
        <v>-9.0172283817378879E-2</v>
      </c>
      <c r="I37">
        <v>4.4107867321887444E-3</v>
      </c>
      <c r="J37">
        <v>-5.3024316565473129E-3</v>
      </c>
      <c r="K37">
        <v>3.2070617906683201E-3</v>
      </c>
      <c r="L37">
        <v>0</v>
      </c>
      <c r="M37">
        <v>768223900.75775003</v>
      </c>
      <c r="N37">
        <v>0</v>
      </c>
      <c r="O37" t="b">
        <v>1</v>
      </c>
    </row>
    <row r="38" spans="1:15" x14ac:dyDescent="0.3">
      <c r="A38" s="1" t="s">
        <v>143</v>
      </c>
      <c r="B38">
        <v>1.364388711774452</v>
      </c>
      <c r="C38">
        <v>3.6686977998775273E-2</v>
      </c>
      <c r="D38">
        <v>4.3022317827372987E-2</v>
      </c>
      <c r="E38">
        <v>63.310089923470073</v>
      </c>
      <c r="F38">
        <v>0.14395570593663501</v>
      </c>
      <c r="G38">
        <v>0.6</v>
      </c>
      <c r="H38">
        <v>5.6714452325534757E-2</v>
      </c>
      <c r="I38">
        <v>1.422696894669591</v>
      </c>
      <c r="J38">
        <v>-8.2666666666667554E-3</v>
      </c>
      <c r="K38">
        <v>1.6675779114269981E-2</v>
      </c>
      <c r="L38">
        <v>0</v>
      </c>
      <c r="M38">
        <v>90173260</v>
      </c>
      <c r="N38">
        <v>0</v>
      </c>
      <c r="O38" t="b">
        <v>0</v>
      </c>
    </row>
    <row r="39" spans="1:15" x14ac:dyDescent="0.3">
      <c r="A39" s="1" t="s">
        <v>144</v>
      </c>
      <c r="B39">
        <v>0.15336644279761319</v>
      </c>
      <c r="C39">
        <v>1.5092151426649599E-2</v>
      </c>
      <c r="D39">
        <v>1.2517221019484369E-2</v>
      </c>
      <c r="E39">
        <v>57.124044972237897</v>
      </c>
      <c r="F39">
        <v>2.4325977983342021E-2</v>
      </c>
      <c r="G39">
        <v>0.6</v>
      </c>
      <c r="H39">
        <v>6.0424621353263657E-3</v>
      </c>
      <c r="I39">
        <v>0.28049504544622977</v>
      </c>
      <c r="J39">
        <v>-2.2593272994834931E-2</v>
      </c>
      <c r="K39">
        <v>3.872446358714976E-3</v>
      </c>
      <c r="L39">
        <v>0</v>
      </c>
      <c r="M39">
        <v>207986317.781095</v>
      </c>
      <c r="N39">
        <v>0</v>
      </c>
      <c r="O39" t="b">
        <v>1</v>
      </c>
    </row>
    <row r="40" spans="1:15" x14ac:dyDescent="0.3">
      <c r="A40" s="1" t="s">
        <v>145</v>
      </c>
      <c r="B40">
        <v>1.167781244583157</v>
      </c>
      <c r="C40">
        <v>2.439586455634573E-2</v>
      </c>
      <c r="D40">
        <v>2.9926046628227568E-2</v>
      </c>
      <c r="E40">
        <v>47.565514132046772</v>
      </c>
      <c r="F40">
        <v>-2.4726170295996889E-2</v>
      </c>
      <c r="G40">
        <v>0.2</v>
      </c>
      <c r="H40">
        <v>8.0443918017686564E-2</v>
      </c>
      <c r="I40">
        <v>3.0207385134293802E-2</v>
      </c>
      <c r="J40">
        <v>-5.2383393943473133E-2</v>
      </c>
      <c r="K40">
        <v>-2.6699280821291031E-2</v>
      </c>
      <c r="L40">
        <v>0</v>
      </c>
      <c r="M40">
        <v>53436696.737899996</v>
      </c>
      <c r="N40">
        <v>0</v>
      </c>
      <c r="O40" t="b">
        <v>0</v>
      </c>
    </row>
    <row r="41" spans="1:15" x14ac:dyDescent="0.3">
      <c r="A41" s="1" t="s">
        <v>146</v>
      </c>
      <c r="B41">
        <v>1.8071261154297831</v>
      </c>
      <c r="C41">
        <v>2.240501921006163E-2</v>
      </c>
      <c r="D41">
        <v>7.9550244739465203E-2</v>
      </c>
      <c r="E41">
        <v>66.977976136899983</v>
      </c>
      <c r="F41">
        <v>5.4082063385647139E-2</v>
      </c>
      <c r="G41">
        <v>0.6</v>
      </c>
      <c r="H41">
        <v>-5.0670424222398532E-3</v>
      </c>
      <c r="I41">
        <v>0.25096371501972742</v>
      </c>
      <c r="J41">
        <v>0</v>
      </c>
      <c r="K41">
        <v>6.0978802049420189E-2</v>
      </c>
      <c r="L41">
        <v>0</v>
      </c>
      <c r="M41">
        <v>325577193.21735001</v>
      </c>
      <c r="N41">
        <v>0</v>
      </c>
      <c r="O41" t="b">
        <v>1</v>
      </c>
    </row>
    <row r="42" spans="1:15" x14ac:dyDescent="0.3">
      <c r="A42" s="1" t="s">
        <v>147</v>
      </c>
      <c r="B42">
        <v>0.9433287486358396</v>
      </c>
      <c r="C42">
        <v>1.8132394326439261E-2</v>
      </c>
      <c r="D42">
        <v>1.6419187113763681E-2</v>
      </c>
      <c r="E42">
        <v>62.262742309761897</v>
      </c>
      <c r="F42">
        <v>-5.7631905022603735E-4</v>
      </c>
      <c r="G42">
        <v>1</v>
      </c>
      <c r="H42">
        <v>0.10767404455845291</v>
      </c>
      <c r="I42">
        <v>1.712868860724551</v>
      </c>
      <c r="J42">
        <v>0</v>
      </c>
      <c r="K42">
        <v>7.7424028761370334E-3</v>
      </c>
      <c r="L42">
        <v>0</v>
      </c>
      <c r="M42">
        <v>37015644.861300007</v>
      </c>
      <c r="N42">
        <v>0</v>
      </c>
      <c r="O42" t="b">
        <v>0</v>
      </c>
    </row>
    <row r="43" spans="1:15" x14ac:dyDescent="0.3">
      <c r="A43" s="1" t="s">
        <v>148</v>
      </c>
      <c r="B43">
        <v>2.1716207905881921</v>
      </c>
      <c r="C43">
        <v>2.136118501099912E-2</v>
      </c>
      <c r="D43">
        <v>3.5202927347484807E-2</v>
      </c>
      <c r="E43">
        <v>63.949617998969927</v>
      </c>
      <c r="F43">
        <v>3.2066945980490091E-2</v>
      </c>
      <c r="G43">
        <v>0.6</v>
      </c>
      <c r="H43">
        <v>6.5750050178021685E-2</v>
      </c>
      <c r="I43">
        <v>1.607954620457305</v>
      </c>
      <c r="J43">
        <v>0</v>
      </c>
      <c r="K43">
        <v>2.84138500321689E-2</v>
      </c>
      <c r="L43">
        <v>0</v>
      </c>
      <c r="M43">
        <v>40832231.541000001</v>
      </c>
      <c r="N43">
        <v>0</v>
      </c>
      <c r="O43" t="b">
        <v>0</v>
      </c>
    </row>
    <row r="44" spans="1:15" x14ac:dyDescent="0.3">
      <c r="A44" s="1" t="s">
        <v>149</v>
      </c>
      <c r="B44">
        <v>6.3576950507023859</v>
      </c>
      <c r="C44">
        <v>2.4097056329106172E-2</v>
      </c>
      <c r="D44">
        <v>4.2029738057967607E-2</v>
      </c>
      <c r="E44">
        <v>62.910292782495389</v>
      </c>
      <c r="F44">
        <v>1.9502299161482162E-2</v>
      </c>
      <c r="G44">
        <v>0.4</v>
      </c>
      <c r="H44">
        <v>-7.1993784842897007E-2</v>
      </c>
      <c r="I44">
        <v>0.72839396776422349</v>
      </c>
      <c r="J44">
        <v>0</v>
      </c>
      <c r="K44">
        <v>2.7282638321068479E-2</v>
      </c>
      <c r="L44">
        <v>0</v>
      </c>
      <c r="M44">
        <v>71423188.7465</v>
      </c>
      <c r="N44">
        <v>0</v>
      </c>
      <c r="O44" t="b">
        <v>0</v>
      </c>
    </row>
    <row r="45" spans="1:15" x14ac:dyDescent="0.3">
      <c r="A45" s="1" t="s">
        <v>150</v>
      </c>
      <c r="B45">
        <v>3.9789478628812849</v>
      </c>
      <c r="C45">
        <v>1.791850715975684E-2</v>
      </c>
      <c r="D45">
        <v>1.2649848237847761E-2</v>
      </c>
      <c r="E45">
        <v>52.236725475338233</v>
      </c>
      <c r="F45">
        <v>-1.011469863190795E-2</v>
      </c>
      <c r="G45">
        <v>0.6</v>
      </c>
      <c r="H45">
        <v>3.9299063779302829E-3</v>
      </c>
      <c r="I45">
        <v>7.7795828220632329E-2</v>
      </c>
      <c r="J45">
        <v>-2.0852165247567171E-2</v>
      </c>
      <c r="K45">
        <v>2.519187358916541E-3</v>
      </c>
      <c r="L45">
        <v>0</v>
      </c>
      <c r="M45">
        <v>76219763.428499997</v>
      </c>
      <c r="N45">
        <v>0</v>
      </c>
      <c r="O45" t="b">
        <v>0</v>
      </c>
    </row>
    <row r="46" spans="1:15" x14ac:dyDescent="0.3">
      <c r="A46" s="1" t="s">
        <v>151</v>
      </c>
      <c r="B46">
        <v>4.9812312072129066</v>
      </c>
      <c r="C46">
        <v>2.0716286991943889E-2</v>
      </c>
      <c r="D46">
        <v>1.7092950717404801E-2</v>
      </c>
      <c r="E46">
        <v>33.787747418468193</v>
      </c>
      <c r="F46">
        <v>-3.9717246750134882E-2</v>
      </c>
      <c r="G46">
        <v>0.6</v>
      </c>
      <c r="H46">
        <v>-0.22421196846937649</v>
      </c>
      <c r="I46">
        <v>-0.2042160221978013</v>
      </c>
      <c r="J46">
        <v>-7.0268305603136572E-2</v>
      </c>
      <c r="K46">
        <v>2.2508440665249818E-3</v>
      </c>
      <c r="L46">
        <v>0</v>
      </c>
      <c r="M46">
        <v>434322184.73100001</v>
      </c>
      <c r="N46">
        <v>0</v>
      </c>
      <c r="O46" t="b">
        <v>1</v>
      </c>
    </row>
    <row r="47" spans="1:15" x14ac:dyDescent="0.3">
      <c r="A47" s="1" t="s">
        <v>152</v>
      </c>
      <c r="B47">
        <v>2.4890236615875461</v>
      </c>
      <c r="C47">
        <v>2.879148249378306E-2</v>
      </c>
      <c r="D47">
        <v>1.7929438982070531E-2</v>
      </c>
      <c r="E47">
        <v>54.285516210040932</v>
      </c>
      <c r="F47">
        <v>-7.6905417814508992E-3</v>
      </c>
      <c r="G47">
        <v>0.6</v>
      </c>
      <c r="H47">
        <v>3.7407304406411809E-2</v>
      </c>
      <c r="I47">
        <v>0.87288037269086927</v>
      </c>
      <c r="J47">
        <v>-4.6962848638518302E-2</v>
      </c>
      <c r="K47">
        <v>9.2225075881391394E-3</v>
      </c>
      <c r="L47">
        <v>0</v>
      </c>
      <c r="M47">
        <v>145276524.5</v>
      </c>
      <c r="N47">
        <v>0</v>
      </c>
      <c r="O47" t="b">
        <v>1</v>
      </c>
    </row>
    <row r="48" spans="1:15" x14ac:dyDescent="0.3">
      <c r="A48" s="1" t="s">
        <v>153</v>
      </c>
      <c r="B48">
        <v>0.80092401265161672</v>
      </c>
      <c r="C48">
        <v>1.23466010891262E-2</v>
      </c>
      <c r="D48">
        <v>1.325728379836595E-2</v>
      </c>
      <c r="E48">
        <v>48.623220120502317</v>
      </c>
      <c r="F48">
        <v>1.264439587886357E-2</v>
      </c>
      <c r="G48">
        <v>0.6</v>
      </c>
      <c r="H48">
        <v>0</v>
      </c>
      <c r="I48">
        <v>1</v>
      </c>
      <c r="J48">
        <v>-4.1449186367822346E-3</v>
      </c>
      <c r="K48">
        <v>5.8923864164988071E-3</v>
      </c>
      <c r="O48" t="b">
        <v>0</v>
      </c>
    </row>
    <row r="49" spans="1:15" x14ac:dyDescent="0.3">
      <c r="A49" s="1" t="s">
        <v>154</v>
      </c>
      <c r="B49">
        <v>0.18003480950465181</v>
      </c>
      <c r="C49">
        <v>2.8148031504792339E-3</v>
      </c>
      <c r="D49">
        <v>1.5634771732334039E-3</v>
      </c>
      <c r="E49">
        <v>64.475097712622699</v>
      </c>
      <c r="F49">
        <v>5.9624824436268486E-3</v>
      </c>
      <c r="G49">
        <v>0.4</v>
      </c>
      <c r="H49">
        <v>-8.3716419439266221E-2</v>
      </c>
      <c r="I49">
        <v>3.2790674716249593E-2</v>
      </c>
      <c r="J49">
        <v>-2.184087363494402E-3</v>
      </c>
      <c r="K49">
        <v>0</v>
      </c>
      <c r="L49">
        <v>0</v>
      </c>
      <c r="M49">
        <v>47240299.4375</v>
      </c>
      <c r="N49">
        <v>0</v>
      </c>
      <c r="O49" t="b">
        <v>0</v>
      </c>
    </row>
    <row r="50" spans="1:15" x14ac:dyDescent="0.3">
      <c r="A50" s="1" t="s">
        <v>155</v>
      </c>
      <c r="B50">
        <v>13.31163625190878</v>
      </c>
      <c r="C50">
        <v>8.1012909666851984E-2</v>
      </c>
      <c r="D50">
        <v>2.79280649971092E-2</v>
      </c>
      <c r="E50">
        <v>52.126248183632782</v>
      </c>
      <c r="F50">
        <v>-5.4247726487855467E-2</v>
      </c>
      <c r="G50">
        <v>0.6</v>
      </c>
      <c r="H50">
        <v>-9.3866361938792595E-2</v>
      </c>
      <c r="I50">
        <v>2.6426610632209888</v>
      </c>
      <c r="J50">
        <v>-6.5010811425970205E-2</v>
      </c>
      <c r="K50">
        <v>-1.654895858271499E-2</v>
      </c>
      <c r="L50">
        <v>0</v>
      </c>
      <c r="M50">
        <v>542068009</v>
      </c>
      <c r="N50">
        <v>0</v>
      </c>
      <c r="O50" t="b">
        <v>1</v>
      </c>
    </row>
    <row r="51" spans="1:15" x14ac:dyDescent="0.3">
      <c r="A51" s="1" t="s">
        <v>156</v>
      </c>
      <c r="B51">
        <v>6.2191392822474576</v>
      </c>
      <c r="C51">
        <v>4.6827694525577758E-2</v>
      </c>
      <c r="D51">
        <v>3.8137475622886989E-2</v>
      </c>
      <c r="E51">
        <v>67.32380869273635</v>
      </c>
      <c r="F51">
        <v>0.28606150985784562</v>
      </c>
      <c r="G51">
        <v>0.8</v>
      </c>
      <c r="H51">
        <v>0.24698637963644621</v>
      </c>
      <c r="I51">
        <v>1.9423087332614379</v>
      </c>
      <c r="J51">
        <v>0</v>
      </c>
      <c r="K51">
        <v>3.031784082357758E-2</v>
      </c>
      <c r="L51">
        <v>0</v>
      </c>
      <c r="M51">
        <v>229870581.90239999</v>
      </c>
      <c r="N51">
        <v>0</v>
      </c>
      <c r="O51" t="b">
        <v>1</v>
      </c>
    </row>
    <row r="52" spans="1:15" x14ac:dyDescent="0.3">
      <c r="A52" s="1" t="s">
        <v>157</v>
      </c>
      <c r="B52">
        <v>1.612898669448261</v>
      </c>
      <c r="C52">
        <v>2.0108448690291249E-2</v>
      </c>
      <c r="D52">
        <v>2.1443710260566001E-2</v>
      </c>
      <c r="E52">
        <v>58.832207633828709</v>
      </c>
      <c r="F52">
        <v>7.8236322086301824E-2</v>
      </c>
      <c r="G52">
        <v>0.4</v>
      </c>
      <c r="H52">
        <v>-3.8461845803698713E-2</v>
      </c>
      <c r="I52">
        <v>0.74534907143078077</v>
      </c>
      <c r="J52">
        <v>-6.44122383252832E-3</v>
      </c>
      <c r="K52">
        <v>1.957544171857117E-2</v>
      </c>
      <c r="L52">
        <v>0</v>
      </c>
      <c r="M52">
        <v>135219857.5036</v>
      </c>
      <c r="N52">
        <v>0</v>
      </c>
      <c r="O52" t="b">
        <v>1</v>
      </c>
    </row>
    <row r="53" spans="1:15" x14ac:dyDescent="0.3">
      <c r="A53" s="1" t="s">
        <v>158</v>
      </c>
      <c r="B53">
        <v>4.9535563897820243</v>
      </c>
      <c r="C53">
        <v>3.009816739447092E-2</v>
      </c>
      <c r="D53">
        <v>4.6238911167821202E-2</v>
      </c>
      <c r="E53">
        <v>79.175434499204187</v>
      </c>
      <c r="F53">
        <v>0.19062432178253649</v>
      </c>
      <c r="G53">
        <v>1</v>
      </c>
      <c r="H53">
        <v>0.13571337259691571</v>
      </c>
      <c r="I53">
        <v>1.394909322839696</v>
      </c>
      <c r="J53">
        <v>0</v>
      </c>
      <c r="K53">
        <v>3.5094339622641517E-2</v>
      </c>
      <c r="L53">
        <v>0</v>
      </c>
      <c r="M53">
        <v>169924492</v>
      </c>
      <c r="N53">
        <v>0</v>
      </c>
      <c r="O53" t="b">
        <v>1</v>
      </c>
    </row>
    <row r="54" spans="1:15" x14ac:dyDescent="0.3">
      <c r="A54" s="1" t="s">
        <v>159</v>
      </c>
      <c r="B54">
        <v>3.5611039508382918</v>
      </c>
      <c r="C54">
        <v>1.7700203543109961E-2</v>
      </c>
      <c r="D54">
        <v>1.302251602962376E-2</v>
      </c>
      <c r="E54">
        <v>40.721149696827403</v>
      </c>
      <c r="F54">
        <v>-8.5890417034193423E-3</v>
      </c>
      <c r="G54">
        <v>0.4</v>
      </c>
      <c r="H54">
        <v>-4.6085221253545978E-2</v>
      </c>
      <c r="I54">
        <v>-4.5039438183619697E-2</v>
      </c>
      <c r="J54">
        <v>-5.6836400798822351E-2</v>
      </c>
      <c r="K54">
        <v>6.9634419298680861E-4</v>
      </c>
      <c r="L54">
        <v>0</v>
      </c>
      <c r="M54">
        <v>290543197.27700001</v>
      </c>
      <c r="N54">
        <v>0</v>
      </c>
      <c r="O54" t="b">
        <v>1</v>
      </c>
    </row>
    <row r="55" spans="1:15" x14ac:dyDescent="0.3">
      <c r="A55" s="1" t="s">
        <v>160</v>
      </c>
      <c r="B55">
        <v>3.171467640652001</v>
      </c>
      <c r="C55">
        <v>1.978457667281348E-2</v>
      </c>
      <c r="D55">
        <v>2.2707423580786121E-2</v>
      </c>
      <c r="E55">
        <v>41.30265128757943</v>
      </c>
      <c r="F55">
        <v>-3.9429530201342211E-2</v>
      </c>
      <c r="G55">
        <v>0.2</v>
      </c>
      <c r="H55">
        <v>-0.20674943962277109</v>
      </c>
      <c r="I55">
        <v>0.51331365475026591</v>
      </c>
      <c r="J55">
        <v>-4.7986696757334468E-2</v>
      </c>
      <c r="K55">
        <v>1.784240269223436E-2</v>
      </c>
      <c r="L55">
        <v>0</v>
      </c>
      <c r="M55">
        <v>126599655.67749999</v>
      </c>
      <c r="N55">
        <v>0</v>
      </c>
      <c r="O55" t="b">
        <v>1</v>
      </c>
    </row>
    <row r="56" spans="1:15" x14ac:dyDescent="0.3">
      <c r="A56" s="1" t="s">
        <v>161</v>
      </c>
      <c r="B56">
        <v>1.164268544908964</v>
      </c>
      <c r="C56">
        <v>2.6356242088928721E-2</v>
      </c>
      <c r="D56">
        <v>6.1811958536977372E-2</v>
      </c>
      <c r="E56">
        <v>71.976953777560283</v>
      </c>
      <c r="F56">
        <v>0.13292418328144159</v>
      </c>
      <c r="G56">
        <v>0.6</v>
      </c>
      <c r="H56">
        <v>2.4688521369688441E-2</v>
      </c>
      <c r="I56">
        <v>1.551889482894431</v>
      </c>
      <c r="J56">
        <v>0</v>
      </c>
      <c r="K56">
        <v>5.0778313780340589E-2</v>
      </c>
      <c r="L56">
        <v>0</v>
      </c>
      <c r="M56">
        <v>118341221.7203</v>
      </c>
      <c r="N56">
        <v>0</v>
      </c>
      <c r="O56" t="b">
        <v>1</v>
      </c>
    </row>
    <row r="57" spans="1:15" x14ac:dyDescent="0.3">
      <c r="A57" s="1" t="s">
        <v>162</v>
      </c>
      <c r="B57">
        <v>17.39717003112824</v>
      </c>
      <c r="C57">
        <v>4.3013326487485147E-2</v>
      </c>
      <c r="D57">
        <v>3.2636107402462519E-2</v>
      </c>
      <c r="E57">
        <v>32.663326806281567</v>
      </c>
      <c r="F57">
        <v>-8.4310618066561038E-2</v>
      </c>
      <c r="G57">
        <v>0</v>
      </c>
      <c r="H57">
        <v>-0.13963750911288389</v>
      </c>
      <c r="I57">
        <v>0.46145456230850629</v>
      </c>
      <c r="J57">
        <v>-0.14542880686260021</v>
      </c>
      <c r="K57">
        <v>-2.5890513234267051E-2</v>
      </c>
      <c r="L57">
        <v>0</v>
      </c>
      <c r="M57">
        <v>293556296.5</v>
      </c>
      <c r="N57">
        <v>0</v>
      </c>
      <c r="O57" t="b">
        <v>1</v>
      </c>
    </row>
    <row r="58" spans="1:15" x14ac:dyDescent="0.3">
      <c r="A58" s="1" t="s">
        <v>163</v>
      </c>
      <c r="B58">
        <v>2.6010456047830459</v>
      </c>
      <c r="C58">
        <v>2.650071935591489E-2</v>
      </c>
      <c r="D58">
        <v>5.0840550178298458E-2</v>
      </c>
      <c r="E58">
        <v>78.286998317791955</v>
      </c>
      <c r="F58">
        <v>0.1896263131038278</v>
      </c>
      <c r="G58">
        <v>0.6</v>
      </c>
      <c r="H58">
        <v>4.5701595568149213E-2</v>
      </c>
      <c r="I58">
        <v>0.74784786113158308</v>
      </c>
      <c r="J58">
        <v>0</v>
      </c>
      <c r="K58">
        <v>4.7268459240290328E-2</v>
      </c>
      <c r="L58">
        <v>0</v>
      </c>
      <c r="M58">
        <v>70300767.139200002</v>
      </c>
      <c r="N58">
        <v>0</v>
      </c>
      <c r="O58" t="b">
        <v>0</v>
      </c>
    </row>
    <row r="59" spans="1:15" x14ac:dyDescent="0.3">
      <c r="A59" s="1" t="s">
        <v>164</v>
      </c>
      <c r="B59">
        <v>2.6765909120000302</v>
      </c>
      <c r="C59">
        <v>2.2329114140318931E-2</v>
      </c>
      <c r="D59">
        <v>3.6789855676983368E-2</v>
      </c>
      <c r="E59">
        <v>53.65372618255028</v>
      </c>
      <c r="F59">
        <v>-2.0029431000653911E-2</v>
      </c>
      <c r="G59">
        <v>0.4</v>
      </c>
      <c r="H59">
        <v>-0.12020714562138909</v>
      </c>
      <c r="I59">
        <v>0.93220605861705075</v>
      </c>
      <c r="J59">
        <v>-3.7266083045538467E-2</v>
      </c>
      <c r="K59">
        <v>3.2560944095098687E-2</v>
      </c>
      <c r="L59">
        <v>0</v>
      </c>
      <c r="M59">
        <v>70430206.623549998</v>
      </c>
      <c r="N59">
        <v>0</v>
      </c>
      <c r="O59" t="b">
        <v>0</v>
      </c>
    </row>
    <row r="60" spans="1:15" x14ac:dyDescent="0.3">
      <c r="A60" s="1" t="s">
        <v>165</v>
      </c>
      <c r="B60">
        <v>0.3936132500000768</v>
      </c>
      <c r="C60">
        <v>2.1901715465344411E-2</v>
      </c>
      <c r="D60">
        <v>3.902781023603643E-2</v>
      </c>
      <c r="E60">
        <v>53.213484580101358</v>
      </c>
      <c r="F60">
        <v>1.904637699238498E-2</v>
      </c>
      <c r="G60">
        <v>0.6</v>
      </c>
      <c r="H60">
        <v>-6.2367095404201087E-2</v>
      </c>
      <c r="I60">
        <v>0.37423187568221272</v>
      </c>
      <c r="J60">
        <v>-2.6235370611183199E-2</v>
      </c>
      <c r="K60">
        <v>-2.0994487176693499E-2</v>
      </c>
      <c r="L60">
        <v>0</v>
      </c>
      <c r="M60">
        <v>42970501.555299997</v>
      </c>
      <c r="N60">
        <v>0</v>
      </c>
      <c r="O60" t="b">
        <v>0</v>
      </c>
    </row>
    <row r="61" spans="1:15" x14ac:dyDescent="0.3">
      <c r="A61" s="1" t="s">
        <v>166</v>
      </c>
      <c r="B61">
        <v>8.9281658698298862</v>
      </c>
      <c r="C61">
        <v>3.2488858980411289E-2</v>
      </c>
      <c r="D61">
        <v>3.7215209219561271E-2</v>
      </c>
      <c r="E61">
        <v>72.635021281245841</v>
      </c>
      <c r="F61">
        <v>0.17274504113891639</v>
      </c>
      <c r="G61">
        <v>0.6</v>
      </c>
      <c r="H61">
        <v>0.31181610234826751</v>
      </c>
      <c r="I61">
        <v>2.316415276051651</v>
      </c>
      <c r="J61">
        <v>0</v>
      </c>
      <c r="K61">
        <v>2.998422080380192E-2</v>
      </c>
      <c r="L61">
        <v>0</v>
      </c>
      <c r="M61">
        <v>1201257142.8050001</v>
      </c>
      <c r="N61">
        <v>0</v>
      </c>
      <c r="O61" t="b">
        <v>1</v>
      </c>
    </row>
    <row r="62" spans="1:15" x14ac:dyDescent="0.3">
      <c r="A62" s="1" t="s">
        <v>167</v>
      </c>
      <c r="B62">
        <v>0.75548810023502999</v>
      </c>
      <c r="C62">
        <v>1.8426539030122681E-2</v>
      </c>
      <c r="D62">
        <v>1.463414634146328E-2</v>
      </c>
      <c r="E62">
        <v>43.824043026820107</v>
      </c>
      <c r="F62">
        <v>-2.7283511269276309E-2</v>
      </c>
      <c r="G62">
        <v>0.2</v>
      </c>
      <c r="H62">
        <v>-6.8615626087770568E-2</v>
      </c>
      <c r="I62">
        <v>0.10007489253737541</v>
      </c>
      <c r="J62">
        <v>-4.8723897911832958E-2</v>
      </c>
      <c r="K62">
        <v>1.1097410604192341E-2</v>
      </c>
      <c r="L62">
        <v>0</v>
      </c>
      <c r="M62">
        <v>200347140</v>
      </c>
      <c r="N62">
        <v>0</v>
      </c>
      <c r="O62" t="b">
        <v>1</v>
      </c>
    </row>
    <row r="63" spans="1:15" x14ac:dyDescent="0.3">
      <c r="A63" s="1" t="s">
        <v>168</v>
      </c>
      <c r="B63">
        <v>10.750205371374131</v>
      </c>
      <c r="C63">
        <v>4.8551193981456631E-2</v>
      </c>
      <c r="D63">
        <v>1.7794237196278689E-2</v>
      </c>
      <c r="E63">
        <v>48.737756568219837</v>
      </c>
      <c r="F63">
        <v>-9.2466595622592074E-2</v>
      </c>
      <c r="G63">
        <v>0.6</v>
      </c>
      <c r="H63">
        <v>0.13419686135790521</v>
      </c>
      <c r="I63">
        <v>2.9964532543551239</v>
      </c>
      <c r="J63">
        <v>-0.14473328440650471</v>
      </c>
      <c r="K63">
        <v>-9.024456276509607E-4</v>
      </c>
      <c r="L63">
        <v>0</v>
      </c>
      <c r="M63">
        <v>5917527342</v>
      </c>
      <c r="N63">
        <v>0</v>
      </c>
      <c r="O63" t="b">
        <v>1</v>
      </c>
    </row>
    <row r="64" spans="1:15" x14ac:dyDescent="0.3">
      <c r="A64" s="1" t="s">
        <v>169</v>
      </c>
      <c r="B64">
        <v>3.6204439702673219</v>
      </c>
      <c r="C64">
        <v>1.804267901060163E-2</v>
      </c>
      <c r="D64">
        <v>2.9054121399382099E-2</v>
      </c>
      <c r="E64">
        <v>60.52360562498621</v>
      </c>
      <c r="F64">
        <v>1.496191237316769E-2</v>
      </c>
      <c r="G64">
        <v>0.4</v>
      </c>
      <c r="H64">
        <v>4.851394269803304E-3</v>
      </c>
      <c r="I64">
        <v>0.55312519173138419</v>
      </c>
      <c r="J64">
        <v>0</v>
      </c>
      <c r="K64">
        <v>2.3932234525692712E-2</v>
      </c>
      <c r="L64">
        <v>0</v>
      </c>
      <c r="M64">
        <v>214791086.755</v>
      </c>
      <c r="N64">
        <v>0</v>
      </c>
      <c r="O64" t="b">
        <v>1</v>
      </c>
    </row>
    <row r="65" spans="1:15" x14ac:dyDescent="0.3">
      <c r="A65" s="1" t="s">
        <v>170</v>
      </c>
      <c r="B65">
        <v>7.2817807058028059</v>
      </c>
      <c r="C65">
        <v>2.6043564756090151E-2</v>
      </c>
      <c r="D65">
        <v>3.8304721030042843E-2</v>
      </c>
      <c r="E65">
        <v>71.452325332739434</v>
      </c>
      <c r="F65">
        <v>7.7207582061951108E-2</v>
      </c>
      <c r="G65">
        <v>0.8</v>
      </c>
      <c r="H65">
        <v>0.13367352666114951</v>
      </c>
      <c r="I65">
        <v>1.2952527368982749</v>
      </c>
      <c r="J65">
        <v>0</v>
      </c>
      <c r="K65">
        <v>3.1505939644359333E-2</v>
      </c>
      <c r="L65">
        <v>0</v>
      </c>
      <c r="M65">
        <v>41899258.870499998</v>
      </c>
      <c r="N65">
        <v>0</v>
      </c>
      <c r="O65" t="b">
        <v>0</v>
      </c>
    </row>
    <row r="66" spans="1:15" x14ac:dyDescent="0.3">
      <c r="A66" s="1" t="s">
        <v>171</v>
      </c>
      <c r="B66">
        <v>7.7892551128972558</v>
      </c>
      <c r="C66">
        <v>2.4869113734865601E-2</v>
      </c>
      <c r="D66">
        <v>1.417259985313375E-2</v>
      </c>
      <c r="E66">
        <v>41.906883084535018</v>
      </c>
      <c r="F66">
        <v>-1.8630387647420199E-2</v>
      </c>
      <c r="G66">
        <v>0.2</v>
      </c>
      <c r="H66">
        <v>6.7547049871693673E-2</v>
      </c>
      <c r="I66">
        <v>0.75291461783767721</v>
      </c>
      <c r="J66">
        <v>-8.7072224505440499E-2</v>
      </c>
      <c r="K66">
        <v>4.8766402515318941E-3</v>
      </c>
      <c r="L66">
        <v>0</v>
      </c>
      <c r="M66">
        <v>741548549.34899998</v>
      </c>
      <c r="N66">
        <v>0</v>
      </c>
      <c r="O66" t="b">
        <v>1</v>
      </c>
    </row>
    <row r="67" spans="1:15" x14ac:dyDescent="0.3">
      <c r="A67" s="1" t="s">
        <v>172</v>
      </c>
      <c r="B67">
        <v>0.57560913941533776</v>
      </c>
      <c r="C67">
        <v>1.8846046335632988E-2</v>
      </c>
      <c r="D67">
        <v>2.5937458050532571E-2</v>
      </c>
      <c r="E67">
        <v>39.767320274683371</v>
      </c>
      <c r="F67">
        <v>-2.1882405687568052E-2</v>
      </c>
      <c r="G67">
        <v>0.2</v>
      </c>
      <c r="H67">
        <v>-0.18955817124971949</v>
      </c>
      <c r="I67">
        <v>8.7869468526762626E-2</v>
      </c>
      <c r="J67">
        <v>-4.8736276570894743E-2</v>
      </c>
      <c r="K67">
        <v>2.2544887225345089E-2</v>
      </c>
      <c r="L67">
        <v>0</v>
      </c>
      <c r="M67">
        <v>79037169.755100012</v>
      </c>
      <c r="N67">
        <v>0</v>
      </c>
      <c r="O67" t="b">
        <v>0</v>
      </c>
    </row>
    <row r="68" spans="1:15" x14ac:dyDescent="0.3">
      <c r="A68" s="1" t="s">
        <v>173</v>
      </c>
      <c r="B68">
        <v>1.967703656231006</v>
      </c>
      <c r="C68">
        <v>4.2000078041216783E-2</v>
      </c>
      <c r="D68">
        <v>5.0373532550693691E-2</v>
      </c>
      <c r="E68">
        <v>78.82213635418276</v>
      </c>
      <c r="F68">
        <v>0.33334471727969223</v>
      </c>
      <c r="G68">
        <v>0.6</v>
      </c>
      <c r="H68">
        <v>0.26155695277594693</v>
      </c>
      <c r="I68">
        <v>3.1762339939436051</v>
      </c>
      <c r="J68">
        <v>0</v>
      </c>
      <c r="K68">
        <v>5.0212956736157777E-2</v>
      </c>
      <c r="L68">
        <v>0</v>
      </c>
      <c r="M68">
        <v>42857506.17735</v>
      </c>
      <c r="N68">
        <v>0</v>
      </c>
      <c r="O68" t="b">
        <v>0</v>
      </c>
    </row>
    <row r="69" spans="1:15" x14ac:dyDescent="0.3">
      <c r="A69" s="1" t="s">
        <v>174</v>
      </c>
      <c r="B69">
        <v>0.49201892309156969</v>
      </c>
      <c r="C69">
        <v>1.058899955217076E-2</v>
      </c>
      <c r="D69">
        <v>7.8058585906410766E-3</v>
      </c>
      <c r="E69">
        <v>56.586148938081763</v>
      </c>
      <c r="F69">
        <v>2.2597676409548791E-2</v>
      </c>
      <c r="G69">
        <v>0.2</v>
      </c>
      <c r="H69">
        <v>-5.9902626791797017E-2</v>
      </c>
      <c r="I69">
        <v>0.29763449118179841</v>
      </c>
      <c r="J69">
        <v>-1.4143347258851359E-2</v>
      </c>
      <c r="K69">
        <v>-4.2164411085787718E-4</v>
      </c>
      <c r="L69">
        <v>0</v>
      </c>
      <c r="M69">
        <v>66310583.796999998</v>
      </c>
      <c r="N69">
        <v>0</v>
      </c>
      <c r="O69" t="b">
        <v>0</v>
      </c>
    </row>
    <row r="70" spans="1:15" x14ac:dyDescent="0.3">
      <c r="A70" s="1" t="s">
        <v>175</v>
      </c>
      <c r="B70">
        <v>10.959001962077579</v>
      </c>
      <c r="C70">
        <v>2.210389770384449E-2</v>
      </c>
      <c r="D70">
        <v>4.4262245484524843E-2</v>
      </c>
      <c r="E70">
        <v>72.18870499450739</v>
      </c>
      <c r="F70">
        <v>8.2647118553020427E-2</v>
      </c>
      <c r="G70">
        <v>0.8</v>
      </c>
      <c r="H70">
        <v>-5.9301423371042487E-2</v>
      </c>
      <c r="I70">
        <v>0.96665047836554452</v>
      </c>
      <c r="J70">
        <v>0</v>
      </c>
      <c r="K70">
        <v>3.9836325846632097E-2</v>
      </c>
      <c r="L70">
        <v>0</v>
      </c>
      <c r="M70">
        <v>235960507.454</v>
      </c>
      <c r="N70">
        <v>0</v>
      </c>
      <c r="O70" t="b">
        <v>1</v>
      </c>
    </row>
    <row r="71" spans="1:15" x14ac:dyDescent="0.3">
      <c r="A71" s="1" t="s">
        <v>176</v>
      </c>
      <c r="B71">
        <v>1.308380682202638</v>
      </c>
      <c r="C71">
        <v>2.3993777410648051E-2</v>
      </c>
      <c r="D71">
        <v>2.9506693563176131E-2</v>
      </c>
      <c r="E71">
        <v>65.747082116183208</v>
      </c>
      <c r="F71">
        <v>0.1187935986869102</v>
      </c>
      <c r="G71">
        <v>0.8</v>
      </c>
      <c r="H71">
        <v>-5.5021343517539463E-2</v>
      </c>
      <c r="I71">
        <v>0.97504728932845164</v>
      </c>
      <c r="J71">
        <v>-3.8363171355498831E-3</v>
      </c>
      <c r="K71">
        <v>1.906185759671097E-2</v>
      </c>
      <c r="O71" t="b">
        <v>0</v>
      </c>
    </row>
    <row r="72" spans="1:15" x14ac:dyDescent="0.3">
      <c r="A72" s="1" t="s">
        <v>177</v>
      </c>
      <c r="B72">
        <v>3.7914194064224409</v>
      </c>
      <c r="C72">
        <v>2.1237708342468149E-2</v>
      </c>
      <c r="D72">
        <v>1.7084633352565281E-2</v>
      </c>
      <c r="E72">
        <v>48.658157505801817</v>
      </c>
      <c r="F72">
        <v>3.0058206171201811E-3</v>
      </c>
      <c r="G72">
        <v>0.8</v>
      </c>
      <c r="H72">
        <v>-0.13012311131452731</v>
      </c>
      <c r="I72">
        <v>-7.4914774476151802E-2</v>
      </c>
      <c r="J72">
        <v>-2.4512455671578889E-2</v>
      </c>
      <c r="K72">
        <v>3.9534360589359441E-3</v>
      </c>
      <c r="L72">
        <v>0</v>
      </c>
      <c r="M72">
        <v>511424426.53600001</v>
      </c>
      <c r="N72">
        <v>0</v>
      </c>
      <c r="O72" t="b">
        <v>1</v>
      </c>
    </row>
    <row r="73" spans="1:15" x14ac:dyDescent="0.3">
      <c r="A73" s="1" t="s">
        <v>178</v>
      </c>
      <c r="B73">
        <v>1.3053987528778961</v>
      </c>
      <c r="C73">
        <v>4.4101309218847841E-2</v>
      </c>
      <c r="D73">
        <v>3.7499999999999978E-2</v>
      </c>
      <c r="E73">
        <v>68.453992362583236</v>
      </c>
      <c r="F73">
        <v>0.29767645769399409</v>
      </c>
      <c r="G73">
        <v>0.6</v>
      </c>
      <c r="H73">
        <v>8.9411721447144682E-2</v>
      </c>
      <c r="I73">
        <v>1.808103056377854</v>
      </c>
      <c r="J73">
        <v>-1.333333333333331E-2</v>
      </c>
      <c r="K73">
        <v>2.635228848821081E-2</v>
      </c>
      <c r="L73">
        <v>0</v>
      </c>
      <c r="M73">
        <v>41262205.5</v>
      </c>
      <c r="N73">
        <v>0</v>
      </c>
      <c r="O73" t="b">
        <v>0</v>
      </c>
    </row>
    <row r="74" spans="1:15" x14ac:dyDescent="0.3">
      <c r="A74" s="1" t="s">
        <v>179</v>
      </c>
      <c r="B74">
        <v>0.47628752341828101</v>
      </c>
      <c r="C74">
        <v>2.2360916592407559E-2</v>
      </c>
      <c r="D74">
        <v>1.455399061032858E-2</v>
      </c>
      <c r="E74">
        <v>34.128570700039113</v>
      </c>
      <c r="F74">
        <v>-7.951598962834916E-2</v>
      </c>
      <c r="G74">
        <v>0.4</v>
      </c>
      <c r="H74">
        <v>9.3961984836669083E-3</v>
      </c>
      <c r="I74">
        <v>0.2403472049047192</v>
      </c>
      <c r="J74">
        <v>-9.3617021276595769E-2</v>
      </c>
      <c r="K74">
        <v>1.4104372355430159E-3</v>
      </c>
      <c r="L74">
        <v>0</v>
      </c>
      <c r="M74">
        <v>32679298.682</v>
      </c>
      <c r="N74">
        <v>0</v>
      </c>
      <c r="O74" t="b">
        <v>0</v>
      </c>
    </row>
    <row r="75" spans="1:15" x14ac:dyDescent="0.3">
      <c r="A75" s="1" t="s">
        <v>180</v>
      </c>
      <c r="B75">
        <v>5.5891167240314017</v>
      </c>
      <c r="C75">
        <v>2.4113886979167321E-2</v>
      </c>
      <c r="D75">
        <v>1.94149624644059E-2</v>
      </c>
      <c r="E75">
        <v>51.415343762669913</v>
      </c>
      <c r="F75">
        <v>-6.6908212560386482E-2</v>
      </c>
      <c r="G75">
        <v>0.6</v>
      </c>
      <c r="H75">
        <v>-2.5553984111939598E-2</v>
      </c>
      <c r="I75">
        <v>1.723854592604835</v>
      </c>
      <c r="J75">
        <v>-6.953030911280611E-2</v>
      </c>
      <c r="K75">
        <v>1.6935766935767042E-2</v>
      </c>
      <c r="L75">
        <v>0</v>
      </c>
      <c r="M75">
        <v>8569014765</v>
      </c>
      <c r="N75">
        <v>0</v>
      </c>
      <c r="O75" t="b">
        <v>1</v>
      </c>
    </row>
    <row r="76" spans="1:15" x14ac:dyDescent="0.3">
      <c r="A76" s="1" t="s">
        <v>181</v>
      </c>
      <c r="B76">
        <v>5.4002887777114834</v>
      </c>
      <c r="C76">
        <v>2.4357443406754241E-2</v>
      </c>
      <c r="D76">
        <v>2.8956745297911628E-2</v>
      </c>
      <c r="E76">
        <v>67.485817748464399</v>
      </c>
      <c r="F76">
        <v>0.14899461028192371</v>
      </c>
      <c r="G76">
        <v>0.8</v>
      </c>
      <c r="H76">
        <v>-6.0446445968672873E-2</v>
      </c>
      <c r="I76">
        <v>0.44155853217902791</v>
      </c>
      <c r="J76">
        <v>0</v>
      </c>
      <c r="K76">
        <v>2.810108972872705E-2</v>
      </c>
      <c r="L76">
        <v>0</v>
      </c>
      <c r="M76">
        <v>80850060</v>
      </c>
      <c r="N76">
        <v>0</v>
      </c>
      <c r="O76" t="b">
        <v>0</v>
      </c>
    </row>
    <row r="77" spans="1:15" x14ac:dyDescent="0.3">
      <c r="A77" s="1" t="s">
        <v>182</v>
      </c>
      <c r="B77">
        <v>5.2083882003705124</v>
      </c>
      <c r="C77">
        <v>3.9350167727187309E-2</v>
      </c>
      <c r="D77">
        <v>3.3242671501964381E-2</v>
      </c>
      <c r="E77">
        <v>50.636748330507153</v>
      </c>
      <c r="F77">
        <v>-3.5698674049249417E-2</v>
      </c>
      <c r="G77">
        <v>1</v>
      </c>
      <c r="H77">
        <v>-9.6135424430168412E-2</v>
      </c>
      <c r="I77">
        <v>1.6611388397650491</v>
      </c>
      <c r="J77">
        <v>-1.941028300488945E-2</v>
      </c>
      <c r="K77">
        <v>1.7840664410950561E-2</v>
      </c>
      <c r="L77">
        <v>0</v>
      </c>
      <c r="M77">
        <v>959321344</v>
      </c>
      <c r="N77">
        <v>0</v>
      </c>
      <c r="O77" t="b">
        <v>1</v>
      </c>
    </row>
    <row r="78" spans="1:15" x14ac:dyDescent="0.3">
      <c r="A78" s="1" t="s">
        <v>183</v>
      </c>
      <c r="B78">
        <v>6.2433922970166513</v>
      </c>
      <c r="C78">
        <v>1.8360218488506549E-2</v>
      </c>
      <c r="D78">
        <v>2.9378032642258519E-2</v>
      </c>
      <c r="E78">
        <v>41.474053724653643</v>
      </c>
      <c r="F78">
        <v>-1.397628091744718E-2</v>
      </c>
      <c r="G78">
        <v>0.4</v>
      </c>
      <c r="H78">
        <v>-0.1480960259892469</v>
      </c>
      <c r="I78">
        <v>-0.1162655040131103</v>
      </c>
      <c r="J78">
        <v>-3.9189647377938508E-2</v>
      </c>
      <c r="K78">
        <v>-1.773592535890689E-2</v>
      </c>
      <c r="L78">
        <v>0</v>
      </c>
      <c r="M78">
        <v>409234688.70249999</v>
      </c>
      <c r="N78">
        <v>0</v>
      </c>
      <c r="O78" t="b">
        <v>1</v>
      </c>
    </row>
    <row r="79" spans="1:15" x14ac:dyDescent="0.3">
      <c r="A79" s="1" t="s">
        <v>184</v>
      </c>
      <c r="B79">
        <v>1.4146047988268471</v>
      </c>
      <c r="C79">
        <v>2.093050313567121E-2</v>
      </c>
      <c r="D79">
        <v>2.635464846165908E-2</v>
      </c>
      <c r="E79">
        <v>57.246912246188081</v>
      </c>
      <c r="F79">
        <v>2.6447199761862938E-2</v>
      </c>
      <c r="G79">
        <v>0.4</v>
      </c>
      <c r="H79">
        <v>-0.15713885985262921</v>
      </c>
      <c r="I79">
        <v>0.59459245868968136</v>
      </c>
      <c r="J79">
        <v>-1.617542133648842E-3</v>
      </c>
      <c r="K79">
        <v>2.2428566241876391E-2</v>
      </c>
      <c r="L79">
        <v>0</v>
      </c>
      <c r="M79">
        <v>85159706.31189999</v>
      </c>
      <c r="N79">
        <v>0</v>
      </c>
      <c r="O79" t="b">
        <v>0</v>
      </c>
    </row>
    <row r="80" spans="1:15" x14ac:dyDescent="0.3">
      <c r="A80" s="1" t="s">
        <v>185</v>
      </c>
      <c r="B80">
        <v>0.97606360048437701</v>
      </c>
      <c r="C80">
        <v>3.7437091775667362E-2</v>
      </c>
      <c r="D80">
        <v>2.6595479458885189E-2</v>
      </c>
      <c r="E80">
        <v>60.442619586296232</v>
      </c>
      <c r="F80">
        <v>8.0905947613243434E-2</v>
      </c>
      <c r="G80">
        <v>0.4</v>
      </c>
      <c r="H80">
        <v>6.8915448384605449E-2</v>
      </c>
      <c r="I80">
        <v>0.62539743193391151</v>
      </c>
      <c r="J80">
        <v>-2.8780355153903758E-2</v>
      </c>
      <c r="K80">
        <v>-2.6509674309715958E-3</v>
      </c>
      <c r="L80">
        <v>0</v>
      </c>
      <c r="M80">
        <v>145756306.20365</v>
      </c>
      <c r="N80">
        <v>0</v>
      </c>
      <c r="O80" t="b">
        <v>1</v>
      </c>
    </row>
    <row r="81" spans="1:15" x14ac:dyDescent="0.3">
      <c r="A81" s="1" t="s">
        <v>186</v>
      </c>
      <c r="B81">
        <v>7.2052754512047814</v>
      </c>
      <c r="C81">
        <v>3.0661398971062279E-2</v>
      </c>
      <c r="D81">
        <v>3.4345411604502211E-2</v>
      </c>
      <c r="E81">
        <v>35.181196346191562</v>
      </c>
      <c r="F81">
        <v>-8.4043701789465963E-2</v>
      </c>
      <c r="G81">
        <v>0.4</v>
      </c>
      <c r="H81">
        <v>-0.187237605901414</v>
      </c>
      <c r="I81">
        <v>0.43610923640054022</v>
      </c>
      <c r="J81">
        <v>-0.10006357133009609</v>
      </c>
      <c r="K81">
        <v>2.5784851236206219E-2</v>
      </c>
      <c r="L81">
        <v>0</v>
      </c>
      <c r="M81">
        <v>305702713.45099998</v>
      </c>
      <c r="N81">
        <v>0</v>
      </c>
      <c r="O81" t="b">
        <v>1</v>
      </c>
    </row>
    <row r="82" spans="1:15" x14ac:dyDescent="0.3">
      <c r="A82" s="1" t="s">
        <v>187</v>
      </c>
      <c r="B82">
        <v>1.032443623869765</v>
      </c>
      <c r="C82">
        <v>2.5856339190327201E-2</v>
      </c>
      <c r="D82">
        <v>5.9353869271224581E-2</v>
      </c>
      <c r="E82">
        <v>63.64534625735488</v>
      </c>
      <c r="F82">
        <v>6.112144565506239E-2</v>
      </c>
      <c r="G82">
        <v>0.6</v>
      </c>
      <c r="H82">
        <v>7.8250616996113603E-2</v>
      </c>
      <c r="I82">
        <v>1.3506250829143911</v>
      </c>
      <c r="J82">
        <v>0</v>
      </c>
      <c r="K82">
        <v>5.9151193633952159E-2</v>
      </c>
      <c r="L82">
        <v>0</v>
      </c>
      <c r="M82">
        <v>69942227.879999995</v>
      </c>
      <c r="N82">
        <v>0</v>
      </c>
      <c r="O82" t="b">
        <v>0</v>
      </c>
    </row>
    <row r="83" spans="1:15" x14ac:dyDescent="0.3">
      <c r="A83" s="1" t="s">
        <v>188</v>
      </c>
      <c r="B83">
        <v>3.975610705886484</v>
      </c>
      <c r="C83">
        <v>2.8722812928601241E-2</v>
      </c>
      <c r="D83">
        <v>2.2136649014182139E-2</v>
      </c>
      <c r="E83">
        <v>53.568164673830438</v>
      </c>
      <c r="F83">
        <v>-3.5939905135366601E-2</v>
      </c>
      <c r="G83">
        <v>0.6</v>
      </c>
      <c r="H83">
        <v>0.1137351887609263</v>
      </c>
      <c r="I83">
        <v>1.5569127183023219</v>
      </c>
      <c r="J83">
        <v>-3.3388270458259317E-2</v>
      </c>
      <c r="K83">
        <v>7.2299783823659425E-4</v>
      </c>
      <c r="L83">
        <v>0</v>
      </c>
      <c r="M83">
        <v>702749404.52780008</v>
      </c>
      <c r="N83">
        <v>0</v>
      </c>
      <c r="O83" t="b">
        <v>1</v>
      </c>
    </row>
    <row r="84" spans="1:15" x14ac:dyDescent="0.3">
      <c r="A84" s="1" t="s">
        <v>189</v>
      </c>
      <c r="B84">
        <v>2.7215758204565779</v>
      </c>
      <c r="C84">
        <v>8.7821097788208388E-2</v>
      </c>
      <c r="D84">
        <v>5.9696676347208828E-2</v>
      </c>
      <c r="E84">
        <v>58.374252274229192</v>
      </c>
      <c r="F84">
        <v>-1.4312977099236729E-2</v>
      </c>
      <c r="G84">
        <v>0.8</v>
      </c>
      <c r="H84">
        <v>0.17876970367512909</v>
      </c>
      <c r="I84">
        <v>1.77721424245237</v>
      </c>
      <c r="J84">
        <v>-5.4317973756484728E-2</v>
      </c>
      <c r="K84">
        <v>-5.4317973756484728E-2</v>
      </c>
      <c r="L84">
        <v>0</v>
      </c>
      <c r="M84">
        <v>298799995.5</v>
      </c>
      <c r="N84">
        <v>0</v>
      </c>
      <c r="O84" t="b">
        <v>1</v>
      </c>
    </row>
    <row r="85" spans="1:15" x14ac:dyDescent="0.3">
      <c r="A85" s="1" t="s">
        <v>190</v>
      </c>
      <c r="B85">
        <v>4.3301732172758411</v>
      </c>
      <c r="C85">
        <v>2.9164521850801092E-2</v>
      </c>
      <c r="D85">
        <v>4.3462154990099297E-2</v>
      </c>
      <c r="E85">
        <v>76.431389483411678</v>
      </c>
      <c r="F85">
        <v>0.14318052326029049</v>
      </c>
      <c r="G85">
        <v>0.8</v>
      </c>
      <c r="H85">
        <v>4.5060374765509947E-2</v>
      </c>
      <c r="I85">
        <v>1.1726221652856501</v>
      </c>
      <c r="J85">
        <v>0</v>
      </c>
      <c r="K85">
        <v>3.6069920798297288E-2</v>
      </c>
      <c r="L85">
        <v>0</v>
      </c>
      <c r="M85">
        <v>454700356.24449998</v>
      </c>
      <c r="N85">
        <v>0</v>
      </c>
      <c r="O85" t="b">
        <v>1</v>
      </c>
    </row>
    <row r="86" spans="1:15" x14ac:dyDescent="0.3">
      <c r="A86" s="1" t="s">
        <v>191</v>
      </c>
      <c r="B86">
        <v>33.810290371074927</v>
      </c>
      <c r="C86">
        <v>4.8075148406146809E-2</v>
      </c>
      <c r="D86">
        <v>3.7126037993402361E-2</v>
      </c>
      <c r="E86">
        <v>67.082255773619593</v>
      </c>
      <c r="F86">
        <v>7.9776453970398453E-2</v>
      </c>
      <c r="G86">
        <v>0.6</v>
      </c>
      <c r="H86">
        <v>9.034359995345273E-2</v>
      </c>
      <c r="I86">
        <v>1.746164325431987</v>
      </c>
      <c r="J86">
        <v>-2.9449918578013379E-2</v>
      </c>
      <c r="K86">
        <v>-2.9449918578013379E-2</v>
      </c>
      <c r="L86">
        <v>0</v>
      </c>
      <c r="M86">
        <v>2313184237</v>
      </c>
      <c r="N86">
        <v>0</v>
      </c>
      <c r="O86" t="b">
        <v>1</v>
      </c>
    </row>
    <row r="87" spans="1:15" x14ac:dyDescent="0.3">
      <c r="A87" s="1" t="s">
        <v>192</v>
      </c>
      <c r="B87">
        <v>7.0652770202247828</v>
      </c>
      <c r="C87">
        <v>3.052614828353762E-2</v>
      </c>
      <c r="D87">
        <v>2.9812054439403789E-2</v>
      </c>
      <c r="E87">
        <v>44.156944986088178</v>
      </c>
      <c r="F87">
        <v>-9.2210542830247988E-2</v>
      </c>
      <c r="G87">
        <v>0.2</v>
      </c>
      <c r="H87">
        <v>-0.17902230190264071</v>
      </c>
      <c r="I87">
        <v>1.1417500170288399</v>
      </c>
      <c r="J87">
        <v>-7.682182601412002E-2</v>
      </c>
      <c r="K87">
        <v>-9.0765081131994885E-3</v>
      </c>
      <c r="L87">
        <v>0</v>
      </c>
      <c r="M87">
        <v>59034499.5</v>
      </c>
      <c r="N87">
        <v>0</v>
      </c>
      <c r="O87" t="b">
        <v>0</v>
      </c>
    </row>
    <row r="88" spans="1:15" x14ac:dyDescent="0.3">
      <c r="A88" s="1" t="s">
        <v>193</v>
      </c>
      <c r="B88">
        <v>2.093176142590619</v>
      </c>
      <c r="C88">
        <v>2.6647691185112909E-2</v>
      </c>
      <c r="D88">
        <v>3.3227243793761928E-2</v>
      </c>
      <c r="E88">
        <v>51.012640749112883</v>
      </c>
      <c r="F88">
        <v>-4.8570736434108593E-2</v>
      </c>
      <c r="G88">
        <v>0.4</v>
      </c>
      <c r="H88">
        <v>-0.1065134021510814</v>
      </c>
      <c r="I88">
        <v>1.2276203168622839</v>
      </c>
      <c r="J88">
        <v>-5.0640560792845069E-2</v>
      </c>
      <c r="K88">
        <v>2.8814669286182149E-2</v>
      </c>
      <c r="L88">
        <v>0</v>
      </c>
      <c r="M88">
        <v>175059910</v>
      </c>
      <c r="N88">
        <v>0</v>
      </c>
      <c r="O88" t="b">
        <v>1</v>
      </c>
    </row>
    <row r="89" spans="1:15" x14ac:dyDescent="0.3">
      <c r="A89" s="1" t="s">
        <v>194</v>
      </c>
      <c r="B89">
        <v>1.340185684395004</v>
      </c>
      <c r="C89">
        <v>3.6094416493267001E-2</v>
      </c>
      <c r="D89">
        <v>2.4508483705898101E-2</v>
      </c>
      <c r="E89">
        <v>62.183779227774622</v>
      </c>
      <c r="F89">
        <v>9.6898079763663159E-2</v>
      </c>
      <c r="G89">
        <v>0.8</v>
      </c>
      <c r="H89">
        <v>6.4907410520241141E-2</v>
      </c>
      <c r="I89">
        <v>1.5252140230272719</v>
      </c>
      <c r="J89">
        <v>-5.8902275769745494E-3</v>
      </c>
      <c r="K89">
        <v>-5.8902275769745494E-3</v>
      </c>
      <c r="L89">
        <v>0</v>
      </c>
      <c r="M89">
        <v>160433986</v>
      </c>
      <c r="N89">
        <v>0</v>
      </c>
      <c r="O89" t="b">
        <v>1</v>
      </c>
    </row>
    <row r="90" spans="1:15" x14ac:dyDescent="0.3">
      <c r="A90" s="1" t="s">
        <v>195</v>
      </c>
      <c r="B90">
        <v>0.27632791600094081</v>
      </c>
      <c r="C90">
        <v>1.344929723209695E-2</v>
      </c>
      <c r="D90">
        <v>8.5564516521545609E-3</v>
      </c>
      <c r="E90">
        <v>66.476826448940514</v>
      </c>
      <c r="F90">
        <v>3.6472968132815968E-2</v>
      </c>
      <c r="G90">
        <v>0.6</v>
      </c>
      <c r="H90">
        <v>-0.1248149402119532</v>
      </c>
      <c r="I90">
        <v>0.7867623661115738</v>
      </c>
      <c r="J90">
        <v>0</v>
      </c>
      <c r="K90">
        <v>1.4329929568883679E-3</v>
      </c>
      <c r="L90">
        <v>0</v>
      </c>
      <c r="M90">
        <v>91448393.514499992</v>
      </c>
      <c r="N90">
        <v>0</v>
      </c>
      <c r="O90" t="b">
        <v>0</v>
      </c>
    </row>
    <row r="91" spans="1:15" x14ac:dyDescent="0.3">
      <c r="A91" s="1" t="s">
        <v>196</v>
      </c>
      <c r="B91">
        <v>2.042694538787849</v>
      </c>
      <c r="C91">
        <v>4.4606453262956453E-2</v>
      </c>
      <c r="D91">
        <v>3.012641476884383E-2</v>
      </c>
      <c r="E91">
        <v>30.793163404348629</v>
      </c>
      <c r="F91">
        <v>-0.14356755058415599</v>
      </c>
      <c r="G91">
        <v>0.4</v>
      </c>
      <c r="H91">
        <v>-0.27954140012571621</v>
      </c>
      <c r="I91">
        <v>0.74858688346935265</v>
      </c>
      <c r="J91">
        <v>-0.15277965355391221</v>
      </c>
      <c r="K91">
        <v>2.6055997203724871E-2</v>
      </c>
      <c r="L91">
        <v>0</v>
      </c>
      <c r="M91">
        <v>120325913.10475001</v>
      </c>
      <c r="N91">
        <v>0</v>
      </c>
      <c r="O91" t="b">
        <v>1</v>
      </c>
    </row>
    <row r="92" spans="1:15" x14ac:dyDescent="0.3">
      <c r="A92" s="1" t="s">
        <v>197</v>
      </c>
      <c r="B92">
        <v>5.5932149856187481</v>
      </c>
      <c r="C92">
        <v>3.1576892596503973E-2</v>
      </c>
      <c r="D92">
        <v>3.6346186416755993E-2</v>
      </c>
      <c r="E92">
        <v>78.451767787635546</v>
      </c>
      <c r="F92">
        <v>0.162644157242158</v>
      </c>
      <c r="G92">
        <v>0.8</v>
      </c>
      <c r="H92">
        <v>-4.6124953367621291E-2</v>
      </c>
      <c r="I92">
        <v>1.4112889572679479</v>
      </c>
      <c r="J92">
        <v>0</v>
      </c>
      <c r="K92">
        <v>1.1807177987353199E-2</v>
      </c>
      <c r="L92">
        <v>0</v>
      </c>
      <c r="M92">
        <v>247367442.1085</v>
      </c>
      <c r="N92">
        <v>0</v>
      </c>
      <c r="O92" t="b">
        <v>1</v>
      </c>
    </row>
    <row r="93" spans="1:15" x14ac:dyDescent="0.3">
      <c r="A93" s="1" t="s">
        <v>198</v>
      </c>
      <c r="B93">
        <v>20.032523336054329</v>
      </c>
      <c r="C93">
        <v>2.2505671586718869E-2</v>
      </c>
      <c r="D93">
        <v>1.8537034748514231E-2</v>
      </c>
      <c r="E93">
        <v>51.07747998429565</v>
      </c>
      <c r="F93">
        <v>2.3314900612763308E-2</v>
      </c>
      <c r="G93">
        <v>0.2</v>
      </c>
      <c r="H93">
        <v>0.1158439278148389</v>
      </c>
      <c r="I93">
        <v>0.2145745096168884</v>
      </c>
      <c r="J93">
        <v>-4.2490937059627143E-2</v>
      </c>
      <c r="K93">
        <v>7.8703859862150338E-4</v>
      </c>
      <c r="L93">
        <v>0</v>
      </c>
      <c r="M93">
        <v>217151451.5</v>
      </c>
      <c r="N93">
        <v>0</v>
      </c>
      <c r="O93" t="b">
        <v>1</v>
      </c>
    </row>
    <row r="94" spans="1:15" x14ac:dyDescent="0.3">
      <c r="A94" s="1" t="s">
        <v>199</v>
      </c>
      <c r="B94">
        <v>2.5875062881319422</v>
      </c>
      <c r="C94">
        <v>3.1114794229580831E-2</v>
      </c>
      <c r="D94">
        <v>2.9701779701779691E-2</v>
      </c>
      <c r="E94">
        <v>56.737242038680201</v>
      </c>
      <c r="F94">
        <v>3.8628681796233359E-3</v>
      </c>
      <c r="G94">
        <v>0.8</v>
      </c>
      <c r="H94">
        <v>2.502324319430042E-2</v>
      </c>
      <c r="I94">
        <v>2.6145076210022138</v>
      </c>
      <c r="J94">
        <v>0</v>
      </c>
      <c r="K94">
        <v>7.6335877862594437E-3</v>
      </c>
      <c r="L94">
        <v>0</v>
      </c>
      <c r="M94">
        <v>651161158.5</v>
      </c>
      <c r="N94">
        <v>0</v>
      </c>
      <c r="O94" t="b">
        <v>1</v>
      </c>
    </row>
    <row r="95" spans="1:15" x14ac:dyDescent="0.3">
      <c r="A95" s="1" t="s">
        <v>200</v>
      </c>
      <c r="B95">
        <v>5.5918991078000024</v>
      </c>
      <c r="C95">
        <v>3.9513136714245348E-2</v>
      </c>
      <c r="D95">
        <v>1.9785189372526931E-2</v>
      </c>
      <c r="E95">
        <v>47.152603222556863</v>
      </c>
      <c r="F95">
        <v>-8.6024283130973878E-2</v>
      </c>
      <c r="G95">
        <v>0.6</v>
      </c>
      <c r="H95">
        <v>-6.6642643152465708E-2</v>
      </c>
      <c r="I95">
        <v>2.498300200106129</v>
      </c>
      <c r="J95">
        <v>-5.4895151596099923E-2</v>
      </c>
      <c r="K95">
        <v>-2.8887479743535671E-3</v>
      </c>
      <c r="L95">
        <v>0</v>
      </c>
      <c r="M95">
        <v>599008449</v>
      </c>
      <c r="N95">
        <v>0</v>
      </c>
      <c r="O95" t="b">
        <v>1</v>
      </c>
    </row>
    <row r="96" spans="1:15" x14ac:dyDescent="0.3">
      <c r="A96" s="1" t="s">
        <v>201</v>
      </c>
      <c r="B96">
        <v>0.82338287268870669</v>
      </c>
      <c r="C96">
        <v>2.214228130717761E-2</v>
      </c>
      <c r="D96">
        <v>2.0107029527241489E-2</v>
      </c>
      <c r="E96">
        <v>47.587044278417103</v>
      </c>
      <c r="F96">
        <v>-4.8012332264608659E-3</v>
      </c>
      <c r="G96">
        <v>0.6</v>
      </c>
      <c r="H96">
        <v>-8.9792202723301254E-2</v>
      </c>
      <c r="I96">
        <v>0.41887902347456968</v>
      </c>
      <c r="J96">
        <v>-2.8822447870962331E-2</v>
      </c>
      <c r="K96">
        <v>3.2266419182871431E-3</v>
      </c>
      <c r="L96">
        <v>0</v>
      </c>
      <c r="M96">
        <v>72662568.350950003</v>
      </c>
      <c r="N96">
        <v>0</v>
      </c>
      <c r="O96" t="b">
        <v>0</v>
      </c>
    </row>
    <row r="97" spans="1:15" x14ac:dyDescent="0.3">
      <c r="A97" s="1" t="s">
        <v>202</v>
      </c>
      <c r="B97">
        <v>4.3961326034252917</v>
      </c>
      <c r="C97">
        <v>6.3832330527447245E-2</v>
      </c>
      <c r="D97">
        <v>6.6356904312472667E-2</v>
      </c>
      <c r="E97">
        <v>76.092995347932941</v>
      </c>
      <c r="F97">
        <v>0.72823086574654972</v>
      </c>
      <c r="G97">
        <v>0.6</v>
      </c>
      <c r="H97">
        <v>0.28712887964592421</v>
      </c>
      <c r="I97">
        <v>1.8357443520227781</v>
      </c>
      <c r="J97">
        <v>0</v>
      </c>
      <c r="K97">
        <v>5.8114194391989393E-4</v>
      </c>
      <c r="L97">
        <v>0</v>
      </c>
      <c r="M97">
        <v>31586926.5</v>
      </c>
      <c r="N97">
        <v>0</v>
      </c>
      <c r="O97" t="b">
        <v>0</v>
      </c>
    </row>
    <row r="98" spans="1:15" x14ac:dyDescent="0.3">
      <c r="A98" s="1" t="s">
        <v>203</v>
      </c>
      <c r="B98">
        <v>1.325320576342357</v>
      </c>
      <c r="C98">
        <v>3.3577921873381232E-2</v>
      </c>
      <c r="D98">
        <v>4.1677223207499448E-2</v>
      </c>
      <c r="E98">
        <v>74.297928779256807</v>
      </c>
      <c r="F98">
        <v>0.30955540809555399</v>
      </c>
      <c r="G98">
        <v>0.6</v>
      </c>
      <c r="H98">
        <v>2.445538115616552E-2</v>
      </c>
      <c r="I98">
        <v>1.206620505871163</v>
      </c>
      <c r="J98">
        <v>0</v>
      </c>
      <c r="K98">
        <v>2.0423991726990609E-2</v>
      </c>
      <c r="L98">
        <v>0</v>
      </c>
      <c r="M98">
        <v>121216813</v>
      </c>
      <c r="N98">
        <v>0</v>
      </c>
      <c r="O98" t="b">
        <v>1</v>
      </c>
    </row>
    <row r="99" spans="1:15" x14ac:dyDescent="0.3">
      <c r="A99" s="1" t="s">
        <v>204</v>
      </c>
      <c r="B99">
        <v>30.615341502085641</v>
      </c>
      <c r="C99">
        <v>2.738770094564176E-2</v>
      </c>
      <c r="D99">
        <v>2.240908887596722E-2</v>
      </c>
      <c r="E99">
        <v>61.767899083839772</v>
      </c>
      <c r="F99">
        <v>7.7528869695976388E-2</v>
      </c>
      <c r="G99">
        <v>0.4</v>
      </c>
      <c r="H99">
        <v>0.2385533756361711</v>
      </c>
      <c r="I99">
        <v>1.7575220427885909</v>
      </c>
      <c r="J99">
        <v>-1.8930684032227089E-2</v>
      </c>
      <c r="K99">
        <v>7.0902178417628914E-3</v>
      </c>
      <c r="L99">
        <v>0</v>
      </c>
      <c r="M99">
        <v>1124452376.8559999</v>
      </c>
      <c r="N99">
        <v>0</v>
      </c>
      <c r="O99" t="b">
        <v>1</v>
      </c>
    </row>
    <row r="100" spans="1:15" x14ac:dyDescent="0.3">
      <c r="A100" s="1" t="s">
        <v>205</v>
      </c>
      <c r="B100">
        <v>9.0520831529574117</v>
      </c>
      <c r="C100">
        <v>4.4981530277069227E-2</v>
      </c>
      <c r="D100">
        <v>4.7753925660902329E-2</v>
      </c>
      <c r="E100">
        <v>46.125059175590181</v>
      </c>
      <c r="F100">
        <v>2.6682312126932391E-2</v>
      </c>
      <c r="G100">
        <v>0.6</v>
      </c>
      <c r="H100">
        <v>-1.285244707581671E-2</v>
      </c>
      <c r="I100">
        <v>-0.24692136386020369</v>
      </c>
      <c r="J100">
        <v>-7.3181964721595327E-2</v>
      </c>
      <c r="K100">
        <v>2.344504907694667E-2</v>
      </c>
      <c r="L100">
        <v>0</v>
      </c>
      <c r="M100">
        <v>71218101.5</v>
      </c>
      <c r="N100">
        <v>0</v>
      </c>
      <c r="O100" t="b">
        <v>0</v>
      </c>
    </row>
    <row r="101" spans="1:15" x14ac:dyDescent="0.3">
      <c r="A101" s="1" t="s">
        <v>206</v>
      </c>
      <c r="B101">
        <v>6.4317537292827254</v>
      </c>
      <c r="C101">
        <v>2.0899281004980421E-2</v>
      </c>
      <c r="D101">
        <v>2.1608448415921942E-2</v>
      </c>
      <c r="E101">
        <v>55.576187954159437</v>
      </c>
      <c r="F101">
        <v>1.725448715829847E-2</v>
      </c>
      <c r="G101">
        <v>0.8</v>
      </c>
      <c r="H101">
        <v>-0.18774632121687829</v>
      </c>
      <c r="I101">
        <v>0.2071322290554661</v>
      </c>
      <c r="J101">
        <v>0</v>
      </c>
      <c r="K101">
        <v>4.7011197806143823E-3</v>
      </c>
      <c r="L101">
        <v>0</v>
      </c>
      <c r="M101">
        <v>19563807.550000001</v>
      </c>
      <c r="N101">
        <v>0</v>
      </c>
      <c r="O101" t="b">
        <v>0</v>
      </c>
    </row>
    <row r="102" spans="1:15" x14ac:dyDescent="0.3">
      <c r="A102" s="1" t="s">
        <v>207</v>
      </c>
      <c r="B102">
        <v>5.9670635674321906</v>
      </c>
      <c r="C102">
        <v>7.5484675109831631E-2</v>
      </c>
      <c r="D102">
        <v>0.1187855787476281</v>
      </c>
      <c r="E102">
        <v>66.507011859817041</v>
      </c>
      <c r="F102">
        <v>0.15065502183406099</v>
      </c>
      <c r="G102">
        <v>0.8</v>
      </c>
      <c r="H102">
        <v>0.2058435943131085</v>
      </c>
      <c r="I102">
        <v>3.6949435311483549</v>
      </c>
      <c r="J102">
        <v>0</v>
      </c>
      <c r="K102">
        <v>8.5255354200988398E-2</v>
      </c>
      <c r="L102">
        <v>0</v>
      </c>
      <c r="M102">
        <v>384123243</v>
      </c>
      <c r="N102">
        <v>0</v>
      </c>
      <c r="O102" t="b">
        <v>1</v>
      </c>
    </row>
    <row r="103" spans="1:15" x14ac:dyDescent="0.3">
      <c r="A103" s="1" t="s">
        <v>208</v>
      </c>
      <c r="B103">
        <v>0.47805532665344341</v>
      </c>
      <c r="C103">
        <v>2.9096489753709279E-2</v>
      </c>
      <c r="D103">
        <v>3.2866707242848507E-2</v>
      </c>
      <c r="E103">
        <v>72.466605031625335</v>
      </c>
      <c r="F103">
        <v>6.8270481144343309E-2</v>
      </c>
      <c r="G103">
        <v>0.8</v>
      </c>
      <c r="H103">
        <v>0.24494736581618939</v>
      </c>
      <c r="I103">
        <v>1.7218747469435289</v>
      </c>
      <c r="J103">
        <v>0</v>
      </c>
      <c r="K103">
        <v>2.8804007514088958E-2</v>
      </c>
      <c r="L103">
        <v>0</v>
      </c>
      <c r="M103">
        <v>96666545.794</v>
      </c>
      <c r="N103">
        <v>0</v>
      </c>
      <c r="O103" t="b">
        <v>1</v>
      </c>
    </row>
    <row r="104" spans="1:15" x14ac:dyDescent="0.3">
      <c r="A104" s="1" t="s">
        <v>209</v>
      </c>
      <c r="B104">
        <v>3.4006642591619651</v>
      </c>
      <c r="C104">
        <v>3.2470774937095062E-2</v>
      </c>
      <c r="D104">
        <v>6.0154683471784563E-2</v>
      </c>
      <c r="E104">
        <v>68.936917263557547</v>
      </c>
      <c r="F104">
        <v>6.7584097859327397E-2</v>
      </c>
      <c r="G104">
        <v>0.6</v>
      </c>
      <c r="H104">
        <v>0.20275773979078451</v>
      </c>
      <c r="I104">
        <v>1.5559799723378049</v>
      </c>
      <c r="J104">
        <v>0</v>
      </c>
      <c r="K104">
        <v>5.3409776704888452E-2</v>
      </c>
      <c r="L104">
        <v>0</v>
      </c>
      <c r="M104">
        <v>115856320</v>
      </c>
      <c r="N104">
        <v>0</v>
      </c>
      <c r="O104" t="b">
        <v>1</v>
      </c>
    </row>
    <row r="105" spans="1:15" x14ac:dyDescent="0.3">
      <c r="A105" s="1" t="s">
        <v>210</v>
      </c>
      <c r="B105">
        <v>2.6212928866158252</v>
      </c>
      <c r="C105">
        <v>1.5715185171557702E-2</v>
      </c>
      <c r="D105">
        <v>1.0431654676258881E-2</v>
      </c>
      <c r="E105">
        <v>35.370727972991617</v>
      </c>
      <c r="F105">
        <v>-5.6267504031231368E-2</v>
      </c>
      <c r="G105">
        <v>0.4</v>
      </c>
      <c r="H105">
        <v>-4.8568788841940859E-2</v>
      </c>
      <c r="I105">
        <v>-7.0928608214214567E-2</v>
      </c>
      <c r="J105">
        <v>-6.1022292276514123E-2</v>
      </c>
      <c r="K105">
        <v>3.1272552321386371E-3</v>
      </c>
      <c r="L105">
        <v>0</v>
      </c>
      <c r="M105">
        <v>133921778.7225</v>
      </c>
      <c r="N105">
        <v>0</v>
      </c>
      <c r="O105" t="b">
        <v>1</v>
      </c>
    </row>
    <row r="106" spans="1:15" x14ac:dyDescent="0.3">
      <c r="A106" s="1" t="s">
        <v>93</v>
      </c>
      <c r="B106">
        <v>2.8822611076396871</v>
      </c>
      <c r="C106">
        <v>2.4694018177329202E-2</v>
      </c>
      <c r="D106">
        <v>2.278120957170646E-2</v>
      </c>
      <c r="E106">
        <v>38.118602404997873</v>
      </c>
      <c r="F106">
        <v>6.788462201980483E-3</v>
      </c>
      <c r="G106">
        <v>0.2</v>
      </c>
      <c r="H106">
        <v>-0.1974392832946851</v>
      </c>
      <c r="I106">
        <v>-3.7949069981064933E-2</v>
      </c>
      <c r="J106">
        <v>-6.0762855073630002E-2</v>
      </c>
      <c r="K106">
        <v>1.253535055606636E-2</v>
      </c>
      <c r="L106">
        <v>0</v>
      </c>
      <c r="M106">
        <v>53719817.511</v>
      </c>
      <c r="N106">
        <v>0</v>
      </c>
      <c r="O106" t="b">
        <v>0</v>
      </c>
    </row>
    <row r="107" spans="1:15" x14ac:dyDescent="0.3">
      <c r="A107" s="1" t="s">
        <v>211</v>
      </c>
      <c r="B107">
        <v>3.483457122176743</v>
      </c>
      <c r="C107">
        <v>4.2310908808171302E-2</v>
      </c>
      <c r="D107">
        <v>4.6034252398882633E-2</v>
      </c>
      <c r="E107">
        <v>56.093703662507252</v>
      </c>
      <c r="F107">
        <v>0.1225552755871155</v>
      </c>
      <c r="G107">
        <v>0.4</v>
      </c>
      <c r="H107">
        <v>0.10860357875127991</v>
      </c>
      <c r="I107">
        <v>1.588768869616507</v>
      </c>
      <c r="J107">
        <v>-6.4431818181818201E-2</v>
      </c>
      <c r="K107">
        <v>2.4769728653223799E-2</v>
      </c>
      <c r="L107">
        <v>0</v>
      </c>
      <c r="M107">
        <v>136879984.3788</v>
      </c>
      <c r="N107">
        <v>0</v>
      </c>
      <c r="O107" t="b">
        <v>1</v>
      </c>
    </row>
    <row r="108" spans="1:15" x14ac:dyDescent="0.3">
      <c r="A108" s="1" t="s">
        <v>212</v>
      </c>
      <c r="B108">
        <v>0.2397132022049191</v>
      </c>
      <c r="C108">
        <v>5.3269600489982007E-2</v>
      </c>
      <c r="D108">
        <v>4.7777777777777947E-2</v>
      </c>
      <c r="E108">
        <v>53.173189186809893</v>
      </c>
      <c r="F108">
        <v>3.2110091743119178E-2</v>
      </c>
      <c r="G108">
        <v>0.6</v>
      </c>
      <c r="H108">
        <v>-0.11013389709459601</v>
      </c>
      <c r="I108">
        <v>2.482796944601168</v>
      </c>
      <c r="J108">
        <v>-2.386117136659438E-2</v>
      </c>
      <c r="K108">
        <v>-2.386117136659438E-2</v>
      </c>
      <c r="L108">
        <v>0</v>
      </c>
      <c r="M108">
        <v>89757482.25</v>
      </c>
      <c r="N108">
        <v>0</v>
      </c>
      <c r="O108" t="b">
        <v>0</v>
      </c>
    </row>
    <row r="109" spans="1:15" x14ac:dyDescent="0.3">
      <c r="A109" s="1" t="s">
        <v>213</v>
      </c>
      <c r="B109">
        <v>16.73618835181767</v>
      </c>
      <c r="C109">
        <v>6.8241338845331997E-2</v>
      </c>
      <c r="D109">
        <v>0.1572680937818553</v>
      </c>
      <c r="E109">
        <v>30.12308077617331</v>
      </c>
      <c r="F109">
        <v>-0.26543265342798089</v>
      </c>
      <c r="G109">
        <v>0.4</v>
      </c>
      <c r="H109">
        <v>4.9253903549993337E-3</v>
      </c>
      <c r="I109">
        <v>1.6952136736864221</v>
      </c>
      <c r="J109">
        <v>-0.25249169435215951</v>
      </c>
      <c r="K109">
        <v>-0.12852675716011661</v>
      </c>
      <c r="L109">
        <v>0</v>
      </c>
      <c r="M109">
        <v>139120953.5</v>
      </c>
      <c r="N109">
        <v>0</v>
      </c>
      <c r="O109" t="b">
        <v>1</v>
      </c>
    </row>
    <row r="110" spans="1:15" x14ac:dyDescent="0.3">
      <c r="A110" s="1" t="s">
        <v>214</v>
      </c>
      <c r="B110">
        <v>3.070682444772002</v>
      </c>
      <c r="C110">
        <v>1.7579706219497129E-2</v>
      </c>
      <c r="D110">
        <v>1.5365943024640449E-2</v>
      </c>
      <c r="E110">
        <v>40.056938469435053</v>
      </c>
      <c r="F110">
        <v>-2.3189664035458972E-3</v>
      </c>
      <c r="G110">
        <v>0.2</v>
      </c>
      <c r="H110">
        <v>-0.20509992963684759</v>
      </c>
      <c r="I110">
        <v>0.20533553856323261</v>
      </c>
      <c r="J110">
        <v>-3.0779218617348891E-2</v>
      </c>
      <c r="K110">
        <v>5.4742949902428784E-3</v>
      </c>
      <c r="L110">
        <v>0</v>
      </c>
      <c r="M110">
        <v>151837971.5835</v>
      </c>
      <c r="N110">
        <v>0</v>
      </c>
      <c r="O110" t="b">
        <v>1</v>
      </c>
    </row>
    <row r="111" spans="1:15" x14ac:dyDescent="0.3">
      <c r="A111" s="1" t="s">
        <v>215</v>
      </c>
      <c r="B111">
        <v>0.69593082312892418</v>
      </c>
      <c r="C111">
        <v>8.5892572161736513E-3</v>
      </c>
      <c r="D111">
        <v>1.195703957128437E-2</v>
      </c>
      <c r="E111">
        <v>65.072415892779716</v>
      </c>
      <c r="F111">
        <v>2.271023247946968E-2</v>
      </c>
      <c r="G111">
        <v>0.6</v>
      </c>
      <c r="H111">
        <v>-2.497273777066452E-2</v>
      </c>
      <c r="I111">
        <v>0.71765811233135024</v>
      </c>
      <c r="J111">
        <v>0</v>
      </c>
      <c r="K111">
        <v>9.8576013460878187E-3</v>
      </c>
      <c r="L111">
        <v>0</v>
      </c>
      <c r="M111">
        <v>37417749.744650006</v>
      </c>
      <c r="N111">
        <v>0</v>
      </c>
      <c r="O111" t="b">
        <v>0</v>
      </c>
    </row>
    <row r="112" spans="1:15" x14ac:dyDescent="0.3">
      <c r="A112" s="1" t="s">
        <v>216</v>
      </c>
      <c r="B112">
        <v>0.90305925207955895</v>
      </c>
      <c r="C112">
        <v>9.8143359464730913E-3</v>
      </c>
      <c r="D112">
        <v>1.355006776120676E-2</v>
      </c>
      <c r="E112">
        <v>66.441457791758737</v>
      </c>
      <c r="F112">
        <v>4.0076275477908707E-2</v>
      </c>
      <c r="G112">
        <v>0.6</v>
      </c>
      <c r="H112">
        <v>2.9052992159051501E-2</v>
      </c>
      <c r="I112">
        <v>0.74460117182076035</v>
      </c>
      <c r="J112">
        <v>0</v>
      </c>
      <c r="K112">
        <v>7.875542333504626E-3</v>
      </c>
      <c r="L112">
        <v>0</v>
      </c>
      <c r="M112">
        <v>38422119.954899997</v>
      </c>
      <c r="N112">
        <v>0</v>
      </c>
      <c r="O112" t="b">
        <v>0</v>
      </c>
    </row>
    <row r="113" spans="1:15" x14ac:dyDescent="0.3">
      <c r="A113" s="1" t="s">
        <v>217</v>
      </c>
      <c r="B113">
        <v>0.79245349077503546</v>
      </c>
      <c r="C113">
        <v>1.03659017133851E-2</v>
      </c>
      <c r="D113">
        <v>1.204477285897229E-2</v>
      </c>
      <c r="E113">
        <v>58.729577369662991</v>
      </c>
      <c r="F113">
        <v>-4.8709814728276069E-3</v>
      </c>
      <c r="G113">
        <v>0.6</v>
      </c>
      <c r="H113">
        <v>-1.1384702724943369E-2</v>
      </c>
      <c r="I113">
        <v>1.031117431940981</v>
      </c>
      <c r="J113">
        <v>-7.288720597745213E-3</v>
      </c>
      <c r="K113">
        <v>8.0514257458379479E-3</v>
      </c>
      <c r="L113">
        <v>0</v>
      </c>
      <c r="M113">
        <v>42029131.192300007</v>
      </c>
      <c r="N113">
        <v>0</v>
      </c>
      <c r="O113" t="b">
        <v>0</v>
      </c>
    </row>
    <row r="114" spans="1:15" x14ac:dyDescent="0.3">
      <c r="A114" s="1" t="s">
        <v>218</v>
      </c>
      <c r="B114">
        <v>15.007238769931879</v>
      </c>
      <c r="C114">
        <v>3.640934145419579E-2</v>
      </c>
      <c r="D114">
        <v>3.6442727830734448E-2</v>
      </c>
      <c r="E114">
        <v>68.089244531427767</v>
      </c>
      <c r="F114">
        <v>0.15228986933403399</v>
      </c>
      <c r="G114">
        <v>1</v>
      </c>
      <c r="H114">
        <v>7.6093643296295435E-2</v>
      </c>
      <c r="I114">
        <v>2.2921868309216999</v>
      </c>
      <c r="J114">
        <v>0</v>
      </c>
      <c r="K114">
        <v>1.644086270757605E-2</v>
      </c>
      <c r="L114">
        <v>0</v>
      </c>
      <c r="M114">
        <v>5965063889.1774998</v>
      </c>
      <c r="N114">
        <v>0</v>
      </c>
      <c r="O114" t="b">
        <v>1</v>
      </c>
    </row>
    <row r="115" spans="1:15" x14ac:dyDescent="0.3">
      <c r="A115" s="1" t="s">
        <v>219</v>
      </c>
      <c r="B115">
        <v>0.86129994895791429</v>
      </c>
      <c r="C115">
        <v>1.1337757366421839E-2</v>
      </c>
      <c r="D115">
        <v>1.7573327506272531E-2</v>
      </c>
      <c r="E115">
        <v>69.038873956835118</v>
      </c>
      <c r="F115">
        <v>4.0529582897310457E-2</v>
      </c>
      <c r="G115">
        <v>0.6</v>
      </c>
      <c r="H115">
        <v>2.475695505192637E-2</v>
      </c>
      <c r="I115">
        <v>0.91899441252545333</v>
      </c>
      <c r="J115">
        <v>0</v>
      </c>
      <c r="K115">
        <v>1.6124523320033331E-2</v>
      </c>
      <c r="L115">
        <v>0</v>
      </c>
      <c r="M115">
        <v>26469842.457800001</v>
      </c>
      <c r="N115">
        <v>1</v>
      </c>
      <c r="O115" t="b">
        <v>0</v>
      </c>
    </row>
    <row r="116" spans="1:15" x14ac:dyDescent="0.3">
      <c r="A116" s="1" t="s">
        <v>220</v>
      </c>
      <c r="B116">
        <v>0.45162051869734993</v>
      </c>
      <c r="C116">
        <v>3.9237230121403108E-2</v>
      </c>
      <c r="D116">
        <v>8.1233709817549848E-2</v>
      </c>
      <c r="E116">
        <v>48.361059862132507</v>
      </c>
      <c r="F116">
        <v>8.6956521739134374E-4</v>
      </c>
      <c r="G116">
        <v>0.2</v>
      </c>
      <c r="H116">
        <v>-4.381667432033691E-2</v>
      </c>
      <c r="I116">
        <v>1.079117497792685</v>
      </c>
      <c r="J116">
        <v>-2.8691983122362871E-2</v>
      </c>
      <c r="K116">
        <v>8.2784571966133536E-2</v>
      </c>
      <c r="L116">
        <v>0</v>
      </c>
      <c r="M116">
        <v>126306292</v>
      </c>
      <c r="N116">
        <v>0</v>
      </c>
      <c r="O116" t="b">
        <v>1</v>
      </c>
    </row>
    <row r="117" spans="1:15" x14ac:dyDescent="0.3">
      <c r="A117" s="1" t="s">
        <v>221</v>
      </c>
      <c r="B117">
        <v>1.188475241648375</v>
      </c>
      <c r="C117">
        <v>1.056112643978544E-2</v>
      </c>
      <c r="D117">
        <v>1.3560466707543529E-2</v>
      </c>
      <c r="E117">
        <v>64.601911272786509</v>
      </c>
      <c r="F117">
        <v>2.1087207033908321E-2</v>
      </c>
      <c r="G117">
        <v>0.6</v>
      </c>
      <c r="H117">
        <v>-5.0749924975338227E-3</v>
      </c>
      <c r="I117">
        <v>1.0033715550318381</v>
      </c>
      <c r="J117">
        <v>0</v>
      </c>
      <c r="K117">
        <v>1.056970437156513E-2</v>
      </c>
      <c r="L117">
        <v>0</v>
      </c>
      <c r="M117">
        <v>27077164.612550002</v>
      </c>
      <c r="N117">
        <v>0</v>
      </c>
      <c r="O117" t="b">
        <v>0</v>
      </c>
    </row>
    <row r="118" spans="1:15" x14ac:dyDescent="0.3">
      <c r="A118" s="1" t="s">
        <v>222</v>
      </c>
      <c r="B118">
        <v>1.639750722321166</v>
      </c>
      <c r="C118">
        <v>1.562590026797887E-2</v>
      </c>
      <c r="D118">
        <v>2.8292896758085669E-2</v>
      </c>
      <c r="E118">
        <v>71.816729534867576</v>
      </c>
      <c r="F118">
        <v>6.9346844276327646E-2</v>
      </c>
      <c r="G118">
        <v>0.4</v>
      </c>
      <c r="H118">
        <v>-8.8085679608480849E-3</v>
      </c>
      <c r="I118">
        <v>1.1333593542509659</v>
      </c>
      <c r="J118">
        <v>0</v>
      </c>
      <c r="K118">
        <v>2.3815331180424781E-2</v>
      </c>
      <c r="L118">
        <v>0</v>
      </c>
      <c r="M118">
        <v>80277424.275399998</v>
      </c>
      <c r="N118">
        <v>0</v>
      </c>
      <c r="O118" t="b">
        <v>0</v>
      </c>
    </row>
    <row r="119" spans="1:15" x14ac:dyDescent="0.3">
      <c r="A119" s="1" t="s">
        <v>223</v>
      </c>
      <c r="B119">
        <v>4.030673176655525</v>
      </c>
      <c r="C119">
        <v>2.2759306474621821E-2</v>
      </c>
      <c r="D119">
        <v>3.387916431394692E-2</v>
      </c>
      <c r="E119">
        <v>58.127776249594568</v>
      </c>
      <c r="F119">
        <v>2.581627983758383E-2</v>
      </c>
      <c r="G119">
        <v>0.4</v>
      </c>
      <c r="H119">
        <v>1.3076662345875329E-2</v>
      </c>
      <c r="I119">
        <v>0.22950562123154969</v>
      </c>
      <c r="J119">
        <v>-1.2435175375007049E-2</v>
      </c>
      <c r="K119">
        <v>2.4054585405342891E-2</v>
      </c>
      <c r="L119">
        <v>0</v>
      </c>
      <c r="M119">
        <v>112885596.84199999</v>
      </c>
      <c r="N119">
        <v>0</v>
      </c>
      <c r="O119" t="b">
        <v>1</v>
      </c>
    </row>
    <row r="120" spans="1:15" x14ac:dyDescent="0.3">
      <c r="A120" s="1" t="s">
        <v>224</v>
      </c>
      <c r="B120">
        <v>3.8357024042514101</v>
      </c>
      <c r="C120">
        <v>2.0799861201948971E-2</v>
      </c>
      <c r="D120">
        <v>2.239574860365488E-2</v>
      </c>
      <c r="E120">
        <v>43.697270324454259</v>
      </c>
      <c r="F120">
        <v>-2.045044087963455E-2</v>
      </c>
      <c r="G120">
        <v>0.4</v>
      </c>
      <c r="H120">
        <v>-0.18050432338798039</v>
      </c>
      <c r="I120">
        <v>0.72861307150544574</v>
      </c>
      <c r="J120">
        <v>-3.3490566037735918E-2</v>
      </c>
      <c r="K120">
        <v>1.279657293497349E-2</v>
      </c>
      <c r="L120">
        <v>0</v>
      </c>
      <c r="M120">
        <v>46555349.700499997</v>
      </c>
      <c r="N120">
        <v>0</v>
      </c>
      <c r="O120" t="b">
        <v>0</v>
      </c>
    </row>
    <row r="121" spans="1:15" x14ac:dyDescent="0.3">
      <c r="A121" s="1" t="s">
        <v>225</v>
      </c>
      <c r="B121">
        <v>2.812598762564209</v>
      </c>
      <c r="C121">
        <v>2.199869195532533E-2</v>
      </c>
      <c r="D121">
        <v>1.2897624615769789E-2</v>
      </c>
      <c r="E121">
        <v>43.891573481795497</v>
      </c>
      <c r="F121">
        <v>4.6992259636162714E-3</v>
      </c>
      <c r="G121">
        <v>0.4</v>
      </c>
      <c r="H121">
        <v>-0.1082769229529096</v>
      </c>
      <c r="I121">
        <v>-0.38648356561540143</v>
      </c>
      <c r="J121">
        <v>-3.0285332888369879E-2</v>
      </c>
      <c r="K121">
        <v>4.4466441977577542E-3</v>
      </c>
      <c r="L121">
        <v>0</v>
      </c>
      <c r="M121">
        <v>168682266.09299999</v>
      </c>
      <c r="N121">
        <v>0</v>
      </c>
      <c r="O121" t="b">
        <v>1</v>
      </c>
    </row>
    <row r="122" spans="1:15" x14ac:dyDescent="0.3">
      <c r="A122" s="1" t="s">
        <v>226</v>
      </c>
      <c r="B122">
        <v>0.35409151644113329</v>
      </c>
      <c r="C122">
        <v>3.05251307276839E-2</v>
      </c>
      <c r="D122">
        <v>3.1034482758620641E-2</v>
      </c>
      <c r="E122">
        <v>54.825039943793684</v>
      </c>
      <c r="F122">
        <v>7.1504447667168458E-2</v>
      </c>
      <c r="G122">
        <v>0.6</v>
      </c>
      <c r="H122">
        <v>0.2445817300788781</v>
      </c>
      <c r="I122">
        <v>0.75675032144574395</v>
      </c>
      <c r="J122">
        <v>-7.0512820512820595E-2</v>
      </c>
      <c r="K122">
        <v>-2.7661357921207049E-2</v>
      </c>
      <c r="L122">
        <v>0</v>
      </c>
      <c r="M122">
        <v>10576813.69045</v>
      </c>
      <c r="N122">
        <v>0</v>
      </c>
      <c r="O122" t="b">
        <v>0</v>
      </c>
    </row>
    <row r="123" spans="1:15" x14ac:dyDescent="0.3">
      <c r="A123" s="1" t="s">
        <v>227</v>
      </c>
      <c r="B123">
        <v>20.013963473657761</v>
      </c>
      <c r="C123">
        <v>3.5211674156226808E-2</v>
      </c>
      <c r="D123">
        <v>5.7970759513714262E-2</v>
      </c>
      <c r="E123">
        <v>47.158388980154889</v>
      </c>
      <c r="F123">
        <v>-2.787802083155189E-2</v>
      </c>
      <c r="G123">
        <v>0.8</v>
      </c>
      <c r="H123">
        <v>-0.18371168893253861</v>
      </c>
      <c r="I123">
        <v>1.3557834711640591</v>
      </c>
      <c r="J123">
        <v>-6.6237897165226656E-3</v>
      </c>
      <c r="K123">
        <v>3.9769505167840391E-2</v>
      </c>
      <c r="L123">
        <v>0</v>
      </c>
      <c r="M123">
        <v>382380872.5</v>
      </c>
      <c r="N123">
        <v>0</v>
      </c>
      <c r="O123" t="b">
        <v>1</v>
      </c>
    </row>
    <row r="124" spans="1:15" x14ac:dyDescent="0.3">
      <c r="A124" s="1" t="s">
        <v>228</v>
      </c>
      <c r="B124">
        <v>8.1697161302451065</v>
      </c>
      <c r="C124">
        <v>2.180114141145309E-2</v>
      </c>
      <c r="D124">
        <v>3.9886534058462188E-2</v>
      </c>
      <c r="E124">
        <v>63.237154759170437</v>
      </c>
      <c r="F124">
        <v>2.0903654666067251E-2</v>
      </c>
      <c r="G124">
        <v>0.6</v>
      </c>
      <c r="H124">
        <v>9.921569154041536E-2</v>
      </c>
      <c r="I124">
        <v>1.0063916622472391</v>
      </c>
      <c r="J124">
        <v>0</v>
      </c>
      <c r="K124">
        <v>3.2043249436110477E-2</v>
      </c>
      <c r="L124">
        <v>0</v>
      </c>
      <c r="M124">
        <v>771877180.36750007</v>
      </c>
      <c r="N124">
        <v>0</v>
      </c>
      <c r="O124" t="b">
        <v>1</v>
      </c>
    </row>
    <row r="125" spans="1:15" x14ac:dyDescent="0.3">
      <c r="A125" s="1" t="s">
        <v>229</v>
      </c>
      <c r="B125">
        <v>1.943936982714582</v>
      </c>
      <c r="C125">
        <v>1.936963912629118E-2</v>
      </c>
      <c r="D125">
        <v>2.6903148664806729E-2</v>
      </c>
      <c r="E125">
        <v>54.765444429268427</v>
      </c>
      <c r="F125">
        <v>6.6198595787361203E-3</v>
      </c>
      <c r="G125">
        <v>0.6</v>
      </c>
      <c r="H125">
        <v>-2.8182381364142851E-2</v>
      </c>
      <c r="I125">
        <v>-0.25677066343327137</v>
      </c>
      <c r="J125">
        <v>-2.2689648456519551E-2</v>
      </c>
      <c r="K125">
        <v>1.281663134524158E-2</v>
      </c>
      <c r="L125">
        <v>0</v>
      </c>
      <c r="M125">
        <v>63335542.424500003</v>
      </c>
      <c r="N125">
        <v>0</v>
      </c>
      <c r="O125" t="b">
        <v>0</v>
      </c>
    </row>
    <row r="126" spans="1:15" x14ac:dyDescent="0.3">
      <c r="A126" s="1" t="s">
        <v>230</v>
      </c>
      <c r="B126">
        <v>4.771405339597786</v>
      </c>
      <c r="C126">
        <v>3.1967073158232523E-2</v>
      </c>
      <c r="D126">
        <v>3.2828621197909733E-2</v>
      </c>
      <c r="E126">
        <v>58.792371817314582</v>
      </c>
      <c r="F126">
        <v>8.3164005805514973E-2</v>
      </c>
      <c r="G126">
        <v>0.6</v>
      </c>
      <c r="H126">
        <v>0.12449398016986871</v>
      </c>
      <c r="I126">
        <v>0.69434330622422491</v>
      </c>
      <c r="J126">
        <v>-1.4785478547854841E-2</v>
      </c>
      <c r="K126">
        <v>2.7819859523481542E-2</v>
      </c>
      <c r="L126">
        <v>0</v>
      </c>
      <c r="M126">
        <v>69406436.5</v>
      </c>
      <c r="N126">
        <v>0</v>
      </c>
      <c r="O126" t="b">
        <v>0</v>
      </c>
    </row>
    <row r="127" spans="1:15" x14ac:dyDescent="0.3">
      <c r="A127" s="1" t="s">
        <v>231</v>
      </c>
      <c r="B127">
        <v>0.88923410730832309</v>
      </c>
      <c r="C127">
        <v>3.045322285302476E-2</v>
      </c>
      <c r="D127">
        <v>3.8698630136986267E-2</v>
      </c>
      <c r="E127">
        <v>51.073255572938002</v>
      </c>
      <c r="F127">
        <v>1.5299026425591E-2</v>
      </c>
      <c r="G127">
        <v>0.4</v>
      </c>
      <c r="H127">
        <v>-0.1136230103461911</v>
      </c>
      <c r="I127">
        <v>0.60773263321361548</v>
      </c>
      <c r="J127">
        <v>-3.1830238726790472E-2</v>
      </c>
      <c r="K127">
        <v>2.6722925457102639E-2</v>
      </c>
      <c r="L127">
        <v>0</v>
      </c>
      <c r="M127">
        <v>77278065</v>
      </c>
      <c r="N127">
        <v>0</v>
      </c>
      <c r="O127" t="b">
        <v>0</v>
      </c>
    </row>
    <row r="128" spans="1:15" x14ac:dyDescent="0.3">
      <c r="A128" s="1" t="s">
        <v>232</v>
      </c>
      <c r="B128">
        <v>10.270510831319671</v>
      </c>
      <c r="C128">
        <v>2.7598587708677871E-2</v>
      </c>
      <c r="D128">
        <v>2.1967598128656261E-2</v>
      </c>
      <c r="E128">
        <v>60.35655709223434</v>
      </c>
      <c r="F128">
        <v>2.5218672947918019E-2</v>
      </c>
      <c r="G128">
        <v>0.6</v>
      </c>
      <c r="H128">
        <v>6.3055167019443026E-2</v>
      </c>
      <c r="I128">
        <v>1.363777780932508</v>
      </c>
      <c r="J128">
        <v>-6.2460278040366024E-3</v>
      </c>
      <c r="K128">
        <v>3.7193872046608072E-3</v>
      </c>
      <c r="L128">
        <v>0</v>
      </c>
      <c r="M128">
        <v>83937675.430500001</v>
      </c>
      <c r="N128">
        <v>0</v>
      </c>
      <c r="O128" t="b">
        <v>0</v>
      </c>
    </row>
    <row r="129" spans="1:15" x14ac:dyDescent="0.3">
      <c r="A129" s="1" t="s">
        <v>233</v>
      </c>
      <c r="B129">
        <v>3.2515434960439529</v>
      </c>
      <c r="C129">
        <v>1.8059816244141422E-2</v>
      </c>
      <c r="D129">
        <v>1.5501852335275439E-2</v>
      </c>
      <c r="E129">
        <v>56.976556581067079</v>
      </c>
      <c r="F129">
        <v>4.0139807620092949E-2</v>
      </c>
      <c r="G129">
        <v>0.4</v>
      </c>
      <c r="H129">
        <v>6.0660830102460317E-2</v>
      </c>
      <c r="I129">
        <v>0.30274698305240622</v>
      </c>
      <c r="J129">
        <v>-3.4906595910053302E-2</v>
      </c>
      <c r="K129">
        <v>1.574594362828052E-2</v>
      </c>
      <c r="L129">
        <v>0.24206349206349209</v>
      </c>
      <c r="M129">
        <v>200758.21350000001</v>
      </c>
      <c r="N129">
        <v>10</v>
      </c>
      <c r="O129" t="b">
        <v>0</v>
      </c>
    </row>
    <row r="130" spans="1:15" x14ac:dyDescent="0.3">
      <c r="A130" s="1" t="s">
        <v>234</v>
      </c>
      <c r="B130">
        <v>96.758817420999947</v>
      </c>
      <c r="C130">
        <v>2.8282707006456919E-2</v>
      </c>
      <c r="D130">
        <v>3.34743198884579E-2</v>
      </c>
      <c r="E130">
        <v>23.822405818212179</v>
      </c>
      <c r="F130">
        <v>-8.2337068042885209E-2</v>
      </c>
      <c r="G130">
        <v>0.2</v>
      </c>
      <c r="H130">
        <v>-0.23621576110344369</v>
      </c>
      <c r="I130">
        <v>-0.41549780964062649</v>
      </c>
      <c r="J130">
        <v>-0.13780919618442769</v>
      </c>
      <c r="K130">
        <v>-2.1631391255358508E-2</v>
      </c>
      <c r="L130">
        <v>0</v>
      </c>
      <c r="M130">
        <v>442229670</v>
      </c>
      <c r="N130">
        <v>1</v>
      </c>
      <c r="O130" t="b">
        <v>1</v>
      </c>
    </row>
    <row r="131" spans="1:15" x14ac:dyDescent="0.3">
      <c r="A131" s="1" t="s">
        <v>235</v>
      </c>
      <c r="B131">
        <v>1.502359641835237</v>
      </c>
      <c r="C131">
        <v>3.5976045063104332E-2</v>
      </c>
      <c r="D131">
        <v>3.9272030651341008E-2</v>
      </c>
      <c r="E131">
        <v>65.74194123393363</v>
      </c>
      <c r="F131">
        <v>0.20514611242258601</v>
      </c>
      <c r="G131">
        <v>0.8</v>
      </c>
      <c r="H131">
        <v>0.17823021031219399</v>
      </c>
      <c r="I131">
        <v>1.509173796027387</v>
      </c>
      <c r="J131">
        <v>-1.3465627214741319E-2</v>
      </c>
      <c r="K131">
        <v>2.0777316059643169E-2</v>
      </c>
      <c r="L131">
        <v>0</v>
      </c>
      <c r="M131">
        <v>400146756.70139998</v>
      </c>
      <c r="N131">
        <v>0</v>
      </c>
      <c r="O131" t="b">
        <v>1</v>
      </c>
    </row>
    <row r="132" spans="1:15" x14ac:dyDescent="0.3">
      <c r="A132" s="1" t="s">
        <v>236</v>
      </c>
      <c r="B132">
        <v>5.5182811664712128</v>
      </c>
      <c r="C132">
        <v>2.776912825317639E-2</v>
      </c>
      <c r="D132">
        <v>1.509661835748792E-2</v>
      </c>
      <c r="E132">
        <v>51.09462391101389</v>
      </c>
      <c r="F132">
        <v>2.0070838252656431E-2</v>
      </c>
      <c r="G132">
        <v>0.4</v>
      </c>
      <c r="H132">
        <v>-0.1084482671517374</v>
      </c>
      <c r="I132">
        <v>1.185188223054942</v>
      </c>
      <c r="J132">
        <v>-3.6602511271634268E-2</v>
      </c>
      <c r="K132">
        <v>-8.2347656834855787E-3</v>
      </c>
      <c r="L132">
        <v>0</v>
      </c>
      <c r="M132">
        <v>1430288220</v>
      </c>
      <c r="N132">
        <v>0</v>
      </c>
      <c r="O132" t="b">
        <v>1</v>
      </c>
    </row>
    <row r="133" spans="1:15" x14ac:dyDescent="0.3">
      <c r="A133" s="1" t="s">
        <v>237</v>
      </c>
      <c r="B133">
        <v>5.4623526055897473</v>
      </c>
      <c r="C133">
        <v>3.4393354776411957E-2</v>
      </c>
      <c r="D133">
        <v>3.009696511774337E-2</v>
      </c>
      <c r="E133">
        <v>47.895263971369602</v>
      </c>
      <c r="F133">
        <v>-4.2618602688528462E-2</v>
      </c>
      <c r="G133">
        <v>0.4</v>
      </c>
      <c r="H133">
        <v>-2.6963256039758531E-3</v>
      </c>
      <c r="I133">
        <v>1.3659961617641529</v>
      </c>
      <c r="J133">
        <v>-3.3118227200779282E-2</v>
      </c>
      <c r="K133">
        <v>1.833803539369061E-2</v>
      </c>
      <c r="L133">
        <v>0</v>
      </c>
      <c r="M133">
        <v>1886613111.0355</v>
      </c>
      <c r="N133">
        <v>0</v>
      </c>
      <c r="O133" t="b">
        <v>1</v>
      </c>
    </row>
    <row r="134" spans="1:15" x14ac:dyDescent="0.3">
      <c r="A134" s="1" t="s">
        <v>238</v>
      </c>
      <c r="B134">
        <v>0.99276384670955531</v>
      </c>
      <c r="C134">
        <v>1.835731965069444E-2</v>
      </c>
      <c r="D134">
        <v>2.2374260355029471E-2</v>
      </c>
      <c r="E134">
        <v>61.360949858693012</v>
      </c>
      <c r="F134">
        <v>1.7616354118448418E-2</v>
      </c>
      <c r="G134">
        <v>0.6</v>
      </c>
      <c r="H134">
        <v>3.4250139936788847E-2</v>
      </c>
      <c r="I134">
        <v>0.77347190734990479</v>
      </c>
      <c r="J134">
        <v>0</v>
      </c>
      <c r="K134">
        <v>1.008591707134854E-2</v>
      </c>
      <c r="L134">
        <v>0</v>
      </c>
      <c r="M134">
        <v>1669592960.5474</v>
      </c>
      <c r="N134">
        <v>0</v>
      </c>
      <c r="O134" t="b">
        <v>1</v>
      </c>
    </row>
    <row r="135" spans="1:15" x14ac:dyDescent="0.3">
      <c r="A135" s="1" t="s">
        <v>239</v>
      </c>
      <c r="B135">
        <v>2.6316847553407969</v>
      </c>
      <c r="C135">
        <v>2.8507414281637569E-2</v>
      </c>
      <c r="D135">
        <v>3.2358491179191443E-2</v>
      </c>
      <c r="E135">
        <v>66.17354360471839</v>
      </c>
      <c r="F135">
        <v>7.2526640115622376E-2</v>
      </c>
      <c r="G135">
        <v>0.8</v>
      </c>
      <c r="H135">
        <v>-9.3037432382941931E-2</v>
      </c>
      <c r="I135">
        <v>0.29895522808740749</v>
      </c>
      <c r="J135">
        <v>0</v>
      </c>
      <c r="K135">
        <v>2.7505270211008789E-2</v>
      </c>
      <c r="L135">
        <v>0</v>
      </c>
      <c r="M135">
        <v>203227423.14300001</v>
      </c>
      <c r="N135">
        <v>0</v>
      </c>
      <c r="O135" t="b">
        <v>1</v>
      </c>
    </row>
    <row r="136" spans="1:15" x14ac:dyDescent="0.3">
      <c r="A136" s="1" t="s">
        <v>240</v>
      </c>
      <c r="B136">
        <v>0.92066881898572639</v>
      </c>
      <c r="C136">
        <v>2.618243919808343E-2</v>
      </c>
      <c r="D136">
        <v>1.9275614555961211E-2</v>
      </c>
      <c r="E136">
        <v>58.802452806707407</v>
      </c>
      <c r="F136">
        <v>-1.050457411873296E-2</v>
      </c>
      <c r="G136">
        <v>1</v>
      </c>
      <c r="H136">
        <v>7.7826074097203544E-3</v>
      </c>
      <c r="I136">
        <v>2.1246505409036032</v>
      </c>
      <c r="J136">
        <v>0</v>
      </c>
      <c r="K136">
        <v>4.7690210791304644E-3</v>
      </c>
      <c r="L136">
        <v>0</v>
      </c>
      <c r="M136">
        <v>11556978.73955</v>
      </c>
      <c r="N136">
        <v>0</v>
      </c>
      <c r="O136" t="b">
        <v>0</v>
      </c>
    </row>
    <row r="137" spans="1:15" x14ac:dyDescent="0.3">
      <c r="A137" s="1" t="s">
        <v>241</v>
      </c>
      <c r="B137">
        <v>1.1059971763080529</v>
      </c>
      <c r="C137">
        <v>2.315254712807311E-2</v>
      </c>
      <c r="D137">
        <v>3.454050659409668E-2</v>
      </c>
      <c r="E137">
        <v>46.826710023444008</v>
      </c>
      <c r="F137">
        <v>3.3477130234993442E-2</v>
      </c>
      <c r="G137">
        <v>0.6</v>
      </c>
      <c r="H137">
        <v>-9.8377020702760914E-2</v>
      </c>
      <c r="I137">
        <v>-6.8008595042230169E-2</v>
      </c>
      <c r="J137">
        <v>-3.8225357670640947E-2</v>
      </c>
      <c r="K137">
        <v>1.9202048218476708E-2</v>
      </c>
      <c r="L137">
        <v>0</v>
      </c>
      <c r="M137">
        <v>124737905.6869</v>
      </c>
      <c r="N137">
        <v>0</v>
      </c>
      <c r="O137" t="b">
        <v>1</v>
      </c>
    </row>
    <row r="138" spans="1:15" x14ac:dyDescent="0.3">
      <c r="A138" s="1" t="s">
        <v>242</v>
      </c>
      <c r="B138">
        <v>1.360256412885785</v>
      </c>
      <c r="C138">
        <v>2.4438670730969909E-2</v>
      </c>
      <c r="D138">
        <v>3.6471433704635313E-2</v>
      </c>
      <c r="E138">
        <v>65.461380917880177</v>
      </c>
      <c r="F138">
        <v>4.9003107808344833E-2</v>
      </c>
      <c r="G138">
        <v>0.6</v>
      </c>
      <c r="H138">
        <v>-5.5800055638507387E-2</v>
      </c>
      <c r="I138">
        <v>1.636102838467711</v>
      </c>
      <c r="J138">
        <v>0</v>
      </c>
      <c r="K138">
        <v>2.222222222222214E-2</v>
      </c>
      <c r="L138">
        <v>0</v>
      </c>
      <c r="M138">
        <v>97218215.369300008</v>
      </c>
      <c r="N138">
        <v>0</v>
      </c>
      <c r="O138" t="b">
        <v>1</v>
      </c>
    </row>
    <row r="139" spans="1:15" x14ac:dyDescent="0.3">
      <c r="A139" s="1" t="s">
        <v>243</v>
      </c>
      <c r="B139">
        <v>7.5747979168463262</v>
      </c>
      <c r="C139">
        <v>2.7345840855040889E-2</v>
      </c>
      <c r="D139">
        <v>1.1805054151624479E-2</v>
      </c>
      <c r="E139">
        <v>65.114366333390677</v>
      </c>
      <c r="F139">
        <v>6.9456777730589669E-2</v>
      </c>
      <c r="G139">
        <v>0.6</v>
      </c>
      <c r="H139">
        <v>-1.9648124965072141E-3</v>
      </c>
      <c r="I139">
        <v>0.80093838245600935</v>
      </c>
      <c r="J139">
        <v>-2.3410768953717742E-3</v>
      </c>
      <c r="K139">
        <v>2.569763654131529E-3</v>
      </c>
      <c r="L139">
        <v>0</v>
      </c>
      <c r="M139">
        <v>62213779.6065</v>
      </c>
      <c r="N139">
        <v>0</v>
      </c>
      <c r="O139" t="b">
        <v>0</v>
      </c>
    </row>
    <row r="140" spans="1:15" x14ac:dyDescent="0.3">
      <c r="A140" s="1" t="s">
        <v>244</v>
      </c>
      <c r="B140">
        <v>0.54883616036095262</v>
      </c>
      <c r="C140">
        <v>3.005674481713869E-2</v>
      </c>
      <c r="D140">
        <v>2.5739320920043749E-2</v>
      </c>
      <c r="E140">
        <v>41.15653047234111</v>
      </c>
      <c r="F140">
        <v>2.9277476522778349E-2</v>
      </c>
      <c r="G140">
        <v>0.4</v>
      </c>
      <c r="H140">
        <v>-0.20553734763570861</v>
      </c>
      <c r="I140">
        <v>1.029822951565885</v>
      </c>
      <c r="J140">
        <v>-4.2976939203354103E-2</v>
      </c>
      <c r="K140">
        <v>5.5066079295154058E-3</v>
      </c>
      <c r="L140">
        <v>0</v>
      </c>
      <c r="M140">
        <v>136574743.72745001</v>
      </c>
      <c r="N140">
        <v>0</v>
      </c>
      <c r="O140" t="b">
        <v>1</v>
      </c>
    </row>
    <row r="141" spans="1:15" x14ac:dyDescent="0.3">
      <c r="A141" s="1" t="s">
        <v>245</v>
      </c>
      <c r="B141">
        <v>0.48505454145890797</v>
      </c>
      <c r="C141">
        <v>8.6518930614074077E-3</v>
      </c>
      <c r="D141">
        <v>1.254294245443556E-2</v>
      </c>
      <c r="E141">
        <v>59.742179007794249</v>
      </c>
      <c r="F141">
        <v>-3.871623434426708E-3</v>
      </c>
      <c r="G141">
        <v>0.6</v>
      </c>
      <c r="H141">
        <v>-0.18615071600953689</v>
      </c>
      <c r="I141">
        <v>0.78134243276570903</v>
      </c>
      <c r="J141">
        <v>-4.7469590348442336E-3</v>
      </c>
      <c r="K141">
        <v>1.1978382593438971E-2</v>
      </c>
      <c r="L141">
        <v>0</v>
      </c>
      <c r="M141">
        <v>10576416.86655</v>
      </c>
      <c r="N141">
        <v>0</v>
      </c>
      <c r="O141" t="b">
        <v>0</v>
      </c>
    </row>
    <row r="142" spans="1:15" x14ac:dyDescent="0.3">
      <c r="A142" s="1" t="s">
        <v>246</v>
      </c>
      <c r="B142">
        <v>1.0313154973548659</v>
      </c>
      <c r="C142">
        <v>1.125514290373375E-2</v>
      </c>
      <c r="D142">
        <v>1.6371168583420699E-2</v>
      </c>
      <c r="E142">
        <v>68.766585576990167</v>
      </c>
      <c r="F142">
        <v>5.6344539219834289E-2</v>
      </c>
      <c r="G142">
        <v>0.8</v>
      </c>
      <c r="H142">
        <v>5.8748961267085092E-2</v>
      </c>
      <c r="I142">
        <v>0.76438500112010388</v>
      </c>
      <c r="J142">
        <v>0</v>
      </c>
      <c r="K142">
        <v>1.351529222298309E-2</v>
      </c>
      <c r="L142">
        <v>0</v>
      </c>
      <c r="M142">
        <v>16471598.73435</v>
      </c>
      <c r="N142">
        <v>0</v>
      </c>
      <c r="O142" t="b">
        <v>0</v>
      </c>
    </row>
    <row r="143" spans="1:15" x14ac:dyDescent="0.3">
      <c r="A143" s="1" t="s">
        <v>247</v>
      </c>
      <c r="B143">
        <v>0.1046617727699951</v>
      </c>
      <c r="C143">
        <v>3.1524630352408163E-2</v>
      </c>
      <c r="D143">
        <v>2.108433734939754E-2</v>
      </c>
      <c r="E143">
        <v>39.789700642584819</v>
      </c>
      <c r="F143">
        <v>-8.0332409972299179E-2</v>
      </c>
      <c r="G143">
        <v>0.4</v>
      </c>
      <c r="H143">
        <v>1.191565378395937E-2</v>
      </c>
      <c r="I143">
        <v>1.068907981733461</v>
      </c>
      <c r="J143">
        <v>-0.10752688172043021</v>
      </c>
      <c r="K143">
        <v>0</v>
      </c>
      <c r="L143">
        <v>0</v>
      </c>
      <c r="M143">
        <v>104353800.542265</v>
      </c>
      <c r="N143">
        <v>0</v>
      </c>
      <c r="O143" t="b">
        <v>1</v>
      </c>
    </row>
    <row r="144" spans="1:15" x14ac:dyDescent="0.3">
      <c r="A144" s="1" t="s">
        <v>248</v>
      </c>
      <c r="B144">
        <v>0.6339158503107013</v>
      </c>
      <c r="C144">
        <v>8.8351503124170019E-3</v>
      </c>
      <c r="D144">
        <v>1.358340778237551E-2</v>
      </c>
      <c r="E144">
        <v>62.301738710985312</v>
      </c>
      <c r="F144">
        <v>1.8474672026663749E-2</v>
      </c>
      <c r="G144">
        <v>0.4</v>
      </c>
      <c r="H144">
        <v>-7.1621816584674456E-3</v>
      </c>
      <c r="I144">
        <v>0.61622939615756511</v>
      </c>
      <c r="J144">
        <v>0</v>
      </c>
      <c r="K144">
        <v>1.2335802469135791E-2</v>
      </c>
      <c r="L144">
        <v>0</v>
      </c>
      <c r="M144">
        <v>26397434.162999999</v>
      </c>
      <c r="N144">
        <v>0</v>
      </c>
      <c r="O144" t="b">
        <v>0</v>
      </c>
    </row>
    <row r="145" spans="1:15" x14ac:dyDescent="0.3">
      <c r="A145" s="1" t="s">
        <v>249</v>
      </c>
      <c r="B145">
        <v>0.61107804035288238</v>
      </c>
      <c r="C145">
        <v>8.5435229261937012E-3</v>
      </c>
      <c r="D145">
        <v>1.3174359282659471E-2</v>
      </c>
      <c r="E145">
        <v>62.882563041408247</v>
      </c>
      <c r="F145">
        <v>1.5752079425017881E-2</v>
      </c>
      <c r="G145">
        <v>0.4</v>
      </c>
      <c r="H145">
        <v>-3.5446187751221853E-2</v>
      </c>
      <c r="I145">
        <v>0.71906217753943047</v>
      </c>
      <c r="J145">
        <v>0</v>
      </c>
      <c r="K145">
        <v>1.1942355251467029E-2</v>
      </c>
      <c r="L145">
        <v>0</v>
      </c>
      <c r="M145">
        <v>6218031.28125</v>
      </c>
      <c r="N145">
        <v>0</v>
      </c>
      <c r="O145" t="b">
        <v>0</v>
      </c>
    </row>
    <row r="146" spans="1:15" x14ac:dyDescent="0.3">
      <c r="A146" s="1" t="s">
        <v>250</v>
      </c>
      <c r="B146">
        <v>2.5742372833434461</v>
      </c>
      <c r="C146">
        <v>3.5409041036361007E-2</v>
      </c>
      <c r="D146">
        <v>3.7276478679504919E-2</v>
      </c>
      <c r="E146">
        <v>63.169810485968917</v>
      </c>
      <c r="F146">
        <v>0.1574590033434167</v>
      </c>
      <c r="G146">
        <v>0.6</v>
      </c>
      <c r="H146">
        <v>0.17079878733451859</v>
      </c>
      <c r="I146">
        <v>1.7226446644122519</v>
      </c>
      <c r="J146">
        <v>-2.755484216158377E-2</v>
      </c>
      <c r="K146">
        <v>1.4371424584903149E-2</v>
      </c>
      <c r="L146">
        <v>0</v>
      </c>
      <c r="M146">
        <v>105459687</v>
      </c>
      <c r="N146">
        <v>0</v>
      </c>
      <c r="O146" t="b">
        <v>1</v>
      </c>
    </row>
    <row r="147" spans="1:15" x14ac:dyDescent="0.3">
      <c r="A147" s="1" t="s">
        <v>251</v>
      </c>
      <c r="B147">
        <v>0.72021106656556855</v>
      </c>
      <c r="C147">
        <v>1.092601262139215E-2</v>
      </c>
      <c r="D147">
        <v>1.1083618666476671E-2</v>
      </c>
      <c r="E147">
        <v>58.767741003228899</v>
      </c>
      <c r="F147">
        <v>5.4990649301520636E-3</v>
      </c>
      <c r="G147">
        <v>0.8</v>
      </c>
      <c r="H147">
        <v>-2.633813119159055E-2</v>
      </c>
      <c r="I147">
        <v>0.91956204989478985</v>
      </c>
      <c r="J147">
        <v>-2.8711072520416492E-3</v>
      </c>
      <c r="K147">
        <v>7.979166698524276E-3</v>
      </c>
      <c r="L147">
        <v>0</v>
      </c>
      <c r="M147">
        <v>76516884.81735</v>
      </c>
      <c r="N147">
        <v>0</v>
      </c>
      <c r="O147" t="b">
        <v>0</v>
      </c>
    </row>
    <row r="148" spans="1:15" x14ac:dyDescent="0.3">
      <c r="A148" s="1" t="s">
        <v>252</v>
      </c>
      <c r="B148">
        <v>1.2912898592983459</v>
      </c>
      <c r="C148">
        <v>1.041194855102682E-2</v>
      </c>
      <c r="D148">
        <v>1.069182389937102E-2</v>
      </c>
      <c r="E148">
        <v>60.550589158785328</v>
      </c>
      <c r="F148">
        <v>8.2680910221701875E-3</v>
      </c>
      <c r="G148">
        <v>0.6</v>
      </c>
      <c r="H148">
        <v>-6.0543356242708922E-2</v>
      </c>
      <c r="I148">
        <v>1.001176218071437</v>
      </c>
      <c r="J148">
        <v>0</v>
      </c>
      <c r="K148">
        <v>6.4352779829095494E-3</v>
      </c>
      <c r="L148">
        <v>0</v>
      </c>
      <c r="M148">
        <v>18590380.420000002</v>
      </c>
      <c r="N148">
        <v>0</v>
      </c>
      <c r="O148" t="b">
        <v>0</v>
      </c>
    </row>
    <row r="149" spans="1:15" x14ac:dyDescent="0.3">
      <c r="A149" s="1" t="s">
        <v>253</v>
      </c>
      <c r="B149">
        <v>0.39324378265301541</v>
      </c>
      <c r="C149">
        <v>1.7586931245662581E-2</v>
      </c>
      <c r="D149">
        <v>2.191413237924859E-2</v>
      </c>
      <c r="E149">
        <v>68.394839774326357</v>
      </c>
      <c r="F149">
        <v>5.971563981042638E-2</v>
      </c>
      <c r="G149">
        <v>0.8</v>
      </c>
      <c r="H149">
        <v>0.1170699017198242</v>
      </c>
      <c r="I149">
        <v>0.85741366047940915</v>
      </c>
      <c r="J149">
        <v>0</v>
      </c>
      <c r="K149">
        <v>2.147099132023755E-2</v>
      </c>
      <c r="L149">
        <v>0</v>
      </c>
      <c r="M149">
        <v>23929016.5</v>
      </c>
      <c r="N149">
        <v>0</v>
      </c>
      <c r="O149" t="b">
        <v>0</v>
      </c>
    </row>
    <row r="150" spans="1:15" x14ac:dyDescent="0.3">
      <c r="A150" s="1" t="s">
        <v>254</v>
      </c>
      <c r="B150">
        <v>2.3752839681618529</v>
      </c>
      <c r="C150">
        <v>3.2469638955653191E-2</v>
      </c>
      <c r="D150">
        <v>2.307050878967647E-2</v>
      </c>
      <c r="E150">
        <v>42.979613286567933</v>
      </c>
      <c r="F150">
        <v>-5.1566547476125213E-2</v>
      </c>
      <c r="G150">
        <v>0.6</v>
      </c>
      <c r="H150">
        <v>-6.439515742997981E-2</v>
      </c>
      <c r="I150">
        <v>1.6400997522494081</v>
      </c>
      <c r="J150">
        <v>-8.4712341381752321E-2</v>
      </c>
      <c r="K150">
        <v>1.2984603199000629E-2</v>
      </c>
      <c r="L150">
        <v>0</v>
      </c>
      <c r="M150">
        <v>241053600.77954999</v>
      </c>
      <c r="N150">
        <v>0</v>
      </c>
      <c r="O150" t="b">
        <v>1</v>
      </c>
    </row>
    <row r="151" spans="1:15" x14ac:dyDescent="0.3">
      <c r="A151" s="1" t="s">
        <v>255</v>
      </c>
      <c r="B151">
        <v>0.44582390779619768</v>
      </c>
      <c r="C151">
        <v>1.9483692691437231E-2</v>
      </c>
      <c r="D151">
        <v>1.25033323281721E-2</v>
      </c>
      <c r="E151">
        <v>49.246757901999253</v>
      </c>
      <c r="F151">
        <v>1.089895384180384E-2</v>
      </c>
      <c r="G151">
        <v>0.6</v>
      </c>
      <c r="H151">
        <v>-8.1140643442987784E-2</v>
      </c>
      <c r="I151">
        <v>-0.30221114048059811</v>
      </c>
      <c r="J151">
        <v>-1.5285900564184E-2</v>
      </c>
      <c r="K151">
        <v>1.7292403600321919E-3</v>
      </c>
      <c r="L151">
        <v>0</v>
      </c>
      <c r="M151">
        <v>66538023.722549997</v>
      </c>
      <c r="N151">
        <v>0</v>
      </c>
      <c r="O151" t="b">
        <v>0</v>
      </c>
    </row>
    <row r="152" spans="1:15" x14ac:dyDescent="0.3">
      <c r="A152" s="1" t="s">
        <v>256</v>
      </c>
      <c r="B152">
        <v>0.72741029847168526</v>
      </c>
      <c r="C152">
        <v>1.9203017383096231E-2</v>
      </c>
      <c r="D152">
        <v>1.267159450897563E-2</v>
      </c>
      <c r="E152">
        <v>61.268965203328932</v>
      </c>
      <c r="F152">
        <v>3.8092628117292422E-2</v>
      </c>
      <c r="G152">
        <v>0.8</v>
      </c>
      <c r="H152">
        <v>0.17101434469916971</v>
      </c>
      <c r="I152">
        <v>0.66993287858062711</v>
      </c>
      <c r="J152">
        <v>-1.6614745586708168E-2</v>
      </c>
      <c r="K152">
        <v>4.774535809018543E-3</v>
      </c>
      <c r="L152">
        <v>0</v>
      </c>
      <c r="M152">
        <v>7826866</v>
      </c>
      <c r="N152">
        <v>0</v>
      </c>
      <c r="O152" t="b">
        <v>0</v>
      </c>
    </row>
    <row r="153" spans="1:15" x14ac:dyDescent="0.3">
      <c r="A153" s="1" t="s">
        <v>257</v>
      </c>
      <c r="B153">
        <v>0.43427331933269248</v>
      </c>
      <c r="C153">
        <v>1.8231457570641998E-2</v>
      </c>
      <c r="D153">
        <v>3.1486146095717878E-2</v>
      </c>
      <c r="E153">
        <v>71.044217628332774</v>
      </c>
      <c r="F153">
        <v>7.2489869428185472E-2</v>
      </c>
      <c r="G153">
        <v>0.6</v>
      </c>
      <c r="H153">
        <v>0.10813274523763899</v>
      </c>
      <c r="I153">
        <v>1.0005447782144949</v>
      </c>
      <c r="J153">
        <v>0</v>
      </c>
      <c r="K153">
        <v>2.9386343993085481E-2</v>
      </c>
      <c r="L153">
        <v>0</v>
      </c>
      <c r="M153">
        <v>218456229.73905</v>
      </c>
      <c r="N153">
        <v>0</v>
      </c>
      <c r="O153" t="b">
        <v>1</v>
      </c>
    </row>
    <row r="154" spans="1:15" x14ac:dyDescent="0.3">
      <c r="A154" s="1" t="s">
        <v>258</v>
      </c>
      <c r="B154">
        <v>3.325695087726102</v>
      </c>
      <c r="C154">
        <v>2.1321975237865699E-2</v>
      </c>
      <c r="D154">
        <v>5.4790831864080743E-2</v>
      </c>
      <c r="E154">
        <v>63.995674459005279</v>
      </c>
      <c r="F154">
        <v>9.8214411445791461E-2</v>
      </c>
      <c r="G154">
        <v>0.6</v>
      </c>
      <c r="H154">
        <v>3.2887826667851281E-3</v>
      </c>
      <c r="I154">
        <v>0.55610091734365574</v>
      </c>
      <c r="J154">
        <v>0</v>
      </c>
      <c r="K154">
        <v>5.0740014685771502E-2</v>
      </c>
      <c r="L154">
        <v>0</v>
      </c>
      <c r="M154">
        <v>431159886.54000002</v>
      </c>
      <c r="N154">
        <v>0</v>
      </c>
      <c r="O154" t="b">
        <v>1</v>
      </c>
    </row>
    <row r="155" spans="1:15" x14ac:dyDescent="0.3">
      <c r="A155" s="1" t="s">
        <v>259</v>
      </c>
      <c r="B155">
        <v>11.782159284857499</v>
      </c>
      <c r="C155">
        <v>0.116321051286973</v>
      </c>
      <c r="D155">
        <v>9.2704116892092014E-2</v>
      </c>
      <c r="E155">
        <v>45.955300769494663</v>
      </c>
      <c r="F155">
        <v>-0.2724987430869783</v>
      </c>
      <c r="G155">
        <v>0.4</v>
      </c>
      <c r="H155">
        <v>0.1167895027651535</v>
      </c>
      <c r="I155">
        <v>4.8151287757645154</v>
      </c>
      <c r="J155">
        <v>-0.2028803021956401</v>
      </c>
      <c r="K155">
        <v>-7.4470029239765978E-2</v>
      </c>
      <c r="L155">
        <v>0</v>
      </c>
      <c r="M155">
        <v>180800420</v>
      </c>
      <c r="N155">
        <v>0</v>
      </c>
      <c r="O155" t="b">
        <v>1</v>
      </c>
    </row>
    <row r="156" spans="1:15" x14ac:dyDescent="0.3">
      <c r="A156" s="1" t="s">
        <v>260</v>
      </c>
      <c r="B156">
        <v>0.50451834059605971</v>
      </c>
      <c r="C156">
        <v>2.9642675710696811E-2</v>
      </c>
      <c r="D156">
        <v>4.2890716803760102E-2</v>
      </c>
      <c r="E156">
        <v>49.799267575137513</v>
      </c>
      <c r="F156">
        <v>5.517668939863607E-2</v>
      </c>
      <c r="G156">
        <v>0.6</v>
      </c>
      <c r="H156">
        <v>-0.16994381916509629</v>
      </c>
      <c r="I156">
        <v>0.88501329371478299</v>
      </c>
      <c r="J156">
        <v>-2.7428571428571469E-2</v>
      </c>
      <c r="K156">
        <v>3.6540803897685548E-2</v>
      </c>
      <c r="L156">
        <v>0</v>
      </c>
      <c r="M156">
        <v>116324406</v>
      </c>
      <c r="N156">
        <v>0</v>
      </c>
      <c r="O156" t="b">
        <v>1</v>
      </c>
    </row>
    <row r="157" spans="1:15" x14ac:dyDescent="0.3">
      <c r="A157" s="1" t="s">
        <v>261</v>
      </c>
      <c r="B157">
        <v>0.49949283118603249</v>
      </c>
      <c r="C157">
        <v>2.1722274073627722E-2</v>
      </c>
      <c r="D157">
        <v>3.2172910913479263E-2</v>
      </c>
      <c r="E157">
        <v>58.511980034705481</v>
      </c>
      <c r="F157">
        <v>3.5079585148906967E-2</v>
      </c>
      <c r="G157">
        <v>0.6</v>
      </c>
      <c r="H157">
        <v>-0.1073881610040735</v>
      </c>
      <c r="I157">
        <v>1.088861520830245</v>
      </c>
      <c r="J157">
        <v>-6.3951604191422318E-3</v>
      </c>
      <c r="K157">
        <v>-6.3951604191422318E-3</v>
      </c>
      <c r="L157">
        <v>0</v>
      </c>
      <c r="M157">
        <v>83331221.002700001</v>
      </c>
      <c r="N157">
        <v>0</v>
      </c>
      <c r="O157" t="b">
        <v>0</v>
      </c>
    </row>
    <row r="158" spans="1:15" x14ac:dyDescent="0.3">
      <c r="A158" s="1" t="s">
        <v>262</v>
      </c>
      <c r="B158">
        <v>0.67580512165008266</v>
      </c>
      <c r="C158">
        <v>2.38043367964101E-2</v>
      </c>
      <c r="D158">
        <v>2.2895385699189801E-2</v>
      </c>
      <c r="E158">
        <v>47.296217750861373</v>
      </c>
      <c r="F158">
        <v>-8.860353130016041E-2</v>
      </c>
      <c r="G158">
        <v>0.4</v>
      </c>
      <c r="H158">
        <v>7.278568932240205E-2</v>
      </c>
      <c r="I158">
        <v>0.91792138414065239</v>
      </c>
      <c r="J158">
        <v>-3.3696392103471751E-2</v>
      </c>
      <c r="K158">
        <v>7.0947144377437876E-3</v>
      </c>
      <c r="L158">
        <v>0</v>
      </c>
      <c r="M158">
        <v>13258191.4301</v>
      </c>
      <c r="N158">
        <v>0</v>
      </c>
      <c r="O158" t="b">
        <v>0</v>
      </c>
    </row>
    <row r="159" spans="1:15" x14ac:dyDescent="0.3">
      <c r="A159" s="1" t="s">
        <v>263</v>
      </c>
      <c r="B159">
        <v>1.161647547819262</v>
      </c>
      <c r="C159">
        <v>2.9461008060341409E-2</v>
      </c>
      <c r="D159">
        <v>1.9528277960943519E-2</v>
      </c>
      <c r="E159">
        <v>42.090924987164911</v>
      </c>
      <c r="F159">
        <v>-9.9350152468621111E-2</v>
      </c>
      <c r="G159">
        <v>0.4</v>
      </c>
      <c r="H159">
        <v>9.987944082787921E-2</v>
      </c>
      <c r="I159">
        <v>0.63662385585025894</v>
      </c>
      <c r="J159">
        <v>-6.5947472278088504E-2</v>
      </c>
      <c r="K159">
        <v>5.0981391791997677E-3</v>
      </c>
      <c r="L159">
        <v>0</v>
      </c>
      <c r="M159">
        <v>28985159.572700001</v>
      </c>
      <c r="N159">
        <v>0</v>
      </c>
      <c r="O159" t="b">
        <v>0</v>
      </c>
    </row>
    <row r="160" spans="1:15" x14ac:dyDescent="0.3">
      <c r="A160" s="1" t="s">
        <v>264</v>
      </c>
      <c r="B160">
        <v>2.7102498134427129</v>
      </c>
      <c r="C160">
        <v>8.6203874473368747E-2</v>
      </c>
      <c r="D160">
        <v>7.3791348600509024E-2</v>
      </c>
      <c r="E160">
        <v>59.577476208569969</v>
      </c>
      <c r="F160">
        <v>-7.7194012327560846E-2</v>
      </c>
      <c r="G160">
        <v>0.8</v>
      </c>
      <c r="H160">
        <v>0</v>
      </c>
      <c r="I160">
        <v>1</v>
      </c>
      <c r="J160">
        <v>-0.12690919189114119</v>
      </c>
      <c r="K160">
        <v>1.353965183752415E-2</v>
      </c>
      <c r="O160" t="b">
        <v>0</v>
      </c>
    </row>
    <row r="161" spans="1:15" x14ac:dyDescent="0.3">
      <c r="A161" s="1" t="s">
        <v>265</v>
      </c>
      <c r="B161">
        <v>0.82105725823330866</v>
      </c>
      <c r="C161">
        <v>2.736857527444362E-2</v>
      </c>
      <c r="D161">
        <v>2.1666666666666619E-2</v>
      </c>
      <c r="E161">
        <v>67.109488252226541</v>
      </c>
      <c r="F161">
        <v>0.11532041296597149</v>
      </c>
      <c r="G161">
        <v>0.6</v>
      </c>
      <c r="H161">
        <v>3.1800862026517433E-2</v>
      </c>
      <c r="I161">
        <v>0.32033925735077962</v>
      </c>
      <c r="J161">
        <v>-8.2644628099173278E-3</v>
      </c>
      <c r="K161">
        <v>1.4541765302671591E-2</v>
      </c>
      <c r="L161">
        <v>0</v>
      </c>
      <c r="M161">
        <v>4420281.4124999996</v>
      </c>
      <c r="N161">
        <v>0</v>
      </c>
      <c r="O161" t="b">
        <v>0</v>
      </c>
    </row>
    <row r="162" spans="1:15" x14ac:dyDescent="0.3">
      <c r="A162" s="1" t="s">
        <v>266</v>
      </c>
      <c r="B162">
        <v>0.94132262403719014</v>
      </c>
      <c r="C162">
        <v>3.0984944833350569E-2</v>
      </c>
      <c r="D162">
        <v>2.40289664252798E-2</v>
      </c>
      <c r="E162">
        <v>65.315965077563277</v>
      </c>
      <c r="F162">
        <v>0.1207230471271787</v>
      </c>
      <c r="G162">
        <v>0.4</v>
      </c>
      <c r="H162">
        <v>6.3630936407527691E-2</v>
      </c>
      <c r="I162">
        <v>0.36951054557160218</v>
      </c>
      <c r="J162">
        <v>-6.5789473684207955E-4</v>
      </c>
      <c r="K162">
        <v>2.4620573355817799E-2</v>
      </c>
      <c r="L162">
        <v>0</v>
      </c>
      <c r="M162">
        <v>100482805.30075</v>
      </c>
      <c r="N162">
        <v>0</v>
      </c>
      <c r="O162" t="b">
        <v>1</v>
      </c>
    </row>
    <row r="163" spans="1:15" x14ac:dyDescent="0.3">
      <c r="A163" s="1" t="s">
        <v>267</v>
      </c>
      <c r="B163">
        <v>2.314239436163589</v>
      </c>
      <c r="C163">
        <v>2.543754800553092E-2</v>
      </c>
      <c r="D163">
        <v>2.5245858032718099E-2</v>
      </c>
      <c r="E163">
        <v>41.418182924469583</v>
      </c>
      <c r="F163">
        <v>-3.0482418047330651E-2</v>
      </c>
      <c r="G163">
        <v>0.2</v>
      </c>
      <c r="H163">
        <v>5.7227606074982222E-2</v>
      </c>
      <c r="I163">
        <v>0.1857833685886793</v>
      </c>
      <c r="J163">
        <v>-5.1911916272312952E-2</v>
      </c>
      <c r="K163">
        <v>5.4658871453772129E-4</v>
      </c>
      <c r="L163">
        <v>0</v>
      </c>
      <c r="M163">
        <v>128405063.81910001</v>
      </c>
      <c r="N163">
        <v>0</v>
      </c>
      <c r="O163" t="b">
        <v>1</v>
      </c>
    </row>
    <row r="164" spans="1:15" x14ac:dyDescent="0.3">
      <c r="A164" s="1" t="s">
        <v>268</v>
      </c>
      <c r="B164">
        <v>1.1643017038762229</v>
      </c>
      <c r="C164">
        <v>1.923511818728272E-2</v>
      </c>
      <c r="D164">
        <v>2.725921030893769E-2</v>
      </c>
      <c r="E164">
        <v>71.465429330367456</v>
      </c>
      <c r="F164">
        <v>8.360186179735063E-2</v>
      </c>
      <c r="G164">
        <v>0.6</v>
      </c>
      <c r="H164">
        <v>8.0692576796572199E-2</v>
      </c>
      <c r="I164">
        <v>1.113006687320047</v>
      </c>
      <c r="J164">
        <v>0</v>
      </c>
      <c r="K164">
        <v>2.5758346043043501E-2</v>
      </c>
      <c r="L164">
        <v>0</v>
      </c>
      <c r="M164">
        <v>143826277.35299999</v>
      </c>
      <c r="N164">
        <v>0</v>
      </c>
      <c r="O164" t="b">
        <v>1</v>
      </c>
    </row>
    <row r="165" spans="1:15" x14ac:dyDescent="0.3">
      <c r="A165" s="1" t="s">
        <v>269</v>
      </c>
      <c r="B165">
        <v>4.7784585060993336</v>
      </c>
      <c r="C165">
        <v>3.7903216515422652E-2</v>
      </c>
      <c r="D165">
        <v>2.197192036170378E-2</v>
      </c>
      <c r="E165">
        <v>55.562113488819897</v>
      </c>
      <c r="F165">
        <v>-4.7233978234582863E-2</v>
      </c>
      <c r="G165">
        <v>0.8</v>
      </c>
      <c r="H165">
        <v>5.2023231514886963E-2</v>
      </c>
      <c r="I165">
        <v>1.951263825723039</v>
      </c>
      <c r="J165">
        <v>-4.456233421750655E-2</v>
      </c>
      <c r="K165">
        <v>1.7185735033080411E-2</v>
      </c>
      <c r="L165">
        <v>0</v>
      </c>
      <c r="M165">
        <v>356835759</v>
      </c>
      <c r="N165">
        <v>0</v>
      </c>
      <c r="O165" t="b">
        <v>1</v>
      </c>
    </row>
    <row r="166" spans="1:15" x14ac:dyDescent="0.3">
      <c r="A166" s="1" t="s">
        <v>270</v>
      </c>
      <c r="B166">
        <v>5.2455625131879779</v>
      </c>
      <c r="C166">
        <v>2.9544142569349351E-2</v>
      </c>
      <c r="D166">
        <v>5.0295691354547888E-2</v>
      </c>
      <c r="E166">
        <v>61.74310764556629</v>
      </c>
      <c r="F166">
        <v>0.13624728017406909</v>
      </c>
      <c r="G166">
        <v>0.4</v>
      </c>
      <c r="H166">
        <v>0.1083890847788469</v>
      </c>
      <c r="I166">
        <v>0.44658112366172742</v>
      </c>
      <c r="J166">
        <v>-2.4932725575264939E-2</v>
      </c>
      <c r="K166">
        <v>9.72474977252058E-3</v>
      </c>
      <c r="L166">
        <v>0</v>
      </c>
      <c r="M166">
        <v>203363602</v>
      </c>
      <c r="N166">
        <v>0</v>
      </c>
      <c r="O166" t="b">
        <v>1</v>
      </c>
    </row>
    <row r="167" spans="1:15" x14ac:dyDescent="0.3">
      <c r="A167" s="1" t="s">
        <v>271</v>
      </c>
      <c r="B167">
        <v>1.9927951999774041E-2</v>
      </c>
      <c r="C167">
        <v>2.1919876980635309E-4</v>
      </c>
      <c r="D167">
        <v>1.088956768416491E-4</v>
      </c>
      <c r="E167">
        <v>98.860133213018301</v>
      </c>
      <c r="F167">
        <v>3.073898234770223E-3</v>
      </c>
      <c r="G167">
        <v>0.8</v>
      </c>
      <c r="H167">
        <v>-8.2157680364427318E-2</v>
      </c>
      <c r="I167">
        <v>-3.5440267103421769E-4</v>
      </c>
      <c r="J167">
        <v>0</v>
      </c>
      <c r="K167">
        <v>0</v>
      </c>
      <c r="L167">
        <v>7.9365079365079361E-3</v>
      </c>
      <c r="M167">
        <v>762665776.2878499</v>
      </c>
      <c r="N167">
        <v>0</v>
      </c>
      <c r="O167" t="b">
        <v>1</v>
      </c>
    </row>
    <row r="168" spans="1:15" x14ac:dyDescent="0.3">
      <c r="A168" s="1" t="s">
        <v>272</v>
      </c>
      <c r="B168">
        <v>0.91550968032453406</v>
      </c>
      <c r="C168">
        <v>3.612903237271247E-2</v>
      </c>
      <c r="D168">
        <v>2.1310181531175969E-2</v>
      </c>
      <c r="E168">
        <v>41.969843134353859</v>
      </c>
      <c r="F168">
        <v>-8.1884057971014501E-2</v>
      </c>
      <c r="G168">
        <v>0.6</v>
      </c>
      <c r="H168">
        <v>9.4514075994628823E-3</v>
      </c>
      <c r="I168">
        <v>2.0927912684735221</v>
      </c>
      <c r="J168">
        <v>-6.8039720485472688E-2</v>
      </c>
      <c r="K168">
        <v>-1.182499014584226E-3</v>
      </c>
      <c r="L168">
        <v>0</v>
      </c>
      <c r="M168">
        <v>73108418.5</v>
      </c>
      <c r="N168">
        <v>0</v>
      </c>
      <c r="O168" t="b">
        <v>0</v>
      </c>
    </row>
    <row r="169" spans="1:15" x14ac:dyDescent="0.3">
      <c r="A169" s="1" t="s">
        <v>273</v>
      </c>
      <c r="B169">
        <v>8.9249005294100542E-2</v>
      </c>
      <c r="C169">
        <v>1.7064003688944231E-3</v>
      </c>
      <c r="D169">
        <v>2.4549495722001658E-3</v>
      </c>
      <c r="E169">
        <v>58.434849949869722</v>
      </c>
      <c r="F169">
        <v>3.5515969714527969E-3</v>
      </c>
      <c r="G169">
        <v>0.2</v>
      </c>
      <c r="H169">
        <v>-8.9328891564229421E-2</v>
      </c>
      <c r="I169">
        <v>7.751491557247428E-2</v>
      </c>
      <c r="J169">
        <v>-1.508166050991244E-3</v>
      </c>
      <c r="K169">
        <v>1.7026215392159649E-3</v>
      </c>
      <c r="L169">
        <v>0</v>
      </c>
      <c r="M169">
        <v>73297045.21085</v>
      </c>
      <c r="N169">
        <v>0</v>
      </c>
      <c r="O169" t="b">
        <v>0</v>
      </c>
    </row>
    <row r="170" spans="1:15" x14ac:dyDescent="0.3">
      <c r="A170" s="1" t="s">
        <v>274</v>
      </c>
      <c r="B170">
        <v>9.8163466969702142</v>
      </c>
      <c r="C170">
        <v>3.1163005387207031E-2</v>
      </c>
      <c r="D170">
        <v>2.8952380952380969E-2</v>
      </c>
      <c r="E170">
        <v>49.854233222328652</v>
      </c>
      <c r="F170">
        <v>2.479016201444462E-2</v>
      </c>
      <c r="G170">
        <v>0.2</v>
      </c>
      <c r="H170">
        <v>4.8798826290339103E-2</v>
      </c>
      <c r="I170">
        <v>1.1744797956765749</v>
      </c>
      <c r="J170">
        <v>-5.1804581439450881E-2</v>
      </c>
      <c r="K170">
        <v>2.2561272520694731E-2</v>
      </c>
      <c r="L170">
        <v>0</v>
      </c>
      <c r="M170">
        <v>64852679.5</v>
      </c>
      <c r="N170">
        <v>0</v>
      </c>
      <c r="O170" t="b">
        <v>0</v>
      </c>
    </row>
    <row r="171" spans="1:15" x14ac:dyDescent="0.3">
      <c r="A171" s="1" t="s">
        <v>275</v>
      </c>
      <c r="B171">
        <v>0.64293698470855276</v>
      </c>
      <c r="C171">
        <v>1.8218673411973731E-2</v>
      </c>
      <c r="D171">
        <v>2.4086143383394772E-2</v>
      </c>
      <c r="E171">
        <v>50.591973863716802</v>
      </c>
      <c r="F171">
        <v>-1.3694801565120261E-2</v>
      </c>
      <c r="G171">
        <v>0.2</v>
      </c>
      <c r="H171">
        <v>0.1131692363568758</v>
      </c>
      <c r="I171">
        <v>0.46075180889568612</v>
      </c>
      <c r="J171">
        <v>-3.0760780005492979E-2</v>
      </c>
      <c r="K171">
        <v>1.030632693959355E-2</v>
      </c>
      <c r="L171">
        <v>0</v>
      </c>
      <c r="M171">
        <v>15426657.6262</v>
      </c>
      <c r="N171">
        <v>0</v>
      </c>
      <c r="O171" t="b">
        <v>0</v>
      </c>
    </row>
    <row r="172" spans="1:15" x14ac:dyDescent="0.3">
      <c r="A172" s="1" t="s">
        <v>276</v>
      </c>
      <c r="B172">
        <v>1.404273307643809</v>
      </c>
      <c r="C172">
        <v>3.144364773049281E-2</v>
      </c>
      <c r="D172">
        <v>2.4294670846395E-2</v>
      </c>
      <c r="E172">
        <v>60.93453201085439</v>
      </c>
      <c r="F172">
        <v>0.14366197183098589</v>
      </c>
      <c r="G172">
        <v>0.6</v>
      </c>
      <c r="H172">
        <v>-8.5242171429569552E-2</v>
      </c>
      <c r="I172">
        <v>0.66788494551723754</v>
      </c>
      <c r="J172">
        <v>0</v>
      </c>
      <c r="K172">
        <v>2.1734156943491009E-2</v>
      </c>
      <c r="L172">
        <v>0</v>
      </c>
      <c r="M172">
        <v>85504125.5</v>
      </c>
      <c r="N172">
        <v>0</v>
      </c>
      <c r="O172" t="b">
        <v>0</v>
      </c>
    </row>
    <row r="173" spans="1:15" x14ac:dyDescent="0.3">
      <c r="A173" s="1" t="s">
        <v>277</v>
      </c>
      <c r="B173">
        <v>0.228760901120557</v>
      </c>
      <c r="C173">
        <v>2.951776415308467E-3</v>
      </c>
      <c r="D173">
        <v>4.3561627573892063E-3</v>
      </c>
      <c r="E173">
        <v>50.986194892890033</v>
      </c>
      <c r="F173">
        <v>4.0069905337600797E-3</v>
      </c>
      <c r="G173">
        <v>0.2</v>
      </c>
      <c r="H173">
        <v>-9.0370243287222624E-2</v>
      </c>
      <c r="I173">
        <v>-9.1364627912461725E-3</v>
      </c>
      <c r="J173">
        <v>-6.5631433354612634E-3</v>
      </c>
      <c r="K173">
        <v>3.2128950747689622E-3</v>
      </c>
      <c r="L173">
        <v>0</v>
      </c>
      <c r="M173">
        <v>102896361.48895</v>
      </c>
      <c r="N173">
        <v>0</v>
      </c>
      <c r="O173" t="b">
        <v>1</v>
      </c>
    </row>
    <row r="174" spans="1:15" x14ac:dyDescent="0.3">
      <c r="A174" s="1" t="s">
        <v>278</v>
      </c>
      <c r="B174">
        <v>2.4686422701109598</v>
      </c>
      <c r="C174">
        <v>2.7548736414584982E-2</v>
      </c>
      <c r="D174">
        <v>1.9752259792433991E-2</v>
      </c>
      <c r="E174">
        <v>44.754119120912272</v>
      </c>
      <c r="F174">
        <v>-2.4918389553862941E-2</v>
      </c>
      <c r="G174">
        <v>0.4</v>
      </c>
      <c r="H174">
        <v>-0.1276487485274834</v>
      </c>
      <c r="I174">
        <v>0.2017819602820935</v>
      </c>
      <c r="J174">
        <v>-5.0540368722186813E-2</v>
      </c>
      <c r="K174">
        <v>-8.3001328021248266E-3</v>
      </c>
      <c r="L174">
        <v>0</v>
      </c>
      <c r="M174">
        <v>179113386.5</v>
      </c>
      <c r="N174">
        <v>0</v>
      </c>
      <c r="O174" t="b">
        <v>1</v>
      </c>
    </row>
    <row r="175" spans="1:15" x14ac:dyDescent="0.3">
      <c r="A175" s="1" t="s">
        <v>279</v>
      </c>
      <c r="B175">
        <v>2.1168352777024921</v>
      </c>
      <c r="C175">
        <v>1.796089597398982E-2</v>
      </c>
      <c r="D175">
        <v>3.5313682567157008E-2</v>
      </c>
      <c r="E175">
        <v>77.433449825397631</v>
      </c>
      <c r="F175">
        <v>6.6868227860705565E-2</v>
      </c>
      <c r="G175">
        <v>1</v>
      </c>
      <c r="H175">
        <v>0.12212218112815219</v>
      </c>
      <c r="I175">
        <v>0.74355551721720425</v>
      </c>
      <c r="J175">
        <v>0</v>
      </c>
      <c r="K175">
        <v>2.1131702752579699E-2</v>
      </c>
      <c r="L175">
        <v>0</v>
      </c>
      <c r="M175">
        <v>333824651.47229999</v>
      </c>
      <c r="N175">
        <v>0</v>
      </c>
      <c r="O175" t="b">
        <v>1</v>
      </c>
    </row>
    <row r="176" spans="1:15" x14ac:dyDescent="0.3">
      <c r="A176" s="1" t="s">
        <v>280</v>
      </c>
      <c r="B176">
        <v>1.370828253855308</v>
      </c>
      <c r="C176">
        <v>1.0418211383609269E-2</v>
      </c>
      <c r="D176">
        <v>1.0685514515883921E-2</v>
      </c>
      <c r="E176">
        <v>60.769085626037253</v>
      </c>
      <c r="F176">
        <v>8.7860527163163837E-3</v>
      </c>
      <c r="G176">
        <v>0.6</v>
      </c>
      <c r="H176">
        <v>-4.2811866615641578E-3</v>
      </c>
      <c r="I176">
        <v>1.0177601386045501</v>
      </c>
      <c r="J176">
        <v>0</v>
      </c>
      <c r="K176">
        <v>6.9409901050714318E-3</v>
      </c>
      <c r="L176">
        <v>0</v>
      </c>
      <c r="M176">
        <v>11151268.569499999</v>
      </c>
      <c r="N176">
        <v>0</v>
      </c>
      <c r="O176" t="b">
        <v>0</v>
      </c>
    </row>
    <row r="177" spans="1:15" x14ac:dyDescent="0.3">
      <c r="A177" s="1" t="s">
        <v>281</v>
      </c>
      <c r="B177">
        <v>3.4132425536175327E-2</v>
      </c>
      <c r="C177">
        <v>1.640997775756273E-3</v>
      </c>
      <c r="D177">
        <v>1.4278983451764839E-3</v>
      </c>
      <c r="E177">
        <v>79.953339981223536</v>
      </c>
      <c r="F177">
        <v>8.1672022606429362E-3</v>
      </c>
      <c r="G177">
        <v>1</v>
      </c>
      <c r="H177">
        <v>-6.8752063744489514E-2</v>
      </c>
      <c r="I177">
        <v>9.4493186732999918E-2</v>
      </c>
      <c r="J177">
        <v>0</v>
      </c>
      <c r="K177">
        <v>9.5283926852740564E-4</v>
      </c>
      <c r="L177">
        <v>0</v>
      </c>
      <c r="M177">
        <v>193914588.05849999</v>
      </c>
      <c r="N177">
        <v>0</v>
      </c>
      <c r="O177" t="b">
        <v>1</v>
      </c>
    </row>
    <row r="178" spans="1:15" x14ac:dyDescent="0.3">
      <c r="A178" s="1" t="s">
        <v>282</v>
      </c>
      <c r="B178">
        <v>150.52432319349299</v>
      </c>
      <c r="C178">
        <v>2.852352065365971E-2</v>
      </c>
      <c r="D178">
        <v>5.7018873645114938E-2</v>
      </c>
      <c r="E178">
        <v>62.146015913824478</v>
      </c>
      <c r="F178">
        <v>6.6331510043585062E-2</v>
      </c>
      <c r="G178">
        <v>0.6</v>
      </c>
      <c r="H178">
        <v>-6.9767354706726098E-2</v>
      </c>
      <c r="I178">
        <v>0.80020011183113304</v>
      </c>
      <c r="J178">
        <v>0</v>
      </c>
      <c r="K178">
        <v>1.5674319060156709E-2</v>
      </c>
      <c r="L178">
        <v>0</v>
      </c>
      <c r="M178">
        <v>1140148084.23</v>
      </c>
      <c r="N178">
        <v>0</v>
      </c>
      <c r="O178" t="b">
        <v>1</v>
      </c>
    </row>
    <row r="179" spans="1:15" x14ac:dyDescent="0.3">
      <c r="A179" s="1" t="s">
        <v>283</v>
      </c>
      <c r="B179">
        <v>1.3933261362235569</v>
      </c>
      <c r="C179">
        <v>2.9112843557152851E-2</v>
      </c>
      <c r="D179">
        <v>2.6228857384636241E-2</v>
      </c>
      <c r="E179">
        <v>46.969244910084257</v>
      </c>
      <c r="F179">
        <v>-1.5572870171916661E-2</v>
      </c>
      <c r="G179">
        <v>0.6</v>
      </c>
      <c r="H179">
        <v>-1.0160284174013341E-2</v>
      </c>
      <c r="I179">
        <v>0.89868282368455576</v>
      </c>
      <c r="J179">
        <v>-5.0779654024807767E-2</v>
      </c>
      <c r="K179">
        <v>7.3393838874529216E-3</v>
      </c>
      <c r="L179">
        <v>0</v>
      </c>
      <c r="M179">
        <v>289668489.07700002</v>
      </c>
      <c r="N179">
        <v>0</v>
      </c>
      <c r="O179" t="b">
        <v>1</v>
      </c>
    </row>
    <row r="180" spans="1:15" x14ac:dyDescent="0.3">
      <c r="A180" s="1" t="s">
        <v>284</v>
      </c>
      <c r="B180">
        <v>14.56706309398934</v>
      </c>
      <c r="C180">
        <v>3.3061877199249523E-2</v>
      </c>
      <c r="D180">
        <v>5.4425783023150293E-2</v>
      </c>
      <c r="E180">
        <v>53.554688653023618</v>
      </c>
      <c r="F180">
        <v>1.635487070655817E-2</v>
      </c>
      <c r="G180">
        <v>0.2</v>
      </c>
      <c r="H180">
        <v>4.6040698817024849E-4</v>
      </c>
      <c r="I180">
        <v>1.249081224171267</v>
      </c>
      <c r="J180">
        <v>-3.1924944521345533E-2</v>
      </c>
      <c r="K180">
        <v>5.1124841949567117E-2</v>
      </c>
      <c r="L180">
        <v>0</v>
      </c>
      <c r="M180">
        <v>112376606</v>
      </c>
      <c r="N180">
        <v>0</v>
      </c>
      <c r="O180" t="b">
        <v>1</v>
      </c>
    </row>
    <row r="181" spans="1:15" x14ac:dyDescent="0.3">
      <c r="A181" s="1" t="s">
        <v>285</v>
      </c>
      <c r="B181">
        <v>4.4631603453450772</v>
      </c>
      <c r="C181">
        <v>4.0729698351387823E-2</v>
      </c>
      <c r="D181">
        <v>5.9773681328709603E-2</v>
      </c>
      <c r="E181">
        <v>49.818702538173007</v>
      </c>
      <c r="F181">
        <v>2.3538202876891349E-2</v>
      </c>
      <c r="G181">
        <v>0.2</v>
      </c>
      <c r="H181">
        <v>-0.19995843909468669</v>
      </c>
      <c r="I181">
        <v>1.3654026865412561</v>
      </c>
      <c r="J181">
        <v>-4.2467668647326103E-2</v>
      </c>
      <c r="K181">
        <v>4.3519664793829183E-2</v>
      </c>
      <c r="L181">
        <v>0</v>
      </c>
      <c r="M181">
        <v>224599344</v>
      </c>
      <c r="N181">
        <v>0</v>
      </c>
      <c r="O181" t="b">
        <v>1</v>
      </c>
    </row>
    <row r="182" spans="1:15" x14ac:dyDescent="0.3">
      <c r="A182" s="1" t="s">
        <v>286</v>
      </c>
      <c r="B182">
        <v>21.293872741916989</v>
      </c>
      <c r="C182">
        <v>1.9655398705801391E-2</v>
      </c>
      <c r="D182">
        <v>1.7039580564170761E-2</v>
      </c>
      <c r="E182">
        <v>57.170250357574183</v>
      </c>
      <c r="F182">
        <v>5.5411689360396199E-3</v>
      </c>
      <c r="G182">
        <v>0.6</v>
      </c>
      <c r="H182">
        <v>-0.1055162351810741</v>
      </c>
      <c r="I182">
        <v>0.87593229401209904</v>
      </c>
      <c r="J182">
        <v>-4.8409468781864806E-3</v>
      </c>
      <c r="K182">
        <v>1.124791143553217E-2</v>
      </c>
      <c r="L182">
        <v>0</v>
      </c>
      <c r="M182">
        <v>644688804.375</v>
      </c>
      <c r="N182">
        <v>0</v>
      </c>
      <c r="O182" t="b">
        <v>1</v>
      </c>
    </row>
    <row r="183" spans="1:15" x14ac:dyDescent="0.3">
      <c r="A183" s="1" t="s">
        <v>287</v>
      </c>
      <c r="B183">
        <v>3.054191623877327</v>
      </c>
      <c r="C183">
        <v>6.6208359503085346E-2</v>
      </c>
      <c r="D183">
        <v>4.8775200520268798E-2</v>
      </c>
      <c r="E183">
        <v>51.861722499677867</v>
      </c>
      <c r="F183">
        <v>-9.8733633827001732E-3</v>
      </c>
      <c r="G183">
        <v>0.6</v>
      </c>
      <c r="H183">
        <v>-3.8511294388637277E-2</v>
      </c>
      <c r="I183">
        <v>3.6885365015447009</v>
      </c>
      <c r="J183">
        <v>-4.729450640231303E-2</v>
      </c>
      <c r="K183">
        <v>4.3374539145535351E-4</v>
      </c>
      <c r="O183" t="b">
        <v>0</v>
      </c>
    </row>
    <row r="184" spans="1:15" x14ac:dyDescent="0.3">
      <c r="A184" s="1" t="s">
        <v>288</v>
      </c>
      <c r="B184">
        <v>0.40587215160549789</v>
      </c>
      <c r="C184">
        <v>5.827218114365716E-3</v>
      </c>
      <c r="D184">
        <v>5.9826765119288259E-3</v>
      </c>
      <c r="E184">
        <v>46.246928079575333</v>
      </c>
      <c r="F184">
        <v>-2.1989954816730162E-3</v>
      </c>
      <c r="G184">
        <v>0.2</v>
      </c>
      <c r="H184">
        <v>-0.1006183886169876</v>
      </c>
      <c r="I184">
        <v>-1.1482467919026519E-2</v>
      </c>
      <c r="J184">
        <v>-1.544170135772183E-2</v>
      </c>
      <c r="K184">
        <v>4.2910595716150191E-3</v>
      </c>
      <c r="L184">
        <v>0</v>
      </c>
      <c r="M184">
        <v>48469294.754500002</v>
      </c>
      <c r="N184">
        <v>0</v>
      </c>
      <c r="O184" t="b">
        <v>0</v>
      </c>
    </row>
    <row r="185" spans="1:15" x14ac:dyDescent="0.3">
      <c r="A185" s="1" t="s">
        <v>289</v>
      </c>
      <c r="B185">
        <v>3.616111452101523</v>
      </c>
      <c r="C185">
        <v>8.9507709210433745E-2</v>
      </c>
      <c r="D185">
        <v>9.0321782178217846E-2</v>
      </c>
      <c r="E185">
        <v>55.640009779287809</v>
      </c>
      <c r="F185">
        <v>-1.7937230631607459E-2</v>
      </c>
      <c r="G185">
        <v>0.8</v>
      </c>
      <c r="H185">
        <v>-1.309808310595067E-2</v>
      </c>
      <c r="I185">
        <v>5.2758173182585963</v>
      </c>
      <c r="J185">
        <v>-3.8981115979299652E-3</v>
      </c>
      <c r="K185">
        <v>3.034940066309599E-2</v>
      </c>
      <c r="L185">
        <v>0</v>
      </c>
      <c r="M185">
        <v>1767475840.4159999</v>
      </c>
      <c r="N185">
        <v>0</v>
      </c>
      <c r="O185" t="b">
        <v>1</v>
      </c>
    </row>
    <row r="186" spans="1:15" x14ac:dyDescent="0.3">
      <c r="A186" s="1" t="s">
        <v>290</v>
      </c>
      <c r="B186">
        <v>2.2362278366917252</v>
      </c>
      <c r="C186">
        <v>1.7257507614537159E-2</v>
      </c>
      <c r="D186">
        <v>2.7241858311467821E-2</v>
      </c>
      <c r="E186">
        <v>62.568285258979927</v>
      </c>
      <c r="F186">
        <v>3.3745512564818718E-2</v>
      </c>
      <c r="G186">
        <v>0.4</v>
      </c>
      <c r="H186">
        <v>-4.4487727322424502E-2</v>
      </c>
      <c r="I186">
        <v>0.79685452637950405</v>
      </c>
      <c r="J186">
        <v>0</v>
      </c>
      <c r="K186">
        <v>2.4347826086956511E-2</v>
      </c>
      <c r="L186">
        <v>0</v>
      </c>
      <c r="M186">
        <v>57536628.020499997</v>
      </c>
      <c r="N186">
        <v>0</v>
      </c>
      <c r="O186" t="b">
        <v>0</v>
      </c>
    </row>
    <row r="187" spans="1:15" x14ac:dyDescent="0.3">
      <c r="A187" s="1" t="s">
        <v>291</v>
      </c>
      <c r="B187">
        <v>1.406236842849969</v>
      </c>
      <c r="C187">
        <v>2.6186905825883969E-2</v>
      </c>
      <c r="D187">
        <v>2.4022346368715069E-2</v>
      </c>
      <c r="E187">
        <v>48.007203512224891</v>
      </c>
      <c r="F187">
        <v>1.9555724321245419E-2</v>
      </c>
      <c r="G187">
        <v>0.2</v>
      </c>
      <c r="H187">
        <v>-8.2830046955756673E-2</v>
      </c>
      <c r="I187">
        <v>0.80000088225609556</v>
      </c>
      <c r="J187">
        <v>-4.6011724995558612E-2</v>
      </c>
      <c r="K187">
        <v>-7.443245254931119E-4</v>
      </c>
      <c r="L187">
        <v>0</v>
      </c>
      <c r="M187">
        <v>106354530</v>
      </c>
      <c r="N187">
        <v>0</v>
      </c>
      <c r="O187" t="b">
        <v>1</v>
      </c>
    </row>
    <row r="188" spans="1:15" x14ac:dyDescent="0.3">
      <c r="A188" s="1" t="s">
        <v>292</v>
      </c>
      <c r="B188">
        <v>1.271873423508691</v>
      </c>
      <c r="C188">
        <v>2.5129928406337071E-2</v>
      </c>
      <c r="D188">
        <v>2.4994121935750301E-2</v>
      </c>
      <c r="E188">
        <v>63.899943828533168</v>
      </c>
      <c r="F188">
        <v>8.3580971139847637E-2</v>
      </c>
      <c r="G188">
        <v>0.6</v>
      </c>
      <c r="H188">
        <v>3.9989794818821207E-2</v>
      </c>
      <c r="I188">
        <v>0.30082187363385032</v>
      </c>
      <c r="J188">
        <v>-1.802452033239621E-2</v>
      </c>
      <c r="K188">
        <v>1.1057085324341241E-2</v>
      </c>
      <c r="L188">
        <v>0</v>
      </c>
      <c r="M188">
        <v>617240830.62045002</v>
      </c>
      <c r="N188">
        <v>0</v>
      </c>
      <c r="O188" t="b">
        <v>1</v>
      </c>
    </row>
    <row r="189" spans="1:15" x14ac:dyDescent="0.3">
      <c r="A189" s="1" t="s">
        <v>293</v>
      </c>
      <c r="B189">
        <v>1.0438643743821721</v>
      </c>
      <c r="C189">
        <v>2.2042358382298191E-2</v>
      </c>
      <c r="D189">
        <v>2.7203888743422319E-2</v>
      </c>
      <c r="E189">
        <v>62.353652203337461</v>
      </c>
      <c r="F189">
        <v>2.885572139303472E-2</v>
      </c>
      <c r="G189">
        <v>0.6</v>
      </c>
      <c r="H189">
        <v>-8.7506841860791554E-3</v>
      </c>
      <c r="I189">
        <v>1.6059427381026641</v>
      </c>
      <c r="J189">
        <v>0</v>
      </c>
      <c r="K189">
        <v>1.541654695078276E-2</v>
      </c>
      <c r="L189">
        <v>0</v>
      </c>
      <c r="M189">
        <v>135048748.49105</v>
      </c>
      <c r="N189">
        <v>0</v>
      </c>
      <c r="O189" t="b">
        <v>1</v>
      </c>
    </row>
    <row r="190" spans="1:15" x14ac:dyDescent="0.3">
      <c r="A190" s="1" t="s">
        <v>294</v>
      </c>
      <c r="B190">
        <v>0.19873322956734249</v>
      </c>
      <c r="C190">
        <v>2.694008420484359E-3</v>
      </c>
      <c r="D190">
        <v>3.6356932353330969E-3</v>
      </c>
      <c r="E190">
        <v>51.361019150612528</v>
      </c>
      <c r="F190">
        <v>2.5304964230576932E-3</v>
      </c>
      <c r="G190">
        <v>0.2</v>
      </c>
      <c r="H190">
        <v>-8.9669086691501559E-2</v>
      </c>
      <c r="I190">
        <v>-5.3355628846223158E-3</v>
      </c>
      <c r="J190">
        <v>-5.36629695846913E-3</v>
      </c>
      <c r="K190">
        <v>2.9707641458001088E-3</v>
      </c>
      <c r="L190">
        <v>0</v>
      </c>
      <c r="M190">
        <v>480560465.15020001</v>
      </c>
      <c r="N190">
        <v>0</v>
      </c>
      <c r="O190" t="b">
        <v>1</v>
      </c>
    </row>
    <row r="191" spans="1:15" x14ac:dyDescent="0.3">
      <c r="A191" s="1" t="s">
        <v>295</v>
      </c>
      <c r="B191">
        <v>8.8803289075687603E-2</v>
      </c>
      <c r="C191">
        <v>1.844262936375028E-3</v>
      </c>
      <c r="D191">
        <v>2.0311062467939351E-3</v>
      </c>
      <c r="E191">
        <v>38.077735204152297</v>
      </c>
      <c r="F191">
        <v>-6.1774515793471263E-3</v>
      </c>
      <c r="G191">
        <v>0.2</v>
      </c>
      <c r="H191">
        <v>-9.8646784845593416E-2</v>
      </c>
      <c r="I191">
        <v>-7.0685196452792019E-4</v>
      </c>
      <c r="J191">
        <v>-7.576460210187097E-3</v>
      </c>
      <c r="K191">
        <v>-2.0348456943286569E-4</v>
      </c>
      <c r="L191">
        <v>0</v>
      </c>
      <c r="M191">
        <v>163747703.69345</v>
      </c>
      <c r="N191">
        <v>0</v>
      </c>
      <c r="O191" t="b">
        <v>1</v>
      </c>
    </row>
    <row r="192" spans="1:15" x14ac:dyDescent="0.3">
      <c r="A192" s="1" t="s">
        <v>296</v>
      </c>
      <c r="B192">
        <v>1.0032190066328259</v>
      </c>
      <c r="C192">
        <v>1.3808933332867529E-2</v>
      </c>
      <c r="D192">
        <v>1.252580867171384E-2</v>
      </c>
      <c r="E192">
        <v>77.564273838073547</v>
      </c>
      <c r="F192">
        <v>8.0618771381823606E-2</v>
      </c>
      <c r="G192">
        <v>0.8</v>
      </c>
      <c r="H192">
        <v>0.12142329162108791</v>
      </c>
      <c r="I192">
        <v>0.28387960602554468</v>
      </c>
      <c r="J192">
        <v>0</v>
      </c>
      <c r="K192">
        <v>7.2092056009982466E-3</v>
      </c>
      <c r="L192">
        <v>0</v>
      </c>
      <c r="M192">
        <v>89733014.5</v>
      </c>
      <c r="N192">
        <v>0</v>
      </c>
      <c r="O192" t="b">
        <v>0</v>
      </c>
    </row>
    <row r="193" spans="1:15" x14ac:dyDescent="0.3">
      <c r="A193" s="1" t="s">
        <v>297</v>
      </c>
      <c r="B193">
        <v>0.9306539548484789</v>
      </c>
      <c r="C193">
        <v>1.9638192758988791E-2</v>
      </c>
      <c r="D193">
        <v>2.7115425195188791E-2</v>
      </c>
      <c r="E193">
        <v>61.802531886048627</v>
      </c>
      <c r="F193">
        <v>2.932232841007831E-2</v>
      </c>
      <c r="G193">
        <v>0.8</v>
      </c>
      <c r="H193">
        <v>-8.0731451415203478E-3</v>
      </c>
      <c r="I193">
        <v>1.6616214181956011</v>
      </c>
      <c r="J193">
        <v>0</v>
      </c>
      <c r="K193">
        <v>1.520994001713794E-2</v>
      </c>
      <c r="L193">
        <v>0</v>
      </c>
      <c r="M193">
        <v>728661.98730000004</v>
      </c>
      <c r="N193">
        <v>0</v>
      </c>
      <c r="O193" t="b">
        <v>0</v>
      </c>
    </row>
    <row r="194" spans="1:15" x14ac:dyDescent="0.3">
      <c r="A194" s="1" t="s">
        <v>298</v>
      </c>
      <c r="B194">
        <v>3.1167958341312572</v>
      </c>
      <c r="C194">
        <v>3.2556492757416379E-2</v>
      </c>
      <c r="D194">
        <v>1.6420326944168829E-2</v>
      </c>
      <c r="E194">
        <v>39.801210220910527</v>
      </c>
      <c r="F194">
        <v>-8.8845531550394874E-2</v>
      </c>
      <c r="G194">
        <v>0.4</v>
      </c>
      <c r="H194">
        <v>-9.9211928036344293E-2</v>
      </c>
      <c r="I194">
        <v>1.1328877295894231</v>
      </c>
      <c r="J194">
        <v>-0.1429274843330349</v>
      </c>
      <c r="K194">
        <v>-1.199791340636303E-3</v>
      </c>
      <c r="L194">
        <v>0</v>
      </c>
      <c r="M194">
        <v>81949315.5</v>
      </c>
      <c r="N194">
        <v>0</v>
      </c>
      <c r="O194" t="b">
        <v>0</v>
      </c>
    </row>
    <row r="195" spans="1:15" x14ac:dyDescent="0.3">
      <c r="A195" s="1" t="s">
        <v>299</v>
      </c>
      <c r="B195">
        <v>2.76939986916795</v>
      </c>
      <c r="C195">
        <v>2.330242388610429E-2</v>
      </c>
      <c r="D195">
        <v>4.3880315702674068E-2</v>
      </c>
      <c r="E195">
        <v>71.117914956217419</v>
      </c>
      <c r="F195">
        <v>0.10700646435291269</v>
      </c>
      <c r="G195">
        <v>0.4</v>
      </c>
      <c r="H195">
        <v>3.9001344339749541E-2</v>
      </c>
      <c r="I195">
        <v>1.293272599554524</v>
      </c>
      <c r="J195">
        <v>0</v>
      </c>
      <c r="K195">
        <v>3.1711996388669388E-2</v>
      </c>
      <c r="L195">
        <v>0</v>
      </c>
      <c r="M195">
        <v>19455723.098749999</v>
      </c>
      <c r="N195">
        <v>1</v>
      </c>
      <c r="O195" t="b">
        <v>0</v>
      </c>
    </row>
    <row r="196" spans="1:15" x14ac:dyDescent="0.3">
      <c r="A196" s="1" t="s">
        <v>300</v>
      </c>
      <c r="B196">
        <v>0.27115001734469679</v>
      </c>
      <c r="C196">
        <v>2.9343493335861688E-3</v>
      </c>
      <c r="D196">
        <v>3.8623242123034911E-3</v>
      </c>
      <c r="E196">
        <v>50.730837675569262</v>
      </c>
      <c r="F196">
        <v>1.374098248024813E-3</v>
      </c>
      <c r="G196">
        <v>0.2</v>
      </c>
      <c r="H196">
        <v>-8.1272572540528651E-2</v>
      </c>
      <c r="I196">
        <v>-2.8660938152225471E-3</v>
      </c>
      <c r="J196">
        <v>-5.8590577094591589E-3</v>
      </c>
      <c r="K196">
        <v>3.4456097523896112E-3</v>
      </c>
      <c r="L196">
        <v>0</v>
      </c>
      <c r="M196">
        <v>27176902.5132</v>
      </c>
      <c r="N196">
        <v>0</v>
      </c>
      <c r="O196" t="b">
        <v>0</v>
      </c>
    </row>
    <row r="197" spans="1:15" x14ac:dyDescent="0.3">
      <c r="A197" s="1" t="s">
        <v>301</v>
      </c>
      <c r="B197">
        <v>3.7943993236872801E-2</v>
      </c>
      <c r="C197">
        <v>3.3078191297073318E-4</v>
      </c>
      <c r="D197">
        <v>3.4870543108714367E-4</v>
      </c>
      <c r="E197">
        <v>86.274444517318642</v>
      </c>
      <c r="F197">
        <v>3.3237120615761122E-3</v>
      </c>
      <c r="G197">
        <v>0.6</v>
      </c>
      <c r="H197">
        <v>-8.2087190450088332E-2</v>
      </c>
      <c r="I197">
        <v>3.258838299131676E-3</v>
      </c>
      <c r="J197">
        <v>-8.7168758716948957E-5</v>
      </c>
      <c r="K197">
        <v>1.7438311971407219E-4</v>
      </c>
      <c r="L197">
        <v>0</v>
      </c>
      <c r="M197">
        <v>102043454</v>
      </c>
      <c r="N197">
        <v>0</v>
      </c>
      <c r="O197" t="b">
        <v>1</v>
      </c>
    </row>
    <row r="198" spans="1:15" x14ac:dyDescent="0.3">
      <c r="A198" s="1" t="s">
        <v>302</v>
      </c>
      <c r="B198">
        <v>0.64131423433529944</v>
      </c>
      <c r="C198">
        <v>1.787386383320232E-2</v>
      </c>
      <c r="D198">
        <v>1.5607580824971989E-2</v>
      </c>
      <c r="E198">
        <v>50.77111957052562</v>
      </c>
      <c r="F198">
        <v>-2.0004151598911779E-2</v>
      </c>
      <c r="G198">
        <v>0.2</v>
      </c>
      <c r="H198">
        <v>1.172809458520168E-2</v>
      </c>
      <c r="I198">
        <v>0.35719579193867518</v>
      </c>
      <c r="J198">
        <v>-3.6519871106337247E-2</v>
      </c>
      <c r="K198">
        <v>9.2827004219411258E-3</v>
      </c>
      <c r="L198">
        <v>0</v>
      </c>
      <c r="M198">
        <v>261027721.87885001</v>
      </c>
      <c r="N198">
        <v>0</v>
      </c>
      <c r="O198" t="b">
        <v>1</v>
      </c>
    </row>
    <row r="199" spans="1:15" x14ac:dyDescent="0.3">
      <c r="A199" s="1" t="s">
        <v>303</v>
      </c>
      <c r="B199">
        <v>2.9512432368191339</v>
      </c>
      <c r="C199">
        <v>2.458549847400145E-2</v>
      </c>
      <c r="D199">
        <v>4.1236254581806089E-2</v>
      </c>
      <c r="E199">
        <v>62.517379744634198</v>
      </c>
      <c r="F199">
        <v>4.6547109441068553E-2</v>
      </c>
      <c r="G199">
        <v>0.4</v>
      </c>
      <c r="H199">
        <v>-6.3240916931701335E-2</v>
      </c>
      <c r="I199">
        <v>1.0632104280976049</v>
      </c>
      <c r="J199">
        <v>0</v>
      </c>
      <c r="K199">
        <v>2.9590874002916271E-2</v>
      </c>
      <c r="L199">
        <v>0</v>
      </c>
      <c r="M199">
        <v>54833971.949500002</v>
      </c>
      <c r="N199">
        <v>0</v>
      </c>
      <c r="O199" t="b">
        <v>0</v>
      </c>
    </row>
    <row r="200" spans="1:15" x14ac:dyDescent="0.3">
      <c r="A200" s="1" t="s">
        <v>304</v>
      </c>
      <c r="B200">
        <v>3.9232362377060972</v>
      </c>
      <c r="C200">
        <v>1.7362986438417102E-2</v>
      </c>
      <c r="D200">
        <v>1.2998220876815691E-2</v>
      </c>
      <c r="E200">
        <v>48.27568096593459</v>
      </c>
      <c r="F200">
        <v>1.6803168031680249E-2</v>
      </c>
      <c r="G200">
        <v>0.6</v>
      </c>
      <c r="H200">
        <v>-0.21163007014238669</v>
      </c>
      <c r="I200">
        <v>0.1135339419143053</v>
      </c>
      <c r="J200">
        <v>-2.2026202914608991E-2</v>
      </c>
      <c r="K200">
        <v>7.0552789799038784E-3</v>
      </c>
      <c r="L200">
        <v>0</v>
      </c>
      <c r="M200">
        <v>130108477.53399999</v>
      </c>
      <c r="N200">
        <v>0</v>
      </c>
      <c r="O200" t="b">
        <v>1</v>
      </c>
    </row>
    <row r="201" spans="1:15" x14ac:dyDescent="0.3">
      <c r="A201" s="1" t="s">
        <v>305</v>
      </c>
      <c r="B201">
        <v>10333.245832723949</v>
      </c>
      <c r="C201">
        <v>1.405356061223806E-2</v>
      </c>
      <c r="D201">
        <v>1.33324085105457E-2</v>
      </c>
      <c r="E201">
        <v>37.842264375189373</v>
      </c>
      <c r="F201">
        <v>-1.238952316991271E-2</v>
      </c>
      <c r="G201">
        <v>0.2</v>
      </c>
      <c r="H201">
        <v>-8.6664202043461883E-2</v>
      </c>
      <c r="I201">
        <v>1.277367743904066E-2</v>
      </c>
      <c r="J201">
        <v>-4.5325473749813328E-2</v>
      </c>
      <c r="K201">
        <v>-1.390737471139492E-3</v>
      </c>
      <c r="L201">
        <v>0</v>
      </c>
      <c r="M201">
        <v>360019500</v>
      </c>
      <c r="N201">
        <v>51</v>
      </c>
      <c r="O201" t="b">
        <v>0</v>
      </c>
    </row>
    <row r="202" spans="1:15" x14ac:dyDescent="0.3">
      <c r="A202" s="1" t="s">
        <v>306</v>
      </c>
      <c r="B202">
        <v>7.2330600514530738</v>
      </c>
      <c r="C202">
        <v>1.474840456630523E-2</v>
      </c>
      <c r="D202">
        <v>1.4191627755235159E-2</v>
      </c>
      <c r="E202">
        <v>38.633427002580937</v>
      </c>
      <c r="F202">
        <v>-1.3179604813071011E-2</v>
      </c>
      <c r="G202">
        <v>0.2</v>
      </c>
      <c r="H202">
        <v>-8.7078174639488679E-2</v>
      </c>
      <c r="I202">
        <v>2.1056421283342879E-2</v>
      </c>
      <c r="J202">
        <v>-4.5503201572565599E-2</v>
      </c>
      <c r="K202">
        <v>-2.0348778055877541E-3</v>
      </c>
      <c r="L202">
        <v>0</v>
      </c>
      <c r="M202">
        <v>2104473487.5</v>
      </c>
      <c r="N202">
        <v>0</v>
      </c>
      <c r="O202" t="b">
        <v>1</v>
      </c>
    </row>
    <row r="203" spans="1:15" x14ac:dyDescent="0.3">
      <c r="A203" s="1" t="s">
        <v>307</v>
      </c>
      <c r="B203">
        <v>1.886212573472579</v>
      </c>
      <c r="C203">
        <v>4.0200608982791548E-2</v>
      </c>
      <c r="D203">
        <v>5.3708439897698267E-2</v>
      </c>
      <c r="E203">
        <v>60.114825715891982</v>
      </c>
      <c r="F203">
        <v>0.15176434489107099</v>
      </c>
      <c r="G203">
        <v>0.4</v>
      </c>
      <c r="H203">
        <v>0.20119757163490301</v>
      </c>
      <c r="I203">
        <v>0.95695454044405193</v>
      </c>
      <c r="J203">
        <v>-4.7862561030548638E-2</v>
      </c>
      <c r="K203">
        <v>3.4391534391534417E-2</v>
      </c>
      <c r="L203">
        <v>0</v>
      </c>
      <c r="M203">
        <v>93612881.082199991</v>
      </c>
      <c r="N203">
        <v>0</v>
      </c>
      <c r="O203" t="b">
        <v>1</v>
      </c>
    </row>
    <row r="204" spans="1:15" x14ac:dyDescent="0.3">
      <c r="A204" s="1" t="s">
        <v>308</v>
      </c>
      <c r="B204">
        <v>1.711211669794624</v>
      </c>
      <c r="C204">
        <v>2.2128032785713399E-2</v>
      </c>
      <c r="D204">
        <v>2.2448575821487321E-2</v>
      </c>
      <c r="E204">
        <v>35.58090379734584</v>
      </c>
      <c r="F204">
        <v>-1.273713775054253E-2</v>
      </c>
      <c r="G204">
        <v>0.2</v>
      </c>
      <c r="H204">
        <v>-0.20262466148210539</v>
      </c>
      <c r="I204">
        <v>-0.1521298023086699</v>
      </c>
      <c r="J204">
        <v>-4.5208342850510903E-2</v>
      </c>
      <c r="K204">
        <v>-1.147766463590782E-2</v>
      </c>
      <c r="L204">
        <v>0</v>
      </c>
      <c r="M204">
        <v>209544883.07800001</v>
      </c>
      <c r="N204">
        <v>0</v>
      </c>
      <c r="O204" t="b">
        <v>1</v>
      </c>
    </row>
    <row r="205" spans="1:15" x14ac:dyDescent="0.3">
      <c r="A205" s="1" t="s">
        <v>309</v>
      </c>
      <c r="B205">
        <v>2.5688280211299901</v>
      </c>
      <c r="C205">
        <v>4.2105032308309948E-2</v>
      </c>
      <c r="D205">
        <v>4.0976889034584497E-2</v>
      </c>
      <c r="E205">
        <v>60.893599985362421</v>
      </c>
      <c r="F205">
        <v>7.6393789696541869E-2</v>
      </c>
      <c r="G205">
        <v>0.4</v>
      </c>
      <c r="H205">
        <v>-6.1820366132129309E-2</v>
      </c>
      <c r="I205">
        <v>1.6980975105122671</v>
      </c>
      <c r="J205">
        <v>-3.2674399607908189E-3</v>
      </c>
      <c r="K205">
        <v>3.5823429541596008E-2</v>
      </c>
      <c r="L205">
        <v>0</v>
      </c>
      <c r="M205">
        <v>184947879</v>
      </c>
      <c r="N205">
        <v>0</v>
      </c>
      <c r="O205" t="b">
        <v>1</v>
      </c>
    </row>
    <row r="206" spans="1:15" x14ac:dyDescent="0.3">
      <c r="A206" s="1" t="s">
        <v>310</v>
      </c>
      <c r="B206">
        <v>0.44754229535472728</v>
      </c>
      <c r="C206">
        <v>1.7866530482200129E-2</v>
      </c>
      <c r="D206">
        <v>1.5385720901266329E-2</v>
      </c>
      <c r="E206">
        <v>40.890118060500527</v>
      </c>
      <c r="F206">
        <v>-4.6634569639764867E-2</v>
      </c>
      <c r="G206">
        <v>0.4</v>
      </c>
      <c r="H206">
        <v>-0.1848520662395938</v>
      </c>
      <c r="I206">
        <v>0.30279732630651751</v>
      </c>
      <c r="J206">
        <v>-6.3885764256111144E-2</v>
      </c>
      <c r="K206">
        <v>9.9587939779535173E-3</v>
      </c>
      <c r="L206">
        <v>0</v>
      </c>
      <c r="M206">
        <v>57414688.917300001</v>
      </c>
      <c r="N206">
        <v>0</v>
      </c>
      <c r="O206" t="b">
        <v>0</v>
      </c>
    </row>
    <row r="207" spans="1:15" x14ac:dyDescent="0.3">
      <c r="A207" s="1" t="s">
        <v>311</v>
      </c>
      <c r="B207">
        <v>0.58198414115857611</v>
      </c>
      <c r="C207">
        <v>1.932859983920877E-2</v>
      </c>
      <c r="D207">
        <v>1.494520092992359E-2</v>
      </c>
      <c r="E207">
        <v>57.295758437832831</v>
      </c>
      <c r="F207">
        <v>7.0234113712375201E-3</v>
      </c>
      <c r="G207">
        <v>0.6</v>
      </c>
      <c r="H207">
        <v>0.1080213148104006</v>
      </c>
      <c r="I207">
        <v>0.56169113622245359</v>
      </c>
      <c r="J207">
        <v>-2.8082633957391859E-2</v>
      </c>
      <c r="K207">
        <v>6.6467264872049903E-4</v>
      </c>
      <c r="L207">
        <v>0</v>
      </c>
      <c r="M207">
        <v>7351636.1151000001</v>
      </c>
      <c r="N207">
        <v>0</v>
      </c>
      <c r="O207" t="b">
        <v>0</v>
      </c>
    </row>
    <row r="208" spans="1:15" x14ac:dyDescent="0.3">
      <c r="A208" s="1" t="s">
        <v>312</v>
      </c>
      <c r="B208">
        <v>0.1564683080398265</v>
      </c>
      <c r="C208">
        <v>2.6746719323047272E-2</v>
      </c>
      <c r="D208">
        <v>2.3931623931623881E-2</v>
      </c>
      <c r="E208">
        <v>40.604385872800798</v>
      </c>
      <c r="F208">
        <v>-4.8780487804878203E-2</v>
      </c>
      <c r="G208">
        <v>0.2</v>
      </c>
      <c r="H208">
        <v>2.9718500959043329E-2</v>
      </c>
      <c r="I208">
        <v>0.87993294800362198</v>
      </c>
      <c r="J208">
        <v>-0.1068702290076337</v>
      </c>
      <c r="K208">
        <v>-1.8456375838926231E-2</v>
      </c>
      <c r="L208">
        <v>0</v>
      </c>
      <c r="M208">
        <v>2587758.3517999998</v>
      </c>
      <c r="N208">
        <v>0</v>
      </c>
      <c r="O208" t="b">
        <v>0</v>
      </c>
    </row>
    <row r="209" spans="1:15" x14ac:dyDescent="0.3">
      <c r="A209" s="1" t="s">
        <v>313</v>
      </c>
      <c r="B209">
        <v>1.372546285525192E-2</v>
      </c>
      <c r="C209">
        <v>7.0570109387703048E-4</v>
      </c>
      <c r="D209">
        <v>5.0901313151039329E-4</v>
      </c>
      <c r="E209">
        <v>79.742684453549913</v>
      </c>
      <c r="F209">
        <v>3.679411294192914E-3</v>
      </c>
      <c r="G209">
        <v>0.4</v>
      </c>
      <c r="H209">
        <v>-8.0894340073930385E-2</v>
      </c>
      <c r="I209">
        <v>6.1660482579720486E-3</v>
      </c>
      <c r="J209">
        <v>-2.5701126737387447E-4</v>
      </c>
      <c r="K209">
        <v>-2.5701126737387447E-4</v>
      </c>
      <c r="L209">
        <v>0</v>
      </c>
      <c r="M209">
        <v>11963517.368450001</v>
      </c>
      <c r="N209">
        <v>0</v>
      </c>
      <c r="O209" t="b">
        <v>0</v>
      </c>
    </row>
    <row r="210" spans="1:15" x14ac:dyDescent="0.3">
      <c r="A210" s="1" t="s">
        <v>314</v>
      </c>
      <c r="B210">
        <v>2.1014391032133099E-2</v>
      </c>
      <c r="C210">
        <v>1.072250338401762E-3</v>
      </c>
      <c r="D210">
        <v>2.0307780226957099E-3</v>
      </c>
      <c r="E210">
        <v>74.950390869219532</v>
      </c>
      <c r="F210">
        <v>4.5670526364349762E-3</v>
      </c>
      <c r="G210">
        <v>0.4</v>
      </c>
      <c r="H210">
        <v>-8.3295808435280214E-2</v>
      </c>
      <c r="I210">
        <v>1.0519737617042609E-2</v>
      </c>
      <c r="J210">
        <v>0</v>
      </c>
      <c r="K210">
        <v>1.011308265146615E-3</v>
      </c>
      <c r="L210">
        <v>0</v>
      </c>
      <c r="M210">
        <v>16823734.08585</v>
      </c>
      <c r="N210">
        <v>0</v>
      </c>
      <c r="O210" t="b">
        <v>0</v>
      </c>
    </row>
    <row r="211" spans="1:15" x14ac:dyDescent="0.3">
      <c r="A211" s="1" t="s">
        <v>315</v>
      </c>
      <c r="B211">
        <v>0.1020692309563295</v>
      </c>
      <c r="C211">
        <v>1.303589476137881E-3</v>
      </c>
      <c r="D211">
        <v>2.2835657342531721E-3</v>
      </c>
      <c r="E211">
        <v>57.635600012641532</v>
      </c>
      <c r="F211">
        <v>3.8063272979946832E-3</v>
      </c>
      <c r="G211">
        <v>0.2</v>
      </c>
      <c r="H211">
        <v>-8.4521048741724947E-2</v>
      </c>
      <c r="I211">
        <v>-6.6304880821285751E-3</v>
      </c>
      <c r="J211">
        <v>-1.0130393732936669E-3</v>
      </c>
      <c r="K211">
        <v>2.0335373696083181E-3</v>
      </c>
      <c r="L211">
        <v>0</v>
      </c>
      <c r="M211">
        <v>149397277.2105</v>
      </c>
      <c r="N211">
        <v>0</v>
      </c>
      <c r="O211" t="b">
        <v>1</v>
      </c>
    </row>
    <row r="212" spans="1:15" x14ac:dyDescent="0.3">
      <c r="A212" s="1" t="s">
        <v>316</v>
      </c>
      <c r="B212">
        <v>2.232001499012632</v>
      </c>
      <c r="C212">
        <v>2.4077686073491179E-2</v>
      </c>
      <c r="D212">
        <v>1.8230852211434709E-2</v>
      </c>
      <c r="E212">
        <v>31.5790862578469</v>
      </c>
      <c r="F212">
        <v>-8.1359627390744205E-2</v>
      </c>
      <c r="G212">
        <v>0.2</v>
      </c>
      <c r="H212">
        <v>-0.1748314136450019</v>
      </c>
      <c r="I212">
        <v>0.30727731091125571</v>
      </c>
      <c r="J212">
        <v>-0.11697466184035051</v>
      </c>
      <c r="K212">
        <v>1.837241975575443E-3</v>
      </c>
      <c r="L212">
        <v>0</v>
      </c>
      <c r="M212">
        <v>733957861.5</v>
      </c>
      <c r="N212">
        <v>0</v>
      </c>
      <c r="O212" t="b">
        <v>1</v>
      </c>
    </row>
    <row r="213" spans="1:15" x14ac:dyDescent="0.3">
      <c r="A213" s="1" t="s">
        <v>317</v>
      </c>
      <c r="B213">
        <v>1.1815704414560919</v>
      </c>
      <c r="C213">
        <v>2.888219118690032E-2</v>
      </c>
      <c r="D213">
        <v>2.004399902224396E-2</v>
      </c>
      <c r="E213">
        <v>32.573945794353861</v>
      </c>
      <c r="F213">
        <v>-0.1153427803450834</v>
      </c>
      <c r="G213">
        <v>0.2</v>
      </c>
      <c r="H213">
        <v>-0.26035243983172618</v>
      </c>
      <c r="I213">
        <v>1.150821402654518</v>
      </c>
      <c r="J213">
        <v>-8.8784994687734597E-2</v>
      </c>
      <c r="K213">
        <v>-8.9631782945737148E-3</v>
      </c>
      <c r="L213">
        <v>0</v>
      </c>
      <c r="M213">
        <v>68649909.65625</v>
      </c>
      <c r="N213">
        <v>0</v>
      </c>
      <c r="O213" t="b">
        <v>0</v>
      </c>
    </row>
    <row r="214" spans="1:15" x14ac:dyDescent="0.3">
      <c r="A214" s="1" t="s">
        <v>318</v>
      </c>
      <c r="B214">
        <v>1.771694499518776</v>
      </c>
      <c r="C214">
        <v>4.325426024215763E-2</v>
      </c>
      <c r="D214">
        <v>3.1982421875000062E-2</v>
      </c>
      <c r="E214">
        <v>46.173346468708253</v>
      </c>
      <c r="F214">
        <v>-0.12721073939910499</v>
      </c>
      <c r="G214">
        <v>0.4</v>
      </c>
      <c r="H214">
        <v>-0.1477903547842552</v>
      </c>
      <c r="I214">
        <v>1.8549508187615631</v>
      </c>
      <c r="J214">
        <v>-9.9780219780219781E-2</v>
      </c>
      <c r="K214">
        <v>-6.5486296386125797E-3</v>
      </c>
      <c r="L214">
        <v>0</v>
      </c>
      <c r="M214">
        <v>56639698</v>
      </c>
      <c r="N214">
        <v>0</v>
      </c>
      <c r="O214" t="b">
        <v>0</v>
      </c>
    </row>
    <row r="215" spans="1:15" x14ac:dyDescent="0.3">
      <c r="A215" s="1" t="s">
        <v>319</v>
      </c>
      <c r="B215">
        <v>0.92622030548747702</v>
      </c>
      <c r="C215">
        <v>1.5972592747261542E-2</v>
      </c>
      <c r="D215">
        <v>2.620710111212473E-2</v>
      </c>
      <c r="E215">
        <v>67.087213325774215</v>
      </c>
      <c r="F215">
        <v>6.0266583778249228E-2</v>
      </c>
      <c r="G215">
        <v>0.6</v>
      </c>
      <c r="H215">
        <v>-6.1962123644446303E-3</v>
      </c>
      <c r="I215">
        <v>0.15975304304974411</v>
      </c>
      <c r="J215">
        <v>0</v>
      </c>
      <c r="K215">
        <v>2.5657307097059601E-2</v>
      </c>
      <c r="L215">
        <v>0</v>
      </c>
      <c r="M215">
        <v>220614651.62940001</v>
      </c>
      <c r="N215">
        <v>0</v>
      </c>
      <c r="O215" t="b">
        <v>1</v>
      </c>
    </row>
    <row r="216" spans="1:15" x14ac:dyDescent="0.3">
      <c r="A216" s="1" t="s">
        <v>320</v>
      </c>
      <c r="B216">
        <v>1.0154807798209571</v>
      </c>
      <c r="C216">
        <v>1.6312944254151921E-2</v>
      </c>
      <c r="D216">
        <v>2.9076305220883569E-2</v>
      </c>
      <c r="E216">
        <v>53.828357374885471</v>
      </c>
      <c r="F216">
        <v>-1.7363851617995248E-2</v>
      </c>
      <c r="G216">
        <v>0.4</v>
      </c>
      <c r="H216">
        <v>9.9683814818179936E-3</v>
      </c>
      <c r="I216">
        <v>9.1467523729932346E-2</v>
      </c>
      <c r="J216">
        <v>-3.8758492896849961E-2</v>
      </c>
      <c r="K216">
        <v>2.9947054930509639E-2</v>
      </c>
      <c r="L216">
        <v>0</v>
      </c>
      <c r="M216">
        <v>128098171.8608</v>
      </c>
      <c r="N216">
        <v>0</v>
      </c>
      <c r="O216" t="b">
        <v>1</v>
      </c>
    </row>
    <row r="217" spans="1:15" x14ac:dyDescent="0.3">
      <c r="A217" s="1" t="s">
        <v>321</v>
      </c>
      <c r="B217">
        <v>0.1899962716153939</v>
      </c>
      <c r="C217">
        <v>5.5701047087479876E-3</v>
      </c>
      <c r="D217">
        <v>5.8047493403694051E-3</v>
      </c>
      <c r="E217">
        <v>62.590104978442312</v>
      </c>
      <c r="F217">
        <v>9.1715976331361304E-3</v>
      </c>
      <c r="G217">
        <v>0.4</v>
      </c>
      <c r="H217">
        <v>-8.0646080596402339E-2</v>
      </c>
      <c r="I217">
        <v>0.48433284544659899</v>
      </c>
      <c r="J217">
        <v>0</v>
      </c>
      <c r="K217">
        <v>3.2352941176470029E-3</v>
      </c>
      <c r="L217">
        <v>0</v>
      </c>
      <c r="M217">
        <v>31782189.5</v>
      </c>
      <c r="N217">
        <v>0</v>
      </c>
      <c r="O217" t="b">
        <v>0</v>
      </c>
    </row>
    <row r="218" spans="1:15" x14ac:dyDescent="0.3">
      <c r="A218" s="1" t="s">
        <v>322</v>
      </c>
      <c r="B218">
        <v>11.20369024606403</v>
      </c>
      <c r="C218">
        <v>4.1459831425319268E-2</v>
      </c>
      <c r="D218">
        <v>3.1010620582466768E-2</v>
      </c>
      <c r="E218">
        <v>51.648075308465209</v>
      </c>
      <c r="F218">
        <v>-4.2077277561148541E-2</v>
      </c>
      <c r="G218">
        <v>0.8</v>
      </c>
      <c r="H218">
        <v>-3.0957991541180788E-2</v>
      </c>
      <c r="I218">
        <v>0.80652331469875982</v>
      </c>
      <c r="J218">
        <v>-8.8631074837273505E-2</v>
      </c>
      <c r="K218">
        <v>1.513899323816692E-2</v>
      </c>
      <c r="L218">
        <v>0</v>
      </c>
      <c r="M218">
        <v>246055537</v>
      </c>
      <c r="N218">
        <v>0</v>
      </c>
      <c r="O218" t="b">
        <v>1</v>
      </c>
    </row>
    <row r="219" spans="1:15" x14ac:dyDescent="0.3">
      <c r="A219" s="1" t="s">
        <v>323</v>
      </c>
      <c r="B219">
        <v>1.0030221526211429</v>
      </c>
      <c r="C219">
        <v>3.7384351569927067E-2</v>
      </c>
      <c r="D219">
        <v>3.578084234066347E-2</v>
      </c>
      <c r="E219">
        <v>69.998524200357622</v>
      </c>
      <c r="F219">
        <v>0.14952870608397581</v>
      </c>
      <c r="G219">
        <v>0.6</v>
      </c>
      <c r="H219">
        <v>0.14518823826074179</v>
      </c>
      <c r="I219">
        <v>1.0348086613670671</v>
      </c>
      <c r="J219">
        <v>0</v>
      </c>
      <c r="K219">
        <v>1.4366729678638951E-2</v>
      </c>
      <c r="L219">
        <v>0</v>
      </c>
      <c r="M219">
        <v>16630892</v>
      </c>
      <c r="N219">
        <v>0</v>
      </c>
      <c r="O219" t="b">
        <v>0</v>
      </c>
    </row>
    <row r="220" spans="1:15" x14ac:dyDescent="0.3">
      <c r="A220" s="1" t="s">
        <v>324</v>
      </c>
      <c r="B220">
        <v>0.98820583462633749</v>
      </c>
      <c r="C220">
        <v>2.2706935538289001E-2</v>
      </c>
      <c r="D220">
        <v>3.5845588235294171E-2</v>
      </c>
      <c r="E220">
        <v>52.203173977943209</v>
      </c>
      <c r="F220">
        <v>-3.3779958482732519E-2</v>
      </c>
      <c r="G220">
        <v>0.6</v>
      </c>
      <c r="H220">
        <v>-5.3854478200774838E-2</v>
      </c>
      <c r="I220">
        <v>0.65045824966348365</v>
      </c>
      <c r="J220">
        <v>-5.0370512607902478E-2</v>
      </c>
      <c r="K220">
        <v>3.3238366571699977E-2</v>
      </c>
      <c r="L220">
        <v>0</v>
      </c>
      <c r="M220">
        <v>84588707.258499995</v>
      </c>
      <c r="N220">
        <v>0</v>
      </c>
      <c r="O220" t="b">
        <v>0</v>
      </c>
    </row>
    <row r="221" spans="1:15" x14ac:dyDescent="0.3">
      <c r="A221" s="1" t="s">
        <v>325</v>
      </c>
      <c r="B221">
        <v>6.7366861363112891</v>
      </c>
      <c r="C221">
        <v>3.7498948713115987E-2</v>
      </c>
      <c r="D221">
        <v>4.4531032563317557E-2</v>
      </c>
      <c r="E221">
        <v>46.82373629413577</v>
      </c>
      <c r="F221">
        <v>-9.4994131189328312E-2</v>
      </c>
      <c r="G221">
        <v>0.6</v>
      </c>
      <c r="H221">
        <v>2.0159204295180359E-2</v>
      </c>
      <c r="I221">
        <v>1.994502470258799</v>
      </c>
      <c r="J221">
        <v>-8.5704107079240699E-2</v>
      </c>
      <c r="K221">
        <v>1.4055091442763731E-2</v>
      </c>
      <c r="L221">
        <v>0</v>
      </c>
      <c r="M221">
        <v>138991052.2615</v>
      </c>
      <c r="N221">
        <v>0</v>
      </c>
      <c r="O221" t="b">
        <v>1</v>
      </c>
    </row>
    <row r="222" spans="1:15" x14ac:dyDescent="0.3">
      <c r="A222" s="1" t="s">
        <v>326</v>
      </c>
      <c r="B222">
        <v>4.0921893004798244</v>
      </c>
      <c r="C222">
        <v>2.6435160628676971E-2</v>
      </c>
      <c r="D222">
        <v>4.0613432729762769E-2</v>
      </c>
      <c r="E222">
        <v>66.417308442708588</v>
      </c>
      <c r="F222">
        <v>8.5241373508503804E-2</v>
      </c>
      <c r="G222">
        <v>0.6</v>
      </c>
      <c r="H222">
        <v>-0.18702100002226049</v>
      </c>
      <c r="I222">
        <v>0.95466007779149065</v>
      </c>
      <c r="J222">
        <v>0</v>
      </c>
      <c r="K222">
        <v>3.7152786783203329E-3</v>
      </c>
      <c r="L222">
        <v>0</v>
      </c>
      <c r="M222">
        <v>589702331.00999999</v>
      </c>
      <c r="N222">
        <v>0</v>
      </c>
      <c r="O222" t="b">
        <v>1</v>
      </c>
    </row>
    <row r="223" spans="1:15" x14ac:dyDescent="0.3">
      <c r="A223" s="1" t="s">
        <v>327</v>
      </c>
      <c r="B223">
        <v>1.569800998510424</v>
      </c>
      <c r="C223">
        <v>2.25451534487029E-2</v>
      </c>
      <c r="D223">
        <v>2.5163293560747479E-2</v>
      </c>
      <c r="E223">
        <v>47.927490612598461</v>
      </c>
      <c r="F223">
        <v>-1.7735418923799151E-2</v>
      </c>
      <c r="G223">
        <v>0.4</v>
      </c>
      <c r="H223">
        <v>-0.12572445069082491</v>
      </c>
      <c r="I223">
        <v>0.64639994141826929</v>
      </c>
      <c r="J223">
        <v>-3.2594560348564561E-2</v>
      </c>
      <c r="K223">
        <v>1.9716502960477559E-2</v>
      </c>
      <c r="L223">
        <v>0</v>
      </c>
      <c r="M223">
        <v>97271073.598200008</v>
      </c>
      <c r="N223">
        <v>0</v>
      </c>
      <c r="O223" t="b">
        <v>1</v>
      </c>
    </row>
    <row r="224" spans="1:15" x14ac:dyDescent="0.3">
      <c r="A224" s="1" t="s">
        <v>328</v>
      </c>
      <c r="B224">
        <v>1.6960305922759309</v>
      </c>
      <c r="C224">
        <v>2.073473215605454E-2</v>
      </c>
      <c r="D224">
        <v>2.7448573657095739E-2</v>
      </c>
      <c r="E224">
        <v>53.23055725965699</v>
      </c>
      <c r="F224">
        <v>-7.5071012299900994E-3</v>
      </c>
      <c r="G224">
        <v>0.4</v>
      </c>
      <c r="H224">
        <v>-8.5622221431131657E-2</v>
      </c>
      <c r="I224">
        <v>0.55458232321504286</v>
      </c>
      <c r="J224">
        <v>-1.691032599550979E-2</v>
      </c>
      <c r="K224">
        <v>2.2069113736779888E-2</v>
      </c>
      <c r="L224">
        <v>0</v>
      </c>
      <c r="M224">
        <v>66364149.778599992</v>
      </c>
      <c r="N224">
        <v>0</v>
      </c>
      <c r="O224" t="b">
        <v>0</v>
      </c>
    </row>
    <row r="225" spans="1:15" x14ac:dyDescent="0.3">
      <c r="A225" s="1" t="s">
        <v>329</v>
      </c>
      <c r="B225">
        <v>0.73165429118029179</v>
      </c>
      <c r="C225">
        <v>3.4907170380739108E-2</v>
      </c>
      <c r="D225">
        <v>2.099236641221363E-2</v>
      </c>
      <c r="E225">
        <v>43.922166345926243</v>
      </c>
      <c r="F225">
        <v>-8.5146641438031967E-3</v>
      </c>
      <c r="G225">
        <v>0.2</v>
      </c>
      <c r="H225">
        <v>-0.16282194806146669</v>
      </c>
      <c r="I225">
        <v>1.6099918262697761</v>
      </c>
      <c r="J225">
        <v>-6.0089686098654727E-2</v>
      </c>
      <c r="K225">
        <v>-1.5500234852043099E-2</v>
      </c>
      <c r="L225">
        <v>0</v>
      </c>
      <c r="M225">
        <v>64838481.282300003</v>
      </c>
      <c r="N225">
        <v>0</v>
      </c>
      <c r="O225" t="b">
        <v>0</v>
      </c>
    </row>
    <row r="226" spans="1:15" x14ac:dyDescent="0.3">
      <c r="A226" s="1" t="s">
        <v>330</v>
      </c>
      <c r="B226">
        <v>2.6115289492129712</v>
      </c>
      <c r="C226">
        <v>2.3630752205267849E-2</v>
      </c>
      <c r="D226">
        <v>2.3861230251370869E-2</v>
      </c>
      <c r="E226">
        <v>74.490423832681884</v>
      </c>
      <c r="F226">
        <v>9.4588170040806663E-2</v>
      </c>
      <c r="G226">
        <v>1</v>
      </c>
      <c r="H226">
        <v>0.1045958495919312</v>
      </c>
      <c r="I226">
        <v>1.059548763448535</v>
      </c>
      <c r="J226">
        <v>0</v>
      </c>
      <c r="K226">
        <v>1.516585065632947E-2</v>
      </c>
      <c r="L226">
        <v>0</v>
      </c>
      <c r="M226">
        <v>1132239896.3505001</v>
      </c>
      <c r="N226">
        <v>0</v>
      </c>
      <c r="O226" t="b">
        <v>1</v>
      </c>
    </row>
    <row r="227" spans="1:15" x14ac:dyDescent="0.3">
      <c r="A227" s="1" t="s">
        <v>331</v>
      </c>
      <c r="B227">
        <v>18.072730980531119</v>
      </c>
      <c r="C227">
        <v>3.0300496236953842E-2</v>
      </c>
      <c r="D227">
        <v>3.1435996311509763E-2</v>
      </c>
      <c r="E227">
        <v>53.664378070208549</v>
      </c>
      <c r="F227">
        <v>7.7722395877333206E-3</v>
      </c>
      <c r="G227">
        <v>0.4</v>
      </c>
      <c r="H227">
        <v>0.1172852669198407</v>
      </c>
      <c r="I227">
        <v>0.48752950501502063</v>
      </c>
      <c r="J227">
        <v>-3.4823696943217297E-2</v>
      </c>
      <c r="K227">
        <v>1.2322001391741111E-2</v>
      </c>
      <c r="L227">
        <v>0</v>
      </c>
      <c r="M227">
        <v>133129807.5</v>
      </c>
      <c r="N227">
        <v>0</v>
      </c>
      <c r="O227" t="b">
        <v>1</v>
      </c>
    </row>
    <row r="228" spans="1:15" x14ac:dyDescent="0.3">
      <c r="A228" s="1" t="s">
        <v>332</v>
      </c>
      <c r="B228">
        <v>0.67175305701467525</v>
      </c>
      <c r="C228">
        <v>2.380414801611181E-2</v>
      </c>
      <c r="D228">
        <v>2.6931254429482569E-2</v>
      </c>
      <c r="E228">
        <v>65.25590669673204</v>
      </c>
      <c r="F228">
        <v>3.6737692872887528E-2</v>
      </c>
      <c r="G228">
        <v>1</v>
      </c>
      <c r="H228">
        <v>1.793417996488008E-2</v>
      </c>
      <c r="I228">
        <v>1.0066826400724711</v>
      </c>
      <c r="J228">
        <v>0</v>
      </c>
      <c r="K228">
        <v>1.3649425287356239E-2</v>
      </c>
      <c r="L228">
        <v>0</v>
      </c>
      <c r="M228">
        <v>12791282.5</v>
      </c>
      <c r="N228">
        <v>0</v>
      </c>
      <c r="O228" t="b">
        <v>0</v>
      </c>
    </row>
    <row r="229" spans="1:15" x14ac:dyDescent="0.3">
      <c r="A229" s="1" t="s">
        <v>333</v>
      </c>
      <c r="B229">
        <v>0.36762675049951571</v>
      </c>
      <c r="C229">
        <v>2.1495372077901361E-2</v>
      </c>
      <c r="D229">
        <v>2.178616116847722E-2</v>
      </c>
      <c r="E229">
        <v>50.443128958123857</v>
      </c>
      <c r="F229">
        <v>2.70906524937693E-2</v>
      </c>
      <c r="G229">
        <v>0.8</v>
      </c>
      <c r="H229">
        <v>-0.1154374981791895</v>
      </c>
      <c r="I229">
        <v>-9.891127490300114E-2</v>
      </c>
      <c r="J229">
        <v>-2.2965391954114959E-2</v>
      </c>
      <c r="K229">
        <v>1.8691032116649131E-2</v>
      </c>
      <c r="L229">
        <v>0</v>
      </c>
      <c r="M229">
        <v>164692143.02695</v>
      </c>
      <c r="N229">
        <v>0</v>
      </c>
      <c r="O229" t="b">
        <v>1</v>
      </c>
    </row>
    <row r="230" spans="1:15" x14ac:dyDescent="0.3">
      <c r="A230" s="1" t="s">
        <v>334</v>
      </c>
      <c r="B230">
        <v>4.0345807796551751</v>
      </c>
      <c r="C230">
        <v>2.0405836522176521E-2</v>
      </c>
      <c r="D230">
        <v>1.210821527739145E-2</v>
      </c>
      <c r="E230">
        <v>50.41090803837244</v>
      </c>
      <c r="F230">
        <v>-3.514559411279583E-2</v>
      </c>
      <c r="G230">
        <v>0.4</v>
      </c>
      <c r="H230">
        <v>0.14374594349795261</v>
      </c>
      <c r="I230">
        <v>-0.44087908828449951</v>
      </c>
      <c r="J230">
        <v>-7.2617601395878917E-2</v>
      </c>
      <c r="K230">
        <v>1.0581849849120579E-3</v>
      </c>
      <c r="L230">
        <v>0</v>
      </c>
      <c r="M230">
        <v>309539849.98650002</v>
      </c>
      <c r="N230">
        <v>0</v>
      </c>
      <c r="O230" t="b">
        <v>1</v>
      </c>
    </row>
    <row r="231" spans="1:15" x14ac:dyDescent="0.3">
      <c r="A231" s="1" t="s">
        <v>335</v>
      </c>
      <c r="B231">
        <v>1.7231319623579859</v>
      </c>
      <c r="C231">
        <v>6.3584205253062201E-2</v>
      </c>
      <c r="D231">
        <v>6.0258302583025787E-2</v>
      </c>
      <c r="E231">
        <v>50.682802135566988</v>
      </c>
      <c r="F231">
        <v>9.2741935483870996E-2</v>
      </c>
      <c r="G231">
        <v>0.4</v>
      </c>
      <c r="H231">
        <v>-0.1106439261749422</v>
      </c>
      <c r="I231">
        <v>0.7063447813863869</v>
      </c>
      <c r="J231">
        <v>-6.098406098406095E-2</v>
      </c>
      <c r="K231">
        <v>-1.8416206261508969E-3</v>
      </c>
      <c r="O231" t="b">
        <v>0</v>
      </c>
    </row>
    <row r="232" spans="1:15" x14ac:dyDescent="0.3">
      <c r="A232" s="1" t="s">
        <v>336</v>
      </c>
      <c r="B232">
        <v>1.507998425171533</v>
      </c>
      <c r="C232">
        <v>2.8360815114215079E-2</v>
      </c>
      <c r="D232">
        <v>3.2398691790212562E-2</v>
      </c>
      <c r="E232">
        <v>43.89041847099481</v>
      </c>
      <c r="F232">
        <v>-6.8550287202790106E-2</v>
      </c>
      <c r="G232">
        <v>0.2</v>
      </c>
      <c r="H232">
        <v>-0.1990467538506511</v>
      </c>
      <c r="I232">
        <v>1.10196027499081</v>
      </c>
      <c r="J232">
        <v>-6.2665376269023243E-2</v>
      </c>
      <c r="K232">
        <v>1.0597879283768871E-2</v>
      </c>
      <c r="L232">
        <v>0</v>
      </c>
      <c r="M232">
        <v>335601399.74220002</v>
      </c>
      <c r="N232">
        <v>0</v>
      </c>
      <c r="O232" t="b">
        <v>1</v>
      </c>
    </row>
    <row r="233" spans="1:15" x14ac:dyDescent="0.3">
      <c r="A233" s="1" t="s">
        <v>337</v>
      </c>
      <c r="B233">
        <v>1.616388356033579</v>
      </c>
      <c r="C233">
        <v>3.7171170657320431E-2</v>
      </c>
      <c r="D233">
        <v>7.7957916522938958E-2</v>
      </c>
      <c r="E233">
        <v>57.626751475780203</v>
      </c>
      <c r="F233">
        <v>0.16488079292794011</v>
      </c>
      <c r="G233">
        <v>0.8</v>
      </c>
      <c r="H233">
        <v>-4.46041245739612E-2</v>
      </c>
      <c r="I233">
        <v>0.41353408046302131</v>
      </c>
      <c r="J233">
        <v>-5.9580449826989623E-2</v>
      </c>
      <c r="K233">
        <v>-5.9580449826989623E-2</v>
      </c>
      <c r="L233">
        <v>0</v>
      </c>
      <c r="M233">
        <v>171060307</v>
      </c>
      <c r="N233">
        <v>0</v>
      </c>
      <c r="O233" t="b">
        <v>1</v>
      </c>
    </row>
    <row r="234" spans="1:15" x14ac:dyDescent="0.3">
      <c r="A234" s="1" t="s">
        <v>338</v>
      </c>
      <c r="B234">
        <v>14.328868252779269</v>
      </c>
      <c r="C234">
        <v>2.6899428464545089E-2</v>
      </c>
      <c r="D234">
        <v>7.4177324975642236E-2</v>
      </c>
      <c r="E234">
        <v>40.529212747327307</v>
      </c>
      <c r="F234">
        <v>1.202910291085546E-3</v>
      </c>
      <c r="G234">
        <v>0.4</v>
      </c>
      <c r="H234">
        <v>-7.4824982553782809E-2</v>
      </c>
      <c r="I234">
        <v>-1.6302781490401121E-2</v>
      </c>
      <c r="J234">
        <v>-6.6527993663333063E-2</v>
      </c>
      <c r="K234">
        <v>-5.3369823089841277E-2</v>
      </c>
      <c r="L234">
        <v>0</v>
      </c>
      <c r="M234">
        <v>142071531.04800001</v>
      </c>
      <c r="N234">
        <v>0</v>
      </c>
      <c r="O234" t="b">
        <v>1</v>
      </c>
    </row>
    <row r="235" spans="1:15" x14ac:dyDescent="0.3">
      <c r="A235" s="1" t="s">
        <v>339</v>
      </c>
      <c r="B235">
        <v>15.932073223886411</v>
      </c>
      <c r="C235">
        <v>2.5951636913128559E-2</v>
      </c>
      <c r="D235">
        <v>3.7164814615727987E-2</v>
      </c>
      <c r="E235">
        <v>70.764688801696423</v>
      </c>
      <c r="F235">
        <v>7.7955530739205248E-2</v>
      </c>
      <c r="G235">
        <v>0.6</v>
      </c>
      <c r="H235">
        <v>0.2569505864855578</v>
      </c>
      <c r="I235">
        <v>1.1790915869746681</v>
      </c>
      <c r="J235">
        <v>0</v>
      </c>
      <c r="K235">
        <v>3.5315267305594089E-2</v>
      </c>
      <c r="L235">
        <v>0</v>
      </c>
      <c r="M235">
        <v>1025767432.9985</v>
      </c>
      <c r="N235">
        <v>0</v>
      </c>
      <c r="O235" t="b">
        <v>1</v>
      </c>
    </row>
    <row r="236" spans="1:15" x14ac:dyDescent="0.3">
      <c r="A236" s="1" t="s">
        <v>340</v>
      </c>
      <c r="B236">
        <v>4.6688612117057362</v>
      </c>
      <c r="C236">
        <v>1.5744456773810402E-2</v>
      </c>
      <c r="D236">
        <v>2.9372091454778371E-2</v>
      </c>
      <c r="E236">
        <v>56.787994217490898</v>
      </c>
      <c r="F236">
        <v>2.8759757155247149E-2</v>
      </c>
      <c r="G236">
        <v>0.6</v>
      </c>
      <c r="H236">
        <v>1.9286838420558099E-3</v>
      </c>
      <c r="I236">
        <v>-0.16830402448144449</v>
      </c>
      <c r="J236">
        <v>-1.5536816944425991E-2</v>
      </c>
      <c r="K236">
        <v>-1.5536816944425991E-2</v>
      </c>
      <c r="L236">
        <v>0</v>
      </c>
      <c r="M236">
        <v>449419269.38999999</v>
      </c>
      <c r="N236">
        <v>0</v>
      </c>
      <c r="O236" t="b">
        <v>1</v>
      </c>
    </row>
    <row r="237" spans="1:15" x14ac:dyDescent="0.3">
      <c r="A237" s="1" t="s">
        <v>341</v>
      </c>
      <c r="B237">
        <v>4.6843850100216864</v>
      </c>
      <c r="C237">
        <v>1.880825909428124E-2</v>
      </c>
      <c r="D237">
        <v>2.4492090259375231E-2</v>
      </c>
      <c r="E237">
        <v>42.624996119934288</v>
      </c>
      <c r="F237">
        <v>-3.8897893030794051E-2</v>
      </c>
      <c r="G237">
        <v>0.4</v>
      </c>
      <c r="H237">
        <v>7.9243466335635043E-3</v>
      </c>
      <c r="I237">
        <v>-0.23076077177851401</v>
      </c>
      <c r="J237">
        <v>-4.5308187672493123E-2</v>
      </c>
      <c r="K237">
        <v>-1.5650936684847069E-2</v>
      </c>
      <c r="L237">
        <v>0</v>
      </c>
      <c r="M237">
        <v>174004869</v>
      </c>
      <c r="N237">
        <v>0</v>
      </c>
      <c r="O237" t="b">
        <v>1</v>
      </c>
    </row>
    <row r="238" spans="1:15" x14ac:dyDescent="0.3">
      <c r="A238" s="1" t="s">
        <v>342</v>
      </c>
      <c r="B238">
        <v>3.4757179633183082</v>
      </c>
      <c r="C238">
        <v>2.2187794212054308E-2</v>
      </c>
      <c r="D238">
        <v>1.519310564953716E-2</v>
      </c>
      <c r="E238">
        <v>48.906112645557947</v>
      </c>
      <c r="F238">
        <v>3.1746031746031633E-2</v>
      </c>
      <c r="G238">
        <v>0.4</v>
      </c>
      <c r="H238">
        <v>-0.11439801528223</v>
      </c>
      <c r="I238">
        <v>0.57681176225807207</v>
      </c>
      <c r="J238">
        <v>-3.4693122997288661E-2</v>
      </c>
      <c r="K238">
        <v>4.0379438533522114E-3</v>
      </c>
      <c r="L238">
        <v>0</v>
      </c>
      <c r="M238">
        <v>220776728.5</v>
      </c>
      <c r="N238">
        <v>0</v>
      </c>
      <c r="O238" t="b">
        <v>1</v>
      </c>
    </row>
    <row r="239" spans="1:15" x14ac:dyDescent="0.3">
      <c r="A239" s="1" t="s">
        <v>343</v>
      </c>
      <c r="B239">
        <v>1.0569313744486111</v>
      </c>
      <c r="C239">
        <v>1.9822418875630361E-2</v>
      </c>
      <c r="D239">
        <v>3.0007501875468891E-2</v>
      </c>
      <c r="E239">
        <v>60.968482604175342</v>
      </c>
      <c r="F239">
        <v>4.0688743893370287E-2</v>
      </c>
      <c r="G239">
        <v>0.4</v>
      </c>
      <c r="H239">
        <v>-0.10122755016176441</v>
      </c>
      <c r="I239">
        <v>0.5853371620789698</v>
      </c>
      <c r="J239">
        <v>0</v>
      </c>
      <c r="K239">
        <v>2.380952380952395E-2</v>
      </c>
      <c r="L239">
        <v>0</v>
      </c>
      <c r="M239">
        <v>41195474.455249988</v>
      </c>
      <c r="N239">
        <v>0</v>
      </c>
      <c r="O239" t="b">
        <v>0</v>
      </c>
    </row>
    <row r="240" spans="1:15" x14ac:dyDescent="0.3">
      <c r="A240" s="1" t="s">
        <v>344</v>
      </c>
      <c r="B240">
        <v>1.534029211345882</v>
      </c>
      <c r="C240">
        <v>1.7044769014954241E-2</v>
      </c>
      <c r="D240">
        <v>1.1666666666666631E-2</v>
      </c>
      <c r="E240">
        <v>48.845065207374041</v>
      </c>
      <c r="F240">
        <v>1.9348475166487411E-3</v>
      </c>
      <c r="G240">
        <v>0.4</v>
      </c>
      <c r="H240">
        <v>-3.2820641016538213E-2</v>
      </c>
      <c r="I240">
        <v>-7.352118966814998E-2</v>
      </c>
      <c r="J240">
        <v>-2.6500811249324019E-2</v>
      </c>
      <c r="K240">
        <v>5.558643690939391E-4</v>
      </c>
      <c r="L240">
        <v>0</v>
      </c>
      <c r="M240">
        <v>149201887.78755</v>
      </c>
      <c r="N240">
        <v>0</v>
      </c>
      <c r="O240" t="b">
        <v>1</v>
      </c>
    </row>
    <row r="241" spans="1:15" x14ac:dyDescent="0.3">
      <c r="A241" s="1" t="s">
        <v>345</v>
      </c>
      <c r="B241">
        <v>2.0372997253744352</v>
      </c>
      <c r="C241">
        <v>2.2742618950001899E-2</v>
      </c>
      <c r="D241">
        <v>2.2505963896240981E-2</v>
      </c>
      <c r="E241">
        <v>49.307515434226197</v>
      </c>
      <c r="F241">
        <v>-1.2958808596160391E-2</v>
      </c>
      <c r="G241">
        <v>0.8</v>
      </c>
      <c r="H241">
        <v>-9.9887284027505699E-2</v>
      </c>
      <c r="I241">
        <v>0.30701634126650118</v>
      </c>
      <c r="J241">
        <v>-3.8098848047005918E-2</v>
      </c>
      <c r="K241">
        <v>4.8773976144724776E-3</v>
      </c>
      <c r="L241">
        <v>0</v>
      </c>
      <c r="M241">
        <v>280448483.27034998</v>
      </c>
      <c r="N241">
        <v>0</v>
      </c>
      <c r="O241" t="b">
        <v>1</v>
      </c>
    </row>
    <row r="242" spans="1:15" x14ac:dyDescent="0.3">
      <c r="A242" s="1" t="s">
        <v>346</v>
      </c>
      <c r="B242">
        <v>4.2048347289252979</v>
      </c>
      <c r="C242">
        <v>4.4846786784612819E-2</v>
      </c>
      <c r="D242">
        <v>5.1514505119453907E-2</v>
      </c>
      <c r="E242">
        <v>57.624978760349798</v>
      </c>
      <c r="F242">
        <v>-3.156599887940148E-3</v>
      </c>
      <c r="G242">
        <v>0.6</v>
      </c>
      <c r="H242">
        <v>6.4494081322874763E-2</v>
      </c>
      <c r="I242">
        <v>1.8804947717101059</v>
      </c>
      <c r="J242">
        <v>-3.5072802635773841E-3</v>
      </c>
      <c r="K242">
        <v>4.2844901456726703E-3</v>
      </c>
      <c r="L242">
        <v>0</v>
      </c>
      <c r="M242">
        <v>271125573.11475003</v>
      </c>
      <c r="N242">
        <v>0</v>
      </c>
      <c r="O242" t="b">
        <v>1</v>
      </c>
    </row>
    <row r="243" spans="1:15" x14ac:dyDescent="0.3">
      <c r="A243" s="1" t="s">
        <v>347</v>
      </c>
      <c r="B243">
        <v>2.1550204876416812</v>
      </c>
      <c r="C243">
        <v>2.267487886828368E-2</v>
      </c>
      <c r="D243">
        <v>2.0412457912457889E-2</v>
      </c>
      <c r="E243">
        <v>44.394332553444421</v>
      </c>
      <c r="F243">
        <v>-4.1452344931921292E-2</v>
      </c>
      <c r="G243">
        <v>0.2</v>
      </c>
      <c r="H243">
        <v>-6.4352366053042453E-2</v>
      </c>
      <c r="I243">
        <v>0.1024677668560144</v>
      </c>
      <c r="J243">
        <v>-5.8730315935426318E-2</v>
      </c>
      <c r="K243">
        <v>8.9171974522292974E-3</v>
      </c>
      <c r="L243">
        <v>0</v>
      </c>
      <c r="M243">
        <v>113047950.38034999</v>
      </c>
      <c r="N243">
        <v>0</v>
      </c>
      <c r="O243" t="b">
        <v>1</v>
      </c>
    </row>
    <row r="244" spans="1:15" x14ac:dyDescent="0.3">
      <c r="A244" s="1" t="s">
        <v>348</v>
      </c>
      <c r="B244">
        <v>0.89721619200671243</v>
      </c>
      <c r="C244">
        <v>3.4298435038159283E-2</v>
      </c>
      <c r="D244">
        <v>3.995550305629772E-2</v>
      </c>
      <c r="E244">
        <v>49.138430018466067</v>
      </c>
      <c r="F244">
        <v>-2.2685242263592701E-2</v>
      </c>
      <c r="G244">
        <v>0.6</v>
      </c>
      <c r="H244">
        <v>-0.1671562438655656</v>
      </c>
      <c r="I244">
        <v>1.015557412082652</v>
      </c>
      <c r="J244">
        <v>-3.1331002917956541E-2</v>
      </c>
      <c r="K244">
        <v>3.0185959689043251E-2</v>
      </c>
      <c r="L244">
        <v>0</v>
      </c>
      <c r="M244">
        <v>496724545.95209998</v>
      </c>
      <c r="N244">
        <v>0</v>
      </c>
      <c r="O244" t="b">
        <v>1</v>
      </c>
    </row>
    <row r="245" spans="1:15" x14ac:dyDescent="0.3">
      <c r="A245" s="1" t="s">
        <v>349</v>
      </c>
      <c r="B245">
        <v>0.95751586408699552</v>
      </c>
      <c r="C245">
        <v>5.9957161182654692E-2</v>
      </c>
      <c r="D245">
        <v>5.1972448340638702E-2</v>
      </c>
      <c r="E245">
        <v>49.94594043599529</v>
      </c>
      <c r="F245">
        <v>7.3974445191661076E-2</v>
      </c>
      <c r="G245">
        <v>0.2</v>
      </c>
      <c r="H245">
        <v>2.1439281473244219E-2</v>
      </c>
      <c r="I245">
        <v>2.2561375074082979</v>
      </c>
      <c r="J245">
        <v>-7.5275043427909583E-2</v>
      </c>
      <c r="K245">
        <v>-6.2227753578095726E-3</v>
      </c>
      <c r="L245">
        <v>0</v>
      </c>
      <c r="M245">
        <v>125049716</v>
      </c>
      <c r="N245">
        <v>0</v>
      </c>
      <c r="O245" t="b">
        <v>1</v>
      </c>
    </row>
    <row r="246" spans="1:15" x14ac:dyDescent="0.3">
      <c r="A246" s="1" t="s">
        <v>350</v>
      </c>
      <c r="B246">
        <v>8.2412753558483836</v>
      </c>
      <c r="C246">
        <v>2.4378143985826141E-2</v>
      </c>
      <c r="D246">
        <v>2.3871502100218871E-2</v>
      </c>
      <c r="E246">
        <v>62.750960498351802</v>
      </c>
      <c r="F246">
        <v>2.7725421049431539E-2</v>
      </c>
      <c r="G246">
        <v>0.6</v>
      </c>
      <c r="H246">
        <v>-8.6347985401614466E-2</v>
      </c>
      <c r="I246">
        <v>1.4362205606674221</v>
      </c>
      <c r="J246">
        <v>0</v>
      </c>
      <c r="K246">
        <v>8.923508520607637E-3</v>
      </c>
      <c r="L246">
        <v>0</v>
      </c>
      <c r="M246">
        <v>513627377.5</v>
      </c>
      <c r="N246">
        <v>0</v>
      </c>
      <c r="O246" t="b">
        <v>1</v>
      </c>
    </row>
    <row r="247" spans="1:15" x14ac:dyDescent="0.3">
      <c r="A247" s="1" t="s">
        <v>351</v>
      </c>
      <c r="B247">
        <v>0.58426925361418069</v>
      </c>
      <c r="C247">
        <v>2.0255056355706961E-2</v>
      </c>
      <c r="D247">
        <v>2.983470615969153E-2</v>
      </c>
      <c r="E247">
        <v>46.252243264285589</v>
      </c>
      <c r="F247">
        <v>8.9966559863441375E-3</v>
      </c>
      <c r="G247">
        <v>0.4</v>
      </c>
      <c r="H247">
        <v>-0.12318017295037249</v>
      </c>
      <c r="I247">
        <v>0.39024763216645308</v>
      </c>
      <c r="J247">
        <v>-5.1091000601999448E-2</v>
      </c>
      <c r="K247">
        <v>8.298320062080089E-3</v>
      </c>
      <c r="L247">
        <v>0</v>
      </c>
      <c r="M247">
        <v>24039853.026299998</v>
      </c>
      <c r="N247">
        <v>0</v>
      </c>
      <c r="O247" t="b">
        <v>0</v>
      </c>
    </row>
    <row r="248" spans="1:15" x14ac:dyDescent="0.3">
      <c r="A248" s="1" t="s">
        <v>352</v>
      </c>
      <c r="B248">
        <v>3.9815908126551869</v>
      </c>
      <c r="C248">
        <v>2.6625590562091669E-2</v>
      </c>
      <c r="D248">
        <v>3.1697204761267951E-2</v>
      </c>
      <c r="E248">
        <v>58.126579517378772</v>
      </c>
      <c r="F248">
        <v>4.812369457644694E-2</v>
      </c>
      <c r="G248">
        <v>0.8</v>
      </c>
      <c r="H248">
        <v>-0.12036350821594199</v>
      </c>
      <c r="I248">
        <v>1.4366958324092709</v>
      </c>
      <c r="J248">
        <v>0</v>
      </c>
      <c r="K248">
        <v>1.6380072045130149E-2</v>
      </c>
      <c r="L248">
        <v>0</v>
      </c>
      <c r="M248">
        <v>199062927.36250001</v>
      </c>
      <c r="N248">
        <v>0</v>
      </c>
      <c r="O248" t="b">
        <v>1</v>
      </c>
    </row>
    <row r="249" spans="1:15" x14ac:dyDescent="0.3">
      <c r="A249" s="1" t="s">
        <v>353</v>
      </c>
      <c r="B249">
        <v>0.84037664535737566</v>
      </c>
      <c r="C249">
        <v>1.9648740831362539E-2</v>
      </c>
      <c r="D249">
        <v>1.987374327799846E-2</v>
      </c>
      <c r="E249">
        <v>70.552472599166947</v>
      </c>
      <c r="F249">
        <v>0.1000514403292181</v>
      </c>
      <c r="G249">
        <v>0.6</v>
      </c>
      <c r="H249">
        <v>0.1678410122994127</v>
      </c>
      <c r="I249">
        <v>0.4559088201981657</v>
      </c>
      <c r="J249">
        <v>0</v>
      </c>
      <c r="K249">
        <v>5.6430754761345181E-3</v>
      </c>
      <c r="L249">
        <v>0</v>
      </c>
      <c r="M249">
        <v>18841175</v>
      </c>
      <c r="N249">
        <v>0</v>
      </c>
      <c r="O249" t="b">
        <v>0</v>
      </c>
    </row>
    <row r="250" spans="1:15" x14ac:dyDescent="0.3">
      <c r="A250" s="1" t="s">
        <v>354</v>
      </c>
      <c r="B250">
        <v>15.09030975342092</v>
      </c>
      <c r="C250">
        <v>4.1677879286935997E-2</v>
      </c>
      <c r="D250">
        <v>4.727815063385532E-2</v>
      </c>
      <c r="E250">
        <v>52.226811057156063</v>
      </c>
      <c r="F250">
        <v>4.3104883001030547E-3</v>
      </c>
      <c r="G250">
        <v>0.6</v>
      </c>
      <c r="H250">
        <v>6.7516631205070995E-2</v>
      </c>
      <c r="I250">
        <v>1.952810633858336</v>
      </c>
      <c r="J250">
        <v>-1.7768976181433471E-2</v>
      </c>
      <c r="K250">
        <v>8.1303076708896249E-3</v>
      </c>
      <c r="L250">
        <v>0</v>
      </c>
      <c r="M250">
        <v>828328605.12700009</v>
      </c>
      <c r="N250">
        <v>0</v>
      </c>
      <c r="O250" t="b">
        <v>1</v>
      </c>
    </row>
    <row r="251" spans="1:15" x14ac:dyDescent="0.3">
      <c r="A251" s="1" t="s">
        <v>355</v>
      </c>
      <c r="B251">
        <v>2.3195774058226788</v>
      </c>
      <c r="C251">
        <v>5.2384313591298082E-2</v>
      </c>
      <c r="D251">
        <v>3.3649503161698333E-2</v>
      </c>
      <c r="E251">
        <v>47.434071306242053</v>
      </c>
      <c r="F251">
        <v>-6.2836624775584049E-3</v>
      </c>
      <c r="G251">
        <v>0.6</v>
      </c>
      <c r="H251">
        <v>-9.7601012895548914E-2</v>
      </c>
      <c r="I251">
        <v>2.0093829104831862</v>
      </c>
      <c r="J251">
        <v>-1.402805611222435E-2</v>
      </c>
      <c r="K251">
        <v>2.476278639203899E-2</v>
      </c>
      <c r="L251">
        <v>0</v>
      </c>
      <c r="M251">
        <v>252832438.5</v>
      </c>
      <c r="N251">
        <v>0</v>
      </c>
      <c r="O251" t="b">
        <v>1</v>
      </c>
    </row>
    <row r="252" spans="1:15" x14ac:dyDescent="0.3">
      <c r="A252" s="1" t="s">
        <v>356</v>
      </c>
      <c r="B252">
        <v>1.913548772266771</v>
      </c>
      <c r="C252">
        <v>2.5282730918092799E-2</v>
      </c>
      <c r="D252">
        <v>1.7217186798086839E-2</v>
      </c>
      <c r="E252">
        <v>34.646580005857693</v>
      </c>
      <c r="F252">
        <v>-7.6114421872673033E-2</v>
      </c>
      <c r="G252">
        <v>0.2</v>
      </c>
      <c r="H252">
        <v>-0.13751254895853399</v>
      </c>
      <c r="I252">
        <v>0.55047138255765116</v>
      </c>
      <c r="J252">
        <v>-0.10524374500522519</v>
      </c>
      <c r="K252">
        <v>-7.952268041372057E-3</v>
      </c>
      <c r="L252">
        <v>0</v>
      </c>
      <c r="M252">
        <v>197165783.82190001</v>
      </c>
      <c r="N252">
        <v>0</v>
      </c>
      <c r="O252" t="b">
        <v>1</v>
      </c>
    </row>
    <row r="253" spans="1:15" x14ac:dyDescent="0.3">
      <c r="A253" s="1" t="s">
        <v>357</v>
      </c>
      <c r="B253">
        <v>1.291945823979612</v>
      </c>
      <c r="C253">
        <v>2.2254821919155999E-2</v>
      </c>
      <c r="D253">
        <v>4.8239177019382427E-2</v>
      </c>
      <c r="E253">
        <v>76.500380691064692</v>
      </c>
      <c r="F253">
        <v>0.11671443685678561</v>
      </c>
      <c r="G253">
        <v>0.8</v>
      </c>
      <c r="H253">
        <v>9.4697632477524732E-2</v>
      </c>
      <c r="I253">
        <v>1.2283085817089281</v>
      </c>
      <c r="J253">
        <v>0</v>
      </c>
      <c r="K253">
        <v>4.5049586047859691E-2</v>
      </c>
      <c r="L253">
        <v>0</v>
      </c>
      <c r="M253">
        <v>193480636.77399999</v>
      </c>
      <c r="N253">
        <v>0</v>
      </c>
      <c r="O253" t="b">
        <v>1</v>
      </c>
    </row>
    <row r="254" spans="1:15" x14ac:dyDescent="0.3">
      <c r="A254" s="1" t="s">
        <v>358</v>
      </c>
      <c r="B254">
        <v>1.2115218009967581</v>
      </c>
      <c r="C254">
        <v>4.0384060033225269E-2</v>
      </c>
      <c r="D254">
        <v>5.3333333333333384E-3</v>
      </c>
      <c r="E254">
        <v>78.854180176921304</v>
      </c>
      <c r="F254">
        <v>0.27496812579685498</v>
      </c>
      <c r="G254">
        <v>0.6</v>
      </c>
      <c r="H254">
        <v>0.1583418520666322</v>
      </c>
      <c r="I254">
        <v>1.3999529415453189</v>
      </c>
      <c r="J254">
        <v>0</v>
      </c>
      <c r="K254">
        <v>3.3444816053511679E-3</v>
      </c>
      <c r="L254">
        <v>0</v>
      </c>
      <c r="M254">
        <v>126202207</v>
      </c>
      <c r="N254">
        <v>0</v>
      </c>
      <c r="O254" t="b">
        <v>1</v>
      </c>
    </row>
    <row r="255" spans="1:15" x14ac:dyDescent="0.3">
      <c r="A255" s="1" t="s">
        <v>359</v>
      </c>
      <c r="B255">
        <v>2.6837307350622961</v>
      </c>
      <c r="C255">
        <v>2.0652025664196199E-2</v>
      </c>
      <c r="D255">
        <v>3.4166987302808857E-2</v>
      </c>
      <c r="E255">
        <v>65.358894885702355</v>
      </c>
      <c r="F255">
        <v>5.4078826764436087E-2</v>
      </c>
      <c r="G255">
        <v>0.6</v>
      </c>
      <c r="H255">
        <v>-2.118361178958859E-2</v>
      </c>
      <c r="I255">
        <v>0.71766877543403473</v>
      </c>
      <c r="J255">
        <v>0</v>
      </c>
      <c r="K255">
        <v>2.6137081490840149E-2</v>
      </c>
      <c r="L255">
        <v>0</v>
      </c>
      <c r="M255">
        <v>50340753.022</v>
      </c>
      <c r="N255">
        <v>0</v>
      </c>
      <c r="O255" t="b">
        <v>0</v>
      </c>
    </row>
    <row r="256" spans="1:15" x14ac:dyDescent="0.3">
      <c r="A256" s="1" t="s">
        <v>360</v>
      </c>
      <c r="B256">
        <v>1.9015552054685689</v>
      </c>
      <c r="C256">
        <v>3.2041788853329353E-2</v>
      </c>
      <c r="D256">
        <v>5.6419882688163073E-2</v>
      </c>
      <c r="E256">
        <v>67.939696284413969</v>
      </c>
      <c r="F256">
        <v>0.13771579199616579</v>
      </c>
      <c r="G256">
        <v>0.8</v>
      </c>
      <c r="H256">
        <v>-0.12308251006551051</v>
      </c>
      <c r="I256">
        <v>1.424677762289591</v>
      </c>
      <c r="J256">
        <v>0</v>
      </c>
      <c r="K256">
        <v>3.626013846812004E-2</v>
      </c>
      <c r="L256">
        <v>0</v>
      </c>
      <c r="M256">
        <v>129858869.60394999</v>
      </c>
      <c r="N256">
        <v>0</v>
      </c>
      <c r="O256" t="b">
        <v>1</v>
      </c>
    </row>
    <row r="257" spans="1:15" x14ac:dyDescent="0.3">
      <c r="A257" s="1" t="s">
        <v>361</v>
      </c>
      <c r="B257">
        <v>0.27723559063961017</v>
      </c>
      <c r="C257">
        <v>7.8433453469247457E-3</v>
      </c>
      <c r="D257">
        <v>1.2510397039602101E-2</v>
      </c>
      <c r="E257">
        <v>64.905525222916737</v>
      </c>
      <c r="F257">
        <v>2.1247457470414451E-2</v>
      </c>
      <c r="G257">
        <v>0.6</v>
      </c>
      <c r="H257">
        <v>-0.1040280506799226</v>
      </c>
      <c r="I257">
        <v>0.62362296939985706</v>
      </c>
      <c r="J257">
        <v>0</v>
      </c>
      <c r="K257">
        <v>9.0782960209658814E-3</v>
      </c>
      <c r="L257">
        <v>0</v>
      </c>
      <c r="M257">
        <v>21613963.7245</v>
      </c>
      <c r="N257">
        <v>0</v>
      </c>
      <c r="O257" t="b">
        <v>0</v>
      </c>
    </row>
    <row r="258" spans="1:15" x14ac:dyDescent="0.3">
      <c r="A258" s="1" t="s">
        <v>362</v>
      </c>
      <c r="B258">
        <v>6.1702425749999353E-2</v>
      </c>
      <c r="C258">
        <v>2.7416476676915681E-3</v>
      </c>
      <c r="D258">
        <v>4.1411915256647017E-3</v>
      </c>
      <c r="E258">
        <v>53.472512026334329</v>
      </c>
      <c r="F258">
        <v>3.773248294010267E-3</v>
      </c>
      <c r="G258">
        <v>0.2</v>
      </c>
      <c r="H258">
        <v>-9.7177297293656387E-2</v>
      </c>
      <c r="I258">
        <v>4.0688095526354273E-2</v>
      </c>
      <c r="J258">
        <v>-3.6876518998267831E-3</v>
      </c>
      <c r="K258">
        <v>3.536026896991507E-3</v>
      </c>
      <c r="L258">
        <v>0</v>
      </c>
      <c r="M258">
        <v>25057083.906300001</v>
      </c>
      <c r="N258">
        <v>0</v>
      </c>
      <c r="O258" t="b">
        <v>0</v>
      </c>
    </row>
    <row r="259" spans="1:15" x14ac:dyDescent="0.3">
      <c r="A259" s="1" t="s">
        <v>363</v>
      </c>
      <c r="B259">
        <v>0.44346455779428928</v>
      </c>
      <c r="C259">
        <v>1.017379557167741E-2</v>
      </c>
      <c r="D259">
        <v>1.445780921289583E-2</v>
      </c>
      <c r="E259">
        <v>60.413972656035057</v>
      </c>
      <c r="F259">
        <v>1.2955655637511221E-2</v>
      </c>
      <c r="G259">
        <v>0.4</v>
      </c>
      <c r="H259">
        <v>-3.606981943784645E-2</v>
      </c>
      <c r="I259">
        <v>0.85932719166978266</v>
      </c>
      <c r="J259">
        <v>-1.3700293479529391E-3</v>
      </c>
      <c r="K259">
        <v>1.038457704869389E-2</v>
      </c>
      <c r="L259">
        <v>0</v>
      </c>
      <c r="M259">
        <v>127258195.73684999</v>
      </c>
      <c r="N259">
        <v>0</v>
      </c>
      <c r="O259" t="b">
        <v>1</v>
      </c>
    </row>
    <row r="260" spans="1:15" x14ac:dyDescent="0.3">
      <c r="A260" s="1" t="s">
        <v>364</v>
      </c>
      <c r="B260">
        <v>0.41082956518129782</v>
      </c>
      <c r="C260">
        <v>1.186175653335078E-2</v>
      </c>
      <c r="D260">
        <v>1.470197604721263E-2</v>
      </c>
      <c r="E260">
        <v>60.751043429532139</v>
      </c>
      <c r="F260">
        <v>8.6376105911201151E-3</v>
      </c>
      <c r="G260">
        <v>0.8</v>
      </c>
      <c r="H260">
        <v>-2.5411223542717989E-2</v>
      </c>
      <c r="I260">
        <v>1.0490487938958071</v>
      </c>
      <c r="J260">
        <v>0</v>
      </c>
      <c r="K260">
        <v>6.3194962998260884E-3</v>
      </c>
      <c r="L260">
        <v>0</v>
      </c>
      <c r="M260">
        <v>26776732.378800001</v>
      </c>
      <c r="N260">
        <v>0</v>
      </c>
      <c r="O260" t="b">
        <v>0</v>
      </c>
    </row>
    <row r="261" spans="1:15" x14ac:dyDescent="0.3">
      <c r="A261" s="1" t="s">
        <v>365</v>
      </c>
      <c r="B261">
        <v>0.65724644878823046</v>
      </c>
      <c r="C261">
        <v>1.4713901746832901E-2</v>
      </c>
      <c r="D261">
        <v>1.4426305844847749E-2</v>
      </c>
      <c r="E261">
        <v>58.916913305313443</v>
      </c>
      <c r="F261">
        <v>7.8883002247351897E-3</v>
      </c>
      <c r="G261">
        <v>0.8</v>
      </c>
      <c r="H261">
        <v>-9.22301459287449E-2</v>
      </c>
      <c r="I261">
        <v>1.3273740439863619</v>
      </c>
      <c r="J261">
        <v>0</v>
      </c>
      <c r="K261">
        <v>5.6215062574995764E-3</v>
      </c>
      <c r="L261">
        <v>0</v>
      </c>
      <c r="M261">
        <v>106855403.81455</v>
      </c>
      <c r="N261">
        <v>0</v>
      </c>
      <c r="O261" t="b">
        <v>1</v>
      </c>
    </row>
    <row r="262" spans="1:15" x14ac:dyDescent="0.3">
      <c r="A262" s="1" t="s">
        <v>366</v>
      </c>
      <c r="B262">
        <v>5.0338810701436892E-2</v>
      </c>
      <c r="C262">
        <v>1.8489242158758871E-3</v>
      </c>
      <c r="D262">
        <v>1.461837949019306E-3</v>
      </c>
      <c r="E262">
        <v>57.595983404903507</v>
      </c>
      <c r="F262">
        <v>1.788250531691737E-3</v>
      </c>
      <c r="G262">
        <v>0.6</v>
      </c>
      <c r="H262">
        <v>-7.5512748010139741E-2</v>
      </c>
      <c r="I262">
        <v>1.656091102129818E-2</v>
      </c>
      <c r="J262">
        <v>-1.1263285724243399E-3</v>
      </c>
      <c r="K262">
        <v>1.463978047685943E-3</v>
      </c>
      <c r="L262">
        <v>0</v>
      </c>
      <c r="M262">
        <v>17023914.668450002</v>
      </c>
      <c r="N262">
        <v>0</v>
      </c>
      <c r="O262" t="b">
        <v>0</v>
      </c>
    </row>
    <row r="263" spans="1:15" x14ac:dyDescent="0.3">
      <c r="A263" s="1" t="s">
        <v>367</v>
      </c>
      <c r="B263">
        <v>0.43793631540636641</v>
      </c>
      <c r="C263">
        <v>1.0857584193381521E-2</v>
      </c>
      <c r="D263">
        <v>1.236407451666806E-2</v>
      </c>
      <c r="E263">
        <v>58.198142768756519</v>
      </c>
      <c r="F263">
        <v>1.733524070652193E-3</v>
      </c>
      <c r="G263">
        <v>0.4</v>
      </c>
      <c r="H263">
        <v>-0.21691661254059619</v>
      </c>
      <c r="I263">
        <v>0.96655085964272358</v>
      </c>
      <c r="J263">
        <v>0</v>
      </c>
      <c r="K263">
        <v>7.9744099161573878E-3</v>
      </c>
      <c r="L263">
        <v>0</v>
      </c>
      <c r="M263">
        <v>36467603.172799997</v>
      </c>
      <c r="N263">
        <v>0</v>
      </c>
      <c r="O263" t="b">
        <v>0</v>
      </c>
    </row>
    <row r="264" spans="1:15" x14ac:dyDescent="0.3">
      <c r="A264" s="1" t="s">
        <v>368</v>
      </c>
      <c r="B264">
        <v>0.3380697510572519</v>
      </c>
      <c r="C264">
        <v>1.1646292766569359E-2</v>
      </c>
      <c r="D264">
        <v>1.353860569586024E-2</v>
      </c>
      <c r="E264">
        <v>55.868177670681291</v>
      </c>
      <c r="F264">
        <v>-6.2341236965169911E-3</v>
      </c>
      <c r="G264">
        <v>0.6</v>
      </c>
      <c r="H264">
        <v>-1.755930000761443E-2</v>
      </c>
      <c r="I264">
        <v>1.1426245776805299</v>
      </c>
      <c r="J264">
        <v>-1.5602851310015599E-2</v>
      </c>
      <c r="K264">
        <v>8.6626266557325859E-3</v>
      </c>
      <c r="L264">
        <v>0</v>
      </c>
      <c r="M264">
        <v>15678558.957699999</v>
      </c>
      <c r="N264">
        <v>0</v>
      </c>
      <c r="O264" t="b">
        <v>0</v>
      </c>
    </row>
    <row r="265" spans="1:15" x14ac:dyDescent="0.3">
      <c r="A265" s="1" t="s">
        <v>369</v>
      </c>
      <c r="B265">
        <v>1.716518464600072</v>
      </c>
      <c r="C265">
        <v>2.0667648339502919E-2</v>
      </c>
      <c r="D265">
        <v>2.9047576619379751E-2</v>
      </c>
      <c r="E265">
        <v>46.005880977069417</v>
      </c>
      <c r="F265">
        <v>-1.2283808420634481E-2</v>
      </c>
      <c r="G265">
        <v>0.8</v>
      </c>
      <c r="H265">
        <v>-0.14627324662574609</v>
      </c>
      <c r="I265">
        <v>-0.15535008710284801</v>
      </c>
      <c r="J265">
        <v>-2.2332979402146621E-2</v>
      </c>
      <c r="K265">
        <v>8.229388592482012E-3</v>
      </c>
      <c r="L265">
        <v>0</v>
      </c>
      <c r="M265">
        <v>188012736.1582</v>
      </c>
      <c r="N265">
        <v>0</v>
      </c>
      <c r="O265" t="b">
        <v>1</v>
      </c>
    </row>
    <row r="266" spans="1:15" x14ac:dyDescent="0.3">
      <c r="A266" s="1" t="s">
        <v>370</v>
      </c>
      <c r="B266">
        <v>2.7091032247959879</v>
      </c>
      <c r="C266">
        <v>2.352264673783093E-2</v>
      </c>
      <c r="D266">
        <v>2.7437700790136289E-2</v>
      </c>
      <c r="E266">
        <v>79.484627488223353</v>
      </c>
      <c r="F266">
        <v>0.1576759231151201</v>
      </c>
      <c r="G266">
        <v>0.8</v>
      </c>
      <c r="H266">
        <v>9.5703897134702967E-2</v>
      </c>
      <c r="I266">
        <v>0.34895845267567049</v>
      </c>
      <c r="J266">
        <v>0</v>
      </c>
      <c r="K266">
        <v>1.026315789473675E-2</v>
      </c>
      <c r="L266">
        <v>0</v>
      </c>
      <c r="M266">
        <v>63944696.693000004</v>
      </c>
      <c r="N266">
        <v>0</v>
      </c>
      <c r="O266" t="b">
        <v>0</v>
      </c>
    </row>
    <row r="267" spans="1:15" x14ac:dyDescent="0.3">
      <c r="A267" s="1" t="s">
        <v>371</v>
      </c>
      <c r="B267">
        <v>5.6133283151113096</v>
      </c>
      <c r="C267">
        <v>2.8421915519550939E-2</v>
      </c>
      <c r="D267">
        <v>2.1215189873417709E-2</v>
      </c>
      <c r="E267">
        <v>57.295610584192119</v>
      </c>
      <c r="F267">
        <v>-2.2809361238929401E-2</v>
      </c>
      <c r="G267">
        <v>0.6</v>
      </c>
      <c r="H267">
        <v>-3.7985331363405192E-2</v>
      </c>
      <c r="I267">
        <v>0.49708988870999848</v>
      </c>
      <c r="J267">
        <v>-3.3710064093155127E-2</v>
      </c>
      <c r="K267">
        <v>1.704516195478667E-2</v>
      </c>
      <c r="L267">
        <v>0</v>
      </c>
      <c r="M267">
        <v>157486393.5</v>
      </c>
      <c r="N267">
        <v>0</v>
      </c>
      <c r="O267" t="b">
        <v>1</v>
      </c>
    </row>
    <row r="268" spans="1:15" x14ac:dyDescent="0.3">
      <c r="A268" s="1" t="s">
        <v>372</v>
      </c>
      <c r="B268">
        <v>3.896372267509904</v>
      </c>
      <c r="C268">
        <v>2.460763084192184E-2</v>
      </c>
      <c r="D268">
        <v>4.8376910445876123E-2</v>
      </c>
      <c r="E268">
        <v>62.388590141949059</v>
      </c>
      <c r="F268">
        <v>4.7811269562915593E-2</v>
      </c>
      <c r="G268">
        <v>0.2</v>
      </c>
      <c r="H268">
        <v>9.1563101566161334E-2</v>
      </c>
      <c r="I268">
        <v>0.1974384314101971</v>
      </c>
      <c r="J268">
        <v>-8.3979934995397354E-3</v>
      </c>
      <c r="K268">
        <v>3.8158929976396472E-2</v>
      </c>
      <c r="L268">
        <v>0</v>
      </c>
      <c r="M268">
        <v>134869750.23625001</v>
      </c>
      <c r="N268">
        <v>0</v>
      </c>
      <c r="O268" t="b">
        <v>1</v>
      </c>
    </row>
    <row r="269" spans="1:15" x14ac:dyDescent="0.3">
      <c r="A269" s="1" t="s">
        <v>373</v>
      </c>
      <c r="B269">
        <v>0.50328773229082746</v>
      </c>
      <c r="C269">
        <v>1.2139115588297821E-2</v>
      </c>
      <c r="D269">
        <v>6.2711046792089994E-3</v>
      </c>
      <c r="E269">
        <v>42.007024468167387</v>
      </c>
      <c r="F269">
        <v>-2.4240997881854631E-2</v>
      </c>
      <c r="G269">
        <v>0.4</v>
      </c>
      <c r="H269">
        <v>-0.223832479839875</v>
      </c>
      <c r="I269">
        <v>0.15229611927208331</v>
      </c>
      <c r="J269">
        <v>-3.0175438596491189E-2</v>
      </c>
      <c r="K269">
        <v>1.44927536231898E-3</v>
      </c>
      <c r="L269">
        <v>0</v>
      </c>
      <c r="M269">
        <v>4860635.7928499999</v>
      </c>
      <c r="N269">
        <v>0</v>
      </c>
      <c r="O269" t="b">
        <v>0</v>
      </c>
    </row>
    <row r="270" spans="1:15" x14ac:dyDescent="0.3">
      <c r="A270" s="1" t="s">
        <v>374</v>
      </c>
      <c r="B270">
        <v>6.7766674663401369</v>
      </c>
      <c r="C270">
        <v>3.17720824527176E-2</v>
      </c>
      <c r="D270">
        <v>5.4339162642411759E-2</v>
      </c>
      <c r="E270">
        <v>52.956067016375229</v>
      </c>
      <c r="F270">
        <v>1.3494891898313099E-2</v>
      </c>
      <c r="G270">
        <v>0.8</v>
      </c>
      <c r="H270">
        <v>-0.1961103482690878</v>
      </c>
      <c r="I270">
        <v>0.67056594059092522</v>
      </c>
      <c r="J270">
        <v>0</v>
      </c>
      <c r="K270">
        <v>3.9779651928045563E-2</v>
      </c>
      <c r="L270">
        <v>0</v>
      </c>
      <c r="M270">
        <v>449179642</v>
      </c>
      <c r="N270">
        <v>0</v>
      </c>
      <c r="O270" t="b">
        <v>1</v>
      </c>
    </row>
    <row r="271" spans="1:15" x14ac:dyDescent="0.3">
      <c r="A271" s="1" t="s">
        <v>375</v>
      </c>
      <c r="B271">
        <v>1.3333503563534399</v>
      </c>
      <c r="C271">
        <v>3.7697211092831223E-2</v>
      </c>
      <c r="D271">
        <v>8.2838563754594488E-2</v>
      </c>
      <c r="E271">
        <v>56.700061749515491</v>
      </c>
      <c r="F271">
        <v>4.6140195208518087E-2</v>
      </c>
      <c r="G271">
        <v>0.8</v>
      </c>
      <c r="H271">
        <v>-3.5651157071046789E-2</v>
      </c>
      <c r="I271">
        <v>-0.21045970313686529</v>
      </c>
      <c r="J271">
        <v>0</v>
      </c>
      <c r="K271">
        <v>1.5212399540757589E-2</v>
      </c>
      <c r="L271">
        <v>0</v>
      </c>
      <c r="M271">
        <v>211233288.5</v>
      </c>
      <c r="N271">
        <v>0</v>
      </c>
      <c r="O271" t="b">
        <v>1</v>
      </c>
    </row>
    <row r="272" spans="1:15" x14ac:dyDescent="0.3">
      <c r="A272" s="1" t="s">
        <v>376</v>
      </c>
      <c r="B272">
        <v>1.282632397784254</v>
      </c>
      <c r="C272">
        <v>4.8401222557896369E-2</v>
      </c>
      <c r="D272">
        <v>9.8867924528301926E-2</v>
      </c>
      <c r="E272">
        <v>77.415225346062769</v>
      </c>
      <c r="F272">
        <v>0.24647224835371581</v>
      </c>
      <c r="G272">
        <v>0.8</v>
      </c>
      <c r="H272">
        <v>4.3890883435225667E-2</v>
      </c>
      <c r="I272">
        <v>2.7723246392084331</v>
      </c>
      <c r="J272">
        <v>0</v>
      </c>
      <c r="K272">
        <v>9.0983944009880746E-2</v>
      </c>
      <c r="L272">
        <v>0</v>
      </c>
      <c r="M272">
        <v>67331228</v>
      </c>
      <c r="N272">
        <v>0</v>
      </c>
      <c r="O272" t="b">
        <v>0</v>
      </c>
    </row>
    <row r="273" spans="1:15" x14ac:dyDescent="0.3">
      <c r="A273" s="1" t="s">
        <v>377</v>
      </c>
      <c r="B273">
        <v>6.9617346307516614</v>
      </c>
      <c r="C273">
        <v>2.6510794481156359E-2</v>
      </c>
      <c r="D273">
        <v>1.104341203351096E-2</v>
      </c>
      <c r="E273">
        <v>40.146598206809053</v>
      </c>
      <c r="F273">
        <v>2.2912300656751761E-2</v>
      </c>
      <c r="G273">
        <v>0</v>
      </c>
      <c r="H273">
        <v>-9.4368064820370468E-2</v>
      </c>
      <c r="I273">
        <v>0.64840264235715861</v>
      </c>
      <c r="J273">
        <v>-5.128344081359848E-2</v>
      </c>
      <c r="K273">
        <v>-4.1871264892834331E-4</v>
      </c>
      <c r="L273">
        <v>0</v>
      </c>
      <c r="M273">
        <v>492032313.09100002</v>
      </c>
      <c r="N273">
        <v>0</v>
      </c>
      <c r="O273" t="b">
        <v>1</v>
      </c>
    </row>
    <row r="274" spans="1:15" x14ac:dyDescent="0.3">
      <c r="A274" s="1" t="s">
        <v>378</v>
      </c>
      <c r="B274">
        <v>1.691853373725126</v>
      </c>
      <c r="C274">
        <v>2.6275095103667111E-2</v>
      </c>
      <c r="D274">
        <v>2.05000776518094E-2</v>
      </c>
      <c r="E274">
        <v>63.573191511068728</v>
      </c>
      <c r="F274">
        <v>1.2899166273399491E-2</v>
      </c>
      <c r="G274">
        <v>0.6</v>
      </c>
      <c r="H274">
        <v>0.16841863494010809</v>
      </c>
      <c r="I274">
        <v>0.63849229508463989</v>
      </c>
      <c r="J274">
        <v>-1.552795031056764E-4</v>
      </c>
      <c r="K274">
        <v>1.2580594433087009E-2</v>
      </c>
      <c r="L274">
        <v>0</v>
      </c>
      <c r="M274">
        <v>14638583.0824</v>
      </c>
      <c r="N274">
        <v>0</v>
      </c>
      <c r="O274" t="b">
        <v>0</v>
      </c>
    </row>
    <row r="275" spans="1:15" x14ac:dyDescent="0.3">
      <c r="A275" s="1" t="s">
        <v>379</v>
      </c>
      <c r="B275">
        <v>1.2147382775054569</v>
      </c>
      <c r="C275">
        <v>1.600633377965871E-2</v>
      </c>
      <c r="D275">
        <v>1.7988934143792899E-2</v>
      </c>
      <c r="E275">
        <v>58.81218387267338</v>
      </c>
      <c r="F275">
        <v>-8.2096935021622741E-3</v>
      </c>
      <c r="G275">
        <v>1</v>
      </c>
      <c r="H275">
        <v>-8.0799952452992332E-2</v>
      </c>
      <c r="I275">
        <v>1.197149929325557</v>
      </c>
      <c r="J275">
        <v>-9.8879306970737213E-3</v>
      </c>
      <c r="K275">
        <v>6.0822750996587516E-3</v>
      </c>
      <c r="L275">
        <v>0</v>
      </c>
      <c r="M275">
        <v>56410665.882599987</v>
      </c>
      <c r="N275">
        <v>0</v>
      </c>
      <c r="O275" t="b">
        <v>0</v>
      </c>
    </row>
    <row r="276" spans="1:15" x14ac:dyDescent="0.3">
      <c r="A276" s="1" t="s">
        <v>380</v>
      </c>
      <c r="B276">
        <v>10.37197186488268</v>
      </c>
      <c r="C276">
        <v>4.6752183298997871E-2</v>
      </c>
      <c r="D276">
        <v>5.3594771241830132E-2</v>
      </c>
      <c r="E276">
        <v>69.182173460178632</v>
      </c>
      <c r="F276">
        <v>6.2805403851681429E-2</v>
      </c>
      <c r="G276">
        <v>1</v>
      </c>
      <c r="H276">
        <v>0.3113810624145838</v>
      </c>
      <c r="I276">
        <v>2.5958882348565671</v>
      </c>
      <c r="J276">
        <v>0</v>
      </c>
      <c r="K276">
        <v>3.4989503149055252E-2</v>
      </c>
      <c r="L276">
        <v>0</v>
      </c>
      <c r="M276">
        <v>201503417.5</v>
      </c>
      <c r="N276">
        <v>0</v>
      </c>
      <c r="O276" t="b">
        <v>1</v>
      </c>
    </row>
    <row r="277" spans="1:15" x14ac:dyDescent="0.3">
      <c r="A277" s="1" t="s">
        <v>381</v>
      </c>
      <c r="B277">
        <v>1.9956926796722101</v>
      </c>
      <c r="C277">
        <v>0.1079920281207906</v>
      </c>
      <c r="D277">
        <v>7.4675324675324617E-2</v>
      </c>
      <c r="E277">
        <v>51.297523199467847</v>
      </c>
      <c r="F277">
        <v>-5.9541984732824349E-2</v>
      </c>
      <c r="G277">
        <v>0.6</v>
      </c>
      <c r="H277">
        <v>0.1571365136868684</v>
      </c>
      <c r="I277">
        <v>4.752341862473858</v>
      </c>
      <c r="J277">
        <v>-9.1891891891891953E-2</v>
      </c>
      <c r="K277">
        <v>-5.5214723926380271E-2</v>
      </c>
      <c r="L277">
        <v>0</v>
      </c>
      <c r="M277">
        <v>97986147.5</v>
      </c>
      <c r="N277">
        <v>0</v>
      </c>
      <c r="O277" t="b">
        <v>1</v>
      </c>
    </row>
    <row r="278" spans="1:15" x14ac:dyDescent="0.3">
      <c r="A278" s="1" t="s">
        <v>382</v>
      </c>
      <c r="B278">
        <v>3.4717048875539822</v>
      </c>
      <c r="C278">
        <v>2.4039780407533719E-2</v>
      </c>
      <c r="D278">
        <v>2.4623480940345419E-2</v>
      </c>
      <c r="E278">
        <v>46.787443726907959</v>
      </c>
      <c r="F278">
        <v>-4.4235898318321087E-2</v>
      </c>
      <c r="G278">
        <v>0.6</v>
      </c>
      <c r="H278">
        <v>-0.24794106809765051</v>
      </c>
      <c r="I278">
        <v>1.103525805882392</v>
      </c>
      <c r="J278">
        <v>-4.8762333847106487E-2</v>
      </c>
      <c r="K278">
        <v>2.4808577977419422E-2</v>
      </c>
      <c r="L278">
        <v>0</v>
      </c>
      <c r="M278">
        <v>16149828.2345</v>
      </c>
      <c r="N278">
        <v>0</v>
      </c>
      <c r="O278" t="b">
        <v>0</v>
      </c>
    </row>
    <row r="279" spans="1:15" x14ac:dyDescent="0.3">
      <c r="A279" s="1" t="s">
        <v>383</v>
      </c>
      <c r="B279">
        <v>2.633299691773638</v>
      </c>
      <c r="C279">
        <v>1.6277644688105861E-2</v>
      </c>
      <c r="D279">
        <v>1.709792673730013E-2</v>
      </c>
      <c r="E279">
        <v>49.829737699991362</v>
      </c>
      <c r="F279">
        <v>-2.2720270637629492E-2</v>
      </c>
      <c r="G279">
        <v>0.6</v>
      </c>
      <c r="H279">
        <v>-3.1050806906668068E-3</v>
      </c>
      <c r="I279">
        <v>0.25761657625515599</v>
      </c>
      <c r="J279">
        <v>-3.4784372688002718E-2</v>
      </c>
      <c r="K279">
        <v>6.9965764083410598E-3</v>
      </c>
      <c r="L279">
        <v>0</v>
      </c>
      <c r="M279">
        <v>81688218.143999994</v>
      </c>
      <c r="N279">
        <v>0</v>
      </c>
      <c r="O279" t="b">
        <v>0</v>
      </c>
    </row>
    <row r="280" spans="1:15" x14ac:dyDescent="0.3">
      <c r="A280" s="1" t="s">
        <v>384</v>
      </c>
      <c r="B280">
        <v>1.463369099838109</v>
      </c>
      <c r="C280">
        <v>1.8934293996743411E-2</v>
      </c>
      <c r="D280">
        <v>1.9418606306130268E-2</v>
      </c>
      <c r="E280">
        <v>47.100366093728901</v>
      </c>
      <c r="F280">
        <v>-9.0483175283746498E-3</v>
      </c>
      <c r="G280">
        <v>0.6</v>
      </c>
      <c r="H280">
        <v>-0.112915399267081</v>
      </c>
      <c r="I280">
        <v>-0.43694706436405839</v>
      </c>
      <c r="J280">
        <v>-3.9169590265224929E-2</v>
      </c>
      <c r="K280">
        <v>1.0131810250746611E-2</v>
      </c>
      <c r="L280">
        <v>0</v>
      </c>
      <c r="M280">
        <v>450035792.65630001</v>
      </c>
      <c r="N280">
        <v>0</v>
      </c>
      <c r="O280" t="b">
        <v>1</v>
      </c>
    </row>
    <row r="281" spans="1:15" x14ac:dyDescent="0.3">
      <c r="A281" s="1" t="s">
        <v>385</v>
      </c>
      <c r="B281">
        <v>0.61055020391854486</v>
      </c>
      <c r="C281">
        <v>4.8074819206184637E-2</v>
      </c>
      <c r="D281">
        <v>3.7007874015747941E-2</v>
      </c>
      <c r="E281">
        <v>56.224417802806151</v>
      </c>
      <c r="F281">
        <v>0.23062015503875971</v>
      </c>
      <c r="G281">
        <v>0.6</v>
      </c>
      <c r="H281">
        <v>3.5263402087693831E-2</v>
      </c>
      <c r="I281">
        <v>3.3656793388375439</v>
      </c>
      <c r="J281">
        <v>-2.6073619631901801E-2</v>
      </c>
      <c r="K281">
        <v>2.5020177562550261E-2</v>
      </c>
      <c r="L281">
        <v>0</v>
      </c>
      <c r="M281">
        <v>208736872.5</v>
      </c>
      <c r="N281">
        <v>0</v>
      </c>
      <c r="O281" t="b">
        <v>1</v>
      </c>
    </row>
    <row r="282" spans="1:15" x14ac:dyDescent="0.3">
      <c r="A282" s="1" t="s">
        <v>386</v>
      </c>
      <c r="B282">
        <v>5.9496226031358743</v>
      </c>
      <c r="C282">
        <v>2.4915710888797162E-2</v>
      </c>
      <c r="D282">
        <v>2.1608945098203429E-2</v>
      </c>
      <c r="E282">
        <v>64.921125534037955</v>
      </c>
      <c r="F282">
        <v>0.15346343348468741</v>
      </c>
      <c r="G282">
        <v>0.6</v>
      </c>
      <c r="H282">
        <v>-2.4993852166277329E-2</v>
      </c>
      <c r="I282">
        <v>0.53369075861038673</v>
      </c>
      <c r="J282">
        <v>-3.1726153203924801E-3</v>
      </c>
      <c r="K282">
        <v>6.4910432033720156E-3</v>
      </c>
      <c r="L282">
        <v>0</v>
      </c>
      <c r="M282">
        <v>85774050</v>
      </c>
      <c r="N282">
        <v>0</v>
      </c>
      <c r="O282" t="b">
        <v>0</v>
      </c>
    </row>
    <row r="283" spans="1:15" x14ac:dyDescent="0.3">
      <c r="A283" s="1" t="s">
        <v>387</v>
      </c>
      <c r="B283">
        <v>22.04506830793488</v>
      </c>
      <c r="C283">
        <v>6.3227982297753921E-2</v>
      </c>
      <c r="D283">
        <v>5.6186542763723903E-2</v>
      </c>
      <c r="E283">
        <v>59.865905822418213</v>
      </c>
      <c r="F283">
        <v>1.1752415774353601E-2</v>
      </c>
      <c r="G283">
        <v>1</v>
      </c>
      <c r="H283">
        <v>0.1376787820005918</v>
      </c>
      <c r="I283">
        <v>3.627545806256653</v>
      </c>
      <c r="J283">
        <v>0</v>
      </c>
      <c r="K283">
        <v>1.9384264538198529E-2</v>
      </c>
      <c r="L283">
        <v>0</v>
      </c>
      <c r="M283">
        <v>524120906.5</v>
      </c>
      <c r="N283">
        <v>0</v>
      </c>
      <c r="O283" t="b">
        <v>1</v>
      </c>
    </row>
    <row r="284" spans="1:15" x14ac:dyDescent="0.3">
      <c r="A284" s="1" t="s">
        <v>388</v>
      </c>
      <c r="B284">
        <v>2.390307843727844</v>
      </c>
      <c r="C284">
        <v>2.357375310638227E-2</v>
      </c>
      <c r="D284">
        <v>1.7071510991449539E-2</v>
      </c>
      <c r="E284">
        <v>39.272971801626099</v>
      </c>
      <c r="F284">
        <v>-2.0725688844248299E-2</v>
      </c>
      <c r="G284">
        <v>0.4</v>
      </c>
      <c r="H284">
        <v>-0.21633353272786421</v>
      </c>
      <c r="I284">
        <v>1.781593894606712E-2</v>
      </c>
      <c r="J284">
        <v>-5.0216377226999342E-2</v>
      </c>
      <c r="K284">
        <v>1.0846484363317369E-2</v>
      </c>
      <c r="L284">
        <v>0</v>
      </c>
      <c r="M284">
        <v>204761629.62149999</v>
      </c>
      <c r="N284">
        <v>0</v>
      </c>
      <c r="O284" t="b">
        <v>1</v>
      </c>
    </row>
    <row r="285" spans="1:15" x14ac:dyDescent="0.3">
      <c r="A285" s="1" t="s">
        <v>389</v>
      </c>
      <c r="B285">
        <v>1.4050421173140411</v>
      </c>
      <c r="C285">
        <v>1.531047311010179E-2</v>
      </c>
      <c r="D285">
        <v>1.9069412662090009E-2</v>
      </c>
      <c r="E285">
        <v>72.038975520879887</v>
      </c>
      <c r="F285">
        <v>7.0953436807095427E-2</v>
      </c>
      <c r="G285">
        <v>0.8</v>
      </c>
      <c r="H285">
        <v>0.14738992914118851</v>
      </c>
      <c r="I285">
        <v>0.50674219578096813</v>
      </c>
      <c r="J285">
        <v>0</v>
      </c>
      <c r="K285">
        <v>1.4145209415405089E-2</v>
      </c>
      <c r="L285">
        <v>0</v>
      </c>
      <c r="M285">
        <v>64787244.5</v>
      </c>
      <c r="N285">
        <v>0</v>
      </c>
      <c r="O285" t="b">
        <v>0</v>
      </c>
    </row>
    <row r="286" spans="1:15" x14ac:dyDescent="0.3">
      <c r="A286" s="1" t="s">
        <v>390</v>
      </c>
      <c r="B286">
        <v>1.965579682922806</v>
      </c>
      <c r="C286">
        <v>2.832051504971999E-2</v>
      </c>
      <c r="D286">
        <v>5.2466111853935037E-2</v>
      </c>
      <c r="E286">
        <v>73.307788252279991</v>
      </c>
      <c r="F286">
        <v>0.16474067013267721</v>
      </c>
      <c r="G286">
        <v>0.4</v>
      </c>
      <c r="H286">
        <v>0.1027952934411705</v>
      </c>
      <c r="I286">
        <v>1.6029329477411309</v>
      </c>
      <c r="J286">
        <v>0</v>
      </c>
      <c r="K286">
        <v>5.1224728427149202E-2</v>
      </c>
      <c r="L286">
        <v>0</v>
      </c>
      <c r="M286">
        <v>51916281.165650003</v>
      </c>
      <c r="N286">
        <v>0</v>
      </c>
      <c r="O286" t="b">
        <v>0</v>
      </c>
    </row>
    <row r="287" spans="1:15" x14ac:dyDescent="0.3">
      <c r="A287" s="1" t="s">
        <v>391</v>
      </c>
      <c r="B287">
        <v>0.62893859179114997</v>
      </c>
      <c r="C287">
        <v>2.4617244391736171E-2</v>
      </c>
      <c r="D287">
        <v>3.3719915299017147E-2</v>
      </c>
      <c r="E287">
        <v>51.360507405806153</v>
      </c>
      <c r="F287">
        <v>1.6964872126579818E-2</v>
      </c>
      <c r="G287">
        <v>0.6</v>
      </c>
      <c r="H287">
        <v>-0.23109685149325129</v>
      </c>
      <c r="I287">
        <v>0.43636027152376688</v>
      </c>
      <c r="J287">
        <v>-1.3940617293003889E-2</v>
      </c>
      <c r="K287">
        <v>2.948796989148517E-2</v>
      </c>
      <c r="L287">
        <v>0</v>
      </c>
      <c r="M287">
        <v>775701117.33279991</v>
      </c>
      <c r="N287">
        <v>0</v>
      </c>
      <c r="O287" t="b">
        <v>1</v>
      </c>
    </row>
    <row r="288" spans="1:15" x14ac:dyDescent="0.3">
      <c r="A288" s="1" t="s">
        <v>392</v>
      </c>
      <c r="B288">
        <v>5.1427472918853052</v>
      </c>
      <c r="C288">
        <v>1.939868767402457E-2</v>
      </c>
      <c r="D288">
        <v>2.271527075757801E-2</v>
      </c>
      <c r="E288">
        <v>37.648114545516748</v>
      </c>
      <c r="F288">
        <v>-3.949160893887127E-2</v>
      </c>
      <c r="G288">
        <v>0</v>
      </c>
      <c r="H288">
        <v>-3.5794267272041873E-2</v>
      </c>
      <c r="I288">
        <v>-0.19859408618726421</v>
      </c>
      <c r="J288">
        <v>-6.5639406200217132E-2</v>
      </c>
      <c r="K288">
        <v>-1.402856292770005E-2</v>
      </c>
      <c r="L288">
        <v>0</v>
      </c>
      <c r="M288">
        <v>511677897.2385</v>
      </c>
      <c r="N288">
        <v>0</v>
      </c>
      <c r="O288" t="b">
        <v>1</v>
      </c>
    </row>
    <row r="289" spans="1:15" x14ac:dyDescent="0.3">
      <c r="A289" s="1" t="s">
        <v>393</v>
      </c>
      <c r="B289">
        <v>1.015265615252043</v>
      </c>
      <c r="C289">
        <v>2.9913541993283541E-2</v>
      </c>
      <c r="D289">
        <v>1.7972893341190319E-2</v>
      </c>
      <c r="E289">
        <v>50.765775442266872</v>
      </c>
      <c r="F289">
        <v>0.113517060367454</v>
      </c>
      <c r="G289">
        <v>0.6</v>
      </c>
      <c r="H289">
        <v>-8.7354201124511741E-2</v>
      </c>
      <c r="I289">
        <v>1.4302031962900441</v>
      </c>
      <c r="J289">
        <v>-1.680185399768264E-2</v>
      </c>
      <c r="K289">
        <v>6.2259116513490032E-3</v>
      </c>
      <c r="L289">
        <v>0</v>
      </c>
      <c r="M289">
        <v>645138700.5</v>
      </c>
      <c r="N289">
        <v>0</v>
      </c>
      <c r="O289" t="b">
        <v>1</v>
      </c>
    </row>
    <row r="290" spans="1:15" x14ac:dyDescent="0.3">
      <c r="A290" s="1" t="s">
        <v>394</v>
      </c>
      <c r="B290">
        <v>12.727629701100231</v>
      </c>
      <c r="C290">
        <v>2.426482699006775E-2</v>
      </c>
      <c r="D290">
        <v>5.1894076601910338E-2</v>
      </c>
      <c r="E290">
        <v>72.42064377722383</v>
      </c>
      <c r="F290">
        <v>8.7654326107602154E-2</v>
      </c>
      <c r="G290">
        <v>0.4</v>
      </c>
      <c r="H290">
        <v>0.19283450657817999</v>
      </c>
      <c r="I290">
        <v>0.9866913608643193</v>
      </c>
      <c r="J290">
        <v>0</v>
      </c>
      <c r="K290">
        <v>4.8724408189379398E-2</v>
      </c>
      <c r="L290">
        <v>0</v>
      </c>
      <c r="M290">
        <v>300192365.27999997</v>
      </c>
      <c r="N290">
        <v>0</v>
      </c>
      <c r="O290" t="b">
        <v>1</v>
      </c>
    </row>
    <row r="291" spans="1:15" x14ac:dyDescent="0.3">
      <c r="A291" s="1" t="s">
        <v>395</v>
      </c>
      <c r="B291">
        <v>1.077621970816004</v>
      </c>
      <c r="C291">
        <v>1.5507583405036751E-2</v>
      </c>
      <c r="D291">
        <v>9.7121888041445982E-3</v>
      </c>
      <c r="E291">
        <v>32.014870979076449</v>
      </c>
      <c r="F291">
        <v>-5.468515125173623E-2</v>
      </c>
      <c r="G291">
        <v>0</v>
      </c>
      <c r="H291">
        <v>-7.8176455488335239E-2</v>
      </c>
      <c r="I291">
        <v>-1.5862399818065309E-2</v>
      </c>
      <c r="J291">
        <v>-7.1978119570457744E-2</v>
      </c>
      <c r="K291">
        <v>-5.9636459348075821E-3</v>
      </c>
      <c r="L291">
        <v>0</v>
      </c>
      <c r="M291">
        <v>155620072.30485001</v>
      </c>
      <c r="N291">
        <v>0</v>
      </c>
      <c r="O291" t="b">
        <v>1</v>
      </c>
    </row>
    <row r="292" spans="1:15" x14ac:dyDescent="0.3">
      <c r="A292" s="1" t="s">
        <v>396</v>
      </c>
      <c r="B292">
        <v>0.71369016197810664</v>
      </c>
      <c r="C292">
        <v>1.5828125127037181E-2</v>
      </c>
      <c r="D292">
        <v>1.308494122865388E-2</v>
      </c>
      <c r="E292">
        <v>45.961912361248487</v>
      </c>
      <c r="F292">
        <v>4.4642857142858086E-3</v>
      </c>
      <c r="G292">
        <v>0.4</v>
      </c>
      <c r="H292">
        <v>-0.1152011166029627</v>
      </c>
      <c r="I292">
        <v>-8.7333176110642577E-2</v>
      </c>
      <c r="J292">
        <v>-3.9207330066055701E-2</v>
      </c>
      <c r="K292">
        <v>9.4022834116858078E-3</v>
      </c>
      <c r="L292">
        <v>0</v>
      </c>
      <c r="M292">
        <v>16819519.433400001</v>
      </c>
      <c r="N292">
        <v>0</v>
      </c>
      <c r="O292" t="b">
        <v>0</v>
      </c>
    </row>
    <row r="293" spans="1:15" x14ac:dyDescent="0.3">
      <c r="A293" s="1" t="s">
        <v>397</v>
      </c>
      <c r="B293">
        <v>1.3645456132502409</v>
      </c>
      <c r="C293">
        <v>3.5286930779680391E-2</v>
      </c>
      <c r="D293">
        <v>4.1375743470390518E-2</v>
      </c>
      <c r="E293">
        <v>56.642784635287249</v>
      </c>
      <c r="F293">
        <v>0.129051094890511</v>
      </c>
      <c r="G293">
        <v>0.6</v>
      </c>
      <c r="H293">
        <v>5.4460835829487853E-2</v>
      </c>
      <c r="I293">
        <v>0.51571746126125317</v>
      </c>
      <c r="J293">
        <v>-2.4962178517397789E-2</v>
      </c>
      <c r="K293">
        <v>1.5493697478991649E-2</v>
      </c>
      <c r="L293">
        <v>0</v>
      </c>
      <c r="M293">
        <v>311703501</v>
      </c>
      <c r="N293">
        <v>0</v>
      </c>
      <c r="O293" t="b">
        <v>1</v>
      </c>
    </row>
    <row r="294" spans="1:15" x14ac:dyDescent="0.3">
      <c r="A294" s="1" t="s">
        <v>398</v>
      </c>
      <c r="B294">
        <v>0.31479637025994173</v>
      </c>
      <c r="C294">
        <v>3.2056656849281231E-2</v>
      </c>
      <c r="D294">
        <v>5.2953156822810543E-2</v>
      </c>
      <c r="E294">
        <v>51.816170792774209</v>
      </c>
      <c r="F294">
        <v>1.973001038421596E-2</v>
      </c>
      <c r="G294">
        <v>0.4</v>
      </c>
      <c r="H294">
        <v>-0.15017181656423881</v>
      </c>
      <c r="I294">
        <v>0.94338983813320143</v>
      </c>
      <c r="J294">
        <v>-4.9370764762826647E-2</v>
      </c>
      <c r="K294">
        <v>4.9145299145299193E-2</v>
      </c>
      <c r="L294">
        <v>0</v>
      </c>
      <c r="M294">
        <v>164095244.09445</v>
      </c>
      <c r="N294">
        <v>0</v>
      </c>
      <c r="O294" t="b">
        <v>1</v>
      </c>
    </row>
    <row r="295" spans="1:15" x14ac:dyDescent="0.3">
      <c r="A295" s="1" t="s">
        <v>399</v>
      </c>
      <c r="B295">
        <v>1.7883830825697791</v>
      </c>
      <c r="C295">
        <v>1.819311375961118E-2</v>
      </c>
      <c r="D295">
        <v>1.7802644964394709E-2</v>
      </c>
      <c r="E295">
        <v>59.952788180876098</v>
      </c>
      <c r="F295">
        <v>4.010157655274571E-2</v>
      </c>
      <c r="G295">
        <v>0.4</v>
      </c>
      <c r="H295">
        <v>8.0318961144609444E-4</v>
      </c>
      <c r="I295">
        <v>0.4918960334825942</v>
      </c>
      <c r="J295">
        <v>-3.345837980330502E-3</v>
      </c>
      <c r="K295">
        <v>6.038276532596587E-3</v>
      </c>
      <c r="L295">
        <v>0</v>
      </c>
      <c r="M295">
        <v>134081286.56625</v>
      </c>
      <c r="N295">
        <v>0</v>
      </c>
      <c r="O295" t="b">
        <v>1</v>
      </c>
    </row>
    <row r="296" spans="1:15" x14ac:dyDescent="0.3">
      <c r="A296" s="1" t="s">
        <v>400</v>
      </c>
      <c r="B296">
        <v>1.7816654807050041</v>
      </c>
      <c r="C296">
        <v>3.2276548563496453E-2</v>
      </c>
      <c r="D296">
        <v>6.9384057971014462E-2</v>
      </c>
      <c r="E296">
        <v>72.0137165116369</v>
      </c>
      <c r="F296">
        <v>8.5332284703106609E-2</v>
      </c>
      <c r="G296">
        <v>0.8</v>
      </c>
      <c r="H296">
        <v>6.1426139215098763E-2</v>
      </c>
      <c r="I296">
        <v>1.1549013448047161</v>
      </c>
      <c r="J296">
        <v>0</v>
      </c>
      <c r="K296">
        <v>7.0597362296353827E-2</v>
      </c>
      <c r="L296">
        <v>0</v>
      </c>
      <c r="M296">
        <v>101184148</v>
      </c>
      <c r="N296">
        <v>0</v>
      </c>
      <c r="O296" t="b">
        <v>1</v>
      </c>
    </row>
    <row r="297" spans="1:15" x14ac:dyDescent="0.3">
      <c r="A297" s="1" t="s">
        <v>401</v>
      </c>
      <c r="B297">
        <v>0.58532809175721634</v>
      </c>
      <c r="C297">
        <v>1.5703219683139539E-2</v>
      </c>
      <c r="D297">
        <v>1.9208894039877269E-2</v>
      </c>
      <c r="E297">
        <v>31.269965082748001</v>
      </c>
      <c r="F297">
        <v>-4.5357455679798431E-2</v>
      </c>
      <c r="G297">
        <v>0.2</v>
      </c>
      <c r="H297">
        <v>-8.0959036519268793E-2</v>
      </c>
      <c r="I297">
        <v>2.139304175671024E-4</v>
      </c>
      <c r="J297">
        <v>-6.2531595268695006E-2</v>
      </c>
      <c r="K297">
        <v>-1.1863135207929591E-2</v>
      </c>
      <c r="L297">
        <v>0</v>
      </c>
      <c r="M297">
        <v>172809434.97154999</v>
      </c>
      <c r="N297">
        <v>0</v>
      </c>
      <c r="O297" t="b">
        <v>1</v>
      </c>
    </row>
    <row r="298" spans="1:15" x14ac:dyDescent="0.3">
      <c r="A298" s="1" t="s">
        <v>402</v>
      </c>
      <c r="B298">
        <v>0.79188381180312906</v>
      </c>
      <c r="C298">
        <v>2.3484098807921981E-2</v>
      </c>
      <c r="D298">
        <v>2.4911032028469851E-2</v>
      </c>
      <c r="E298">
        <v>54.903728270177041</v>
      </c>
      <c r="F298">
        <v>5.4079399812441357E-2</v>
      </c>
      <c r="G298">
        <v>0.4</v>
      </c>
      <c r="H298">
        <v>3.7507366949837417E-2</v>
      </c>
      <c r="I298">
        <v>0.48369868873667582</v>
      </c>
      <c r="J298">
        <v>-2.7120600115406731E-2</v>
      </c>
      <c r="K298">
        <v>-2.9647198339755038E-4</v>
      </c>
      <c r="L298">
        <v>0</v>
      </c>
      <c r="M298">
        <v>175933572.5</v>
      </c>
      <c r="N298">
        <v>0</v>
      </c>
      <c r="O298" t="b">
        <v>1</v>
      </c>
    </row>
    <row r="299" spans="1:15" x14ac:dyDescent="0.3">
      <c r="A299" s="1" t="s">
        <v>403</v>
      </c>
      <c r="B299">
        <v>5.7447340940253433</v>
      </c>
      <c r="C299">
        <v>2.425432584640894E-2</v>
      </c>
      <c r="D299">
        <v>3.9239362645342737E-2</v>
      </c>
      <c r="E299">
        <v>74.105576025935349</v>
      </c>
      <c r="F299">
        <v>8.306811530582392E-2</v>
      </c>
      <c r="G299">
        <v>0.8</v>
      </c>
      <c r="H299">
        <v>2.3609226197332009E-2</v>
      </c>
      <c r="I299">
        <v>1.2577352572897951</v>
      </c>
      <c r="J299">
        <v>0</v>
      </c>
      <c r="K299">
        <v>3.011351280824592E-2</v>
      </c>
      <c r="L299">
        <v>0</v>
      </c>
      <c r="M299">
        <v>713674933.6105001</v>
      </c>
      <c r="N299">
        <v>0</v>
      </c>
      <c r="O299" t="b">
        <v>1</v>
      </c>
    </row>
    <row r="300" spans="1:15" x14ac:dyDescent="0.3">
      <c r="A300" s="1" t="s">
        <v>404</v>
      </c>
      <c r="B300">
        <v>11.36829695157317</v>
      </c>
      <c r="C300">
        <v>5.7575573317666121E-2</v>
      </c>
      <c r="D300">
        <v>4.4315016459863257E-2</v>
      </c>
      <c r="E300">
        <v>78.303559686230869</v>
      </c>
      <c r="F300">
        <v>0.184321017274472</v>
      </c>
      <c r="G300">
        <v>1</v>
      </c>
      <c r="H300">
        <v>0.25706576872074871</v>
      </c>
      <c r="I300">
        <v>2.9343684027775021</v>
      </c>
      <c r="J300">
        <v>0</v>
      </c>
      <c r="K300">
        <v>2.449021947802632E-2</v>
      </c>
      <c r="L300">
        <v>0</v>
      </c>
      <c r="M300">
        <v>309670708</v>
      </c>
      <c r="N300">
        <v>0</v>
      </c>
      <c r="O300" t="b">
        <v>1</v>
      </c>
    </row>
    <row r="301" spans="1:15" x14ac:dyDescent="0.3">
      <c r="A301" s="1" t="s">
        <v>405</v>
      </c>
      <c r="B301">
        <v>15.70538790283975</v>
      </c>
      <c r="C301">
        <v>5.7091816870259757E-2</v>
      </c>
      <c r="D301">
        <v>3.1553309825875203E-2</v>
      </c>
      <c r="E301">
        <v>46.61478406647548</v>
      </c>
      <c r="F301">
        <v>-0.1347466423426541</v>
      </c>
      <c r="G301">
        <v>0.4</v>
      </c>
      <c r="H301">
        <v>-7.3175361783561668E-2</v>
      </c>
      <c r="I301">
        <v>3.5808132716563068</v>
      </c>
      <c r="J301">
        <v>-9.5128449722048702E-2</v>
      </c>
      <c r="K301">
        <v>-8.1843092010385199E-3</v>
      </c>
      <c r="L301">
        <v>0</v>
      </c>
      <c r="M301">
        <v>2603841487</v>
      </c>
      <c r="N301">
        <v>0</v>
      </c>
      <c r="O301" t="b">
        <v>1</v>
      </c>
    </row>
    <row r="302" spans="1:15" x14ac:dyDescent="0.3">
      <c r="A302" s="1" t="s">
        <v>406</v>
      </c>
      <c r="B302">
        <v>3.9333239852645541</v>
      </c>
      <c r="C302">
        <v>2.4270938271028171E-2</v>
      </c>
      <c r="D302">
        <v>3.8066383230798563E-2</v>
      </c>
      <c r="E302">
        <v>64.266548283569932</v>
      </c>
      <c r="F302">
        <v>0.1158244799878818</v>
      </c>
      <c r="G302">
        <v>0.4</v>
      </c>
      <c r="H302">
        <v>0.18714005415697851</v>
      </c>
      <c r="I302">
        <v>-0.18891718226274121</v>
      </c>
      <c r="J302">
        <v>-3.4213349225268308E-2</v>
      </c>
      <c r="K302">
        <v>-5.5167589194762279E-3</v>
      </c>
      <c r="L302">
        <v>0</v>
      </c>
      <c r="M302">
        <v>58907452.123000003</v>
      </c>
      <c r="N302">
        <v>0</v>
      </c>
      <c r="O302" t="b">
        <v>0</v>
      </c>
    </row>
    <row r="303" spans="1:15" x14ac:dyDescent="0.3">
      <c r="A303" s="1" t="s">
        <v>407</v>
      </c>
      <c r="B303">
        <v>0.73808692809508281</v>
      </c>
      <c r="C303">
        <v>2.5416216532199821E-2</v>
      </c>
      <c r="D303">
        <v>4.6831955922865119E-2</v>
      </c>
      <c r="E303">
        <v>67.946151899774947</v>
      </c>
      <c r="F303">
        <v>8.5351861057022083E-2</v>
      </c>
      <c r="G303">
        <v>0.6</v>
      </c>
      <c r="H303">
        <v>6.4525899146662333E-2</v>
      </c>
      <c r="I303">
        <v>1.3537634863786261</v>
      </c>
      <c r="J303">
        <v>0</v>
      </c>
      <c r="K303">
        <v>3.1616341030195512E-2</v>
      </c>
      <c r="L303">
        <v>0</v>
      </c>
      <c r="M303">
        <v>53967426.156599998</v>
      </c>
      <c r="N303">
        <v>0</v>
      </c>
      <c r="O303" t="b">
        <v>0</v>
      </c>
    </row>
    <row r="304" spans="1:15" x14ac:dyDescent="0.3">
      <c r="A304" s="1" t="s">
        <v>408</v>
      </c>
      <c r="B304">
        <v>2.7059157690893789</v>
      </c>
      <c r="C304">
        <v>3.3513943139576161E-2</v>
      </c>
      <c r="D304">
        <v>3.6413178102551368E-2</v>
      </c>
      <c r="E304">
        <v>65.504767046963991</v>
      </c>
      <c r="F304">
        <v>0.14168552036199089</v>
      </c>
      <c r="G304">
        <v>0.8</v>
      </c>
      <c r="H304">
        <v>0.1061444031314142</v>
      </c>
      <c r="I304">
        <v>0.80825435465171835</v>
      </c>
      <c r="J304">
        <v>-8.1081081081082473E-3</v>
      </c>
      <c r="K304">
        <v>2.8404024964972411E-2</v>
      </c>
      <c r="L304">
        <v>0</v>
      </c>
      <c r="M304">
        <v>161903867</v>
      </c>
      <c r="N304">
        <v>0</v>
      </c>
      <c r="O304" t="b">
        <v>1</v>
      </c>
    </row>
    <row r="305" spans="1:15" x14ac:dyDescent="0.3">
      <c r="A305" s="1" t="s">
        <v>409</v>
      </c>
      <c r="B305">
        <v>2.2464108576364739</v>
      </c>
      <c r="C305">
        <v>2.3387323158027891E-2</v>
      </c>
      <c r="D305">
        <v>4.1116056323364757E-2</v>
      </c>
      <c r="E305">
        <v>69.899160005888831</v>
      </c>
      <c r="F305">
        <v>0.1073125687369012</v>
      </c>
      <c r="G305">
        <v>0.8</v>
      </c>
      <c r="H305">
        <v>-3.5512692193459408E-3</v>
      </c>
      <c r="I305">
        <v>0.59724230001805845</v>
      </c>
      <c r="J305">
        <v>0</v>
      </c>
      <c r="K305">
        <v>3.6070047514521253E-2</v>
      </c>
      <c r="L305">
        <v>0</v>
      </c>
      <c r="M305">
        <v>638444867.87319994</v>
      </c>
      <c r="N305">
        <v>0</v>
      </c>
      <c r="O305" t="b">
        <v>1</v>
      </c>
    </row>
    <row r="306" spans="1:15" x14ac:dyDescent="0.3">
      <c r="A306" s="1" t="s">
        <v>410</v>
      </c>
      <c r="B306">
        <v>1.807910140844718</v>
      </c>
      <c r="C306">
        <v>2.702746145771245E-2</v>
      </c>
      <c r="D306">
        <v>2.62932864515125E-2</v>
      </c>
      <c r="E306">
        <v>67.179072917674574</v>
      </c>
      <c r="F306">
        <v>9.4835459446719339E-2</v>
      </c>
      <c r="G306">
        <v>0.4</v>
      </c>
      <c r="H306">
        <v>0.1937529570421245</v>
      </c>
      <c r="I306">
        <v>1.958788148524752</v>
      </c>
      <c r="J306">
        <v>0</v>
      </c>
      <c r="K306">
        <v>2.3318998949015679E-2</v>
      </c>
      <c r="L306">
        <v>0</v>
      </c>
      <c r="M306">
        <v>58111598.757100001</v>
      </c>
      <c r="N306">
        <v>0</v>
      </c>
      <c r="O306" t="b">
        <v>0</v>
      </c>
    </row>
    <row r="307" spans="1:15" x14ac:dyDescent="0.3">
      <c r="A307" s="1" t="s">
        <v>411</v>
      </c>
      <c r="B307">
        <v>7.2041743980487043</v>
      </c>
      <c r="C307">
        <v>2.117579362639533E-2</v>
      </c>
      <c r="D307">
        <v>1.24982363730424E-2</v>
      </c>
      <c r="E307">
        <v>42.653888660866713</v>
      </c>
      <c r="F307">
        <v>-6.3894185659372105E-2</v>
      </c>
      <c r="G307">
        <v>0.6</v>
      </c>
      <c r="H307">
        <v>7.1419416612907363E-2</v>
      </c>
      <c r="I307">
        <v>-0.12790631571675939</v>
      </c>
      <c r="J307">
        <v>-9.0620405763010892E-2</v>
      </c>
      <c r="K307">
        <v>1.037675891112344E-2</v>
      </c>
      <c r="L307">
        <v>0</v>
      </c>
      <c r="M307">
        <v>384015853.0205</v>
      </c>
      <c r="N307">
        <v>0</v>
      </c>
      <c r="O307" t="b">
        <v>1</v>
      </c>
    </row>
    <row r="308" spans="1:15" x14ac:dyDescent="0.3">
      <c r="A308" s="1" t="s">
        <v>412</v>
      </c>
      <c r="B308">
        <v>3.2365031357003362</v>
      </c>
      <c r="C308">
        <v>3.7938144832966071E-2</v>
      </c>
      <c r="D308">
        <v>3.833079357636849E-2</v>
      </c>
      <c r="E308">
        <v>64.425782190515747</v>
      </c>
      <c r="F308">
        <v>0.1300834547622203</v>
      </c>
      <c r="G308">
        <v>0.8</v>
      </c>
      <c r="H308">
        <v>6.4237236224103128E-2</v>
      </c>
      <c r="I308">
        <v>2.0081609113897851</v>
      </c>
      <c r="J308">
        <v>-9.2904424573220235E-3</v>
      </c>
      <c r="K308">
        <v>2.5977149729404569E-2</v>
      </c>
      <c r="L308">
        <v>0</v>
      </c>
      <c r="M308">
        <v>60532825.5</v>
      </c>
      <c r="N308">
        <v>0</v>
      </c>
      <c r="O308" t="b">
        <v>0</v>
      </c>
    </row>
    <row r="309" spans="1:15" x14ac:dyDescent="0.3">
      <c r="A309" s="1" t="s">
        <v>413</v>
      </c>
      <c r="B309">
        <v>15.239655330692409</v>
      </c>
      <c r="C309">
        <v>1.7452311774384159E-2</v>
      </c>
      <c r="D309">
        <v>2.1144801349492669E-2</v>
      </c>
      <c r="E309">
        <v>34.514581365276143</v>
      </c>
      <c r="F309">
        <v>-4.4945319481008113E-2</v>
      </c>
      <c r="G309">
        <v>0.2</v>
      </c>
      <c r="H309">
        <v>-0.16564717783844379</v>
      </c>
      <c r="I309">
        <v>-1.2706018555805811E-2</v>
      </c>
      <c r="J309">
        <v>-5.4773775787005707E-2</v>
      </c>
      <c r="K309">
        <v>-1.5791882131763191E-2</v>
      </c>
      <c r="L309">
        <v>0</v>
      </c>
      <c r="M309">
        <v>2035703387.1719999</v>
      </c>
      <c r="N309">
        <v>0</v>
      </c>
      <c r="O309" t="b">
        <v>1</v>
      </c>
    </row>
    <row r="310" spans="1:15" x14ac:dyDescent="0.3">
      <c r="A310" s="1" t="s">
        <v>414</v>
      </c>
      <c r="B310">
        <v>0.66970639265081444</v>
      </c>
      <c r="C310">
        <v>1.105615012333531E-2</v>
      </c>
      <c r="D310">
        <v>1.6882053449380201E-2</v>
      </c>
      <c r="E310">
        <v>69.778312408204613</v>
      </c>
      <c r="F310">
        <v>5.1917559860793723E-2</v>
      </c>
      <c r="G310">
        <v>0.6</v>
      </c>
      <c r="H310">
        <v>2.163964597771121E-2</v>
      </c>
      <c r="I310">
        <v>0.71000157514189899</v>
      </c>
      <c r="J310">
        <v>0</v>
      </c>
      <c r="K310">
        <v>1.425440248886933E-2</v>
      </c>
      <c r="L310">
        <v>0</v>
      </c>
      <c r="M310">
        <v>121272464.89835</v>
      </c>
      <c r="N310">
        <v>0</v>
      </c>
      <c r="O310" t="b">
        <v>1</v>
      </c>
    </row>
    <row r="311" spans="1:15" x14ac:dyDescent="0.3">
      <c r="A311" s="1" t="s">
        <v>415</v>
      </c>
      <c r="B311">
        <v>1.4625664001116869</v>
      </c>
      <c r="C311">
        <v>1.952692122979555E-2</v>
      </c>
      <c r="D311">
        <v>2.81708945260347E-2</v>
      </c>
      <c r="E311">
        <v>61.772908616852327</v>
      </c>
      <c r="F311">
        <v>5.4929577464788881E-2</v>
      </c>
      <c r="G311">
        <v>0.6</v>
      </c>
      <c r="H311">
        <v>-7.3027093807676996E-2</v>
      </c>
      <c r="I311">
        <v>0.59074330057422531</v>
      </c>
      <c r="J311">
        <v>0</v>
      </c>
      <c r="K311">
        <v>2.490421455938718E-2</v>
      </c>
      <c r="L311">
        <v>0</v>
      </c>
      <c r="M311">
        <v>210745875.5</v>
      </c>
      <c r="N311">
        <v>0</v>
      </c>
      <c r="O311" t="b">
        <v>1</v>
      </c>
    </row>
    <row r="312" spans="1:15" x14ac:dyDescent="0.3">
      <c r="A312" s="1" t="s">
        <v>416</v>
      </c>
      <c r="B312">
        <v>8.3236709109035001</v>
      </c>
      <c r="C312">
        <v>2.671525150336522E-2</v>
      </c>
      <c r="D312">
        <v>4.4035048303752052E-2</v>
      </c>
      <c r="E312">
        <v>65.054567141090132</v>
      </c>
      <c r="F312">
        <v>0.10847445567098329</v>
      </c>
      <c r="G312">
        <v>0.4</v>
      </c>
      <c r="H312">
        <v>-3.4151662008163532E-2</v>
      </c>
      <c r="I312">
        <v>0.9192755010692033</v>
      </c>
      <c r="J312">
        <v>0</v>
      </c>
      <c r="K312">
        <v>3.7598241641135122E-2</v>
      </c>
      <c r="L312">
        <v>0</v>
      </c>
      <c r="M312">
        <v>148848950.5</v>
      </c>
      <c r="N312">
        <v>0</v>
      </c>
      <c r="O312" t="b">
        <v>1</v>
      </c>
    </row>
    <row r="313" spans="1:15" x14ac:dyDescent="0.3">
      <c r="A313" s="1" t="s">
        <v>417</v>
      </c>
      <c r="B313">
        <v>0.81181558874480053</v>
      </c>
      <c r="C313">
        <v>2.9242497298229579E-2</v>
      </c>
      <c r="D313">
        <v>2.590277902851074E-2</v>
      </c>
      <c r="E313">
        <v>32.419645336788633</v>
      </c>
      <c r="F313">
        <v>-8.028517570043292E-2</v>
      </c>
      <c r="G313">
        <v>0.4</v>
      </c>
      <c r="H313">
        <v>-0.16722485418265459</v>
      </c>
      <c r="I313">
        <v>-0.31561348889816349</v>
      </c>
      <c r="J313">
        <v>-0.1099173447729707</v>
      </c>
      <c r="K313">
        <v>-1.0186400068455949E-2</v>
      </c>
      <c r="L313">
        <v>0</v>
      </c>
      <c r="M313">
        <v>144551724.34369999</v>
      </c>
      <c r="N313">
        <v>0</v>
      </c>
      <c r="O313" t="b">
        <v>1</v>
      </c>
    </row>
    <row r="314" spans="1:15" x14ac:dyDescent="0.3">
      <c r="A314" s="1" t="s">
        <v>418</v>
      </c>
      <c r="B314">
        <v>0.81364394783563132</v>
      </c>
      <c r="C314">
        <v>3.122194734595669E-2</v>
      </c>
      <c r="D314">
        <v>4.4896392939370623E-2</v>
      </c>
      <c r="E314">
        <v>31.09880863277029</v>
      </c>
      <c r="F314">
        <v>-9.8893499308437161E-2</v>
      </c>
      <c r="G314">
        <v>0.6</v>
      </c>
      <c r="H314">
        <v>-0.27426777745961639</v>
      </c>
      <c r="I314">
        <v>1.0061588832877659</v>
      </c>
      <c r="J314">
        <v>-9.6080471730835892E-2</v>
      </c>
      <c r="K314">
        <v>-3.2305978462681018E-2</v>
      </c>
      <c r="L314">
        <v>0</v>
      </c>
      <c r="M314">
        <v>209942312</v>
      </c>
      <c r="N314">
        <v>0</v>
      </c>
      <c r="O314" t="b">
        <v>1</v>
      </c>
    </row>
    <row r="315" spans="1:15" x14ac:dyDescent="0.3">
      <c r="A315" s="1" t="s">
        <v>419</v>
      </c>
      <c r="B315">
        <v>0.8184520240371862</v>
      </c>
      <c r="C315">
        <v>2.0884205767726111E-2</v>
      </c>
      <c r="D315">
        <v>2.3730543505996422E-2</v>
      </c>
      <c r="E315">
        <v>38.185186487279111</v>
      </c>
      <c r="F315">
        <v>-5.3610239072687693E-2</v>
      </c>
      <c r="G315">
        <v>0.4</v>
      </c>
      <c r="H315">
        <v>-0.27904888982710713</v>
      </c>
      <c r="I315">
        <v>0.16964970848089389</v>
      </c>
      <c r="J315">
        <v>-5.838539163863532E-2</v>
      </c>
      <c r="K315">
        <v>1.951092611862637E-2</v>
      </c>
      <c r="L315">
        <v>0</v>
      </c>
      <c r="M315">
        <v>273858398</v>
      </c>
      <c r="N315">
        <v>0</v>
      </c>
      <c r="O315" t="b">
        <v>1</v>
      </c>
    </row>
    <row r="316" spans="1:15" x14ac:dyDescent="0.3">
      <c r="A316" s="1" t="s">
        <v>420</v>
      </c>
      <c r="B316">
        <v>1.701269322706521</v>
      </c>
      <c r="C316">
        <v>1.6662285365821969E-2</v>
      </c>
      <c r="D316">
        <v>2.016591089390123E-2</v>
      </c>
      <c r="E316">
        <v>47.49520737809025</v>
      </c>
      <c r="F316">
        <v>7.1315841388834844E-3</v>
      </c>
      <c r="G316">
        <v>0.2</v>
      </c>
      <c r="H316">
        <v>-0.1329494738231024</v>
      </c>
      <c r="I316">
        <v>0.1345982291685594</v>
      </c>
      <c r="J316">
        <v>-3.0185883492748089E-2</v>
      </c>
      <c r="K316">
        <v>1.416410898219045E-2</v>
      </c>
      <c r="L316">
        <v>0</v>
      </c>
      <c r="M316">
        <v>97875345.400000006</v>
      </c>
      <c r="N316">
        <v>0</v>
      </c>
      <c r="O316" t="b">
        <v>1</v>
      </c>
    </row>
    <row r="317" spans="1:15" x14ac:dyDescent="0.3">
      <c r="A317" s="1" t="s">
        <v>421</v>
      </c>
      <c r="B317">
        <v>1.2941274795073641</v>
      </c>
      <c r="C317">
        <v>2.4602435657990699E-2</v>
      </c>
      <c r="D317">
        <v>2.5856627935271981E-2</v>
      </c>
      <c r="E317">
        <v>49.298274162749628</v>
      </c>
      <c r="F317">
        <v>3.2900614812444003E-2</v>
      </c>
      <c r="G317">
        <v>0.2</v>
      </c>
      <c r="H317">
        <v>-2.1490652475772379E-2</v>
      </c>
      <c r="I317">
        <v>0.14681922539238659</v>
      </c>
      <c r="J317">
        <v>-4.4404760390873932E-2</v>
      </c>
      <c r="K317">
        <v>-2.091383559298066E-2</v>
      </c>
      <c r="L317">
        <v>0</v>
      </c>
      <c r="M317">
        <v>7334247.9990999997</v>
      </c>
      <c r="N317">
        <v>0</v>
      </c>
      <c r="O317" t="b">
        <v>0</v>
      </c>
    </row>
    <row r="318" spans="1:15" x14ac:dyDescent="0.3">
      <c r="A318" s="1" t="s">
        <v>422</v>
      </c>
      <c r="B318">
        <v>4.511229550235262</v>
      </c>
      <c r="C318">
        <v>2.3707128857193029E-2</v>
      </c>
      <c r="D318">
        <v>3.079510221241271E-2</v>
      </c>
      <c r="E318">
        <v>60.265189732902741</v>
      </c>
      <c r="F318">
        <v>1.415633008983175E-3</v>
      </c>
      <c r="G318">
        <v>0.4</v>
      </c>
      <c r="H318">
        <v>-2.9300751398579201E-2</v>
      </c>
      <c r="I318">
        <v>1.128645349109322</v>
      </c>
      <c r="J318">
        <v>-2.359232463038818E-3</v>
      </c>
      <c r="K318">
        <v>2.278957269551185E-2</v>
      </c>
      <c r="L318">
        <v>0</v>
      </c>
      <c r="M318">
        <v>46566823.714000002</v>
      </c>
      <c r="N318">
        <v>0</v>
      </c>
      <c r="O318" t="b">
        <v>0</v>
      </c>
    </row>
    <row r="319" spans="1:15" x14ac:dyDescent="0.3">
      <c r="A319" s="1" t="s">
        <v>423</v>
      </c>
      <c r="B319">
        <v>0.85775198450882739</v>
      </c>
      <c r="C319">
        <v>2.7611257078116978E-2</v>
      </c>
      <c r="D319">
        <v>2.795723846220706E-2</v>
      </c>
      <c r="E319">
        <v>59.583384852024302</v>
      </c>
      <c r="F319">
        <v>3.7796611868149421E-2</v>
      </c>
      <c r="G319">
        <v>0.8</v>
      </c>
      <c r="H319">
        <v>-9.588303999016691E-2</v>
      </c>
      <c r="I319">
        <v>1.101123138790532</v>
      </c>
      <c r="J319">
        <v>0</v>
      </c>
      <c r="K319">
        <v>1.9875311475086921E-2</v>
      </c>
      <c r="L319">
        <v>0</v>
      </c>
      <c r="M319">
        <v>93531378.352950007</v>
      </c>
      <c r="N319">
        <v>0</v>
      </c>
      <c r="O319" t="b">
        <v>1</v>
      </c>
    </row>
    <row r="320" spans="1:15" x14ac:dyDescent="0.3">
      <c r="A320" s="1" t="s">
        <v>424</v>
      </c>
      <c r="B320">
        <v>6.7370396450220991</v>
      </c>
      <c r="C320">
        <v>7.6202235550527075E-2</v>
      </c>
      <c r="D320">
        <v>5.0899219545300307E-2</v>
      </c>
      <c r="E320">
        <v>48.23721527675395</v>
      </c>
      <c r="F320">
        <v>-0.15072046109510079</v>
      </c>
      <c r="G320">
        <v>0.4</v>
      </c>
      <c r="H320">
        <v>-0.114027482061789</v>
      </c>
      <c r="I320">
        <v>3.7576247440699269</v>
      </c>
      <c r="J320">
        <v>-0.10061037639877921</v>
      </c>
      <c r="K320">
        <v>-5.2880288028802616E-3</v>
      </c>
      <c r="L320">
        <v>0</v>
      </c>
      <c r="M320">
        <v>1554732259</v>
      </c>
      <c r="N320">
        <v>0</v>
      </c>
      <c r="O320" t="b">
        <v>1</v>
      </c>
    </row>
    <row r="321" spans="1:15" x14ac:dyDescent="0.3">
      <c r="A321" s="1" t="s">
        <v>425</v>
      </c>
      <c r="B321">
        <v>14.93622227441571</v>
      </c>
      <c r="C321">
        <v>9.454502009378217E-2</v>
      </c>
      <c r="D321">
        <v>9.3619445499430257E-2</v>
      </c>
      <c r="E321">
        <v>47.205202473194348</v>
      </c>
      <c r="F321">
        <v>-7.1579689703808236E-2</v>
      </c>
      <c r="G321">
        <v>0.2</v>
      </c>
      <c r="H321">
        <v>1.200149003477549E-2</v>
      </c>
      <c r="I321">
        <v>4.2633182303277364</v>
      </c>
      <c r="J321">
        <v>-0.16496643585813209</v>
      </c>
      <c r="K321">
        <v>-7.2288449116213571E-2</v>
      </c>
      <c r="L321">
        <v>0</v>
      </c>
      <c r="M321">
        <v>422667673.5</v>
      </c>
      <c r="N321">
        <v>0</v>
      </c>
      <c r="O321" t="b">
        <v>1</v>
      </c>
    </row>
    <row r="322" spans="1:15" x14ac:dyDescent="0.3">
      <c r="A322" s="1" t="s">
        <v>426</v>
      </c>
      <c r="B322">
        <v>3.078085498520327</v>
      </c>
      <c r="C322">
        <v>2.4597135196742271E-2</v>
      </c>
      <c r="D322">
        <v>2.5571360076714102E-2</v>
      </c>
      <c r="E322">
        <v>64.542355904399557</v>
      </c>
      <c r="F322">
        <v>9.7911914370942155E-2</v>
      </c>
      <c r="G322">
        <v>0.4</v>
      </c>
      <c r="H322">
        <v>5.3574701895587613E-2</v>
      </c>
      <c r="I322">
        <v>0.97988597671335353</v>
      </c>
      <c r="J322">
        <v>-1.1063695274221691E-2</v>
      </c>
      <c r="K322">
        <v>1.172285552591168E-2</v>
      </c>
      <c r="L322">
        <v>0</v>
      </c>
      <c r="M322">
        <v>408762555</v>
      </c>
      <c r="N322">
        <v>0</v>
      </c>
      <c r="O322" t="b">
        <v>1</v>
      </c>
    </row>
    <row r="323" spans="1:15" x14ac:dyDescent="0.3">
      <c r="A323" s="1" t="s">
        <v>427</v>
      </c>
      <c r="B323">
        <v>1.3438120930480071</v>
      </c>
      <c r="C323">
        <v>5.8148511166075598E-2</v>
      </c>
      <c r="D323">
        <v>6.3176114236261238E-2</v>
      </c>
      <c r="E323">
        <v>45.096509806847678</v>
      </c>
      <c r="F323">
        <v>-2.2005924672027111E-2</v>
      </c>
      <c r="G323">
        <v>0.4</v>
      </c>
      <c r="H323">
        <v>0.15977154887953651</v>
      </c>
      <c r="I323">
        <v>1.2630786361673689</v>
      </c>
      <c r="J323">
        <v>-0.15564486664230909</v>
      </c>
      <c r="K323">
        <v>-5.8272208638956768E-2</v>
      </c>
      <c r="L323">
        <v>0</v>
      </c>
      <c r="M323">
        <v>47056204</v>
      </c>
      <c r="N323">
        <v>0</v>
      </c>
      <c r="O323" t="b">
        <v>0</v>
      </c>
    </row>
    <row r="324" spans="1:15" x14ac:dyDescent="0.3">
      <c r="A324" s="1" t="s">
        <v>428</v>
      </c>
      <c r="B324">
        <v>6.5258972893222742</v>
      </c>
      <c r="C324">
        <v>3.3491902947509748E-2</v>
      </c>
      <c r="D324">
        <v>4.6548627149089007E-2</v>
      </c>
      <c r="E324">
        <v>70.486915503147074</v>
      </c>
      <c r="F324">
        <v>0.15316328342309291</v>
      </c>
      <c r="G324">
        <v>0.6</v>
      </c>
      <c r="H324">
        <v>0.11051207414119101</v>
      </c>
      <c r="I324">
        <v>1.2270321580346339</v>
      </c>
      <c r="J324">
        <v>0</v>
      </c>
      <c r="K324">
        <v>4.7636969729555327E-2</v>
      </c>
      <c r="L324">
        <v>0</v>
      </c>
      <c r="M324">
        <v>148572843</v>
      </c>
      <c r="N324">
        <v>0</v>
      </c>
      <c r="O324" t="b">
        <v>1</v>
      </c>
    </row>
    <row r="325" spans="1:15" x14ac:dyDescent="0.3">
      <c r="A325" s="1" t="s">
        <v>429</v>
      </c>
      <c r="B325">
        <v>7.3046891740214832</v>
      </c>
      <c r="C325">
        <v>2.769298404703073E-2</v>
      </c>
      <c r="D325">
        <v>2.5662119845018649E-2</v>
      </c>
      <c r="E325">
        <v>67.980628934890575</v>
      </c>
      <c r="F325">
        <v>9.3046577158959032E-2</v>
      </c>
      <c r="G325">
        <v>0.8</v>
      </c>
      <c r="H325">
        <v>2.975059535675139E-2</v>
      </c>
      <c r="I325">
        <v>0.98840142568173228</v>
      </c>
      <c r="J325">
        <v>0</v>
      </c>
      <c r="K325">
        <v>1.2183469621909641E-2</v>
      </c>
      <c r="L325">
        <v>0</v>
      </c>
      <c r="M325">
        <v>1914869434.737</v>
      </c>
      <c r="N325">
        <v>0</v>
      </c>
      <c r="O325" t="b">
        <v>1</v>
      </c>
    </row>
    <row r="326" spans="1:15" x14ac:dyDescent="0.3">
      <c r="A326" s="1" t="s">
        <v>430</v>
      </c>
      <c r="B326">
        <v>12.44161958196198</v>
      </c>
      <c r="C326">
        <v>4.0869243925308288E-2</v>
      </c>
      <c r="D326">
        <v>2.9774164408310631E-2</v>
      </c>
      <c r="E326">
        <v>47.183281253126019</v>
      </c>
      <c r="F326">
        <v>-6.9554559847424424E-2</v>
      </c>
      <c r="G326">
        <v>0.6</v>
      </c>
      <c r="H326">
        <v>9.8586022346218258E-2</v>
      </c>
      <c r="I326">
        <v>1.7502890801700259</v>
      </c>
      <c r="J326">
        <v>-8.2943978021382092E-2</v>
      </c>
      <c r="K326">
        <v>1.370925849461235E-2</v>
      </c>
      <c r="L326">
        <v>0</v>
      </c>
      <c r="M326">
        <v>183672379.148</v>
      </c>
      <c r="N326">
        <v>0</v>
      </c>
      <c r="O326" t="b">
        <v>1</v>
      </c>
    </row>
    <row r="327" spans="1:15" x14ac:dyDescent="0.3">
      <c r="A327" s="1" t="s">
        <v>431</v>
      </c>
      <c r="B327">
        <v>18.610356778745331</v>
      </c>
      <c r="C327">
        <v>3.5820835313441372E-2</v>
      </c>
      <c r="D327">
        <v>3.2855987989375203E-2</v>
      </c>
      <c r="E327">
        <v>51.566019038032081</v>
      </c>
      <c r="F327">
        <v>-6.8139831040482157E-2</v>
      </c>
      <c r="G327">
        <v>0.6</v>
      </c>
      <c r="H327">
        <v>0.108157213834604</v>
      </c>
      <c r="I327">
        <v>1.8605115747515499</v>
      </c>
      <c r="J327">
        <v>-6.6800783144432718E-2</v>
      </c>
      <c r="K327">
        <v>3.011699293408832E-3</v>
      </c>
      <c r="L327">
        <v>0</v>
      </c>
      <c r="M327">
        <v>1279327509.5</v>
      </c>
      <c r="N327">
        <v>0</v>
      </c>
      <c r="O327" t="b">
        <v>1</v>
      </c>
    </row>
    <row r="328" spans="1:15" x14ac:dyDescent="0.3">
      <c r="A328" s="1" t="s">
        <v>432</v>
      </c>
      <c r="B328">
        <v>7.4647839631989479</v>
      </c>
      <c r="C328">
        <v>8.4673139328481722E-2</v>
      </c>
      <c r="D328">
        <v>6.0231397459165177E-2</v>
      </c>
      <c r="E328">
        <v>48.405272162156614</v>
      </c>
      <c r="F328">
        <v>-0.16523056528737809</v>
      </c>
      <c r="G328">
        <v>0.6</v>
      </c>
      <c r="H328">
        <v>-7.6284717075709899E-2</v>
      </c>
      <c r="I328">
        <v>2.5131584478373288</v>
      </c>
      <c r="J328">
        <v>-2.7575557026251921E-2</v>
      </c>
      <c r="K328">
        <v>-2.7575557026251921E-2</v>
      </c>
      <c r="L328">
        <v>0</v>
      </c>
      <c r="M328">
        <v>2507617040</v>
      </c>
      <c r="N328">
        <v>0</v>
      </c>
      <c r="O328" t="b">
        <v>1</v>
      </c>
    </row>
    <row r="329" spans="1:15" x14ac:dyDescent="0.3">
      <c r="A329" s="1" t="s">
        <v>433</v>
      </c>
      <c r="B329">
        <v>1.589924693209769</v>
      </c>
      <c r="C329">
        <v>1.991815247516401E-2</v>
      </c>
      <c r="D329">
        <v>2.5170721685130369E-2</v>
      </c>
      <c r="E329">
        <v>71.036407248898399</v>
      </c>
      <c r="F329">
        <v>0.1131922857545293</v>
      </c>
      <c r="G329">
        <v>1</v>
      </c>
      <c r="H329">
        <v>0.15610927967261581</v>
      </c>
      <c r="I329">
        <v>0.52742478174795127</v>
      </c>
      <c r="J329">
        <v>0</v>
      </c>
      <c r="K329">
        <v>9.307495056064985E-3</v>
      </c>
      <c r="L329">
        <v>0</v>
      </c>
      <c r="M329">
        <v>1150617811.7214</v>
      </c>
      <c r="N329">
        <v>0</v>
      </c>
      <c r="O329" t="b">
        <v>1</v>
      </c>
    </row>
    <row r="330" spans="1:15" x14ac:dyDescent="0.3">
      <c r="A330" s="1" t="s">
        <v>434</v>
      </c>
      <c r="B330">
        <v>1.7112188000239501</v>
      </c>
      <c r="C330">
        <v>2.5213184028642251E-2</v>
      </c>
      <c r="D330">
        <v>1.9006925003683391E-2</v>
      </c>
      <c r="E330">
        <v>44.346274477638147</v>
      </c>
      <c r="F330">
        <v>9.5195597203630022E-3</v>
      </c>
      <c r="G330">
        <v>0.2</v>
      </c>
      <c r="H330">
        <v>-0.2453111955582071</v>
      </c>
      <c r="I330">
        <v>0.70291662214561712</v>
      </c>
      <c r="J330">
        <v>-1.9219653179190721E-2</v>
      </c>
      <c r="K330">
        <v>-8.8326218165757364E-4</v>
      </c>
      <c r="L330">
        <v>0</v>
      </c>
      <c r="M330">
        <v>225113595</v>
      </c>
      <c r="N330">
        <v>0</v>
      </c>
      <c r="O330" t="b">
        <v>1</v>
      </c>
    </row>
    <row r="331" spans="1:15" x14ac:dyDescent="0.3">
      <c r="A331" s="1" t="s">
        <v>435</v>
      </c>
      <c r="B331">
        <v>8.9851630391772961</v>
      </c>
      <c r="C331">
        <v>2.7065782179915041E-2</v>
      </c>
      <c r="D331">
        <v>4.6145041042247197E-2</v>
      </c>
      <c r="E331">
        <v>62.114227642155619</v>
      </c>
      <c r="F331">
        <v>5.0483986823660398E-2</v>
      </c>
      <c r="G331">
        <v>0.6</v>
      </c>
      <c r="H331">
        <v>-0.17457725822049269</v>
      </c>
      <c r="I331">
        <v>0.97692109710978614</v>
      </c>
      <c r="J331">
        <v>0</v>
      </c>
      <c r="K331">
        <v>4.2402604946761402E-2</v>
      </c>
      <c r="L331">
        <v>0</v>
      </c>
      <c r="M331">
        <v>149980091.80199999</v>
      </c>
      <c r="N331">
        <v>0</v>
      </c>
      <c r="O331" t="b">
        <v>1</v>
      </c>
    </row>
    <row r="332" spans="1:15" x14ac:dyDescent="0.3">
      <c r="A332" s="1" t="s">
        <v>436</v>
      </c>
      <c r="B332">
        <v>0.63052690235557196</v>
      </c>
      <c r="C332">
        <v>1.699991648302971E-2</v>
      </c>
      <c r="D332">
        <v>2.4534915071447928E-2</v>
      </c>
      <c r="E332">
        <v>69.971911365130723</v>
      </c>
      <c r="F332">
        <v>5.999594177881562E-2</v>
      </c>
      <c r="G332">
        <v>1</v>
      </c>
      <c r="H332">
        <v>9.7214892452988463E-2</v>
      </c>
      <c r="I332">
        <v>0.49530599152777433</v>
      </c>
      <c r="J332">
        <v>0</v>
      </c>
      <c r="K332">
        <v>1.9796535606269039E-2</v>
      </c>
      <c r="L332">
        <v>0</v>
      </c>
      <c r="M332">
        <v>446082187.90399992</v>
      </c>
      <c r="N332">
        <v>0</v>
      </c>
      <c r="O332" t="b">
        <v>1</v>
      </c>
    </row>
    <row r="333" spans="1:15" x14ac:dyDescent="0.3">
      <c r="A333" s="1" t="s">
        <v>437</v>
      </c>
      <c r="B333">
        <v>3.0147660958021438</v>
      </c>
      <c r="C333">
        <v>1.628599725467627E-2</v>
      </c>
      <c r="D333">
        <v>1.8377864451095079E-2</v>
      </c>
      <c r="E333">
        <v>49.86841895981275</v>
      </c>
      <c r="F333">
        <v>3.9700187653892724E-3</v>
      </c>
      <c r="G333">
        <v>0.6</v>
      </c>
      <c r="H333">
        <v>-0.17579782415894679</v>
      </c>
      <c r="I333">
        <v>0.28471324813576848</v>
      </c>
      <c r="J333">
        <v>-1.024434582687272E-2</v>
      </c>
      <c r="K333">
        <v>1.30465714442074E-2</v>
      </c>
      <c r="L333">
        <v>0</v>
      </c>
      <c r="M333">
        <v>336961345.07849997</v>
      </c>
      <c r="N333">
        <v>0</v>
      </c>
      <c r="O333" t="b">
        <v>1</v>
      </c>
    </row>
    <row r="334" spans="1:15" x14ac:dyDescent="0.3">
      <c r="A334" s="1" t="s">
        <v>438</v>
      </c>
      <c r="B334">
        <v>0.6400725394120097</v>
      </c>
      <c r="C334">
        <v>2.3688843057439291E-2</v>
      </c>
      <c r="D334">
        <v>1.8134715025906679E-2</v>
      </c>
      <c r="E334">
        <v>59.676933686041117</v>
      </c>
      <c r="F334">
        <v>3.2566742332179148E-2</v>
      </c>
      <c r="G334">
        <v>0.8</v>
      </c>
      <c r="H334">
        <v>6.2139854236597611E-2</v>
      </c>
      <c r="I334">
        <v>0.35609777990166758</v>
      </c>
      <c r="J334">
        <v>-1.350857977364006E-2</v>
      </c>
      <c r="K334">
        <v>5.9568131049887452E-3</v>
      </c>
      <c r="L334">
        <v>0</v>
      </c>
      <c r="M334">
        <v>168044492.32800001</v>
      </c>
      <c r="N334">
        <v>0</v>
      </c>
      <c r="O334" t="b">
        <v>1</v>
      </c>
    </row>
    <row r="335" spans="1:15" x14ac:dyDescent="0.3">
      <c r="A335" s="1" t="s">
        <v>439</v>
      </c>
      <c r="B335">
        <v>0.74026805734001966</v>
      </c>
      <c r="C335">
        <v>2.029460543588869E-2</v>
      </c>
      <c r="D335">
        <v>3.1108040607411489E-2</v>
      </c>
      <c r="E335">
        <v>51.620125906484823</v>
      </c>
      <c r="F335">
        <v>4.3670406828664188E-3</v>
      </c>
      <c r="G335">
        <v>0.4</v>
      </c>
      <c r="H335">
        <v>4.5388855996612833E-2</v>
      </c>
      <c r="I335">
        <v>0.32460536959972169</v>
      </c>
      <c r="J335">
        <v>-2.5159350571256619E-2</v>
      </c>
      <c r="K335">
        <v>-1.8137330113943809E-2</v>
      </c>
      <c r="L335">
        <v>0</v>
      </c>
      <c r="M335">
        <v>51333568.542549998</v>
      </c>
      <c r="N335">
        <v>0</v>
      </c>
      <c r="O335" t="b">
        <v>0</v>
      </c>
    </row>
    <row r="336" spans="1:15" x14ac:dyDescent="0.3">
      <c r="A336" s="1" t="s">
        <v>440</v>
      </c>
      <c r="B336">
        <v>1.7736525825033671</v>
      </c>
      <c r="C336">
        <v>2.1421261233610749E-2</v>
      </c>
      <c r="D336">
        <v>4.9626383022921793E-2</v>
      </c>
      <c r="E336">
        <v>80.459533566011245</v>
      </c>
      <c r="F336">
        <v>0.14687264527281599</v>
      </c>
      <c r="G336">
        <v>0.8</v>
      </c>
      <c r="H336">
        <v>0.1276338286635606</v>
      </c>
      <c r="I336">
        <v>0.74285849207094856</v>
      </c>
      <c r="J336">
        <v>0</v>
      </c>
      <c r="K336">
        <v>2.8041897089900351E-2</v>
      </c>
      <c r="L336">
        <v>0</v>
      </c>
      <c r="M336">
        <v>266286577.7279</v>
      </c>
      <c r="N336">
        <v>0</v>
      </c>
      <c r="O336" t="b">
        <v>1</v>
      </c>
    </row>
    <row r="337" spans="1:15" x14ac:dyDescent="0.3">
      <c r="A337" s="1" t="s">
        <v>441</v>
      </c>
      <c r="B337">
        <v>1.321266910548508</v>
      </c>
      <c r="C337">
        <v>2.0295958687381079E-2</v>
      </c>
      <c r="D337">
        <v>2.6728110599078481E-2</v>
      </c>
      <c r="E337">
        <v>49.247409533593959</v>
      </c>
      <c r="F337">
        <v>-4.3603206235059977E-3</v>
      </c>
      <c r="G337">
        <v>0.4</v>
      </c>
      <c r="H337">
        <v>-0.12169576926391749</v>
      </c>
      <c r="I337">
        <v>0.45685193107927569</v>
      </c>
      <c r="J337">
        <v>-3.2545697726259697E-2</v>
      </c>
      <c r="K337">
        <v>-1.123936816524918E-2</v>
      </c>
      <c r="L337">
        <v>0</v>
      </c>
      <c r="M337">
        <v>234359923.38859999</v>
      </c>
      <c r="N337">
        <v>0</v>
      </c>
      <c r="O337" t="b">
        <v>1</v>
      </c>
    </row>
    <row r="338" spans="1:15" x14ac:dyDescent="0.3">
      <c r="A338" s="1" t="s">
        <v>442</v>
      </c>
      <c r="B338">
        <v>0.73587163580181725</v>
      </c>
      <c r="C338">
        <v>2.0728603301995111E-2</v>
      </c>
      <c r="D338">
        <v>1.6374509511187199E-2</v>
      </c>
      <c r="E338">
        <v>38.995126164107717</v>
      </c>
      <c r="F338">
        <v>-1.638058822714494E-2</v>
      </c>
      <c r="G338">
        <v>0.2</v>
      </c>
      <c r="H338">
        <v>-0.20455908141964249</v>
      </c>
      <c r="I338">
        <v>0.31251816124809018</v>
      </c>
      <c r="J338">
        <v>-3.5341526973524988E-2</v>
      </c>
      <c r="K338">
        <v>1.3217380384277441E-2</v>
      </c>
      <c r="L338">
        <v>0</v>
      </c>
      <c r="M338">
        <v>66925546.400799997</v>
      </c>
      <c r="N338">
        <v>0</v>
      </c>
      <c r="O338" t="b">
        <v>0</v>
      </c>
    </row>
    <row r="339" spans="1:15" x14ac:dyDescent="0.3">
      <c r="A339" s="1" t="s">
        <v>443</v>
      </c>
      <c r="B339">
        <v>0.49170320812305601</v>
      </c>
      <c r="C339">
        <v>2.7530974698939309E-2</v>
      </c>
      <c r="D339">
        <v>2.1836506159014588E-2</v>
      </c>
      <c r="E339">
        <v>51.496248891372041</v>
      </c>
      <c r="F339">
        <v>0</v>
      </c>
      <c r="G339">
        <v>0.4</v>
      </c>
      <c r="H339">
        <v>1.470133304455906E-2</v>
      </c>
      <c r="I339">
        <v>0.66666138317704016</v>
      </c>
      <c r="J339">
        <v>-3.5637149028077797E-2</v>
      </c>
      <c r="K339">
        <v>6.1971830985914078E-3</v>
      </c>
      <c r="L339">
        <v>0</v>
      </c>
      <c r="M339">
        <v>167984006.85640001</v>
      </c>
      <c r="N339">
        <v>0</v>
      </c>
      <c r="O339" t="b">
        <v>1</v>
      </c>
    </row>
    <row r="340" spans="1:15" x14ac:dyDescent="0.3">
      <c r="A340" s="1" t="s">
        <v>444</v>
      </c>
      <c r="B340">
        <v>21.58465929217537</v>
      </c>
      <c r="C340">
        <v>4.6153611076561192E-2</v>
      </c>
      <c r="D340">
        <v>4.319284965894752E-2</v>
      </c>
      <c r="E340">
        <v>79.978978467494827</v>
      </c>
      <c r="F340">
        <v>0.45112945264986992</v>
      </c>
      <c r="G340">
        <v>1</v>
      </c>
      <c r="H340">
        <v>0.1170192183157147</v>
      </c>
      <c r="I340">
        <v>3.1959375362750531</v>
      </c>
      <c r="J340">
        <v>0</v>
      </c>
      <c r="K340">
        <v>2.4850437183617121E-2</v>
      </c>
      <c r="L340">
        <v>0</v>
      </c>
      <c r="M340">
        <v>941664225</v>
      </c>
      <c r="N340">
        <v>0</v>
      </c>
      <c r="O340" t="b">
        <v>1</v>
      </c>
    </row>
    <row r="341" spans="1:15" x14ac:dyDescent="0.3">
      <c r="A341" s="1" t="s">
        <v>445</v>
      </c>
      <c r="B341">
        <v>2.048051318550363</v>
      </c>
      <c r="C341">
        <v>2.6147917392913209E-2</v>
      </c>
      <c r="D341">
        <v>1.9500648574667798E-2</v>
      </c>
      <c r="E341">
        <v>53.509302194235609</v>
      </c>
      <c r="F341">
        <v>1.8443006636569729E-2</v>
      </c>
      <c r="G341">
        <v>0.8</v>
      </c>
      <c r="H341">
        <v>2.22714968948148E-2</v>
      </c>
      <c r="I341">
        <v>0.277331633107197</v>
      </c>
      <c r="J341">
        <v>-1.7296453637324131E-2</v>
      </c>
      <c r="K341">
        <v>9.3310051996415844E-3</v>
      </c>
      <c r="L341">
        <v>0</v>
      </c>
      <c r="M341">
        <v>539181954.96239996</v>
      </c>
      <c r="N341">
        <v>0</v>
      </c>
      <c r="O341" t="b">
        <v>1</v>
      </c>
    </row>
    <row r="342" spans="1:15" x14ac:dyDescent="0.3">
      <c r="A342" s="1" t="s">
        <v>446</v>
      </c>
      <c r="B342">
        <v>2.585026505768643</v>
      </c>
      <c r="C342">
        <v>1.7240061261737081E-2</v>
      </c>
      <c r="D342">
        <v>2.1861640756821059E-2</v>
      </c>
      <c r="E342">
        <v>50.306456476181907</v>
      </c>
      <c r="F342">
        <v>-1.6380215166622799E-2</v>
      </c>
      <c r="G342">
        <v>0.4</v>
      </c>
      <c r="H342">
        <v>-0.1000629475118501</v>
      </c>
      <c r="I342">
        <v>0.2079780851125369</v>
      </c>
      <c r="J342">
        <v>-2.8671559704344651E-2</v>
      </c>
      <c r="K342">
        <v>1.9666646265581459E-2</v>
      </c>
      <c r="L342">
        <v>0</v>
      </c>
      <c r="M342">
        <v>1194762501.0225</v>
      </c>
      <c r="N342">
        <v>0</v>
      </c>
      <c r="O342" t="b">
        <v>1</v>
      </c>
    </row>
    <row r="343" spans="1:15" x14ac:dyDescent="0.3">
      <c r="A343" s="1" t="s">
        <v>447</v>
      </c>
      <c r="B343">
        <v>18.72527622474675</v>
      </c>
      <c r="C343">
        <v>3.3738628537768232E-2</v>
      </c>
      <c r="D343">
        <v>4.7692834363344858E-2</v>
      </c>
      <c r="E343">
        <v>51.175413549746828</v>
      </c>
      <c r="F343">
        <v>-5.6376653648866237E-2</v>
      </c>
      <c r="G343">
        <v>0.6</v>
      </c>
      <c r="H343">
        <v>4.7238108986555401E-2</v>
      </c>
      <c r="I343">
        <v>1.700637105741114</v>
      </c>
      <c r="J343">
        <v>-3.8783936377302597E-2</v>
      </c>
      <c r="K343">
        <v>2.9626743840902359E-2</v>
      </c>
      <c r="L343">
        <v>0</v>
      </c>
      <c r="M343">
        <v>114255020.389</v>
      </c>
      <c r="N343">
        <v>0</v>
      </c>
      <c r="O343" t="b">
        <v>1</v>
      </c>
    </row>
    <row r="344" spans="1:15" x14ac:dyDescent="0.3">
      <c r="A344" s="1" t="s">
        <v>448</v>
      </c>
      <c r="B344">
        <v>1.2165770120766051</v>
      </c>
      <c r="C344">
        <v>1.3403311251971859E-2</v>
      </c>
      <c r="D344">
        <v>1.131579904128051E-2</v>
      </c>
      <c r="E344">
        <v>55.949930578124011</v>
      </c>
      <c r="F344">
        <v>-1.5583956409605641E-2</v>
      </c>
      <c r="G344">
        <v>0.8</v>
      </c>
      <c r="H344">
        <v>-4.1282753851164582E-2</v>
      </c>
      <c r="I344">
        <v>1.004327928517176</v>
      </c>
      <c r="J344">
        <v>-8.3014027600688545E-3</v>
      </c>
      <c r="K344">
        <v>2.4230376321821008E-3</v>
      </c>
      <c r="L344">
        <v>0</v>
      </c>
      <c r="M344">
        <v>42065002.264899999</v>
      </c>
      <c r="N344">
        <v>0</v>
      </c>
      <c r="O344" t="b">
        <v>0</v>
      </c>
    </row>
    <row r="345" spans="1:15" x14ac:dyDescent="0.3">
      <c r="A345" s="1" t="s">
        <v>449</v>
      </c>
      <c r="B345">
        <v>0.79539532196395524</v>
      </c>
      <c r="C345">
        <v>2.4272057429476811E-2</v>
      </c>
      <c r="D345">
        <v>1.312175770521818E-2</v>
      </c>
      <c r="E345">
        <v>36.77308830279182</v>
      </c>
      <c r="F345">
        <v>-5.924435245179227E-2</v>
      </c>
      <c r="G345">
        <v>0</v>
      </c>
      <c r="H345">
        <v>9.3982861393168193E-2</v>
      </c>
      <c r="I345">
        <v>0.7174166153941689</v>
      </c>
      <c r="J345">
        <v>-9.3925401609201709E-2</v>
      </c>
      <c r="K345">
        <v>-6.066120715802148E-3</v>
      </c>
      <c r="L345">
        <v>0</v>
      </c>
      <c r="M345">
        <v>26408633.345150001</v>
      </c>
      <c r="N345">
        <v>0</v>
      </c>
      <c r="O345" t="b">
        <v>0</v>
      </c>
    </row>
    <row r="346" spans="1:15" x14ac:dyDescent="0.3">
      <c r="A346" s="1" t="s">
        <v>450</v>
      </c>
      <c r="B346">
        <v>0.69512752567236225</v>
      </c>
      <c r="C346">
        <v>2.265735090196748E-2</v>
      </c>
      <c r="D346">
        <v>1.254889178617997E-2</v>
      </c>
      <c r="E346">
        <v>36.358443532945927</v>
      </c>
      <c r="F346">
        <v>-6.575637800934242E-2</v>
      </c>
      <c r="G346">
        <v>0.2</v>
      </c>
      <c r="H346">
        <v>8.4126257502753737E-2</v>
      </c>
      <c r="I346">
        <v>0.73889149172192259</v>
      </c>
      <c r="J346">
        <v>-9.0887540299639635E-2</v>
      </c>
      <c r="K346">
        <v>-6.1548428895368268E-3</v>
      </c>
      <c r="L346">
        <v>0</v>
      </c>
      <c r="M346">
        <v>5502835.8903000001</v>
      </c>
      <c r="N346">
        <v>0</v>
      </c>
      <c r="O346" t="b">
        <v>0</v>
      </c>
    </row>
    <row r="347" spans="1:15" x14ac:dyDescent="0.3">
      <c r="A347" s="1" t="s">
        <v>451</v>
      </c>
      <c r="B347">
        <v>0.25570186859833383</v>
      </c>
      <c r="C347">
        <v>2.352363096580808E-2</v>
      </c>
      <c r="D347">
        <v>1.6559337626495078E-2</v>
      </c>
      <c r="E347">
        <v>61.935730434618833</v>
      </c>
      <c r="F347">
        <v>5.0241545893719763E-2</v>
      </c>
      <c r="G347">
        <v>0.4</v>
      </c>
      <c r="H347">
        <v>8.2375845333316502E-2</v>
      </c>
      <c r="I347">
        <v>0.65173403374713068</v>
      </c>
      <c r="J347">
        <v>-1.0018214936247881E-2</v>
      </c>
      <c r="K347">
        <v>-8.2116788321169309E-3</v>
      </c>
      <c r="L347">
        <v>0</v>
      </c>
      <c r="M347">
        <v>75952913.362720013</v>
      </c>
      <c r="N347">
        <v>0</v>
      </c>
      <c r="O347" t="b">
        <v>0</v>
      </c>
    </row>
    <row r="348" spans="1:15" x14ac:dyDescent="0.3">
      <c r="A348" s="1" t="s">
        <v>452</v>
      </c>
      <c r="B348">
        <v>11.297711923782311</v>
      </c>
      <c r="C348">
        <v>2.4272664998995181E-2</v>
      </c>
      <c r="D348">
        <v>1.289075088623912E-2</v>
      </c>
      <c r="E348">
        <v>44.920432599258831</v>
      </c>
      <c r="F348">
        <v>-9.1733988994263105E-2</v>
      </c>
      <c r="G348">
        <v>0.4</v>
      </c>
      <c r="H348">
        <v>-6.4698408202475494E-2</v>
      </c>
      <c r="I348">
        <v>1.366194435361276</v>
      </c>
      <c r="J348">
        <v>-9.9796924862198932E-2</v>
      </c>
      <c r="K348">
        <v>-8.689540604434165E-3</v>
      </c>
      <c r="L348">
        <v>0</v>
      </c>
      <c r="M348">
        <v>235559817.16499999</v>
      </c>
      <c r="N348">
        <v>0</v>
      </c>
      <c r="O348" t="b">
        <v>1</v>
      </c>
    </row>
    <row r="349" spans="1:15" x14ac:dyDescent="0.3">
      <c r="A349" s="1" t="s">
        <v>453</v>
      </c>
      <c r="B349">
        <v>2.6331301399078009</v>
      </c>
      <c r="C349">
        <v>4.3652687995818978E-2</v>
      </c>
      <c r="D349">
        <v>4.2440318302387307E-2</v>
      </c>
      <c r="E349">
        <v>40.827893455089018</v>
      </c>
      <c r="F349">
        <v>-3.022508038585214E-2</v>
      </c>
      <c r="G349">
        <v>0.2</v>
      </c>
      <c r="H349">
        <v>5.769277961502358E-2</v>
      </c>
      <c r="I349">
        <v>1.207639823566399</v>
      </c>
      <c r="J349">
        <v>-0.11489361702127671</v>
      </c>
      <c r="K349">
        <v>-2.077922077922079E-2</v>
      </c>
      <c r="L349">
        <v>0</v>
      </c>
      <c r="M349">
        <v>69811446.5</v>
      </c>
      <c r="N349">
        <v>0</v>
      </c>
      <c r="O349" t="b">
        <v>0</v>
      </c>
    </row>
    <row r="350" spans="1:15" x14ac:dyDescent="0.3">
      <c r="A350" s="1" t="s">
        <v>454</v>
      </c>
      <c r="B350">
        <v>1.021932998824274</v>
      </c>
      <c r="C350">
        <v>1.7601326194010919E-2</v>
      </c>
      <c r="D350">
        <v>1.464002755769896E-2</v>
      </c>
      <c r="E350">
        <v>37.053424889656078</v>
      </c>
      <c r="F350">
        <v>-3.5395951188310397E-2</v>
      </c>
      <c r="G350">
        <v>0.2</v>
      </c>
      <c r="H350">
        <v>-7.9241893468163807E-2</v>
      </c>
      <c r="I350">
        <v>-9.8708005211190761E-2</v>
      </c>
      <c r="J350">
        <v>-6.4593929688267715E-2</v>
      </c>
      <c r="K350">
        <v>-6.842285323298003E-3</v>
      </c>
      <c r="L350">
        <v>0</v>
      </c>
      <c r="M350">
        <v>268103985.50940001</v>
      </c>
      <c r="N350">
        <v>0</v>
      </c>
      <c r="O350" t="b">
        <v>1</v>
      </c>
    </row>
    <row r="351" spans="1:15" x14ac:dyDescent="0.3">
      <c r="A351" s="1" t="s">
        <v>455</v>
      </c>
      <c r="B351">
        <v>2.1478546660233979</v>
      </c>
      <c r="C351">
        <v>3.0714352438487021E-2</v>
      </c>
      <c r="D351">
        <v>3.8467038467038431E-2</v>
      </c>
      <c r="E351">
        <v>73.385454926166204</v>
      </c>
      <c r="F351">
        <v>0.19415983606557391</v>
      </c>
      <c r="G351">
        <v>0.6</v>
      </c>
      <c r="H351">
        <v>8.5538488624694223E-2</v>
      </c>
      <c r="I351">
        <v>1.4988235182128069</v>
      </c>
      <c r="J351">
        <v>0</v>
      </c>
      <c r="K351">
        <v>3.7383177570093677E-2</v>
      </c>
      <c r="L351">
        <v>0</v>
      </c>
      <c r="M351">
        <v>463521709.84780002</v>
      </c>
      <c r="N351">
        <v>0</v>
      </c>
      <c r="O351" t="b">
        <v>1</v>
      </c>
    </row>
    <row r="352" spans="1:15" x14ac:dyDescent="0.3">
      <c r="A352" s="1" t="s">
        <v>456</v>
      </c>
      <c r="B352">
        <v>9.6298001787879119</v>
      </c>
      <c r="C352">
        <v>4.3712211433444899E-2</v>
      </c>
      <c r="D352">
        <v>6.0236041761234732E-2</v>
      </c>
      <c r="E352">
        <v>51.082061117512538</v>
      </c>
      <c r="F352">
        <v>7.9478635829086652E-2</v>
      </c>
      <c r="G352">
        <v>0.6</v>
      </c>
      <c r="H352">
        <v>-8.9748786332467911E-2</v>
      </c>
      <c r="I352">
        <v>1.662526419717538</v>
      </c>
      <c r="J352">
        <v>-4.2132266620287788E-2</v>
      </c>
      <c r="K352">
        <v>-4.2132266620287788E-2</v>
      </c>
      <c r="L352">
        <v>0</v>
      </c>
      <c r="M352">
        <v>774417322</v>
      </c>
      <c r="N352">
        <v>0</v>
      </c>
      <c r="O352" t="b">
        <v>1</v>
      </c>
    </row>
    <row r="353" spans="1:15" x14ac:dyDescent="0.3">
      <c r="A353" s="1" t="s">
        <v>457</v>
      </c>
      <c r="B353">
        <v>0.21758805726873531</v>
      </c>
      <c r="C353">
        <v>3.146609649584024E-3</v>
      </c>
      <c r="D353">
        <v>5.4229934924078091E-3</v>
      </c>
      <c r="E353">
        <v>61.04588920405169</v>
      </c>
      <c r="F353">
        <v>8.017492711370533E-3</v>
      </c>
      <c r="G353">
        <v>0.4</v>
      </c>
      <c r="H353">
        <v>-0.1034975519018287</v>
      </c>
      <c r="I353">
        <v>0.10402686868027999</v>
      </c>
      <c r="J353">
        <v>0</v>
      </c>
      <c r="K353">
        <v>2.9006526468455811E-3</v>
      </c>
      <c r="L353">
        <v>0</v>
      </c>
      <c r="M353">
        <v>106704028</v>
      </c>
      <c r="N353">
        <v>0</v>
      </c>
      <c r="O353" t="b">
        <v>1</v>
      </c>
    </row>
    <row r="354" spans="1:15" x14ac:dyDescent="0.3">
      <c r="A354" s="1" t="s">
        <v>458</v>
      </c>
      <c r="B354">
        <v>0.73155153729606048</v>
      </c>
      <c r="C354">
        <v>1.942000364470561E-2</v>
      </c>
      <c r="D354">
        <v>1.698964693389967E-2</v>
      </c>
      <c r="E354">
        <v>63.556790326454809</v>
      </c>
      <c r="F354">
        <v>-4.2294475284164754E-3</v>
      </c>
      <c r="G354">
        <v>1</v>
      </c>
      <c r="H354">
        <v>-2.448992498854238E-2</v>
      </c>
      <c r="I354">
        <v>1.143761913855496</v>
      </c>
      <c r="J354">
        <v>-2.5103519668737029E-2</v>
      </c>
      <c r="K354">
        <v>1.399730820995981E-2</v>
      </c>
      <c r="L354">
        <v>0</v>
      </c>
      <c r="M354">
        <v>73513983.663800001</v>
      </c>
      <c r="N354">
        <v>0</v>
      </c>
      <c r="O354" t="b">
        <v>0</v>
      </c>
    </row>
    <row r="355" spans="1:15" x14ac:dyDescent="0.3">
      <c r="A355" s="1" t="s">
        <v>459</v>
      </c>
      <c r="B355">
        <v>0.37345624970745839</v>
      </c>
      <c r="C355">
        <v>7.8608797998547288E-3</v>
      </c>
      <c r="D355">
        <v>7.3839884483099666E-3</v>
      </c>
      <c r="E355">
        <v>61.473549396502229</v>
      </c>
      <c r="F355">
        <v>7.4367809998410186E-3</v>
      </c>
      <c r="G355">
        <v>0.4</v>
      </c>
      <c r="H355">
        <v>2.3370768228142422E-2</v>
      </c>
      <c r="I355">
        <v>0.70308078932728479</v>
      </c>
      <c r="J355">
        <v>-5.1013783773595778E-3</v>
      </c>
      <c r="K355">
        <v>5.7753295198093024E-3</v>
      </c>
      <c r="L355">
        <v>0</v>
      </c>
      <c r="M355">
        <v>26954469.567850001</v>
      </c>
      <c r="N355">
        <v>0</v>
      </c>
      <c r="O355" t="b">
        <v>0</v>
      </c>
    </row>
    <row r="356" spans="1:15" x14ac:dyDescent="0.3">
      <c r="A356" s="1" t="s">
        <v>460</v>
      </c>
      <c r="B356">
        <v>0.8587457543956416</v>
      </c>
      <c r="C356">
        <v>3.1571535088075059E-2</v>
      </c>
      <c r="D356">
        <v>9.5220588235294251E-2</v>
      </c>
      <c r="E356">
        <v>33.560491170207612</v>
      </c>
      <c r="F356">
        <v>-0.1096563011456629</v>
      </c>
      <c r="G356">
        <v>0.2</v>
      </c>
      <c r="H356">
        <v>-0.13102462427902009</v>
      </c>
      <c r="I356">
        <v>0.78387871179923518</v>
      </c>
      <c r="J356">
        <v>-0.12554251728018009</v>
      </c>
      <c r="K356">
        <v>-7.5458871515975634E-2</v>
      </c>
      <c r="L356">
        <v>0</v>
      </c>
      <c r="M356">
        <v>93026965</v>
      </c>
      <c r="N356">
        <v>0</v>
      </c>
      <c r="O356" t="b">
        <v>1</v>
      </c>
    </row>
    <row r="357" spans="1:15" x14ac:dyDescent="0.3">
      <c r="A357" s="1" t="s">
        <v>461</v>
      </c>
      <c r="B357">
        <v>2.022116966608293</v>
      </c>
      <c r="C357">
        <v>2.2003449038175121E-2</v>
      </c>
      <c r="D357">
        <v>2.5936887921653828E-2</v>
      </c>
      <c r="E357">
        <v>62.545565066791887</v>
      </c>
      <c r="F357">
        <v>5.2539954141784813E-2</v>
      </c>
      <c r="G357">
        <v>0.4</v>
      </c>
      <c r="H357">
        <v>0.1000804731140731</v>
      </c>
      <c r="I357">
        <v>0.79838482283458545</v>
      </c>
      <c r="J357">
        <v>-1.8217985520050609E-2</v>
      </c>
      <c r="K357">
        <v>2.2071858658249791E-2</v>
      </c>
      <c r="L357">
        <v>0</v>
      </c>
      <c r="M357">
        <v>39039112.595400013</v>
      </c>
      <c r="N357">
        <v>0</v>
      </c>
      <c r="O357" t="b">
        <v>0</v>
      </c>
    </row>
    <row r="358" spans="1:15" x14ac:dyDescent="0.3">
      <c r="A358" s="1" t="s">
        <v>462</v>
      </c>
      <c r="B358">
        <v>0.95919118818487092</v>
      </c>
      <c r="C358">
        <v>2.34177536177947E-2</v>
      </c>
      <c r="D358">
        <v>1.7089843750000069E-2</v>
      </c>
      <c r="E358">
        <v>69.799129750664974</v>
      </c>
      <c r="F358">
        <v>2.3081784098771371E-2</v>
      </c>
      <c r="G358">
        <v>1</v>
      </c>
      <c r="H358">
        <v>0.16866193956290429</v>
      </c>
      <c r="I358">
        <v>1.046464920337514</v>
      </c>
      <c r="J358">
        <v>0</v>
      </c>
      <c r="K358">
        <v>8.6185668554543682E-3</v>
      </c>
      <c r="L358">
        <v>0</v>
      </c>
      <c r="M358">
        <v>196399138.62825</v>
      </c>
      <c r="N358">
        <v>0</v>
      </c>
      <c r="O358" t="b">
        <v>1</v>
      </c>
    </row>
    <row r="359" spans="1:15" x14ac:dyDescent="0.3">
      <c r="A359" s="1" t="s">
        <v>463</v>
      </c>
      <c r="B359">
        <v>5.6668735631986493</v>
      </c>
      <c r="C359">
        <v>3.7479322507927577E-2</v>
      </c>
      <c r="D359">
        <v>1.7096560846560901E-2</v>
      </c>
      <c r="E359">
        <v>37.4366291799778</v>
      </c>
      <c r="F359">
        <v>-0.24294011616262781</v>
      </c>
      <c r="G359">
        <v>0.2</v>
      </c>
      <c r="H359">
        <v>3.2492882746077652E-2</v>
      </c>
      <c r="I359">
        <v>1.1578980885808501</v>
      </c>
      <c r="J359">
        <v>-0.23582330941069449</v>
      </c>
      <c r="K359">
        <v>-8.9794848266370186E-3</v>
      </c>
      <c r="L359">
        <v>0</v>
      </c>
      <c r="M359">
        <v>573350238.5</v>
      </c>
      <c r="N359">
        <v>0</v>
      </c>
      <c r="O359" t="b">
        <v>1</v>
      </c>
    </row>
    <row r="360" spans="1:15" x14ac:dyDescent="0.3">
      <c r="A360" s="1" t="s">
        <v>464</v>
      </c>
      <c r="B360">
        <v>26.599917684282438</v>
      </c>
      <c r="C360">
        <v>3.7984471563369197E-2</v>
      </c>
      <c r="D360">
        <v>4.119185930279716E-2</v>
      </c>
      <c r="E360">
        <v>72.422523437954027</v>
      </c>
      <c r="F360">
        <v>0.19750677599459629</v>
      </c>
      <c r="G360">
        <v>0.6</v>
      </c>
      <c r="H360">
        <v>0.1189679735577213</v>
      </c>
      <c r="I360">
        <v>0.70574554486742069</v>
      </c>
      <c r="J360">
        <v>0</v>
      </c>
      <c r="K360">
        <v>2.6118785157789759E-2</v>
      </c>
      <c r="L360">
        <v>0</v>
      </c>
      <c r="M360">
        <v>59128601.466000013</v>
      </c>
      <c r="N360">
        <v>0</v>
      </c>
      <c r="O360" t="b">
        <v>0</v>
      </c>
    </row>
    <row r="361" spans="1:15" x14ac:dyDescent="0.3">
      <c r="A361" s="1" t="s">
        <v>465</v>
      </c>
      <c r="B361">
        <v>12.071866899545549</v>
      </c>
      <c r="C361">
        <v>2.5834111374550699E-2</v>
      </c>
      <c r="D361">
        <v>2.9986047029215639E-2</v>
      </c>
      <c r="E361">
        <v>47.487970432593677</v>
      </c>
      <c r="F361">
        <v>-1.157259045382919E-2</v>
      </c>
      <c r="G361">
        <v>0.4</v>
      </c>
      <c r="H361">
        <v>-5.9259110069615428E-2</v>
      </c>
      <c r="I361">
        <v>0.27222696343048303</v>
      </c>
      <c r="J361">
        <v>-5.8678962879698982E-2</v>
      </c>
      <c r="K361">
        <v>1.3051094384127101E-2</v>
      </c>
      <c r="L361">
        <v>0</v>
      </c>
      <c r="M361">
        <v>583991501.30999994</v>
      </c>
      <c r="N361">
        <v>0</v>
      </c>
      <c r="O361" t="b">
        <v>1</v>
      </c>
    </row>
    <row r="362" spans="1:15" x14ac:dyDescent="0.3">
      <c r="A362" s="1" t="s">
        <v>466</v>
      </c>
      <c r="B362">
        <v>3.0394964787909449</v>
      </c>
      <c r="C362">
        <v>3.0180681946092199E-2</v>
      </c>
      <c r="D362">
        <v>2.5121636381690009E-2</v>
      </c>
      <c r="E362">
        <v>68.35795544527096</v>
      </c>
      <c r="F362">
        <v>0.26139779559118209</v>
      </c>
      <c r="G362">
        <v>0.6</v>
      </c>
      <c r="H362">
        <v>-9.1186190341376108E-2</v>
      </c>
      <c r="I362">
        <v>0.76905058296698636</v>
      </c>
      <c r="J362">
        <v>-4.9402232980930716E-3</v>
      </c>
      <c r="K362">
        <v>-9.9196508282917151E-4</v>
      </c>
      <c r="L362">
        <v>0</v>
      </c>
      <c r="M362">
        <v>327471027</v>
      </c>
      <c r="N362">
        <v>0</v>
      </c>
      <c r="O362" t="b">
        <v>1</v>
      </c>
    </row>
    <row r="363" spans="1:15" x14ac:dyDescent="0.3">
      <c r="A363" s="1" t="s">
        <v>467</v>
      </c>
      <c r="B363">
        <v>5.700599547001227</v>
      </c>
      <c r="C363">
        <v>4.0713624395617869E-2</v>
      </c>
      <c r="D363">
        <v>3.4631509031046163E-2</v>
      </c>
      <c r="E363">
        <v>54.479777488517392</v>
      </c>
      <c r="F363">
        <v>-1.443674859926247E-2</v>
      </c>
      <c r="G363">
        <v>0.6</v>
      </c>
      <c r="H363">
        <v>5.6644609648758698E-2</v>
      </c>
      <c r="I363">
        <v>1.89391717864696</v>
      </c>
      <c r="J363">
        <v>-5.7103292718629906E-4</v>
      </c>
      <c r="K363">
        <v>1.7432312633521851E-2</v>
      </c>
      <c r="L363">
        <v>0</v>
      </c>
      <c r="M363">
        <v>727713235.29750001</v>
      </c>
      <c r="N363">
        <v>0</v>
      </c>
      <c r="O363" t="b">
        <v>1</v>
      </c>
    </row>
    <row r="364" spans="1:15" x14ac:dyDescent="0.3">
      <c r="A364" s="1" t="s">
        <v>468</v>
      </c>
      <c r="B364">
        <v>2.056694436725794</v>
      </c>
      <c r="C364">
        <v>2.3895601681489419E-2</v>
      </c>
      <c r="D364">
        <v>1.2199372603694801E-2</v>
      </c>
      <c r="E364">
        <v>35.5625437609839</v>
      </c>
      <c r="F364">
        <v>-9.4476591267753873E-2</v>
      </c>
      <c r="G364">
        <v>0.2</v>
      </c>
      <c r="H364">
        <v>-0.17713266782278669</v>
      </c>
      <c r="I364">
        <v>0.54918563140770527</v>
      </c>
      <c r="J364">
        <v>-0.11568889345525531</v>
      </c>
      <c r="K364">
        <v>7.8454332552690964E-3</v>
      </c>
      <c r="L364">
        <v>0</v>
      </c>
      <c r="M364">
        <v>115799570.586</v>
      </c>
      <c r="N364">
        <v>0</v>
      </c>
      <c r="O364" t="b">
        <v>1</v>
      </c>
    </row>
    <row r="365" spans="1:15" x14ac:dyDescent="0.3">
      <c r="A365" s="1" t="s">
        <v>469</v>
      </c>
      <c r="B365">
        <v>0.42985242354143788</v>
      </c>
      <c r="C365">
        <v>1.0787194054000609E-2</v>
      </c>
      <c r="D365">
        <v>1.4522540428222911E-2</v>
      </c>
      <c r="E365">
        <v>64.299110351838493</v>
      </c>
      <c r="F365">
        <v>2.0437743115929941E-2</v>
      </c>
      <c r="G365">
        <v>0.6</v>
      </c>
      <c r="H365">
        <v>-4.1788690949894763E-2</v>
      </c>
      <c r="I365">
        <v>0.97880172789146358</v>
      </c>
      <c r="J365">
        <v>0</v>
      </c>
      <c r="K365">
        <v>1.0370340319578951E-2</v>
      </c>
      <c r="L365">
        <v>0</v>
      </c>
      <c r="M365">
        <v>73217615.267049998</v>
      </c>
      <c r="N365">
        <v>0</v>
      </c>
      <c r="O365" t="b">
        <v>0</v>
      </c>
    </row>
    <row r="366" spans="1:15" x14ac:dyDescent="0.3">
      <c r="A366" s="1" t="s">
        <v>470</v>
      </c>
      <c r="B366">
        <v>0.32197330716262729</v>
      </c>
      <c r="C366">
        <v>9.9706833631434209E-3</v>
      </c>
      <c r="D366">
        <v>1.067756719930631E-2</v>
      </c>
      <c r="E366">
        <v>58.722914915928243</v>
      </c>
      <c r="F366">
        <v>-7.6335877862594437E-3</v>
      </c>
      <c r="G366">
        <v>0.4</v>
      </c>
      <c r="H366">
        <v>-4.0196750802868756E-3</v>
      </c>
      <c r="I366">
        <v>0.95785260000521655</v>
      </c>
      <c r="J366">
        <v>-9.7485732860267404E-3</v>
      </c>
      <c r="K366">
        <v>7.4406851045907274E-3</v>
      </c>
      <c r="L366">
        <v>0</v>
      </c>
      <c r="M366">
        <v>18071617.807050001</v>
      </c>
      <c r="N366">
        <v>0</v>
      </c>
      <c r="O366" t="b">
        <v>0</v>
      </c>
    </row>
    <row r="367" spans="1:15" x14ac:dyDescent="0.3">
      <c r="A367" s="1" t="s">
        <v>471</v>
      </c>
      <c r="B367">
        <v>0.31995732148970701</v>
      </c>
      <c r="C367">
        <v>8.5165928416396346E-3</v>
      </c>
      <c r="D367">
        <v>1.2214955534793589E-2</v>
      </c>
      <c r="E367">
        <v>64.228307309387446</v>
      </c>
      <c r="F367">
        <v>2.21607326509623E-2</v>
      </c>
      <c r="G367">
        <v>0.4</v>
      </c>
      <c r="H367">
        <v>-2.3520086310203001E-2</v>
      </c>
      <c r="I367">
        <v>0.69530817541791101</v>
      </c>
      <c r="J367">
        <v>0</v>
      </c>
      <c r="K367">
        <v>1.068832489494609E-2</v>
      </c>
      <c r="L367">
        <v>0</v>
      </c>
      <c r="M367">
        <v>36118644.641999997</v>
      </c>
      <c r="N367">
        <v>0</v>
      </c>
      <c r="O367" t="b">
        <v>0</v>
      </c>
    </row>
    <row r="368" spans="1:15" x14ac:dyDescent="0.3">
      <c r="A368" s="1" t="s">
        <v>472</v>
      </c>
      <c r="B368">
        <v>1.013319876006215</v>
      </c>
      <c r="C368">
        <v>1.4206441155198301E-2</v>
      </c>
      <c r="D368">
        <v>2.4185385303428349E-2</v>
      </c>
      <c r="E368">
        <v>67.176747734054018</v>
      </c>
      <c r="F368">
        <v>4.8211910797604451E-2</v>
      </c>
      <c r="G368">
        <v>0.6</v>
      </c>
      <c r="H368">
        <v>-2.699027845987018E-2</v>
      </c>
      <c r="I368">
        <v>1.131650626207747</v>
      </c>
      <c r="J368">
        <v>0</v>
      </c>
      <c r="K368">
        <v>1.9526286375051379E-2</v>
      </c>
      <c r="L368">
        <v>0</v>
      </c>
      <c r="M368">
        <v>33999497.023399986</v>
      </c>
      <c r="N368">
        <v>0</v>
      </c>
      <c r="O368" t="b">
        <v>0</v>
      </c>
    </row>
    <row r="369" spans="1:15" x14ac:dyDescent="0.3">
      <c r="A369" s="1" t="s">
        <v>473</v>
      </c>
      <c r="B369">
        <v>0.89856616919861299</v>
      </c>
      <c r="C369">
        <v>1.4801689577785311E-2</v>
      </c>
      <c r="D369">
        <v>2.903948473816861E-2</v>
      </c>
      <c r="E369">
        <v>69.867839017699296</v>
      </c>
      <c r="F369">
        <v>6.2773431276949232E-2</v>
      </c>
      <c r="G369">
        <v>0.6</v>
      </c>
      <c r="H369">
        <v>-3.737604216137512E-2</v>
      </c>
      <c r="I369">
        <v>0.98802566368894018</v>
      </c>
      <c r="J369">
        <v>0</v>
      </c>
      <c r="K369">
        <v>2.4713509973347089E-2</v>
      </c>
      <c r="L369">
        <v>0</v>
      </c>
      <c r="M369">
        <v>18160204.771200001</v>
      </c>
      <c r="N369">
        <v>0</v>
      </c>
      <c r="O369" t="b">
        <v>0</v>
      </c>
    </row>
    <row r="370" spans="1:15" x14ac:dyDescent="0.3">
      <c r="A370" s="1" t="s">
        <v>474</v>
      </c>
      <c r="B370">
        <v>0.49700399061650952</v>
      </c>
      <c r="C370">
        <v>1.0541157707104711E-2</v>
      </c>
      <c r="D370">
        <v>1.258778041481347E-2</v>
      </c>
      <c r="E370">
        <v>62.341410851714713</v>
      </c>
      <c r="F370">
        <v>1.372593285387169E-2</v>
      </c>
      <c r="G370">
        <v>0.6</v>
      </c>
      <c r="H370">
        <v>-3.8947754667783697E-2</v>
      </c>
      <c r="I370">
        <v>1.0081120986157881</v>
      </c>
      <c r="J370">
        <v>0</v>
      </c>
      <c r="K370">
        <v>8.1056579245581961E-3</v>
      </c>
      <c r="L370">
        <v>0</v>
      </c>
      <c r="M370">
        <v>26616132.05415</v>
      </c>
      <c r="N370">
        <v>0</v>
      </c>
      <c r="O370" t="b">
        <v>0</v>
      </c>
    </row>
    <row r="371" spans="1:15" x14ac:dyDescent="0.3">
      <c r="A371" s="1" t="s">
        <v>475</v>
      </c>
      <c r="B371">
        <v>0.27266645310750948</v>
      </c>
      <c r="C371">
        <v>8.4521267171369426E-3</v>
      </c>
      <c r="D371">
        <v>1.154057178992003E-2</v>
      </c>
      <c r="E371">
        <v>63.670268597029327</v>
      </c>
      <c r="F371">
        <v>1.5311453533751299E-2</v>
      </c>
      <c r="G371">
        <v>0.6</v>
      </c>
      <c r="H371">
        <v>-3.2295876955339468E-2</v>
      </c>
      <c r="I371">
        <v>0.76948915188338851</v>
      </c>
      <c r="J371">
        <v>0</v>
      </c>
      <c r="K371">
        <v>9.0046978312408044E-3</v>
      </c>
      <c r="L371">
        <v>0</v>
      </c>
      <c r="M371">
        <v>16669908.898800001</v>
      </c>
      <c r="N371">
        <v>0</v>
      </c>
      <c r="O371" t="b">
        <v>0</v>
      </c>
    </row>
    <row r="372" spans="1:15" x14ac:dyDescent="0.3">
      <c r="A372" s="1" t="s">
        <v>476</v>
      </c>
      <c r="B372">
        <v>0.12586835298926499</v>
      </c>
      <c r="C372">
        <v>2.9678652639273618E-3</v>
      </c>
      <c r="D372">
        <v>4.6710240884310604E-3</v>
      </c>
      <c r="E372">
        <v>53.211061179221403</v>
      </c>
      <c r="F372">
        <v>4.4430970944608914E-3</v>
      </c>
      <c r="G372">
        <v>0.2</v>
      </c>
      <c r="H372">
        <v>-9.2575322392174766E-2</v>
      </c>
      <c r="I372">
        <v>3.119765054692214E-2</v>
      </c>
      <c r="J372">
        <v>-4.6493070631445921E-3</v>
      </c>
      <c r="K372">
        <v>3.7489349616586232E-3</v>
      </c>
      <c r="L372">
        <v>0</v>
      </c>
      <c r="M372">
        <v>26304937.635499999</v>
      </c>
      <c r="N372">
        <v>0</v>
      </c>
      <c r="O372" t="b">
        <v>0</v>
      </c>
    </row>
    <row r="373" spans="1:15" x14ac:dyDescent="0.3">
      <c r="A373" s="1" t="s">
        <v>477</v>
      </c>
      <c r="B373">
        <v>0.31415871430773368</v>
      </c>
      <c r="C373">
        <v>9.5852277266030711E-3</v>
      </c>
      <c r="D373">
        <v>1.0855735874271241E-2</v>
      </c>
      <c r="E373">
        <v>57.665265715184461</v>
      </c>
      <c r="F373">
        <v>-9.0132856011174711E-3</v>
      </c>
      <c r="G373">
        <v>0.4</v>
      </c>
      <c r="H373">
        <v>-3.0302017320150431E-2</v>
      </c>
      <c r="I373">
        <v>0.93918340515214005</v>
      </c>
      <c r="J373">
        <v>-1.079588325838288E-2</v>
      </c>
      <c r="K373">
        <v>7.9466369795400116E-3</v>
      </c>
      <c r="L373">
        <v>0</v>
      </c>
      <c r="M373">
        <v>17967597.053199999</v>
      </c>
      <c r="N373">
        <v>0</v>
      </c>
      <c r="O373" t="b">
        <v>0</v>
      </c>
    </row>
    <row r="374" spans="1:15" x14ac:dyDescent="0.3">
      <c r="A374" s="1" t="s">
        <v>478</v>
      </c>
      <c r="B374">
        <v>0.29005503724346032</v>
      </c>
      <c r="C374">
        <v>8.5529915708115346E-3</v>
      </c>
      <c r="D374">
        <v>1.25911531668077E-2</v>
      </c>
      <c r="E374">
        <v>65.687229829528746</v>
      </c>
      <c r="F374">
        <v>2.614323710161082E-2</v>
      </c>
      <c r="G374">
        <v>0.6</v>
      </c>
      <c r="H374">
        <v>-2.392139098464556E-2</v>
      </c>
      <c r="I374">
        <v>0.67451354141053643</v>
      </c>
      <c r="J374">
        <v>0</v>
      </c>
      <c r="K374">
        <v>1.0952353981034779E-2</v>
      </c>
      <c r="L374">
        <v>0</v>
      </c>
      <c r="M374">
        <v>26928229.5306</v>
      </c>
      <c r="N374">
        <v>0</v>
      </c>
      <c r="O374" t="b">
        <v>0</v>
      </c>
    </row>
    <row r="375" spans="1:15" x14ac:dyDescent="0.3">
      <c r="A375" s="1" t="s">
        <v>479</v>
      </c>
      <c r="B375">
        <v>0.30478623574643349</v>
      </c>
      <c r="C375">
        <v>9.4706169461608886E-3</v>
      </c>
      <c r="D375">
        <v>1.2155750210519491E-2</v>
      </c>
      <c r="E375">
        <v>62.284299625622737</v>
      </c>
      <c r="F375">
        <v>2.7423675027854699E-2</v>
      </c>
      <c r="G375">
        <v>0.6</v>
      </c>
      <c r="H375">
        <v>-6.6432656153859571E-2</v>
      </c>
      <c r="I375">
        <v>0.71163299641139977</v>
      </c>
      <c r="J375">
        <v>0</v>
      </c>
      <c r="K375">
        <v>7.573480607631744E-3</v>
      </c>
      <c r="L375">
        <v>0</v>
      </c>
      <c r="M375">
        <v>10075942.825200001</v>
      </c>
      <c r="N375">
        <v>0</v>
      </c>
      <c r="O375" t="b">
        <v>0</v>
      </c>
    </row>
    <row r="376" spans="1:15" x14ac:dyDescent="0.3">
      <c r="A376" s="1" t="s">
        <v>480</v>
      </c>
      <c r="B376">
        <v>0.42410907017593358</v>
      </c>
      <c r="C376">
        <v>8.68348188047177E-3</v>
      </c>
      <c r="D376">
        <v>1.452880679921954E-2</v>
      </c>
      <c r="E376">
        <v>70.47286908018549</v>
      </c>
      <c r="F376">
        <v>3.7966693869223578E-2</v>
      </c>
      <c r="G376">
        <v>0.6</v>
      </c>
      <c r="H376">
        <v>3.869339783341344E-2</v>
      </c>
      <c r="I376">
        <v>0.64637016639429423</v>
      </c>
      <c r="J376">
        <v>0</v>
      </c>
      <c r="K376">
        <v>1.317686497654846E-2</v>
      </c>
      <c r="L376">
        <v>0</v>
      </c>
      <c r="M376">
        <v>39627504.461499996</v>
      </c>
      <c r="N376">
        <v>0</v>
      </c>
      <c r="O376" t="b">
        <v>0</v>
      </c>
    </row>
    <row r="377" spans="1:15" x14ac:dyDescent="0.3">
      <c r="A377" s="1" t="s">
        <v>481</v>
      </c>
      <c r="B377">
        <v>0.36617005515353213</v>
      </c>
      <c r="C377">
        <v>1.071437092994804E-2</v>
      </c>
      <c r="D377">
        <v>1.9671929680824912E-2</v>
      </c>
      <c r="E377">
        <v>67.128090366677611</v>
      </c>
      <c r="F377">
        <v>3.5931882801559338E-2</v>
      </c>
      <c r="G377">
        <v>0.6</v>
      </c>
      <c r="H377">
        <v>-4.1556652757242414E-3</v>
      </c>
      <c r="I377">
        <v>0.71607913894019504</v>
      </c>
      <c r="J377">
        <v>0</v>
      </c>
      <c r="K377">
        <v>1.8403957327612019E-2</v>
      </c>
      <c r="L377">
        <v>0</v>
      </c>
      <c r="M377">
        <v>21354036.524549998</v>
      </c>
      <c r="N377">
        <v>0</v>
      </c>
      <c r="O377" t="b">
        <v>0</v>
      </c>
    </row>
    <row r="378" spans="1:15" x14ac:dyDescent="0.3">
      <c r="A378" s="1" t="s">
        <v>482</v>
      </c>
      <c r="B378">
        <v>7.4284316530031869E-2</v>
      </c>
      <c r="C378">
        <v>1.5538409001636139E-3</v>
      </c>
      <c r="D378">
        <v>2.4891804321133509E-3</v>
      </c>
      <c r="E378">
        <v>57.79528604986038</v>
      </c>
      <c r="F378">
        <v>3.562342035216215E-3</v>
      </c>
      <c r="G378">
        <v>0.2</v>
      </c>
      <c r="H378">
        <v>-8.6832762298870367E-2</v>
      </c>
      <c r="I378">
        <v>9.2100075443225862E-3</v>
      </c>
      <c r="J378">
        <v>-1.0364318326663291E-3</v>
      </c>
      <c r="K378">
        <v>2.4953919128332109E-3</v>
      </c>
      <c r="L378">
        <v>0</v>
      </c>
      <c r="M378">
        <v>20645079.846799999</v>
      </c>
      <c r="N378">
        <v>0</v>
      </c>
      <c r="O378" t="b">
        <v>0</v>
      </c>
    </row>
    <row r="379" spans="1:15" x14ac:dyDescent="0.3">
      <c r="A379" s="1" t="s">
        <v>483</v>
      </c>
      <c r="B379">
        <v>0.52122295982559119</v>
      </c>
      <c r="C379">
        <v>1.547725756459485E-2</v>
      </c>
      <c r="D379">
        <v>3.0751231563662568E-2</v>
      </c>
      <c r="E379">
        <v>71.092764223677889</v>
      </c>
      <c r="F379">
        <v>7.0930668888450565E-2</v>
      </c>
      <c r="G379">
        <v>0.6</v>
      </c>
      <c r="H379">
        <v>-1.3213372042639509E-2</v>
      </c>
      <c r="I379">
        <v>1.0817858665272999</v>
      </c>
      <c r="J379">
        <v>0</v>
      </c>
      <c r="K379">
        <v>2.6403213615195039E-2</v>
      </c>
      <c r="L379">
        <v>0</v>
      </c>
      <c r="M379">
        <v>34591413.813000001</v>
      </c>
      <c r="N379">
        <v>0</v>
      </c>
      <c r="O379" t="b">
        <v>0</v>
      </c>
    </row>
    <row r="380" spans="1:15" x14ac:dyDescent="0.3">
      <c r="A380" s="1" t="s">
        <v>484</v>
      </c>
      <c r="B380">
        <v>0.79746093347357716</v>
      </c>
      <c r="C380">
        <v>1.067532872217187E-2</v>
      </c>
      <c r="D380">
        <v>1.1756154176700969E-2</v>
      </c>
      <c r="E380">
        <v>61.710100536289481</v>
      </c>
      <c r="F380">
        <v>1.12111174432914E-2</v>
      </c>
      <c r="G380">
        <v>0.6</v>
      </c>
      <c r="H380">
        <v>-1.7328992024703289E-2</v>
      </c>
      <c r="I380">
        <v>1.031366115745221</v>
      </c>
      <c r="J380">
        <v>0</v>
      </c>
      <c r="K380">
        <v>7.8086950656008902E-3</v>
      </c>
      <c r="L380">
        <v>0</v>
      </c>
      <c r="M380">
        <v>27302751.09615</v>
      </c>
      <c r="N380">
        <v>0</v>
      </c>
      <c r="O380" t="b">
        <v>0</v>
      </c>
    </row>
    <row r="381" spans="1:15" x14ac:dyDescent="0.3">
      <c r="A381" s="1" t="s">
        <v>485</v>
      </c>
      <c r="B381">
        <v>0.51856048187963444</v>
      </c>
      <c r="C381">
        <v>1.1138256832628479E-2</v>
      </c>
      <c r="D381">
        <v>2.022694907499897E-2</v>
      </c>
      <c r="E381">
        <v>66.191810368235153</v>
      </c>
      <c r="F381">
        <v>3.5230575265218889E-2</v>
      </c>
      <c r="G381">
        <v>0.6</v>
      </c>
      <c r="H381">
        <v>-4.1494323274453501E-3</v>
      </c>
      <c r="I381">
        <v>0.80166583579615502</v>
      </c>
      <c r="J381">
        <v>0</v>
      </c>
      <c r="K381">
        <v>1.8086753437598361E-2</v>
      </c>
      <c r="L381">
        <v>0</v>
      </c>
      <c r="M381">
        <v>13583460.336100001</v>
      </c>
      <c r="N381">
        <v>0</v>
      </c>
      <c r="O381" t="b">
        <v>0</v>
      </c>
    </row>
    <row r="382" spans="1:15" x14ac:dyDescent="0.3">
      <c r="A382" s="1" t="s">
        <v>486</v>
      </c>
      <c r="B382">
        <v>4.4850131749870892</v>
      </c>
      <c r="C382">
        <v>3.5778494475586051E-2</v>
      </c>
      <c r="D382">
        <v>2.200151569542496E-2</v>
      </c>
      <c r="E382">
        <v>70.681421232388345</v>
      </c>
      <c r="F382">
        <v>0.25388102459049189</v>
      </c>
      <c r="G382">
        <v>0.8</v>
      </c>
      <c r="H382">
        <v>9.2890008082608333E-2</v>
      </c>
      <c r="I382">
        <v>0.55745888732884474</v>
      </c>
      <c r="J382">
        <v>-4.8957574654042157E-2</v>
      </c>
      <c r="K382">
        <v>2.7838441047300928E-3</v>
      </c>
      <c r="L382">
        <v>0</v>
      </c>
      <c r="M382">
        <v>299532435.4605</v>
      </c>
      <c r="N382">
        <v>0</v>
      </c>
      <c r="O382" t="b">
        <v>1</v>
      </c>
    </row>
    <row r="383" spans="1:15" x14ac:dyDescent="0.3">
      <c r="A383" s="1" t="s">
        <v>487</v>
      </c>
      <c r="B383">
        <v>0.65622992980063888</v>
      </c>
      <c r="C383">
        <v>9.4251783808253168E-3</v>
      </c>
      <c r="D383">
        <v>1.4756151508361921E-2</v>
      </c>
      <c r="E383">
        <v>61.993364637922333</v>
      </c>
      <c r="F383">
        <v>2.923081016677553E-2</v>
      </c>
      <c r="G383">
        <v>0.2</v>
      </c>
      <c r="H383">
        <v>-3.9454480904459521E-2</v>
      </c>
      <c r="I383">
        <v>0.57369997929116223</v>
      </c>
      <c r="J383">
        <v>0</v>
      </c>
      <c r="K383">
        <v>1.257258870255828E-2</v>
      </c>
      <c r="L383">
        <v>0</v>
      </c>
      <c r="M383">
        <v>99891756.502000004</v>
      </c>
      <c r="N383">
        <v>0</v>
      </c>
      <c r="O383" t="b">
        <v>1</v>
      </c>
    </row>
    <row r="384" spans="1:15" x14ac:dyDescent="0.3">
      <c r="A384" s="1" t="s">
        <v>488</v>
      </c>
      <c r="B384">
        <v>0.78534904022015095</v>
      </c>
      <c r="C384">
        <v>8.7403083036107689E-3</v>
      </c>
      <c r="D384">
        <v>1.043140126672572E-2</v>
      </c>
      <c r="E384">
        <v>59.308126681455107</v>
      </c>
      <c r="F384">
        <v>1.3624995628675579E-2</v>
      </c>
      <c r="G384">
        <v>0.2</v>
      </c>
      <c r="H384">
        <v>-0.13456510398840271</v>
      </c>
      <c r="I384">
        <v>0.66693336229151789</v>
      </c>
      <c r="J384">
        <v>0</v>
      </c>
      <c r="K384">
        <v>7.266368105105725E-3</v>
      </c>
      <c r="L384">
        <v>0</v>
      </c>
      <c r="M384">
        <v>52891657.967799999</v>
      </c>
      <c r="N384">
        <v>0</v>
      </c>
      <c r="O384" t="b">
        <v>0</v>
      </c>
    </row>
    <row r="385" spans="1:15" x14ac:dyDescent="0.3">
      <c r="A385" s="1" t="s">
        <v>489</v>
      </c>
      <c r="B385">
        <v>3.36853761079028</v>
      </c>
      <c r="C385">
        <v>1.8850871382308759E-2</v>
      </c>
      <c r="D385">
        <v>1.1365798515898719E-2</v>
      </c>
      <c r="E385">
        <v>39.607182196359091</v>
      </c>
      <c r="F385">
        <v>-2.6042120868579492E-2</v>
      </c>
      <c r="G385">
        <v>0.2</v>
      </c>
      <c r="H385">
        <v>-6.516606049461017E-2</v>
      </c>
      <c r="I385">
        <v>5.9193663828063348E-2</v>
      </c>
      <c r="J385">
        <v>-6.6750228489358965E-2</v>
      </c>
      <c r="K385">
        <v>-6.09609458454341E-4</v>
      </c>
      <c r="L385">
        <v>0</v>
      </c>
      <c r="M385">
        <v>175695475.60600001</v>
      </c>
      <c r="N385">
        <v>0</v>
      </c>
      <c r="O385" t="b">
        <v>1</v>
      </c>
    </row>
    <row r="386" spans="1:15" x14ac:dyDescent="0.3">
      <c r="A386" s="1" t="s">
        <v>490</v>
      </c>
      <c r="B386">
        <v>4.7584812939843184</v>
      </c>
      <c r="C386">
        <v>3.0733984124217309E-2</v>
      </c>
      <c r="D386">
        <v>3.9934637145735863E-2</v>
      </c>
      <c r="E386">
        <v>53.338351348852633</v>
      </c>
      <c r="F386">
        <v>7.7326653446056381E-2</v>
      </c>
      <c r="G386">
        <v>0.2</v>
      </c>
      <c r="H386">
        <v>-0.13203219299478411</v>
      </c>
      <c r="I386">
        <v>0.67852779808375363</v>
      </c>
      <c r="J386">
        <v>-5.8973688848909973E-2</v>
      </c>
      <c r="K386">
        <v>3.9637401376531711E-2</v>
      </c>
      <c r="L386">
        <v>0</v>
      </c>
      <c r="M386">
        <v>467106866.89649999</v>
      </c>
      <c r="N386">
        <v>0</v>
      </c>
      <c r="O386" t="b">
        <v>1</v>
      </c>
    </row>
    <row r="387" spans="1:15" x14ac:dyDescent="0.3">
      <c r="A387" s="1" t="s">
        <v>491</v>
      </c>
      <c r="B387">
        <v>4.8983423234078796</v>
      </c>
      <c r="C387">
        <v>2.1287792419015471E-2</v>
      </c>
      <c r="D387">
        <v>3.1464443874646392E-2</v>
      </c>
      <c r="E387">
        <v>62.288879249168602</v>
      </c>
      <c r="F387">
        <v>9.1156972277810056E-2</v>
      </c>
      <c r="G387">
        <v>0.2</v>
      </c>
      <c r="H387">
        <v>0.1032998690818374</v>
      </c>
      <c r="I387">
        <v>0.30517202145807021</v>
      </c>
      <c r="J387">
        <v>-1.518761038138194E-3</v>
      </c>
      <c r="K387">
        <v>3.2208719680963283E-2</v>
      </c>
      <c r="L387">
        <v>0</v>
      </c>
      <c r="M387">
        <v>766430200.48800004</v>
      </c>
      <c r="N387">
        <v>0</v>
      </c>
      <c r="O387" t="b">
        <v>1</v>
      </c>
    </row>
    <row r="388" spans="1:15" x14ac:dyDescent="0.3">
      <c r="A388" s="1" t="s">
        <v>492</v>
      </c>
      <c r="B388">
        <v>5.2039161599710981</v>
      </c>
      <c r="C388">
        <v>1.083855655753879E-2</v>
      </c>
      <c r="D388">
        <v>1.5354174910961639E-2</v>
      </c>
      <c r="E388">
        <v>60.877361300884189</v>
      </c>
      <c r="F388">
        <v>1.717070070441196E-2</v>
      </c>
      <c r="G388">
        <v>0.4</v>
      </c>
      <c r="H388">
        <v>-7.4658743014908886E-3</v>
      </c>
      <c r="I388">
        <v>0.7574173825505407</v>
      </c>
      <c r="J388">
        <v>-1.6655195859697209E-3</v>
      </c>
      <c r="K388">
        <v>1.03469391620179E-2</v>
      </c>
      <c r="L388">
        <v>0</v>
      </c>
      <c r="M388">
        <v>1593355048.187</v>
      </c>
      <c r="N388">
        <v>0</v>
      </c>
      <c r="O388" t="b">
        <v>1</v>
      </c>
    </row>
    <row r="389" spans="1:15" x14ac:dyDescent="0.3">
      <c r="A389" s="1" t="s">
        <v>493</v>
      </c>
      <c r="B389">
        <v>0.26652830213362311</v>
      </c>
      <c r="C389">
        <v>8.4826244691721363E-3</v>
      </c>
      <c r="D389">
        <v>1.163571553603541E-2</v>
      </c>
      <c r="E389">
        <v>61.239770565710757</v>
      </c>
      <c r="F389">
        <v>1.6762397864250381E-2</v>
      </c>
      <c r="G389">
        <v>0.4</v>
      </c>
      <c r="H389">
        <v>-3.548168445381919E-2</v>
      </c>
      <c r="I389">
        <v>0.66516894731220388</v>
      </c>
      <c r="J389">
        <v>0</v>
      </c>
      <c r="K389">
        <v>9.6010179392513884E-3</v>
      </c>
      <c r="L389">
        <v>0</v>
      </c>
      <c r="M389">
        <v>12984228.158</v>
      </c>
      <c r="N389">
        <v>0</v>
      </c>
      <c r="O389" t="b">
        <v>0</v>
      </c>
    </row>
    <row r="390" spans="1:15" x14ac:dyDescent="0.3">
      <c r="A390" s="1" t="s">
        <v>494</v>
      </c>
      <c r="B390">
        <v>1.644767444061483</v>
      </c>
      <c r="C390">
        <v>3.2725177955859192E-2</v>
      </c>
      <c r="D390">
        <v>3.3028253083963469E-2</v>
      </c>
      <c r="E390">
        <v>40.781269252345837</v>
      </c>
      <c r="F390">
        <v>-8.3635992356948075E-2</v>
      </c>
      <c r="G390">
        <v>0.4</v>
      </c>
      <c r="H390">
        <v>-5.3248257443315843E-2</v>
      </c>
      <c r="I390">
        <v>0.71514149236841518</v>
      </c>
      <c r="J390">
        <v>-9.7015984577766057E-2</v>
      </c>
      <c r="K390">
        <v>5.6022408963585244E-3</v>
      </c>
      <c r="L390">
        <v>0</v>
      </c>
      <c r="M390">
        <v>98425043.23120001</v>
      </c>
      <c r="N390">
        <v>0</v>
      </c>
      <c r="O390" t="b">
        <v>1</v>
      </c>
    </row>
    <row r="391" spans="1:15" x14ac:dyDescent="0.3">
      <c r="A391" s="1" t="s">
        <v>495</v>
      </c>
      <c r="B391">
        <v>2.3244256167970012</v>
      </c>
      <c r="C391">
        <v>2.1502748561938598E-2</v>
      </c>
      <c r="D391">
        <v>2.8390641911581069E-2</v>
      </c>
      <c r="E391">
        <v>54.15472682938131</v>
      </c>
      <c r="F391">
        <v>-3.0380496205801629E-2</v>
      </c>
      <c r="G391">
        <v>0.4</v>
      </c>
      <c r="H391">
        <v>-0.12841037503217481</v>
      </c>
      <c r="I391">
        <v>0.68404832926810955</v>
      </c>
      <c r="J391">
        <v>-6.7034332763709736E-2</v>
      </c>
      <c r="K391">
        <v>1.6914234108804219E-2</v>
      </c>
      <c r="L391">
        <v>0</v>
      </c>
      <c r="M391">
        <v>897986194.8670001</v>
      </c>
      <c r="N391">
        <v>0</v>
      </c>
      <c r="O391" t="b">
        <v>1</v>
      </c>
    </row>
    <row r="392" spans="1:15" x14ac:dyDescent="0.3">
      <c r="A392" s="1" t="s">
        <v>496</v>
      </c>
      <c r="B392">
        <v>0.38736639402127221</v>
      </c>
      <c r="C392">
        <v>8.7541219360462493E-3</v>
      </c>
      <c r="D392">
        <v>1.057862669945038E-2</v>
      </c>
      <c r="E392">
        <v>57.755144371350617</v>
      </c>
      <c r="F392">
        <v>9.4259565110275112E-3</v>
      </c>
      <c r="G392">
        <v>0.6</v>
      </c>
      <c r="H392">
        <v>-3.9744615358816059E-3</v>
      </c>
      <c r="I392">
        <v>0.50533825159824974</v>
      </c>
      <c r="J392">
        <v>-5.6984666271189246E-3</v>
      </c>
      <c r="K392">
        <v>6.6565052210114661E-3</v>
      </c>
      <c r="L392">
        <v>0</v>
      </c>
      <c r="M392">
        <v>21667308.18045</v>
      </c>
      <c r="N392">
        <v>0</v>
      </c>
      <c r="O392" t="b">
        <v>0</v>
      </c>
    </row>
    <row r="393" spans="1:15" x14ac:dyDescent="0.3">
      <c r="A393" s="1" t="s">
        <v>497</v>
      </c>
      <c r="B393">
        <v>1.4491266222642429</v>
      </c>
      <c r="C393">
        <v>4.1845989669773119E-2</v>
      </c>
      <c r="D393">
        <v>3.1764366156511743E-2</v>
      </c>
      <c r="E393">
        <v>58.539212043961648</v>
      </c>
      <c r="F393">
        <v>0.1339227242960053</v>
      </c>
      <c r="G393">
        <v>0.4</v>
      </c>
      <c r="H393">
        <v>-0.14033217562210401</v>
      </c>
      <c r="I393">
        <v>1.1489480882215459</v>
      </c>
      <c r="J393">
        <v>-2.615298087739026E-2</v>
      </c>
      <c r="K393">
        <v>-8.8723526044646173E-3</v>
      </c>
      <c r="L393">
        <v>0</v>
      </c>
      <c r="M393">
        <v>364487944</v>
      </c>
      <c r="N393">
        <v>0</v>
      </c>
      <c r="O393" t="b">
        <v>1</v>
      </c>
    </row>
    <row r="394" spans="1:15" x14ac:dyDescent="0.3">
      <c r="A394" s="1" t="s">
        <v>498</v>
      </c>
      <c r="B394">
        <v>8.742392866878351</v>
      </c>
      <c r="C394">
        <v>4.0052929005128267E-2</v>
      </c>
      <c r="D394">
        <v>3.9226466181948062E-2</v>
      </c>
      <c r="E394">
        <v>52.036990140618798</v>
      </c>
      <c r="F394">
        <v>-5.4947319257658833E-4</v>
      </c>
      <c r="G394">
        <v>0.4</v>
      </c>
      <c r="H394">
        <v>-5.2347829388016028E-2</v>
      </c>
      <c r="I394">
        <v>1.405305085779929</v>
      </c>
      <c r="J394">
        <v>-5.4776545989953178E-2</v>
      </c>
      <c r="K394">
        <v>6.9243899063522463E-3</v>
      </c>
      <c r="L394">
        <v>0</v>
      </c>
      <c r="M394">
        <v>259038441.83649999</v>
      </c>
      <c r="N394">
        <v>0</v>
      </c>
      <c r="O394" t="b">
        <v>1</v>
      </c>
    </row>
    <row r="395" spans="1:15" x14ac:dyDescent="0.3">
      <c r="A395" s="1" t="s">
        <v>499</v>
      </c>
      <c r="B395">
        <v>0.72665577695028105</v>
      </c>
      <c r="C395">
        <v>8.252875416249637E-3</v>
      </c>
      <c r="D395">
        <v>1.131645178582779E-2</v>
      </c>
      <c r="E395">
        <v>59.567240123727707</v>
      </c>
      <c r="F395">
        <v>1.6280328676809171E-2</v>
      </c>
      <c r="G395">
        <v>0.2</v>
      </c>
      <c r="H395">
        <v>-6.8150038567668131E-2</v>
      </c>
      <c r="I395">
        <v>0.5372437868237242</v>
      </c>
      <c r="J395">
        <v>-6.7757367336873653E-4</v>
      </c>
      <c r="K395">
        <v>9.0211501966499519E-3</v>
      </c>
      <c r="L395">
        <v>0</v>
      </c>
      <c r="M395">
        <v>13734882.038699999</v>
      </c>
      <c r="N395">
        <v>1</v>
      </c>
      <c r="O395" t="b">
        <v>0</v>
      </c>
    </row>
    <row r="396" spans="1:15" x14ac:dyDescent="0.3">
      <c r="A396" s="1" t="s">
        <v>500</v>
      </c>
      <c r="B396">
        <v>3.7270606516102989</v>
      </c>
      <c r="C396">
        <v>2.35527679051225E-2</v>
      </c>
      <c r="D396">
        <v>2.7647352489525601E-2</v>
      </c>
      <c r="E396">
        <v>44.079790217311967</v>
      </c>
      <c r="F396">
        <v>-5.732548580415342E-2</v>
      </c>
      <c r="G396">
        <v>0.4</v>
      </c>
      <c r="H396">
        <v>-0.1463308501626952</v>
      </c>
      <c r="I396">
        <v>0.73035496032695602</v>
      </c>
      <c r="J396">
        <v>-5.3746015989858287E-2</v>
      </c>
      <c r="K396">
        <v>-1.996692822682045E-2</v>
      </c>
      <c r="L396">
        <v>0</v>
      </c>
      <c r="M396">
        <v>293466429.12849998</v>
      </c>
      <c r="N396">
        <v>0</v>
      </c>
      <c r="O396" t="b">
        <v>1</v>
      </c>
    </row>
    <row r="397" spans="1:15" x14ac:dyDescent="0.3">
      <c r="A397" s="1" t="s">
        <v>501</v>
      </c>
      <c r="B397">
        <v>4.4836387273271008</v>
      </c>
      <c r="C397">
        <v>3.6088528069278022E-2</v>
      </c>
      <c r="D397">
        <v>4.000321957501609E-2</v>
      </c>
      <c r="E397">
        <v>73.327365172133497</v>
      </c>
      <c r="F397">
        <v>0.16887759902154481</v>
      </c>
      <c r="G397">
        <v>0.6</v>
      </c>
      <c r="H397">
        <v>0.14302088986033309</v>
      </c>
      <c r="I397">
        <v>1.3519618198637711</v>
      </c>
      <c r="J397">
        <v>0</v>
      </c>
      <c r="K397">
        <v>3.8101604278074852E-2</v>
      </c>
      <c r="L397">
        <v>0</v>
      </c>
      <c r="M397">
        <v>319402172</v>
      </c>
      <c r="N397">
        <v>0</v>
      </c>
      <c r="O397" t="b">
        <v>1</v>
      </c>
    </row>
    <row r="398" spans="1:15" x14ac:dyDescent="0.3">
      <c r="A398" s="1" t="s">
        <v>502</v>
      </c>
      <c r="B398">
        <v>0.36964489630486203</v>
      </c>
      <c r="C398">
        <v>2.263926702668255E-2</v>
      </c>
      <c r="D398">
        <v>2.0443910923834491E-2</v>
      </c>
      <c r="E398">
        <v>33.917381307773567</v>
      </c>
      <c r="F398">
        <v>-5.4946199839091547E-2</v>
      </c>
      <c r="G398">
        <v>0.2</v>
      </c>
      <c r="H398">
        <v>-0.12065433608548411</v>
      </c>
      <c r="I398">
        <v>0.55543239287241819</v>
      </c>
      <c r="J398">
        <v>-8.9268183846497151E-2</v>
      </c>
      <c r="K398">
        <v>8.4866153599090222E-3</v>
      </c>
      <c r="L398">
        <v>0</v>
      </c>
      <c r="M398">
        <v>107274770.74824999</v>
      </c>
      <c r="N398">
        <v>0</v>
      </c>
      <c r="O398" t="b">
        <v>1</v>
      </c>
    </row>
    <row r="399" spans="1:15" x14ac:dyDescent="0.3">
      <c r="A399" s="1" t="s">
        <v>503</v>
      </c>
      <c r="B399">
        <v>2.1045532902594628</v>
      </c>
      <c r="C399">
        <v>4.6726316391195892E-2</v>
      </c>
      <c r="D399">
        <v>2.6420959147424459E-2</v>
      </c>
      <c r="E399">
        <v>26.684612197269502</v>
      </c>
      <c r="F399">
        <v>-0.14274838218500191</v>
      </c>
      <c r="G399">
        <v>0</v>
      </c>
      <c r="H399">
        <v>-0.25073209411310682</v>
      </c>
      <c r="I399">
        <v>1.701734389299441</v>
      </c>
      <c r="J399">
        <v>-0.14567526555386939</v>
      </c>
      <c r="K399">
        <v>-1.994238865499764E-3</v>
      </c>
      <c r="L399">
        <v>0</v>
      </c>
      <c r="M399">
        <v>104194569</v>
      </c>
      <c r="N399">
        <v>0</v>
      </c>
      <c r="O399" t="b">
        <v>1</v>
      </c>
    </row>
    <row r="400" spans="1:15" x14ac:dyDescent="0.3">
      <c r="A400" s="1" t="s">
        <v>504</v>
      </c>
      <c r="B400">
        <v>2.6549305424295722</v>
      </c>
      <c r="C400">
        <v>3.8583498654695132E-2</v>
      </c>
      <c r="D400">
        <v>3.3250980962069417E-2</v>
      </c>
      <c r="E400">
        <v>50.482786219394427</v>
      </c>
      <c r="F400">
        <v>-1.206030150753779E-2</v>
      </c>
      <c r="G400">
        <v>0.6</v>
      </c>
      <c r="H400">
        <v>-0.10776413777046021</v>
      </c>
      <c r="I400">
        <v>1.142976225784671</v>
      </c>
      <c r="J400">
        <v>-3.2208157524613153E-2</v>
      </c>
      <c r="K400">
        <v>-8.358553105634825E-3</v>
      </c>
      <c r="L400">
        <v>0</v>
      </c>
      <c r="M400">
        <v>176145854</v>
      </c>
      <c r="N400">
        <v>0</v>
      </c>
      <c r="O400" t="b">
        <v>1</v>
      </c>
    </row>
    <row r="401" spans="1:15" x14ac:dyDescent="0.3">
      <c r="A401" s="1" t="s">
        <v>505</v>
      </c>
      <c r="B401">
        <v>0.5948194598589237</v>
      </c>
      <c r="C401">
        <v>1.138839830249728E-2</v>
      </c>
      <c r="D401">
        <v>1.99864829418939E-2</v>
      </c>
      <c r="E401">
        <v>63.012168478942542</v>
      </c>
      <c r="F401">
        <v>3.2025607840425303E-2</v>
      </c>
      <c r="G401">
        <v>0.4</v>
      </c>
      <c r="H401">
        <v>-0.1258260148495392</v>
      </c>
      <c r="I401">
        <v>0.67249289459359973</v>
      </c>
      <c r="J401">
        <v>0</v>
      </c>
      <c r="K401">
        <v>1.86130326332643E-2</v>
      </c>
      <c r="L401">
        <v>0</v>
      </c>
      <c r="M401">
        <v>6861621.7011000002</v>
      </c>
      <c r="N401">
        <v>0</v>
      </c>
      <c r="O401" t="b">
        <v>0</v>
      </c>
    </row>
    <row r="402" spans="1:15" x14ac:dyDescent="0.3">
      <c r="A402" s="1" t="s">
        <v>506</v>
      </c>
      <c r="B402">
        <v>3.4658221560808742</v>
      </c>
      <c r="C402">
        <v>1.7709873051000889E-2</v>
      </c>
      <c r="D402">
        <v>3.326520183955043E-2</v>
      </c>
      <c r="E402">
        <v>74.761973608587581</v>
      </c>
      <c r="F402">
        <v>7.775593261409508E-2</v>
      </c>
      <c r="G402">
        <v>0.8</v>
      </c>
      <c r="H402">
        <v>5.7832485749062378E-2</v>
      </c>
      <c r="I402">
        <v>0.62165606469345491</v>
      </c>
      <c r="J402">
        <v>0</v>
      </c>
      <c r="K402">
        <v>2.9566498316498269E-2</v>
      </c>
      <c r="L402">
        <v>0</v>
      </c>
      <c r="M402">
        <v>172454002.97600001</v>
      </c>
      <c r="N402">
        <v>0</v>
      </c>
      <c r="O402" t="b">
        <v>1</v>
      </c>
    </row>
    <row r="403" spans="1:15" x14ac:dyDescent="0.3">
      <c r="A403" s="1" t="s">
        <v>507</v>
      </c>
      <c r="B403">
        <v>0.87842508716844792</v>
      </c>
      <c r="C403">
        <v>3.5722858363905978E-2</v>
      </c>
      <c r="D403">
        <v>6.4660431069540461E-2</v>
      </c>
      <c r="E403">
        <v>63.591016346271111</v>
      </c>
      <c r="F403">
        <v>0.1291989070787318</v>
      </c>
      <c r="G403">
        <v>0.6</v>
      </c>
      <c r="H403">
        <v>-1.414675600149749E-2</v>
      </c>
      <c r="I403">
        <v>1.751295627897689</v>
      </c>
      <c r="J403">
        <v>0</v>
      </c>
      <c r="K403">
        <v>6.4041540458675827E-2</v>
      </c>
      <c r="L403">
        <v>0</v>
      </c>
      <c r="M403">
        <v>277840840.22035003</v>
      </c>
      <c r="N403">
        <v>0</v>
      </c>
      <c r="O403" t="b">
        <v>1</v>
      </c>
    </row>
    <row r="404" spans="1:15" x14ac:dyDescent="0.3">
      <c r="A404" s="1" t="s">
        <v>508</v>
      </c>
      <c r="B404">
        <v>1.493731404556377</v>
      </c>
      <c r="C404">
        <v>1.9189297853166191E-2</v>
      </c>
      <c r="D404">
        <v>2.0166517004338289E-2</v>
      </c>
      <c r="E404">
        <v>51.169605843672549</v>
      </c>
      <c r="F404">
        <v>-8.3518571717866252E-2</v>
      </c>
      <c r="G404">
        <v>0.8</v>
      </c>
      <c r="H404">
        <v>-0.13330837863630501</v>
      </c>
      <c r="I404">
        <v>0.48497522932309761</v>
      </c>
      <c r="J404">
        <v>-6.6818436839152451E-2</v>
      </c>
      <c r="K404">
        <v>1.555387692319732E-2</v>
      </c>
      <c r="L404">
        <v>0</v>
      </c>
      <c r="M404">
        <v>61239544.142449997</v>
      </c>
      <c r="N404">
        <v>0</v>
      </c>
      <c r="O404" t="b">
        <v>0</v>
      </c>
    </row>
    <row r="405" spans="1:15" x14ac:dyDescent="0.3">
      <c r="A405" s="1" t="s">
        <v>509</v>
      </c>
      <c r="B405">
        <v>8.9063010206357465</v>
      </c>
      <c r="C405">
        <v>2.134820663060592E-2</v>
      </c>
      <c r="D405">
        <v>1.179313122015766E-2</v>
      </c>
      <c r="E405">
        <v>52.897290655764678</v>
      </c>
      <c r="F405">
        <v>2.7700660431041468E-2</v>
      </c>
      <c r="G405">
        <v>0.4</v>
      </c>
      <c r="H405">
        <v>-0.13003395878279639</v>
      </c>
      <c r="I405">
        <v>5.7815748101122853E-2</v>
      </c>
      <c r="J405">
        <v>-2.9673217816025051E-2</v>
      </c>
      <c r="K405">
        <v>4.050453780784613E-3</v>
      </c>
      <c r="L405">
        <v>0</v>
      </c>
      <c r="M405">
        <v>253297908.63600001</v>
      </c>
      <c r="N405">
        <v>0</v>
      </c>
      <c r="O405" t="b">
        <v>1</v>
      </c>
    </row>
    <row r="406" spans="1:15" x14ac:dyDescent="0.3">
      <c r="A406" s="1" t="s">
        <v>510</v>
      </c>
      <c r="B406">
        <v>3.643914673660698</v>
      </c>
      <c r="C406">
        <v>2.0495265132264479E-2</v>
      </c>
      <c r="D406">
        <v>1.646858987699177E-2</v>
      </c>
      <c r="E406">
        <v>52.403161929389142</v>
      </c>
      <c r="F406">
        <v>3.1856486210418922E-2</v>
      </c>
      <c r="G406">
        <v>0.6</v>
      </c>
      <c r="H406">
        <v>-0.18889442768530471</v>
      </c>
      <c r="I406">
        <v>0.33179611035546192</v>
      </c>
      <c r="J406">
        <v>-4.891781918317295E-3</v>
      </c>
      <c r="K406">
        <v>1.111818833244249E-2</v>
      </c>
      <c r="L406">
        <v>0</v>
      </c>
      <c r="M406">
        <v>228130490.92050001</v>
      </c>
      <c r="N406">
        <v>0</v>
      </c>
      <c r="O406" t="b">
        <v>1</v>
      </c>
    </row>
    <row r="407" spans="1:15" x14ac:dyDescent="0.3">
      <c r="A407" s="1" t="s">
        <v>511</v>
      </c>
      <c r="B407">
        <v>0.95199552035129265</v>
      </c>
      <c r="C407">
        <v>2.7983407417733471E-2</v>
      </c>
      <c r="D407">
        <v>2.792475014697245E-2</v>
      </c>
      <c r="E407">
        <v>40.625437357190698</v>
      </c>
      <c r="F407">
        <v>-4.2135345543620528E-2</v>
      </c>
      <c r="G407">
        <v>0.8</v>
      </c>
      <c r="H407">
        <v>-0.1975472934396674</v>
      </c>
      <c r="I407">
        <v>1.134787030810362</v>
      </c>
      <c r="J407">
        <v>-4.1598350264532291E-2</v>
      </c>
      <c r="K407">
        <v>1.7667844522968319E-3</v>
      </c>
      <c r="L407">
        <v>0</v>
      </c>
      <c r="M407">
        <v>34528559.866700001</v>
      </c>
      <c r="N407">
        <v>0</v>
      </c>
      <c r="O407" t="b">
        <v>0</v>
      </c>
    </row>
    <row r="408" spans="1:15" x14ac:dyDescent="0.3">
      <c r="A408" s="1" t="s">
        <v>512</v>
      </c>
      <c r="B408">
        <v>2.5098387976695569</v>
      </c>
      <c r="C408">
        <v>2.6851811251412831E-2</v>
      </c>
      <c r="D408">
        <v>2.000641917192672E-2</v>
      </c>
      <c r="E408">
        <v>64.633085362429597</v>
      </c>
      <c r="F408">
        <v>0.12831965234186371</v>
      </c>
      <c r="G408">
        <v>0.4</v>
      </c>
      <c r="H408">
        <v>-0.1063784545514577</v>
      </c>
      <c r="I408">
        <v>0.82442301130463314</v>
      </c>
      <c r="J408">
        <v>-1.4757035943923301E-2</v>
      </c>
      <c r="K408">
        <v>1.830264734720544E-2</v>
      </c>
      <c r="L408">
        <v>0</v>
      </c>
      <c r="M408">
        <v>33429246</v>
      </c>
      <c r="N408">
        <v>0</v>
      </c>
      <c r="O408" t="b">
        <v>0</v>
      </c>
    </row>
    <row r="409" spans="1:15" x14ac:dyDescent="0.3">
      <c r="A409" s="1" t="s">
        <v>513</v>
      </c>
      <c r="B409">
        <v>1.44494373414746</v>
      </c>
      <c r="C409">
        <v>1.118221713807256E-2</v>
      </c>
      <c r="D409">
        <v>1.103561423331127E-2</v>
      </c>
      <c r="E409">
        <v>60.124586992703847</v>
      </c>
      <c r="F409">
        <v>4.415079673532718E-3</v>
      </c>
      <c r="G409">
        <v>0.8</v>
      </c>
      <c r="H409">
        <v>5.3743658399365282E-3</v>
      </c>
      <c r="I409">
        <v>1.040530024877695</v>
      </c>
      <c r="J409">
        <v>0</v>
      </c>
      <c r="K409">
        <v>5.040056000622295E-3</v>
      </c>
      <c r="L409">
        <v>0</v>
      </c>
      <c r="M409">
        <v>12814188.625499999</v>
      </c>
      <c r="N409">
        <v>0</v>
      </c>
      <c r="O409" t="b">
        <v>0</v>
      </c>
    </row>
    <row r="410" spans="1:15" x14ac:dyDescent="0.3">
      <c r="A410" s="1" t="s">
        <v>514</v>
      </c>
      <c r="B410">
        <v>1.1962810500238319</v>
      </c>
      <c r="C410">
        <v>2.628033941177136E-2</v>
      </c>
      <c r="D410">
        <v>1.8233743409490299E-2</v>
      </c>
      <c r="E410">
        <v>48.729771848200009</v>
      </c>
      <c r="F410">
        <v>-2.5684931506849251E-2</v>
      </c>
      <c r="G410">
        <v>0.8</v>
      </c>
      <c r="H410">
        <v>-0.1136656384133016</v>
      </c>
      <c r="I410">
        <v>0.79120058315161246</v>
      </c>
      <c r="J410">
        <v>-2.8181041844577259E-2</v>
      </c>
      <c r="K410">
        <v>7.5254537405933242E-3</v>
      </c>
      <c r="L410">
        <v>0</v>
      </c>
      <c r="M410">
        <v>143606414</v>
      </c>
      <c r="N410">
        <v>0</v>
      </c>
      <c r="O410" t="b">
        <v>1</v>
      </c>
    </row>
    <row r="411" spans="1:15" x14ac:dyDescent="0.3">
      <c r="A411" s="1" t="s">
        <v>515</v>
      </c>
      <c r="B411">
        <v>1.9940375802032679</v>
      </c>
      <c r="C411">
        <v>1.547889414315198E-2</v>
      </c>
      <c r="D411">
        <v>7.6927256778681896E-3</v>
      </c>
      <c r="E411">
        <v>32.056500254143273</v>
      </c>
      <c r="F411">
        <v>-6.5694330618431773E-2</v>
      </c>
      <c r="G411">
        <v>0.2</v>
      </c>
      <c r="H411">
        <v>-0.13035123249051481</v>
      </c>
      <c r="I411">
        <v>0.23064380196538301</v>
      </c>
      <c r="J411">
        <v>-7.335582394026785E-2</v>
      </c>
      <c r="K411">
        <v>-1.9987449740859202E-3</v>
      </c>
      <c r="L411">
        <v>0</v>
      </c>
      <c r="M411">
        <v>162006384.20100001</v>
      </c>
      <c r="N411">
        <v>0</v>
      </c>
      <c r="O411" t="b">
        <v>1</v>
      </c>
    </row>
    <row r="412" spans="1:15" x14ac:dyDescent="0.3">
      <c r="A412" s="1" t="s">
        <v>516</v>
      </c>
      <c r="B412">
        <v>2.6006863822691439</v>
      </c>
      <c r="C412">
        <v>2.2237211695987621E-2</v>
      </c>
      <c r="D412">
        <v>2.2120186059237889E-2</v>
      </c>
      <c r="E412">
        <v>53.081705833523607</v>
      </c>
      <c r="F412">
        <v>2.5516914820855389E-2</v>
      </c>
      <c r="G412">
        <v>0.4</v>
      </c>
      <c r="H412">
        <v>6.5643887057742947E-2</v>
      </c>
      <c r="I412">
        <v>0.34638554367619362</v>
      </c>
      <c r="J412">
        <v>-3.1341107871720182E-2</v>
      </c>
      <c r="K412">
        <v>-1.3154897013779251E-2</v>
      </c>
      <c r="L412">
        <v>0</v>
      </c>
      <c r="M412">
        <v>85385778.926999986</v>
      </c>
      <c r="N412">
        <v>0</v>
      </c>
      <c r="O412" t="b">
        <v>0</v>
      </c>
    </row>
    <row r="413" spans="1:15" x14ac:dyDescent="0.3">
      <c r="A413" s="1" t="s">
        <v>517</v>
      </c>
      <c r="B413">
        <v>0.35163319698047157</v>
      </c>
      <c r="C413">
        <v>9.2644518649791872E-3</v>
      </c>
      <c r="D413">
        <v>1.011985214108259E-2</v>
      </c>
      <c r="E413">
        <v>55.767081215313063</v>
      </c>
      <c r="F413">
        <v>3.694262126012315E-3</v>
      </c>
      <c r="G413">
        <v>0.6</v>
      </c>
      <c r="H413">
        <v>-0.16131787669109909</v>
      </c>
      <c r="I413">
        <v>0.78535098509310775</v>
      </c>
      <c r="J413">
        <v>-2.3603689324981358E-3</v>
      </c>
      <c r="K413">
        <v>6.0807354137895056E-3</v>
      </c>
      <c r="L413">
        <v>0</v>
      </c>
      <c r="M413">
        <v>36106073.648200013</v>
      </c>
      <c r="N413">
        <v>0</v>
      </c>
      <c r="O413" t="b">
        <v>0</v>
      </c>
    </row>
    <row r="414" spans="1:15" x14ac:dyDescent="0.3">
      <c r="A414" s="1" t="s">
        <v>518</v>
      </c>
      <c r="B414">
        <v>1.782245754511435</v>
      </c>
      <c r="C414">
        <v>1.5766923702074848E-2</v>
      </c>
      <c r="D414">
        <v>1.315498465104342E-2</v>
      </c>
      <c r="E414">
        <v>24.051083399719079</v>
      </c>
      <c r="F414">
        <v>-6.4580730050231239E-2</v>
      </c>
      <c r="G414">
        <v>0.2</v>
      </c>
      <c r="H414">
        <v>-0.13026483107648071</v>
      </c>
      <c r="I414">
        <v>-0.23704021257144561</v>
      </c>
      <c r="J414">
        <v>-8.93146314542832E-2</v>
      </c>
      <c r="K414">
        <v>-1.076426264800856E-2</v>
      </c>
      <c r="L414">
        <v>0</v>
      </c>
      <c r="M414">
        <v>367050560.19550002</v>
      </c>
      <c r="N414">
        <v>0</v>
      </c>
      <c r="O414" t="b">
        <v>1</v>
      </c>
    </row>
    <row r="415" spans="1:15" x14ac:dyDescent="0.3">
      <c r="A415" s="1" t="s">
        <v>519</v>
      </c>
      <c r="B415">
        <v>11.9442110942655</v>
      </c>
      <c r="C415">
        <v>6.0495396547130757E-2</v>
      </c>
      <c r="D415">
        <v>7.8960696920583481E-2</v>
      </c>
      <c r="E415">
        <v>44.037429219687702</v>
      </c>
      <c r="F415">
        <v>2.406639004149369E-2</v>
      </c>
      <c r="G415">
        <v>0.8</v>
      </c>
      <c r="H415">
        <v>-0.1500805815431164</v>
      </c>
      <c r="I415">
        <v>1.7817997850497791</v>
      </c>
      <c r="J415">
        <v>-5.5672469867993242E-2</v>
      </c>
      <c r="K415">
        <v>-5.5672469867993242E-2</v>
      </c>
      <c r="L415">
        <v>0</v>
      </c>
      <c r="M415">
        <v>343804234.5</v>
      </c>
      <c r="N415">
        <v>0</v>
      </c>
      <c r="O415" t="b">
        <v>1</v>
      </c>
    </row>
    <row r="416" spans="1:15" x14ac:dyDescent="0.3">
      <c r="A416" s="1" t="s">
        <v>520</v>
      </c>
      <c r="B416">
        <v>2.6560798362616258</v>
      </c>
      <c r="C416">
        <v>2.23801806223595E-2</v>
      </c>
      <c r="D416">
        <v>2.5615099427030719E-2</v>
      </c>
      <c r="E416">
        <v>45.781006150140797</v>
      </c>
      <c r="F416">
        <v>-1.239910127319621E-2</v>
      </c>
      <c r="G416">
        <v>0.4</v>
      </c>
      <c r="H416">
        <v>-0.15733186860812881</v>
      </c>
      <c r="I416">
        <v>0.49567933330490432</v>
      </c>
      <c r="J416">
        <v>-3.9805825242718362E-2</v>
      </c>
      <c r="K416">
        <v>1.7228079197737282E-2</v>
      </c>
      <c r="L416">
        <v>0</v>
      </c>
      <c r="M416">
        <v>100627948</v>
      </c>
      <c r="N416">
        <v>0</v>
      </c>
      <c r="O416" t="b">
        <v>1</v>
      </c>
    </row>
    <row r="417" spans="1:15" x14ac:dyDescent="0.3">
      <c r="A417" s="1" t="s">
        <v>521</v>
      </c>
      <c r="B417">
        <v>0.99236914161113554</v>
      </c>
      <c r="C417">
        <v>2.600255059338533E-2</v>
      </c>
      <c r="D417">
        <v>3.6709699902788627E-2</v>
      </c>
      <c r="E417">
        <v>70.013122629011434</v>
      </c>
      <c r="F417">
        <v>0.13237100554846731</v>
      </c>
      <c r="G417">
        <v>0.6</v>
      </c>
      <c r="H417">
        <v>4.5672568994128408E-2</v>
      </c>
      <c r="I417">
        <v>0.59379788417703494</v>
      </c>
      <c r="J417">
        <v>0</v>
      </c>
      <c r="K417">
        <v>2.700426255624189E-2</v>
      </c>
      <c r="L417">
        <v>0</v>
      </c>
      <c r="M417">
        <v>275741483.91210002</v>
      </c>
      <c r="N417">
        <v>0</v>
      </c>
      <c r="O417" t="b">
        <v>1</v>
      </c>
    </row>
    <row r="418" spans="1:15" x14ac:dyDescent="0.3">
      <c r="A418" s="1" t="s">
        <v>522</v>
      </c>
      <c r="B418">
        <v>1.4737501733980649</v>
      </c>
      <c r="C418">
        <v>1.04036522967313E-2</v>
      </c>
      <c r="D418">
        <v>1.5636361069343581E-2</v>
      </c>
      <c r="E418">
        <v>59.277023199518602</v>
      </c>
      <c r="F418">
        <v>1.942313504800031E-2</v>
      </c>
      <c r="G418">
        <v>0.6</v>
      </c>
      <c r="H418">
        <v>-7.9293343211389367E-2</v>
      </c>
      <c r="I418">
        <v>0.55329751802373173</v>
      </c>
      <c r="J418">
        <v>-2.092227059469987E-3</v>
      </c>
      <c r="K418">
        <v>1.4161040671826219E-2</v>
      </c>
      <c r="L418">
        <v>0</v>
      </c>
      <c r="M418">
        <v>50432650.497500002</v>
      </c>
      <c r="N418">
        <v>0</v>
      </c>
      <c r="O418" t="b">
        <v>0</v>
      </c>
    </row>
    <row r="419" spans="1:15" x14ac:dyDescent="0.3">
      <c r="A419" s="1" t="s">
        <v>523</v>
      </c>
      <c r="B419">
        <v>2.2149296852139022</v>
      </c>
      <c r="C419">
        <v>3.2784631219862373E-2</v>
      </c>
      <c r="D419">
        <v>3.8632326820603899E-2</v>
      </c>
      <c r="E419">
        <v>65.169355010655011</v>
      </c>
      <c r="F419">
        <v>0.23194748358862149</v>
      </c>
      <c r="G419">
        <v>1</v>
      </c>
      <c r="H419">
        <v>-7.1034417264017921E-2</v>
      </c>
      <c r="I419">
        <v>0.4082820760539897</v>
      </c>
      <c r="J419">
        <v>0</v>
      </c>
      <c r="K419">
        <v>1.8543645409317081E-2</v>
      </c>
      <c r="L419">
        <v>0</v>
      </c>
      <c r="M419">
        <v>293805144</v>
      </c>
      <c r="N419">
        <v>0</v>
      </c>
      <c r="O419" t="b">
        <v>1</v>
      </c>
    </row>
    <row r="420" spans="1:15" x14ac:dyDescent="0.3">
      <c r="A420" s="1" t="s">
        <v>524</v>
      </c>
      <c r="B420">
        <v>1.5098217969232031</v>
      </c>
      <c r="C420">
        <v>1.061326461023776E-2</v>
      </c>
      <c r="D420">
        <v>8.0628154479890045E-3</v>
      </c>
      <c r="E420">
        <v>68.821324816814268</v>
      </c>
      <c r="F420">
        <v>4.147357478055258E-2</v>
      </c>
      <c r="G420">
        <v>1</v>
      </c>
      <c r="H420">
        <v>0.1052399785948986</v>
      </c>
      <c r="I420">
        <v>0.83376548175264475</v>
      </c>
      <c r="J420">
        <v>0</v>
      </c>
      <c r="K420">
        <v>3.937896965420018E-3</v>
      </c>
      <c r="L420">
        <v>0</v>
      </c>
      <c r="M420">
        <v>43628351.215999998</v>
      </c>
      <c r="N420">
        <v>0</v>
      </c>
      <c r="O420" t="b">
        <v>0</v>
      </c>
    </row>
    <row r="421" spans="1:15" x14ac:dyDescent="0.3">
      <c r="A421" s="1" t="s">
        <v>525</v>
      </c>
      <c r="B421">
        <v>12.557205073298441</v>
      </c>
      <c r="C421">
        <v>3.5289899877184172E-2</v>
      </c>
      <c r="D421">
        <v>4.1620998791557777E-2</v>
      </c>
      <c r="E421">
        <v>68.446316182874341</v>
      </c>
      <c r="F421">
        <v>0.21187248825011909</v>
      </c>
      <c r="G421">
        <v>0.4</v>
      </c>
      <c r="H421">
        <v>0.22235800790597751</v>
      </c>
      <c r="I421">
        <v>1.51861432976541</v>
      </c>
      <c r="J421">
        <v>-1.576632644593812E-2</v>
      </c>
      <c r="K421">
        <v>2.4826473891881081E-2</v>
      </c>
      <c r="L421">
        <v>0</v>
      </c>
      <c r="M421">
        <v>80408450</v>
      </c>
      <c r="N421">
        <v>0</v>
      </c>
      <c r="O421" t="b">
        <v>0</v>
      </c>
    </row>
    <row r="422" spans="1:15" x14ac:dyDescent="0.3">
      <c r="A422" s="1" t="s">
        <v>526</v>
      </c>
      <c r="B422">
        <v>0.66734652548618811</v>
      </c>
      <c r="C422">
        <v>1.0912824912901161E-2</v>
      </c>
      <c r="D422">
        <v>1.1257103143779919E-2</v>
      </c>
      <c r="E422">
        <v>61.359247059223449</v>
      </c>
      <c r="F422">
        <v>7.2306818088234692E-3</v>
      </c>
      <c r="G422">
        <v>0.6</v>
      </c>
      <c r="H422">
        <v>6.5630240997354997E-2</v>
      </c>
      <c r="I422">
        <v>0.99067480497611171</v>
      </c>
      <c r="J422">
        <v>0</v>
      </c>
      <c r="K422">
        <v>6.4035258066534873E-3</v>
      </c>
      <c r="L422">
        <v>0</v>
      </c>
      <c r="M422">
        <v>97451657.422899991</v>
      </c>
      <c r="N422">
        <v>0</v>
      </c>
      <c r="O422" t="b">
        <v>1</v>
      </c>
    </row>
    <row r="423" spans="1:15" x14ac:dyDescent="0.3">
      <c r="A423" s="1" t="s">
        <v>527</v>
      </c>
      <c r="B423">
        <v>0.5071644662947018</v>
      </c>
      <c r="C423">
        <v>1.3484830265745861E-2</v>
      </c>
      <c r="D423">
        <v>1.036958255783019E-2</v>
      </c>
      <c r="E423">
        <v>54.666468222002109</v>
      </c>
      <c r="F423">
        <v>-5.3149083178327672E-4</v>
      </c>
      <c r="G423">
        <v>0.6</v>
      </c>
      <c r="H423">
        <v>3.6810951178499363E-2</v>
      </c>
      <c r="I423">
        <v>0.42797152566752678</v>
      </c>
      <c r="J423">
        <v>-1.7245884504834219E-2</v>
      </c>
      <c r="K423">
        <v>4.0042712226373567E-3</v>
      </c>
      <c r="L423">
        <v>0</v>
      </c>
      <c r="M423">
        <v>8147961</v>
      </c>
      <c r="N423">
        <v>0</v>
      </c>
      <c r="O423" t="b">
        <v>0</v>
      </c>
    </row>
    <row r="424" spans="1:15" x14ac:dyDescent="0.3">
      <c r="A424" s="1" t="s">
        <v>528</v>
      </c>
      <c r="B424">
        <v>0.87640587656759328</v>
      </c>
      <c r="C424">
        <v>4.3064511648940752E-3</v>
      </c>
      <c r="D424">
        <v>1.52326666994252E-3</v>
      </c>
      <c r="E424">
        <v>68.1639689010334</v>
      </c>
      <c r="F424">
        <v>1.142079001252405E-2</v>
      </c>
      <c r="G424">
        <v>0.6</v>
      </c>
      <c r="H424">
        <v>0.10963000920830029</v>
      </c>
      <c r="I424">
        <v>0.28775946225844351</v>
      </c>
      <c r="J424">
        <v>-2.0105923891722281E-3</v>
      </c>
      <c r="K424">
        <v>-1.5209498577175571E-3</v>
      </c>
      <c r="L424">
        <v>0</v>
      </c>
      <c r="M424">
        <v>443328031.43099999</v>
      </c>
      <c r="N424">
        <v>0</v>
      </c>
      <c r="O424" t="b">
        <v>1</v>
      </c>
    </row>
    <row r="425" spans="1:15" x14ac:dyDescent="0.3">
      <c r="A425" s="1" t="s">
        <v>529</v>
      </c>
      <c r="B425">
        <v>0.1273431235426436</v>
      </c>
      <c r="C425">
        <v>2.6734278942210869E-3</v>
      </c>
      <c r="D425">
        <v>3.5458685068513718E-3</v>
      </c>
      <c r="E425">
        <v>50.870334696021011</v>
      </c>
      <c r="F425">
        <v>2.0068367078622811E-3</v>
      </c>
      <c r="G425">
        <v>0.2</v>
      </c>
      <c r="H425">
        <v>-8.980746970763484E-2</v>
      </c>
      <c r="I425">
        <v>-9.9517973835354344E-3</v>
      </c>
      <c r="J425">
        <v>-5.2439228134658622E-3</v>
      </c>
      <c r="K425">
        <v>2.719788142818258E-3</v>
      </c>
      <c r="L425">
        <v>0</v>
      </c>
      <c r="M425">
        <v>12716930.8873</v>
      </c>
      <c r="N425">
        <v>0</v>
      </c>
      <c r="O425" t="b">
        <v>0</v>
      </c>
    </row>
    <row r="426" spans="1:15" x14ac:dyDescent="0.3">
      <c r="A426" s="1" t="s">
        <v>530</v>
      </c>
      <c r="B426">
        <v>2.1396721869739279</v>
      </c>
      <c r="C426">
        <v>2.5894616809559831E-2</v>
      </c>
      <c r="D426">
        <v>2.4688369841461839E-2</v>
      </c>
      <c r="E426">
        <v>45.122093715698682</v>
      </c>
      <c r="F426">
        <v>-2.6513745795559651E-2</v>
      </c>
      <c r="G426">
        <v>0.8</v>
      </c>
      <c r="H426">
        <v>-8.8642519101944872E-2</v>
      </c>
      <c r="I426">
        <v>1.214893675351165</v>
      </c>
      <c r="J426">
        <v>-5.5456359866211558E-2</v>
      </c>
      <c r="K426">
        <v>-1.501966861366077E-2</v>
      </c>
      <c r="L426">
        <v>0</v>
      </c>
      <c r="M426">
        <v>372107549.08249998</v>
      </c>
      <c r="N426">
        <v>0</v>
      </c>
      <c r="O426" t="b">
        <v>1</v>
      </c>
    </row>
    <row r="427" spans="1:15" x14ac:dyDescent="0.3">
      <c r="A427" s="1" t="s">
        <v>531</v>
      </c>
      <c r="B427">
        <v>0.2445595070913221</v>
      </c>
      <c r="C427">
        <v>2.492961336302978E-2</v>
      </c>
      <c r="D427">
        <v>2.54841997961264E-2</v>
      </c>
      <c r="E427">
        <v>49.101342919815323</v>
      </c>
      <c r="F427">
        <v>-7.0850202429150189E-3</v>
      </c>
      <c r="G427">
        <v>0.4</v>
      </c>
      <c r="H427">
        <v>1.6686777384949392E-2</v>
      </c>
      <c r="I427">
        <v>0.21577792950050581</v>
      </c>
      <c r="J427">
        <v>-7.5400565504241235E-2</v>
      </c>
      <c r="K427">
        <v>-1.8999999999999909E-2</v>
      </c>
      <c r="L427">
        <v>0</v>
      </c>
      <c r="M427">
        <v>19366696</v>
      </c>
      <c r="N427">
        <v>0</v>
      </c>
      <c r="O427" t="b">
        <v>0</v>
      </c>
    </row>
    <row r="428" spans="1:15" x14ac:dyDescent="0.3">
      <c r="A428" s="1" t="s">
        <v>532</v>
      </c>
      <c r="B428">
        <v>5.0229353106248764</v>
      </c>
      <c r="C428">
        <v>1.9565050093969829E-2</v>
      </c>
      <c r="D428">
        <v>2.52483153507576E-2</v>
      </c>
      <c r="E428">
        <v>41.508876236059649</v>
      </c>
      <c r="F428">
        <v>-4.2934101777478686E-3</v>
      </c>
      <c r="G428">
        <v>0.4</v>
      </c>
      <c r="H428">
        <v>-0.1237244879578881</v>
      </c>
      <c r="I428">
        <v>0.48572904540553019</v>
      </c>
      <c r="J428">
        <v>-6.4364355973774656E-2</v>
      </c>
      <c r="K428">
        <v>1.6422389560618141E-2</v>
      </c>
      <c r="L428">
        <v>0</v>
      </c>
      <c r="M428">
        <v>313790161.648</v>
      </c>
      <c r="N428">
        <v>0</v>
      </c>
      <c r="O428" t="b">
        <v>1</v>
      </c>
    </row>
    <row r="429" spans="1:15" x14ac:dyDescent="0.3">
      <c r="A429" s="1" t="s">
        <v>533</v>
      </c>
      <c r="B429">
        <v>1.625814579129284</v>
      </c>
      <c r="C429">
        <v>1.7174164186508641E-2</v>
      </c>
      <c r="D429">
        <v>1.016623655936698E-2</v>
      </c>
      <c r="E429">
        <v>38.11826779785688</v>
      </c>
      <c r="F429">
        <v>-2.0718099165089932E-2</v>
      </c>
      <c r="G429">
        <v>0.4</v>
      </c>
      <c r="H429">
        <v>-6.4366715531250993E-2</v>
      </c>
      <c r="I429">
        <v>-0.4674173543949906</v>
      </c>
      <c r="J429">
        <v>-7.3615555490316842E-2</v>
      </c>
      <c r="K429">
        <v>-4.2788128292859939E-3</v>
      </c>
      <c r="L429">
        <v>0</v>
      </c>
      <c r="M429">
        <v>234823988.15549999</v>
      </c>
      <c r="N429">
        <v>0</v>
      </c>
      <c r="O429" t="b">
        <v>1</v>
      </c>
    </row>
    <row r="430" spans="1:15" x14ac:dyDescent="0.3">
      <c r="A430" s="1" t="s">
        <v>534</v>
      </c>
      <c r="B430">
        <v>1.486972146372413</v>
      </c>
      <c r="C430">
        <v>2.7705834663171471E-2</v>
      </c>
      <c r="D430">
        <v>1.8632383081796159E-2</v>
      </c>
      <c r="E430">
        <v>51.65435687011437</v>
      </c>
      <c r="F430">
        <v>-2.7188689505165842E-2</v>
      </c>
      <c r="G430">
        <v>0.8</v>
      </c>
      <c r="H430">
        <v>-3.121457918428262E-2</v>
      </c>
      <c r="I430">
        <v>0.95499028734869351</v>
      </c>
      <c r="J430">
        <v>-3.3495407887628281E-2</v>
      </c>
      <c r="K430">
        <v>6.5641410352588192E-3</v>
      </c>
      <c r="L430">
        <v>0</v>
      </c>
      <c r="M430">
        <v>58565652</v>
      </c>
      <c r="N430">
        <v>0</v>
      </c>
      <c r="O430" t="b">
        <v>0</v>
      </c>
    </row>
    <row r="431" spans="1:15" x14ac:dyDescent="0.3">
      <c r="A431" s="1" t="s">
        <v>535</v>
      </c>
      <c r="B431">
        <v>0.69953113901022457</v>
      </c>
      <c r="C431">
        <v>1.0568579990696811E-2</v>
      </c>
      <c r="D431">
        <v>1.163927317996599E-2</v>
      </c>
      <c r="E431">
        <v>40.799023535458069</v>
      </c>
      <c r="F431">
        <v>-2.1609245014160838E-2</v>
      </c>
      <c r="G431">
        <v>0.4</v>
      </c>
      <c r="H431">
        <v>-9.632636435375419E-2</v>
      </c>
      <c r="I431">
        <v>-0.1673206072544613</v>
      </c>
      <c r="J431">
        <v>-3.4716246999425333E-2</v>
      </c>
      <c r="K431">
        <v>4.1964343961975459E-3</v>
      </c>
      <c r="L431">
        <v>0</v>
      </c>
      <c r="M431">
        <v>63683701.960600004</v>
      </c>
      <c r="N431">
        <v>0</v>
      </c>
      <c r="O431" t="b">
        <v>0</v>
      </c>
    </row>
    <row r="432" spans="1:15" x14ac:dyDescent="0.3">
      <c r="A432" s="1" t="s">
        <v>536</v>
      </c>
      <c r="B432">
        <v>0.5642494969661187</v>
      </c>
      <c r="C432">
        <v>1.037948377480811E-2</v>
      </c>
      <c r="D432">
        <v>1.2874802251572779E-2</v>
      </c>
      <c r="E432">
        <v>59.759200083747103</v>
      </c>
      <c r="F432">
        <v>-6.6658383095666851E-3</v>
      </c>
      <c r="G432">
        <v>0.4</v>
      </c>
      <c r="H432">
        <v>1.9583927080898119E-2</v>
      </c>
      <c r="I432">
        <v>1.0156247989471661</v>
      </c>
      <c r="J432">
        <v>-7.9166651458688619E-3</v>
      </c>
      <c r="K432">
        <v>1.118475019856513E-2</v>
      </c>
      <c r="L432">
        <v>0</v>
      </c>
      <c r="M432">
        <v>1170593551.2249</v>
      </c>
      <c r="N432">
        <v>0</v>
      </c>
      <c r="O432" t="b">
        <v>1</v>
      </c>
    </row>
    <row r="433" spans="1:15" x14ac:dyDescent="0.3">
      <c r="A433" s="1" t="s">
        <v>537</v>
      </c>
      <c r="B433">
        <v>0.81393121711356708</v>
      </c>
      <c r="C433">
        <v>8.5926972487697581E-3</v>
      </c>
      <c r="D433">
        <v>1.2650490479669299E-2</v>
      </c>
      <c r="E433">
        <v>61.660290289742953</v>
      </c>
      <c r="F433">
        <v>1.2069149731820611E-2</v>
      </c>
      <c r="G433">
        <v>0.4</v>
      </c>
      <c r="H433">
        <v>-4.956424420496465E-2</v>
      </c>
      <c r="I433">
        <v>0.72164832495608522</v>
      </c>
      <c r="J433">
        <v>-1.242073609204253E-3</v>
      </c>
      <c r="K433">
        <v>1.111414737453353E-2</v>
      </c>
      <c r="L433">
        <v>0</v>
      </c>
      <c r="M433">
        <v>1174441237.8032999</v>
      </c>
      <c r="N433">
        <v>0</v>
      </c>
      <c r="O433" t="b">
        <v>1</v>
      </c>
    </row>
    <row r="434" spans="1:15" x14ac:dyDescent="0.3">
      <c r="A434" s="1" t="s">
        <v>538</v>
      </c>
      <c r="B434">
        <v>0.55598686543055054</v>
      </c>
      <c r="C434">
        <v>6.5426614602312168E-3</v>
      </c>
      <c r="D434">
        <v>9.4035328852994423E-3</v>
      </c>
      <c r="E434">
        <v>55.63039866845952</v>
      </c>
      <c r="F434">
        <v>4.899224732866303E-3</v>
      </c>
      <c r="G434">
        <v>0.2</v>
      </c>
      <c r="H434">
        <v>-0.1112384826195046</v>
      </c>
      <c r="I434">
        <v>0.29226292807945892</v>
      </c>
      <c r="J434">
        <v>-5.3117958622304062E-3</v>
      </c>
      <c r="K434">
        <v>8.0749246719968859E-3</v>
      </c>
      <c r="L434">
        <v>0</v>
      </c>
      <c r="M434">
        <v>28167789.600099999</v>
      </c>
      <c r="N434">
        <v>0</v>
      </c>
      <c r="O434" t="b">
        <v>0</v>
      </c>
    </row>
    <row r="435" spans="1:15" x14ac:dyDescent="0.3">
      <c r="A435" s="1" t="s">
        <v>539</v>
      </c>
      <c r="B435">
        <v>1.0845578163489049</v>
      </c>
      <c r="C435">
        <v>9.5561648414343205E-3</v>
      </c>
      <c r="D435">
        <v>1.2573462680517679E-2</v>
      </c>
      <c r="E435">
        <v>56.480705728818457</v>
      </c>
      <c r="F435">
        <v>-7.835748622140315E-4</v>
      </c>
      <c r="G435">
        <v>0.6</v>
      </c>
      <c r="H435">
        <v>-0.1090704720021531</v>
      </c>
      <c r="I435">
        <v>0.85268734281215852</v>
      </c>
      <c r="J435">
        <v>-1.148834616590599E-2</v>
      </c>
      <c r="K435">
        <v>9.6343741659994375E-3</v>
      </c>
      <c r="L435">
        <v>0</v>
      </c>
      <c r="M435">
        <v>73093414.534000009</v>
      </c>
      <c r="N435">
        <v>0</v>
      </c>
      <c r="O435" t="b">
        <v>0</v>
      </c>
    </row>
    <row r="436" spans="1:15" x14ac:dyDescent="0.3">
      <c r="A436" s="1" t="s">
        <v>540</v>
      </c>
      <c r="B436">
        <v>0.59835951494384243</v>
      </c>
      <c r="C436">
        <v>8.5647555207168657E-3</v>
      </c>
      <c r="D436">
        <v>1.4695904842334359E-2</v>
      </c>
      <c r="E436">
        <v>66.398350172004712</v>
      </c>
      <c r="F436">
        <v>2.276004526536313E-2</v>
      </c>
      <c r="G436">
        <v>0.6</v>
      </c>
      <c r="H436">
        <v>-2.3764532643234951E-3</v>
      </c>
      <c r="I436">
        <v>0.59248823039771259</v>
      </c>
      <c r="J436">
        <v>0</v>
      </c>
      <c r="K436">
        <v>1.3475188622176891E-2</v>
      </c>
      <c r="L436">
        <v>0</v>
      </c>
      <c r="M436">
        <v>131494458.31455</v>
      </c>
      <c r="N436">
        <v>0</v>
      </c>
      <c r="O436" t="b">
        <v>1</v>
      </c>
    </row>
    <row r="437" spans="1:15" x14ac:dyDescent="0.3">
      <c r="A437" s="1" t="s">
        <v>541</v>
      </c>
      <c r="B437">
        <v>5.0515045185444549</v>
      </c>
      <c r="C437">
        <v>2.3475715766077029E-2</v>
      </c>
      <c r="D437">
        <v>3.2856213402732558E-2</v>
      </c>
      <c r="E437">
        <v>53.884568564470463</v>
      </c>
      <c r="F437">
        <v>3.2875568206363948E-2</v>
      </c>
      <c r="G437">
        <v>0.6</v>
      </c>
      <c r="H437">
        <v>-0.20474965072232751</v>
      </c>
      <c r="I437">
        <v>0.42549741439015643</v>
      </c>
      <c r="J437">
        <v>0</v>
      </c>
      <c r="K437">
        <v>2.9470864032149931E-2</v>
      </c>
      <c r="L437">
        <v>0</v>
      </c>
      <c r="M437">
        <v>241826790.83649999</v>
      </c>
      <c r="N437">
        <v>0</v>
      </c>
      <c r="O437" t="b">
        <v>1</v>
      </c>
    </row>
    <row r="438" spans="1:15" x14ac:dyDescent="0.3">
      <c r="A438" s="1" t="s">
        <v>542</v>
      </c>
      <c r="B438">
        <v>6.4965106463855049</v>
      </c>
      <c r="C438">
        <v>2.0593117083670408E-2</v>
      </c>
      <c r="D438">
        <v>2.5010302088946609E-2</v>
      </c>
      <c r="E438">
        <v>47.489503648814313</v>
      </c>
      <c r="F438">
        <v>-3.9986610267490293E-2</v>
      </c>
      <c r="G438">
        <v>0.4</v>
      </c>
      <c r="H438">
        <v>-0.1078854282685059</v>
      </c>
      <c r="I438">
        <v>0.33293140451211528</v>
      </c>
      <c r="J438">
        <v>-3.6703410791169122E-2</v>
      </c>
      <c r="K438">
        <v>1.5810149407522012E-2</v>
      </c>
      <c r="L438">
        <v>0</v>
      </c>
      <c r="M438">
        <v>122572278.69599999</v>
      </c>
      <c r="N438">
        <v>0</v>
      </c>
      <c r="O438" t="b">
        <v>1</v>
      </c>
    </row>
    <row r="439" spans="1:15" x14ac:dyDescent="0.3">
      <c r="A439" s="1" t="s">
        <v>543</v>
      </c>
      <c r="B439">
        <v>1.2102844807316331</v>
      </c>
      <c r="C439">
        <v>3.6052561237165118E-2</v>
      </c>
      <c r="D439">
        <v>4.8257372654155417E-2</v>
      </c>
      <c r="E439">
        <v>72.7483752903658</v>
      </c>
      <c r="F439">
        <v>0.19466192170818511</v>
      </c>
      <c r="G439">
        <v>0.6</v>
      </c>
      <c r="H439">
        <v>9.2933344280691416E-2</v>
      </c>
      <c r="I439">
        <v>1.2062515216391929</v>
      </c>
      <c r="J439">
        <v>0</v>
      </c>
      <c r="K439">
        <v>3.7391841779975232E-2</v>
      </c>
      <c r="L439">
        <v>0</v>
      </c>
      <c r="M439">
        <v>34933954</v>
      </c>
      <c r="N439">
        <v>0</v>
      </c>
      <c r="O439" t="b">
        <v>0</v>
      </c>
    </row>
    <row r="440" spans="1:15" x14ac:dyDescent="0.3">
      <c r="A440" s="1" t="s">
        <v>544</v>
      </c>
      <c r="B440">
        <v>3.194722907728476</v>
      </c>
      <c r="C440">
        <v>1.7643579321414238E-2</v>
      </c>
      <c r="D440">
        <v>2.4857789805047801E-2</v>
      </c>
      <c r="E440">
        <v>61.594181927676161</v>
      </c>
      <c r="F440">
        <v>3.2915002852253128E-2</v>
      </c>
      <c r="G440">
        <v>0.6</v>
      </c>
      <c r="H440">
        <v>7.0654723715013606E-2</v>
      </c>
      <c r="I440">
        <v>0.51543328300238311</v>
      </c>
      <c r="J440">
        <v>0</v>
      </c>
      <c r="K440">
        <v>1.9704794138682539E-2</v>
      </c>
      <c r="L440">
        <v>0</v>
      </c>
      <c r="M440">
        <v>62398475.632499993</v>
      </c>
      <c r="N440">
        <v>0</v>
      </c>
      <c r="O440" t="b">
        <v>0</v>
      </c>
    </row>
    <row r="441" spans="1:15" x14ac:dyDescent="0.3">
      <c r="A441" s="1" t="s">
        <v>545</v>
      </c>
      <c r="B441">
        <v>2.617948982680518</v>
      </c>
      <c r="C441">
        <v>2.4648799384996881E-2</v>
      </c>
      <c r="D441">
        <v>3.1767253554279222E-2</v>
      </c>
      <c r="E441">
        <v>24.512407728929791</v>
      </c>
      <c r="F441">
        <v>-7.6466905498939308E-2</v>
      </c>
      <c r="G441">
        <v>0</v>
      </c>
      <c r="H441">
        <v>-0.23930398075350531</v>
      </c>
      <c r="I441">
        <v>0.32233976319503949</v>
      </c>
      <c r="J441">
        <v>-8.4727943330862976E-2</v>
      </c>
      <c r="K441">
        <v>-1.517891086446543E-2</v>
      </c>
      <c r="L441">
        <v>0</v>
      </c>
      <c r="M441">
        <v>76346778.238000005</v>
      </c>
      <c r="N441">
        <v>0</v>
      </c>
      <c r="O441" t="b">
        <v>0</v>
      </c>
    </row>
    <row r="442" spans="1:15" x14ac:dyDescent="0.3">
      <c r="A442" s="1" t="s">
        <v>546</v>
      </c>
      <c r="B442">
        <v>1.314050259732213</v>
      </c>
      <c r="C442">
        <v>2.3193569938686119E-2</v>
      </c>
      <c r="D442">
        <v>2.0698675157706691E-2</v>
      </c>
      <c r="E442">
        <v>50.413568082538688</v>
      </c>
      <c r="F442">
        <v>2.6155588589225069E-3</v>
      </c>
      <c r="G442">
        <v>0.8</v>
      </c>
      <c r="H442">
        <v>-4.822688699218306E-3</v>
      </c>
      <c r="I442">
        <v>0.24341338983850341</v>
      </c>
      <c r="J442">
        <v>-2.8557319538487721E-2</v>
      </c>
      <c r="K442">
        <v>1.518591320645846E-2</v>
      </c>
      <c r="L442">
        <v>0</v>
      </c>
      <c r="M442">
        <v>183042000.8105</v>
      </c>
      <c r="N442">
        <v>0</v>
      </c>
      <c r="O442" t="b">
        <v>1</v>
      </c>
    </row>
    <row r="443" spans="1:15" x14ac:dyDescent="0.3">
      <c r="A443" s="1" t="s">
        <v>547</v>
      </c>
      <c r="B443">
        <v>3.1598289608788961</v>
      </c>
      <c r="C443">
        <v>2.9454035802375989E-2</v>
      </c>
      <c r="D443">
        <v>4.6793437733035008E-2</v>
      </c>
      <c r="E443">
        <v>70.596170572128429</v>
      </c>
      <c r="F443">
        <v>0.20140836237558141</v>
      </c>
      <c r="G443">
        <v>0.6</v>
      </c>
      <c r="H443">
        <v>0.12877292800248361</v>
      </c>
      <c r="I443">
        <v>1.5961975991700561</v>
      </c>
      <c r="J443">
        <v>0</v>
      </c>
      <c r="K443">
        <v>4.5206547155105303E-2</v>
      </c>
      <c r="L443">
        <v>0</v>
      </c>
      <c r="M443">
        <v>269905705.78359997</v>
      </c>
      <c r="N443">
        <v>0</v>
      </c>
      <c r="O443" t="b">
        <v>1</v>
      </c>
    </row>
    <row r="444" spans="1:15" x14ac:dyDescent="0.3">
      <c r="A444" s="1" t="s">
        <v>548</v>
      </c>
      <c r="B444">
        <v>0.75403750988633056</v>
      </c>
      <c r="C444">
        <v>3.5400822060391107E-2</v>
      </c>
      <c r="D444">
        <v>4.0845070422535247E-2</v>
      </c>
      <c r="E444">
        <v>44.920441832037007</v>
      </c>
      <c r="F444">
        <v>-4.355635383924561E-2</v>
      </c>
      <c r="G444">
        <v>0.2</v>
      </c>
      <c r="H444">
        <v>7.4070116219002974E-2</v>
      </c>
      <c r="I444">
        <v>1.175785398438316</v>
      </c>
      <c r="J444">
        <v>-9.0909090909090828E-2</v>
      </c>
      <c r="K444">
        <v>4.2584434654919352E-2</v>
      </c>
      <c r="L444">
        <v>0</v>
      </c>
      <c r="M444">
        <v>75005927.5</v>
      </c>
      <c r="N444">
        <v>0</v>
      </c>
      <c r="O444" t="b">
        <v>0</v>
      </c>
    </row>
    <row r="445" spans="1:15" x14ac:dyDescent="0.3">
      <c r="A445" s="1" t="s">
        <v>549</v>
      </c>
      <c r="B445">
        <v>1.021853078104664</v>
      </c>
      <c r="C445">
        <v>1.7111279128181639E-2</v>
      </c>
      <c r="D445">
        <v>1.428210207625491E-2</v>
      </c>
      <c r="E445">
        <v>36.021191733975563</v>
      </c>
      <c r="F445">
        <v>-2.745428221985902E-2</v>
      </c>
      <c r="G445">
        <v>0.2</v>
      </c>
      <c r="H445">
        <v>-7.2317179335045542E-2</v>
      </c>
      <c r="I445">
        <v>-8.5270889298224503E-2</v>
      </c>
      <c r="J445">
        <v>-4.7000397361773187E-2</v>
      </c>
      <c r="K445">
        <v>-3.6388693310553939E-3</v>
      </c>
      <c r="L445">
        <v>0</v>
      </c>
      <c r="M445">
        <v>89566004.593799993</v>
      </c>
      <c r="N445">
        <v>0</v>
      </c>
      <c r="O445" t="b">
        <v>0</v>
      </c>
    </row>
    <row r="446" spans="1:15" x14ac:dyDescent="0.3">
      <c r="A446" s="1" t="s">
        <v>550</v>
      </c>
      <c r="B446">
        <v>9.3812926087299768</v>
      </c>
      <c r="C446">
        <v>2.7507895287150998E-2</v>
      </c>
      <c r="D446">
        <v>4.6328876378137332E-2</v>
      </c>
      <c r="E446">
        <v>60.983101425633834</v>
      </c>
      <c r="F446">
        <v>0.12844200620735771</v>
      </c>
      <c r="G446">
        <v>0.4</v>
      </c>
      <c r="H446">
        <v>4.079730964008111E-2</v>
      </c>
      <c r="I446">
        <v>0.47083082707648599</v>
      </c>
      <c r="J446">
        <v>0</v>
      </c>
      <c r="K446">
        <v>3.4049907522512912E-2</v>
      </c>
      <c r="L446">
        <v>0</v>
      </c>
      <c r="M446">
        <v>615277821.89600003</v>
      </c>
      <c r="N446">
        <v>1</v>
      </c>
      <c r="O446" t="b">
        <v>1</v>
      </c>
    </row>
    <row r="447" spans="1:15" x14ac:dyDescent="0.3">
      <c r="A447" s="1" t="s">
        <v>551</v>
      </c>
      <c r="B447">
        <v>0.64948699960266332</v>
      </c>
      <c r="C447">
        <v>1.37778319813887E-2</v>
      </c>
      <c r="D447">
        <v>8.9096308867204436E-3</v>
      </c>
      <c r="E447">
        <v>40.447455692925338</v>
      </c>
      <c r="F447">
        <v>-1.48380355276907E-2</v>
      </c>
      <c r="G447">
        <v>0.4</v>
      </c>
      <c r="H447">
        <v>-4.380521166625298E-2</v>
      </c>
      <c r="I447">
        <v>-0.26390222677258152</v>
      </c>
      <c r="J447">
        <v>-3.6976506639428093E-2</v>
      </c>
      <c r="K447">
        <v>1.699957501062332E-3</v>
      </c>
      <c r="L447">
        <v>9.9206349206349201E-2</v>
      </c>
      <c r="M447">
        <v>3631806.5814</v>
      </c>
      <c r="N447">
        <v>1</v>
      </c>
      <c r="O447" t="b">
        <v>0</v>
      </c>
    </row>
    <row r="448" spans="1:15" x14ac:dyDescent="0.3">
      <c r="A448" s="1" t="s">
        <v>552</v>
      </c>
      <c r="B448">
        <v>0.35407154947103392</v>
      </c>
      <c r="C448">
        <v>3.7096181172047902E-3</v>
      </c>
      <c r="D448">
        <v>5.9226648534421514E-3</v>
      </c>
      <c r="E448">
        <v>56.325722231071261</v>
      </c>
      <c r="F448">
        <v>3.8599115060071738E-3</v>
      </c>
      <c r="G448">
        <v>0.2</v>
      </c>
      <c r="H448">
        <v>-7.0589281126137451E-2</v>
      </c>
      <c r="I448">
        <v>0.19210391779360381</v>
      </c>
      <c r="J448">
        <v>-3.1082725378481779E-3</v>
      </c>
      <c r="K448">
        <v>4.0690047664582174E-3</v>
      </c>
      <c r="L448">
        <v>0</v>
      </c>
      <c r="M448">
        <v>568242968.27620006</v>
      </c>
      <c r="N448">
        <v>0</v>
      </c>
      <c r="O448" t="b">
        <v>1</v>
      </c>
    </row>
    <row r="449" spans="1:15" x14ac:dyDescent="0.3">
      <c r="A449" s="1" t="s">
        <v>553</v>
      </c>
      <c r="B449">
        <v>2.059405445850198</v>
      </c>
      <c r="C449">
        <v>3.1581129364364337E-2</v>
      </c>
      <c r="D449">
        <v>1.794203343045548E-2</v>
      </c>
      <c r="E449">
        <v>56.684693503051733</v>
      </c>
      <c r="F449">
        <v>-1.684017146356354E-3</v>
      </c>
      <c r="G449">
        <v>0.4</v>
      </c>
      <c r="H449">
        <v>5.3215644534865089E-2</v>
      </c>
      <c r="I449">
        <v>1.0634282481583981</v>
      </c>
      <c r="J449">
        <v>-7.1559074299636372E-3</v>
      </c>
      <c r="K449">
        <v>-7.1559074299636372E-3</v>
      </c>
      <c r="L449">
        <v>0</v>
      </c>
      <c r="M449">
        <v>62942599.5</v>
      </c>
      <c r="N449">
        <v>0</v>
      </c>
      <c r="O449" t="b">
        <v>0</v>
      </c>
    </row>
    <row r="450" spans="1:15" x14ac:dyDescent="0.3">
      <c r="A450" s="1" t="s">
        <v>554</v>
      </c>
      <c r="B450">
        <v>22.50767419365658</v>
      </c>
      <c r="C450">
        <v>3.5917685892284612E-2</v>
      </c>
      <c r="D450">
        <v>3.6076189746683272E-2</v>
      </c>
      <c r="E450">
        <v>49.260463454375312</v>
      </c>
      <c r="F450">
        <v>-4.4656659623318107E-2</v>
      </c>
      <c r="G450">
        <v>0.6</v>
      </c>
      <c r="H450">
        <v>-2.2006061200912991E-2</v>
      </c>
      <c r="I450">
        <v>2.330302914537707</v>
      </c>
      <c r="J450">
        <v>-2.5427840919694741E-2</v>
      </c>
      <c r="K450">
        <v>5.2585310763464399E-3</v>
      </c>
      <c r="L450">
        <v>0</v>
      </c>
      <c r="M450">
        <v>212046993.9975</v>
      </c>
      <c r="N450">
        <v>0</v>
      </c>
      <c r="O450" t="b">
        <v>1</v>
      </c>
    </row>
    <row r="451" spans="1:15" x14ac:dyDescent="0.3">
      <c r="A451" s="1" t="s">
        <v>555</v>
      </c>
      <c r="B451">
        <v>8.6477020647900651E-2</v>
      </c>
      <c r="C451">
        <v>3.4092108890312759E-3</v>
      </c>
      <c r="D451">
        <v>4.2931990838022214E-3</v>
      </c>
      <c r="E451">
        <v>60.316505098816627</v>
      </c>
      <c r="F451">
        <v>8.1516339038021357E-3</v>
      </c>
      <c r="G451">
        <v>0.2</v>
      </c>
      <c r="H451">
        <v>-6.9554975771630917E-2</v>
      </c>
      <c r="I451">
        <v>0.1614206717511098</v>
      </c>
      <c r="J451">
        <v>-3.1126080275418739E-3</v>
      </c>
      <c r="K451">
        <v>2.7395202479405518E-3</v>
      </c>
      <c r="L451">
        <v>0</v>
      </c>
      <c r="M451">
        <v>44011609.289700001</v>
      </c>
      <c r="N451">
        <v>0</v>
      </c>
      <c r="O451" t="b">
        <v>0</v>
      </c>
    </row>
    <row r="452" spans="1:15" x14ac:dyDescent="0.3">
      <c r="A452" s="1" t="s">
        <v>556</v>
      </c>
      <c r="B452">
        <v>2.0367494923153009</v>
      </c>
      <c r="C452">
        <v>3.1763611801785982E-2</v>
      </c>
      <c r="D452">
        <v>6.1421881067525823E-2</v>
      </c>
      <c r="E452">
        <v>62.3687913179158</v>
      </c>
      <c r="F452">
        <v>5.5745904837798843E-2</v>
      </c>
      <c r="G452">
        <v>0.6</v>
      </c>
      <c r="H452">
        <v>-4.8805328642916333E-2</v>
      </c>
      <c r="I452">
        <v>1.1187580536070489</v>
      </c>
      <c r="J452">
        <v>0</v>
      </c>
      <c r="K452">
        <v>6.1265731441698452E-2</v>
      </c>
      <c r="L452">
        <v>0</v>
      </c>
      <c r="M452">
        <v>102450827.82195</v>
      </c>
      <c r="N452">
        <v>0</v>
      </c>
      <c r="O452" t="b">
        <v>1</v>
      </c>
    </row>
    <row r="453" spans="1:15" x14ac:dyDescent="0.3">
      <c r="A453" s="1" t="s">
        <v>557</v>
      </c>
      <c r="B453">
        <v>3.0632905907240962</v>
      </c>
      <c r="C453">
        <v>2.244399125715528E-2</v>
      </c>
      <c r="D453">
        <v>2.583415148806479E-2</v>
      </c>
      <c r="E453">
        <v>60.625347126353873</v>
      </c>
      <c r="F453">
        <v>5.8580813290623812E-2</v>
      </c>
      <c r="G453">
        <v>0.6</v>
      </c>
      <c r="H453">
        <v>-4.6690269133504318E-2</v>
      </c>
      <c r="I453">
        <v>1.297737159969564</v>
      </c>
      <c r="J453">
        <v>-2.7618657937807929E-3</v>
      </c>
      <c r="K453">
        <v>1.301843660006519E-2</v>
      </c>
      <c r="L453">
        <v>0</v>
      </c>
      <c r="M453">
        <v>338014847.49699998</v>
      </c>
      <c r="N453">
        <v>0</v>
      </c>
      <c r="O453" t="b">
        <v>1</v>
      </c>
    </row>
    <row r="454" spans="1:15" x14ac:dyDescent="0.3">
      <c r="A454" s="1" t="s">
        <v>558</v>
      </c>
      <c r="B454">
        <v>0.75901615409562206</v>
      </c>
      <c r="C454">
        <v>1.060269453708311E-2</v>
      </c>
      <c r="D454">
        <v>1.240586642006742E-2</v>
      </c>
      <c r="E454">
        <v>65.892614924190767</v>
      </c>
      <c r="F454">
        <v>9.9674664153521775E-3</v>
      </c>
      <c r="G454">
        <v>0.6</v>
      </c>
      <c r="H454">
        <v>0.13214191024413249</v>
      </c>
      <c r="I454">
        <v>0.96276660343565712</v>
      </c>
      <c r="J454">
        <v>0</v>
      </c>
      <c r="K454">
        <v>1.1368645312959339E-2</v>
      </c>
      <c r="L454">
        <v>0</v>
      </c>
      <c r="M454">
        <v>90204468.109399989</v>
      </c>
      <c r="N454">
        <v>0</v>
      </c>
      <c r="O454" t="b">
        <v>0</v>
      </c>
    </row>
    <row r="455" spans="1:15" x14ac:dyDescent="0.3">
      <c r="A455" s="1" t="s">
        <v>559</v>
      </c>
      <c r="B455">
        <v>0.76480084900055734</v>
      </c>
      <c r="C455">
        <v>1.642387749537343E-2</v>
      </c>
      <c r="D455">
        <v>1.5257782435403979E-2</v>
      </c>
      <c r="E455">
        <v>42.644148750472262</v>
      </c>
      <c r="F455">
        <v>-1.523469551756507E-2</v>
      </c>
      <c r="G455">
        <v>0.4</v>
      </c>
      <c r="H455">
        <v>-0.11728362144578811</v>
      </c>
      <c r="I455">
        <v>7.1375076383751263E-2</v>
      </c>
      <c r="J455">
        <v>-3.4771235327160421E-2</v>
      </c>
      <c r="K455">
        <v>-7.3627530813142883E-3</v>
      </c>
      <c r="L455">
        <v>0</v>
      </c>
      <c r="M455">
        <v>164641514.30585</v>
      </c>
      <c r="N455">
        <v>0</v>
      </c>
      <c r="O455" t="b">
        <v>1</v>
      </c>
    </row>
    <row r="456" spans="1:15" x14ac:dyDescent="0.3">
      <c r="A456" s="1" t="s">
        <v>560</v>
      </c>
      <c r="B456">
        <v>4.4552833335907316</v>
      </c>
      <c r="C456">
        <v>2.5676498614483581E-2</v>
      </c>
      <c r="D456">
        <v>1.290947232531876E-2</v>
      </c>
      <c r="E456">
        <v>35.218567586694633</v>
      </c>
      <c r="F456">
        <v>-4.3741354510534507E-2</v>
      </c>
      <c r="G456">
        <v>0.2</v>
      </c>
      <c r="H456">
        <v>-2.2710892758866449E-2</v>
      </c>
      <c r="I456">
        <v>0.50593971666479043</v>
      </c>
      <c r="J456">
        <v>-7.4388806205024083E-2</v>
      </c>
      <c r="K456">
        <v>-3.216985684413753E-3</v>
      </c>
      <c r="L456">
        <v>0</v>
      </c>
      <c r="M456">
        <v>54426845.935000002</v>
      </c>
      <c r="N456">
        <v>0</v>
      </c>
      <c r="O456" t="b">
        <v>0</v>
      </c>
    </row>
    <row r="457" spans="1:15" x14ac:dyDescent="0.3">
      <c r="A457" s="1" t="s">
        <v>561</v>
      </c>
      <c r="B457">
        <v>4.0656945494243226</v>
      </c>
      <c r="C457">
        <v>4.2954450170513483E-2</v>
      </c>
      <c r="D457">
        <v>4.6870988565397322E-2</v>
      </c>
      <c r="E457">
        <v>67.471388795008025</v>
      </c>
      <c r="F457">
        <v>0.10202401715710829</v>
      </c>
      <c r="G457">
        <v>0.8</v>
      </c>
      <c r="H457">
        <v>5.934709481964983E-2</v>
      </c>
      <c r="I457">
        <v>3.5122864055318179</v>
      </c>
      <c r="J457">
        <v>0</v>
      </c>
      <c r="K457">
        <v>2.3112402459759981E-2</v>
      </c>
      <c r="L457">
        <v>0</v>
      </c>
      <c r="M457">
        <v>223987823.37639999</v>
      </c>
      <c r="N457">
        <v>0</v>
      </c>
      <c r="O457" t="b">
        <v>1</v>
      </c>
    </row>
    <row r="458" spans="1:15" x14ac:dyDescent="0.3">
      <c r="A458" s="1" t="s">
        <v>562</v>
      </c>
      <c r="B458">
        <v>2.3284089176704081</v>
      </c>
      <c r="C458">
        <v>2.109486417284611E-2</v>
      </c>
      <c r="D458">
        <v>3.57136385873996E-2</v>
      </c>
      <c r="E458">
        <v>58.329618747112363</v>
      </c>
      <c r="F458">
        <v>4.5602667576067679E-2</v>
      </c>
      <c r="G458">
        <v>0.6</v>
      </c>
      <c r="H458">
        <v>-0.13545075243995261</v>
      </c>
      <c r="I458">
        <v>0.39196760949286302</v>
      </c>
      <c r="J458">
        <v>-6.5970065970066827E-3</v>
      </c>
      <c r="K458">
        <v>1.8651310021503109E-2</v>
      </c>
      <c r="L458">
        <v>0</v>
      </c>
      <c r="M458">
        <v>386949948.85100001</v>
      </c>
      <c r="N458">
        <v>0</v>
      </c>
      <c r="O458" t="b">
        <v>1</v>
      </c>
    </row>
    <row r="459" spans="1:15" x14ac:dyDescent="0.3">
      <c r="A459" s="1" t="s">
        <v>563</v>
      </c>
      <c r="B459">
        <v>5.910759456460899</v>
      </c>
      <c r="C459">
        <v>2.7917813416119871E-2</v>
      </c>
      <c r="D459">
        <v>3.1692801813716268E-2</v>
      </c>
      <c r="E459">
        <v>85.641639575424463</v>
      </c>
      <c r="F459">
        <v>0.16074561403508761</v>
      </c>
      <c r="G459">
        <v>1</v>
      </c>
      <c r="H459">
        <v>0.2256847679845656</v>
      </c>
      <c r="I459">
        <v>1.149678828578961</v>
      </c>
      <c r="J459">
        <v>0</v>
      </c>
      <c r="K459">
        <v>1.8031446843294718E-2</v>
      </c>
      <c r="L459">
        <v>0</v>
      </c>
      <c r="M459">
        <v>120447165</v>
      </c>
      <c r="N459">
        <v>0</v>
      </c>
      <c r="O459" t="b">
        <v>1</v>
      </c>
    </row>
    <row r="460" spans="1:15" x14ac:dyDescent="0.3">
      <c r="A460" s="1" t="s">
        <v>564</v>
      </c>
      <c r="B460">
        <v>0.4545738528848709</v>
      </c>
      <c r="C460">
        <v>1.4344122638412371E-2</v>
      </c>
      <c r="D460">
        <v>9.3150650350577527E-3</v>
      </c>
      <c r="E460">
        <v>54.371328136959413</v>
      </c>
      <c r="F460">
        <v>2.973134561145829E-2</v>
      </c>
      <c r="G460">
        <v>0.4</v>
      </c>
      <c r="H460">
        <v>-3.1919922543224399E-2</v>
      </c>
      <c r="I460">
        <v>0.17053159151593961</v>
      </c>
      <c r="J460">
        <v>-1.6189568516178698E-2</v>
      </c>
      <c r="K460">
        <v>-3.7128207062848691E-3</v>
      </c>
      <c r="L460">
        <v>0</v>
      </c>
      <c r="M460">
        <v>129890280.2018</v>
      </c>
      <c r="N460">
        <v>0</v>
      </c>
      <c r="O460" t="b">
        <v>1</v>
      </c>
    </row>
    <row r="461" spans="1:15" x14ac:dyDescent="0.3">
      <c r="A461" s="1" t="s">
        <v>565</v>
      </c>
      <c r="B461">
        <v>1.193812570443709</v>
      </c>
      <c r="C461">
        <v>2.4902222996322679E-2</v>
      </c>
      <c r="D461">
        <v>3.4209428452231967E-2</v>
      </c>
      <c r="E461">
        <v>59.834919826481411</v>
      </c>
      <c r="F461">
        <v>8.1115212964361971E-2</v>
      </c>
      <c r="G461">
        <v>0.8</v>
      </c>
      <c r="H461">
        <v>-0.13122819683447701</v>
      </c>
      <c r="I461">
        <v>0.71275237623969023</v>
      </c>
      <c r="J461">
        <v>0</v>
      </c>
      <c r="K461">
        <v>2.5673940949935799E-2</v>
      </c>
      <c r="L461">
        <v>0</v>
      </c>
      <c r="M461">
        <v>131262699.58400001</v>
      </c>
      <c r="N461">
        <v>0</v>
      </c>
      <c r="O461" t="b">
        <v>1</v>
      </c>
    </row>
    <row r="462" spans="1:15" x14ac:dyDescent="0.3">
      <c r="A462" s="1" t="s">
        <v>566</v>
      </c>
      <c r="B462">
        <v>17.004223480482299</v>
      </c>
      <c r="C462">
        <v>2.31538990747308E-2</v>
      </c>
      <c r="D462">
        <v>2.0166122004357381E-2</v>
      </c>
      <c r="E462">
        <v>35.961819865344033</v>
      </c>
      <c r="F462">
        <v>-0.1078121108674657</v>
      </c>
      <c r="G462">
        <v>0.4</v>
      </c>
      <c r="H462">
        <v>-0.1433671520324401</v>
      </c>
      <c r="I462">
        <v>0.45192166276657941</v>
      </c>
      <c r="J462">
        <v>-0.1001080752556678</v>
      </c>
      <c r="K462">
        <v>-8.4653084369556986E-3</v>
      </c>
      <c r="L462">
        <v>0</v>
      </c>
      <c r="M462">
        <v>426560974.25300002</v>
      </c>
      <c r="N462">
        <v>0</v>
      </c>
      <c r="O462" t="b">
        <v>1</v>
      </c>
    </row>
    <row r="463" spans="1:15" x14ac:dyDescent="0.3">
      <c r="A463" s="1" t="s">
        <v>567</v>
      </c>
      <c r="B463">
        <v>0.43896076119984279</v>
      </c>
      <c r="C463">
        <v>1.9339864000839001E-2</v>
      </c>
      <c r="D463">
        <v>1.8693935815871671E-2</v>
      </c>
      <c r="E463">
        <v>45.144709933886183</v>
      </c>
      <c r="F463">
        <v>-3.534801881940941E-2</v>
      </c>
      <c r="G463">
        <v>0.4</v>
      </c>
      <c r="H463">
        <v>-7.0234067638769451E-2</v>
      </c>
      <c r="I463">
        <v>0.18149175691330349</v>
      </c>
      <c r="J463">
        <v>-5.8918161388495149E-2</v>
      </c>
      <c r="K463">
        <v>8.7311596567518635E-4</v>
      </c>
      <c r="L463">
        <v>0</v>
      </c>
      <c r="M463">
        <v>83505964.835500002</v>
      </c>
      <c r="N463">
        <v>0</v>
      </c>
      <c r="O463" t="b">
        <v>0</v>
      </c>
    </row>
    <row r="464" spans="1:15" x14ac:dyDescent="0.3">
      <c r="A464" s="1" t="s">
        <v>568</v>
      </c>
      <c r="B464">
        <v>1.0349225264177411</v>
      </c>
      <c r="C464">
        <v>1.7247817636384472E-2</v>
      </c>
      <c r="D464">
        <v>1.7635755485966551E-2</v>
      </c>
      <c r="E464">
        <v>48.671125471651088</v>
      </c>
      <c r="F464">
        <v>1.9493405917513581E-2</v>
      </c>
      <c r="G464">
        <v>0.2</v>
      </c>
      <c r="H464">
        <v>-0.162220527810642</v>
      </c>
      <c r="I464">
        <v>0.159726471943722</v>
      </c>
      <c r="J464">
        <v>-2.1924069368081441E-2</v>
      </c>
      <c r="K464">
        <v>1.0324987918821421E-2</v>
      </c>
      <c r="L464">
        <v>0</v>
      </c>
      <c r="M464">
        <v>117653040.15115</v>
      </c>
      <c r="N464">
        <v>0</v>
      </c>
      <c r="O464" t="b">
        <v>1</v>
      </c>
    </row>
    <row r="465" spans="1:15" x14ac:dyDescent="0.3">
      <c r="A465" s="1" t="s">
        <v>569</v>
      </c>
      <c r="B465">
        <v>2.0531543873830111</v>
      </c>
      <c r="C465">
        <v>3.5964034945077272E-2</v>
      </c>
      <c r="D465">
        <v>3.1440327488084389E-2</v>
      </c>
      <c r="E465">
        <v>46.924911475030967</v>
      </c>
      <c r="F465">
        <v>-2.867239592815218E-2</v>
      </c>
      <c r="G465">
        <v>0.2</v>
      </c>
      <c r="H465">
        <v>6.6965265705098018E-2</v>
      </c>
      <c r="I465">
        <v>1.075151968937768</v>
      </c>
      <c r="J465">
        <v>-6.4083963270987088E-2</v>
      </c>
      <c r="K465">
        <v>-2.1701467727977649E-2</v>
      </c>
      <c r="L465">
        <v>0</v>
      </c>
      <c r="M465">
        <v>405246853.45099998</v>
      </c>
      <c r="N465">
        <v>0</v>
      </c>
      <c r="O465" t="b">
        <v>1</v>
      </c>
    </row>
    <row r="466" spans="1:15" x14ac:dyDescent="0.3">
      <c r="A466" s="1" t="s">
        <v>570</v>
      </c>
      <c r="B466">
        <v>0.5922708307890967</v>
      </c>
      <c r="C466">
        <v>4.1187123142496292E-2</v>
      </c>
      <c r="D466">
        <v>5.7023643949930473E-2</v>
      </c>
      <c r="E466">
        <v>66.435356837722935</v>
      </c>
      <c r="F466">
        <v>0.17772317772317781</v>
      </c>
      <c r="G466">
        <v>0.6</v>
      </c>
      <c r="H466">
        <v>0.1256506333975303</v>
      </c>
      <c r="I466">
        <v>1.0673761037528271</v>
      </c>
      <c r="J466">
        <v>0</v>
      </c>
      <c r="K466">
        <v>2.6409707351891631E-2</v>
      </c>
      <c r="L466">
        <v>0</v>
      </c>
      <c r="M466">
        <v>82660605</v>
      </c>
      <c r="N466">
        <v>0</v>
      </c>
      <c r="O466" t="b">
        <v>0</v>
      </c>
    </row>
    <row r="467" spans="1:15" x14ac:dyDescent="0.3">
      <c r="A467" s="1" t="s">
        <v>571</v>
      </c>
      <c r="B467">
        <v>0.1700990048154894</v>
      </c>
      <c r="C467">
        <v>1.775563724587572E-2</v>
      </c>
      <c r="D467">
        <v>1.3569937369519921E-2</v>
      </c>
      <c r="E467">
        <v>51.992074672565991</v>
      </c>
      <c r="F467">
        <v>-1.6427104722792629E-2</v>
      </c>
      <c r="G467">
        <v>0.4</v>
      </c>
      <c r="H467">
        <v>8.9245040884590982E-2</v>
      </c>
      <c r="I467">
        <v>0.27285853122908299</v>
      </c>
      <c r="J467">
        <v>-4.1041041041040997E-2</v>
      </c>
      <c r="K467">
        <v>-7.2538860103626979E-3</v>
      </c>
      <c r="L467">
        <v>0</v>
      </c>
      <c r="M467">
        <v>134436219.53061</v>
      </c>
      <c r="N467">
        <v>0</v>
      </c>
      <c r="O467" t="b">
        <v>1</v>
      </c>
    </row>
    <row r="468" spans="1:15" x14ac:dyDescent="0.3">
      <c r="A468" s="1" t="s">
        <v>572</v>
      </c>
      <c r="B468">
        <v>7.43817780966741</v>
      </c>
      <c r="C468">
        <v>2.718900552930081E-2</v>
      </c>
      <c r="D468">
        <v>2.4947637376495451E-2</v>
      </c>
      <c r="E468">
        <v>33.773125459052338</v>
      </c>
      <c r="F468">
        <v>-9.4717747629342597E-3</v>
      </c>
      <c r="G468">
        <v>0.2</v>
      </c>
      <c r="H468">
        <v>-0.1741063566238506</v>
      </c>
      <c r="I468">
        <v>-0.41774457891952488</v>
      </c>
      <c r="J468">
        <v>-8.2659343312409539E-2</v>
      </c>
      <c r="K468">
        <v>-8.6533966756173752E-3</v>
      </c>
      <c r="L468">
        <v>0</v>
      </c>
      <c r="M468">
        <v>44237202.904500008</v>
      </c>
      <c r="N468">
        <v>0</v>
      </c>
      <c r="O468" t="b">
        <v>0</v>
      </c>
    </row>
    <row r="469" spans="1:15" x14ac:dyDescent="0.3">
      <c r="A469" s="1" t="s">
        <v>573</v>
      </c>
      <c r="B469">
        <v>1.4715221599909609</v>
      </c>
      <c r="C469">
        <v>2.200245753942456E-2</v>
      </c>
      <c r="D469">
        <v>1.330743616542489E-2</v>
      </c>
      <c r="E469">
        <v>45.472213926162503</v>
      </c>
      <c r="F469">
        <v>-6.7301389845730641E-2</v>
      </c>
      <c r="G469">
        <v>0.4</v>
      </c>
      <c r="H469">
        <v>1.135093751030478E-2</v>
      </c>
      <c r="I469">
        <v>0.35606804813694609</v>
      </c>
      <c r="J469">
        <v>-9.2701171567643126E-2</v>
      </c>
      <c r="K469">
        <v>-2.9488190561093308E-3</v>
      </c>
      <c r="L469">
        <v>0</v>
      </c>
      <c r="M469">
        <v>151200521.52055001</v>
      </c>
      <c r="N469">
        <v>0</v>
      </c>
      <c r="O469" t="b">
        <v>1</v>
      </c>
    </row>
    <row r="470" spans="1:15" x14ac:dyDescent="0.3">
      <c r="A470" s="1" t="s">
        <v>574</v>
      </c>
      <c r="B470">
        <v>3.355052507217287</v>
      </c>
      <c r="C470">
        <v>2.9523517310958178E-2</v>
      </c>
      <c r="D470">
        <v>5.2226328757479658E-2</v>
      </c>
      <c r="E470">
        <v>54.335341553405833</v>
      </c>
      <c r="F470">
        <v>-1.1465056803354299E-2</v>
      </c>
      <c r="G470">
        <v>0.6</v>
      </c>
      <c r="H470">
        <v>-2.6446045354457982E-2</v>
      </c>
      <c r="I470">
        <v>0.80794142743227071</v>
      </c>
      <c r="J470">
        <v>-1.275324043506976E-2</v>
      </c>
      <c r="K470">
        <v>3.7685023695816833E-2</v>
      </c>
      <c r="L470">
        <v>0</v>
      </c>
      <c r="M470">
        <v>37737544.488000013</v>
      </c>
      <c r="N470">
        <v>0</v>
      </c>
      <c r="O470" t="b">
        <v>0</v>
      </c>
    </row>
    <row r="471" spans="1:15" x14ac:dyDescent="0.3">
      <c r="A471" s="1" t="s">
        <v>575</v>
      </c>
      <c r="B471">
        <v>0.81666515745774948</v>
      </c>
      <c r="C471">
        <v>8.6865687754973369E-3</v>
      </c>
      <c r="D471">
        <v>1.179496397903723E-2</v>
      </c>
      <c r="E471">
        <v>60.960265309877173</v>
      </c>
      <c r="F471">
        <v>1.0015856918171419E-2</v>
      </c>
      <c r="G471">
        <v>0.4</v>
      </c>
      <c r="H471">
        <v>-5.291837000679591E-2</v>
      </c>
      <c r="I471">
        <v>0.73862405848883528</v>
      </c>
      <c r="J471">
        <v>-2.7060628112077771E-3</v>
      </c>
      <c r="K471">
        <v>1.086836143430547E-2</v>
      </c>
      <c r="L471">
        <v>0</v>
      </c>
      <c r="M471">
        <v>25218562.40625</v>
      </c>
      <c r="N471">
        <v>0</v>
      </c>
      <c r="O471" t="b">
        <v>0</v>
      </c>
    </row>
    <row r="472" spans="1:15" x14ac:dyDescent="0.3">
      <c r="A472" s="1" t="s">
        <v>576</v>
      </c>
      <c r="B472">
        <v>0.44427184767823508</v>
      </c>
      <c r="C472">
        <v>1.0107861508704401E-2</v>
      </c>
      <c r="D472">
        <v>1.1521371643865829E-2</v>
      </c>
      <c r="E472">
        <v>59.584179998651557</v>
      </c>
      <c r="F472">
        <v>-7.5484223503750059E-3</v>
      </c>
      <c r="G472">
        <v>0.6</v>
      </c>
      <c r="H472">
        <v>1.68151065068009E-2</v>
      </c>
      <c r="I472">
        <v>1.013275063601804</v>
      </c>
      <c r="J472">
        <v>-8.2090579440348144E-3</v>
      </c>
      <c r="K472">
        <v>9.256027554535029E-3</v>
      </c>
      <c r="L472">
        <v>0</v>
      </c>
      <c r="M472">
        <v>19156954.033149999</v>
      </c>
      <c r="N472">
        <v>0</v>
      </c>
      <c r="O472" t="b">
        <v>0</v>
      </c>
    </row>
    <row r="473" spans="1:15" x14ac:dyDescent="0.3">
      <c r="A473" s="1" t="s">
        <v>577</v>
      </c>
      <c r="B473">
        <v>1.587307932009367</v>
      </c>
      <c r="C473">
        <v>1.058205288006245E-2</v>
      </c>
      <c r="D473">
        <v>1.1033333333333339E-2</v>
      </c>
      <c r="E473">
        <v>60.637655166142537</v>
      </c>
      <c r="F473">
        <v>7.0966745667804254E-3</v>
      </c>
      <c r="G473">
        <v>0.6</v>
      </c>
      <c r="H473">
        <v>2.510001603128818E-2</v>
      </c>
      <c r="I473">
        <v>1.0140839109780371</v>
      </c>
      <c r="J473">
        <v>0</v>
      </c>
      <c r="K473">
        <v>6.6911404468368296E-3</v>
      </c>
      <c r="L473">
        <v>0</v>
      </c>
      <c r="M473">
        <v>67912085.391000003</v>
      </c>
      <c r="N473">
        <v>0</v>
      </c>
      <c r="O473" t="b">
        <v>0</v>
      </c>
    </row>
    <row r="474" spans="1:15" x14ac:dyDescent="0.3">
      <c r="A474" s="1" t="s">
        <v>578</v>
      </c>
      <c r="B474">
        <v>1.3645945406230009</v>
      </c>
      <c r="C474">
        <v>1.121185227691234E-2</v>
      </c>
      <c r="D474">
        <v>1.1305562402432049E-2</v>
      </c>
      <c r="E474">
        <v>60.358935428176181</v>
      </c>
      <c r="F474">
        <v>8.7606607378183377E-3</v>
      </c>
      <c r="G474">
        <v>0.6</v>
      </c>
      <c r="H474">
        <v>-6.8862606143937938E-2</v>
      </c>
      <c r="I474">
        <v>1.0990717502737879</v>
      </c>
      <c r="J474">
        <v>0</v>
      </c>
      <c r="K474">
        <v>6.3501513121992934E-3</v>
      </c>
      <c r="L474">
        <v>0</v>
      </c>
      <c r="M474">
        <v>20798661.532299999</v>
      </c>
      <c r="N474">
        <v>0</v>
      </c>
      <c r="O474" t="b">
        <v>0</v>
      </c>
    </row>
    <row r="475" spans="1:15" x14ac:dyDescent="0.3">
      <c r="A475" s="1" t="s">
        <v>579</v>
      </c>
      <c r="B475">
        <v>15.557011681482869</v>
      </c>
      <c r="C475">
        <v>3.1110787841030281E-2</v>
      </c>
      <c r="D475">
        <v>1.8532072664443001E-2</v>
      </c>
      <c r="E475">
        <v>60.208962113911348</v>
      </c>
      <c r="F475">
        <v>2.9778085306183089E-2</v>
      </c>
      <c r="G475">
        <v>0.6</v>
      </c>
      <c r="H475">
        <v>-3.499387719402576E-2</v>
      </c>
      <c r="I475">
        <v>0.73050072824126489</v>
      </c>
      <c r="J475">
        <v>-6.5876257529282611E-3</v>
      </c>
      <c r="K475">
        <v>-5.196757223492332E-4</v>
      </c>
      <c r="L475">
        <v>0</v>
      </c>
      <c r="M475">
        <v>39040057.263999999</v>
      </c>
      <c r="N475">
        <v>0</v>
      </c>
      <c r="O475" t="b">
        <v>0</v>
      </c>
    </row>
    <row r="476" spans="1:15" x14ac:dyDescent="0.3">
      <c r="A476" s="1" t="s">
        <v>580</v>
      </c>
      <c r="B476">
        <v>4.4456641319993011</v>
      </c>
      <c r="C476">
        <v>1.7592377374316591E-2</v>
      </c>
      <c r="D476">
        <v>1.9710807901734809E-2</v>
      </c>
      <c r="E476">
        <v>45.741856809024242</v>
      </c>
      <c r="F476">
        <v>-1.8987169782022199E-2</v>
      </c>
      <c r="G476">
        <v>0.2</v>
      </c>
      <c r="H476">
        <v>-0.117507166907089</v>
      </c>
      <c r="I476">
        <v>0.23805951057792021</v>
      </c>
      <c r="J476">
        <v>-3.1900425619945549E-2</v>
      </c>
      <c r="K476">
        <v>1.193722644690309E-2</v>
      </c>
      <c r="L476">
        <v>0</v>
      </c>
      <c r="M476">
        <v>117142875.5715</v>
      </c>
      <c r="N476">
        <v>0</v>
      </c>
      <c r="O476" t="b">
        <v>1</v>
      </c>
    </row>
    <row r="477" spans="1:15" x14ac:dyDescent="0.3">
      <c r="A477" s="1" t="s">
        <v>581</v>
      </c>
      <c r="B477">
        <v>3.2601126928360609</v>
      </c>
      <c r="C477">
        <v>4.1335269339876517E-2</v>
      </c>
      <c r="D477">
        <v>6.7199188538100627E-2</v>
      </c>
      <c r="E477">
        <v>49.832484460726661</v>
      </c>
      <c r="F477">
        <v>-0.15257333190071981</v>
      </c>
      <c r="G477">
        <v>0.6</v>
      </c>
      <c r="H477">
        <v>-7.2565403923898916E-2</v>
      </c>
      <c r="I477">
        <v>0.17926880938404599</v>
      </c>
      <c r="J477">
        <v>-0.16513178786916469</v>
      </c>
      <c r="K477">
        <v>5.5964653902798263E-2</v>
      </c>
      <c r="L477">
        <v>0</v>
      </c>
      <c r="M477">
        <v>132197701</v>
      </c>
      <c r="N477">
        <v>0</v>
      </c>
      <c r="O477" t="b">
        <v>1</v>
      </c>
    </row>
    <row r="478" spans="1:15" x14ac:dyDescent="0.3">
      <c r="A478" s="1" t="s">
        <v>582</v>
      </c>
      <c r="B478">
        <v>0.25771649599134477</v>
      </c>
      <c r="C478">
        <v>1.5960642595611869E-2</v>
      </c>
      <c r="D478">
        <v>1.9452529881711769E-2</v>
      </c>
      <c r="E478">
        <v>44.285518513906673</v>
      </c>
      <c r="F478">
        <v>-1.4381111667256859E-2</v>
      </c>
      <c r="G478">
        <v>0.2</v>
      </c>
      <c r="H478">
        <v>-0.1323488438394132</v>
      </c>
      <c r="I478">
        <v>0.42864002025971482</v>
      </c>
      <c r="J478">
        <v>-3.2922673342636648E-2</v>
      </c>
      <c r="K478">
        <v>-1.3200513353297191E-2</v>
      </c>
      <c r="L478">
        <v>0</v>
      </c>
      <c r="M478">
        <v>236543940.70324999</v>
      </c>
      <c r="N478">
        <v>0</v>
      </c>
      <c r="O478" t="b">
        <v>1</v>
      </c>
    </row>
    <row r="479" spans="1:15" x14ac:dyDescent="0.3">
      <c r="A479" s="1" t="s">
        <v>583</v>
      </c>
      <c r="B479">
        <v>1.558789190844408</v>
      </c>
      <c r="C479">
        <v>6.1393823979693132E-2</v>
      </c>
      <c r="D479">
        <v>4.4111855061047693E-2</v>
      </c>
      <c r="E479">
        <v>53.297233373926083</v>
      </c>
      <c r="F479">
        <v>-5.8932542624166029E-2</v>
      </c>
      <c r="G479">
        <v>0.8</v>
      </c>
      <c r="H479">
        <v>-9.5009309588793597E-2</v>
      </c>
      <c r="I479">
        <v>3.26580647781616</v>
      </c>
      <c r="J479">
        <v>-2.308580223162748E-2</v>
      </c>
      <c r="K479">
        <v>8.7405641636868481E-3</v>
      </c>
      <c r="L479">
        <v>0</v>
      </c>
      <c r="M479">
        <v>380573548</v>
      </c>
      <c r="N479">
        <v>0</v>
      </c>
      <c r="O479" t="b">
        <v>1</v>
      </c>
    </row>
    <row r="480" spans="1:15" x14ac:dyDescent="0.3">
      <c r="A480" s="1" t="s">
        <v>584</v>
      </c>
      <c r="B480">
        <v>10.862983646831159</v>
      </c>
      <c r="C480">
        <v>3.0734145273252678E-2</v>
      </c>
      <c r="D480">
        <v>3.5676899137077417E-2</v>
      </c>
      <c r="E480">
        <v>52.88887003789484</v>
      </c>
      <c r="F480">
        <v>-6.8814711383934468E-2</v>
      </c>
      <c r="G480">
        <v>0.6</v>
      </c>
      <c r="H480">
        <v>-6.0432899400704128E-2</v>
      </c>
      <c r="I480">
        <v>1.667999600735252</v>
      </c>
      <c r="J480">
        <v>-4.3178126691932883E-2</v>
      </c>
      <c r="K480">
        <v>3.4205290262172339E-2</v>
      </c>
      <c r="L480">
        <v>0</v>
      </c>
      <c r="M480">
        <v>838138703.57999992</v>
      </c>
      <c r="N480">
        <v>0</v>
      </c>
      <c r="O480" t="b">
        <v>1</v>
      </c>
    </row>
    <row r="481" spans="1:15" x14ac:dyDescent="0.3">
      <c r="A481" s="1" t="s">
        <v>585</v>
      </c>
      <c r="B481">
        <v>1.6999297481556379</v>
      </c>
      <c r="C481">
        <v>1.8333954356873721E-2</v>
      </c>
      <c r="D481">
        <v>1.435715803335403E-2</v>
      </c>
      <c r="E481">
        <v>44.653861955987963</v>
      </c>
      <c r="F481">
        <v>-3.251074752702543E-2</v>
      </c>
      <c r="G481">
        <v>0.6</v>
      </c>
      <c r="H481">
        <v>-9.2135314160207954E-4</v>
      </c>
      <c r="I481">
        <v>0.53974164102594158</v>
      </c>
      <c r="J481">
        <v>-4.2965270445042503E-2</v>
      </c>
      <c r="K481">
        <v>1.0731919037709761E-3</v>
      </c>
      <c r="L481">
        <v>0</v>
      </c>
      <c r="M481">
        <v>245486993.71450001</v>
      </c>
      <c r="N481">
        <v>0</v>
      </c>
      <c r="O481" t="b">
        <v>1</v>
      </c>
    </row>
    <row r="482" spans="1:15" x14ac:dyDescent="0.3">
      <c r="A482" s="1" t="s">
        <v>586</v>
      </c>
      <c r="B482">
        <v>0.40550392681570557</v>
      </c>
      <c r="C482">
        <v>1.146041677686193E-2</v>
      </c>
      <c r="D482">
        <v>1.8667156544103069E-2</v>
      </c>
      <c r="E482">
        <v>67.882870564326225</v>
      </c>
      <c r="F482">
        <v>3.4291243178144581E-2</v>
      </c>
      <c r="G482">
        <v>0.8</v>
      </c>
      <c r="H482">
        <v>9.5230327874423915E-3</v>
      </c>
      <c r="I482">
        <v>0.69997501552642127</v>
      </c>
      <c r="J482">
        <v>0</v>
      </c>
      <c r="K482">
        <v>1.7577462196377569E-2</v>
      </c>
      <c r="L482">
        <v>0</v>
      </c>
      <c r="M482">
        <v>28026996.4098</v>
      </c>
      <c r="N482">
        <v>0</v>
      </c>
      <c r="O482" t="b">
        <v>0</v>
      </c>
    </row>
    <row r="483" spans="1:15" x14ac:dyDescent="0.3">
      <c r="A483" s="1" t="s">
        <v>587</v>
      </c>
      <c r="B483">
        <v>11.838615608774131</v>
      </c>
      <c r="C483">
        <v>3.4341703967667808E-2</v>
      </c>
      <c r="D483">
        <v>3.5651089258260153E-2</v>
      </c>
      <c r="E483">
        <v>69.080510287500317</v>
      </c>
      <c r="F483">
        <v>0.1181206051013259</v>
      </c>
      <c r="G483">
        <v>0.8</v>
      </c>
      <c r="H483">
        <v>-2.1369365126310082E-2</v>
      </c>
      <c r="I483">
        <v>1.5895008435823239</v>
      </c>
      <c r="J483">
        <v>0</v>
      </c>
      <c r="K483">
        <v>1.3941586517250529E-2</v>
      </c>
      <c r="L483">
        <v>0</v>
      </c>
      <c r="M483">
        <v>124095143.75049999</v>
      </c>
      <c r="N483">
        <v>0</v>
      </c>
      <c r="O483" t="b">
        <v>1</v>
      </c>
    </row>
    <row r="484" spans="1:15" x14ac:dyDescent="0.3">
      <c r="A484" s="1" t="s">
        <v>588</v>
      </c>
      <c r="B484">
        <v>1.101057698117851</v>
      </c>
      <c r="C484">
        <v>1.4978338975892409E-2</v>
      </c>
      <c r="D484">
        <v>8.5702625493129566E-3</v>
      </c>
      <c r="E484">
        <v>38.457650080983683</v>
      </c>
      <c r="F484">
        <v>-3.1070080350928841E-2</v>
      </c>
      <c r="G484">
        <v>0.6</v>
      </c>
      <c r="H484">
        <v>-3.0526824688596101E-2</v>
      </c>
      <c r="I484">
        <v>0.23239460656314309</v>
      </c>
      <c r="J484">
        <v>-5.3316162266580869E-2</v>
      </c>
      <c r="K484">
        <v>1.360544217687831E-4</v>
      </c>
      <c r="L484">
        <v>0</v>
      </c>
      <c r="M484">
        <v>139774793.35409999</v>
      </c>
      <c r="N484">
        <v>0</v>
      </c>
      <c r="O484" t="b">
        <v>1</v>
      </c>
    </row>
    <row r="485" spans="1:15" x14ac:dyDescent="0.3">
      <c r="A485" s="1" t="s">
        <v>589</v>
      </c>
      <c r="B485">
        <v>0.15212745221295471</v>
      </c>
      <c r="C485">
        <v>2.9753187419656389E-3</v>
      </c>
      <c r="D485">
        <v>3.9761548060035182E-3</v>
      </c>
      <c r="E485">
        <v>52.398716400061012</v>
      </c>
      <c r="F485">
        <v>4.425934838766743E-3</v>
      </c>
      <c r="G485">
        <v>0.2</v>
      </c>
      <c r="H485">
        <v>-9.1223712418742026E-2</v>
      </c>
      <c r="I485">
        <v>9.8466669577454702E-3</v>
      </c>
      <c r="J485">
        <v>-5.0380725723747632E-3</v>
      </c>
      <c r="K485">
        <v>2.724015461582407E-3</v>
      </c>
      <c r="L485">
        <v>0</v>
      </c>
      <c r="M485">
        <v>14435070.4234</v>
      </c>
      <c r="N485">
        <v>0</v>
      </c>
      <c r="O485" t="b">
        <v>0</v>
      </c>
    </row>
    <row r="486" spans="1:15" x14ac:dyDescent="0.3">
      <c r="A486" s="1" t="s">
        <v>590</v>
      </c>
      <c r="B486">
        <v>1.84370050375565</v>
      </c>
      <c r="C486">
        <v>2.1969739081931009E-2</v>
      </c>
      <c r="D486">
        <v>1.3465204957101949E-2</v>
      </c>
      <c r="E486">
        <v>49.885950283345657</v>
      </c>
      <c r="F486">
        <v>-1.902949571836343E-3</v>
      </c>
      <c r="G486">
        <v>0.6</v>
      </c>
      <c r="H486">
        <v>3.3277799460613482E-2</v>
      </c>
      <c r="I486">
        <v>0.46864577719877509</v>
      </c>
      <c r="J486">
        <v>-3.3402441833678798E-2</v>
      </c>
      <c r="K486">
        <v>7.684918347742542E-3</v>
      </c>
      <c r="L486">
        <v>0</v>
      </c>
      <c r="M486">
        <v>301752213</v>
      </c>
      <c r="N486">
        <v>0</v>
      </c>
      <c r="O486" t="b">
        <v>1</v>
      </c>
    </row>
    <row r="487" spans="1:15" x14ac:dyDescent="0.3">
      <c r="A487" s="1" t="s">
        <v>591</v>
      </c>
      <c r="B487">
        <v>2.878637653086491</v>
      </c>
      <c r="C487">
        <v>2.524965706567572E-2</v>
      </c>
      <c r="D487">
        <v>5.5654477356653527E-2</v>
      </c>
      <c r="E487">
        <v>73.121946845410392</v>
      </c>
      <c r="F487">
        <v>9.2073375161645821E-2</v>
      </c>
      <c r="G487">
        <v>0.6</v>
      </c>
      <c r="H487">
        <v>1.6074194405580691E-2</v>
      </c>
      <c r="I487">
        <v>1.014965941002496</v>
      </c>
      <c r="J487">
        <v>0</v>
      </c>
      <c r="K487">
        <v>4.7434860901841347E-2</v>
      </c>
      <c r="L487">
        <v>0</v>
      </c>
      <c r="M487">
        <v>79864806.288000003</v>
      </c>
      <c r="N487">
        <v>0</v>
      </c>
      <c r="O487" t="b">
        <v>0</v>
      </c>
    </row>
    <row r="488" spans="1:15" x14ac:dyDescent="0.3">
      <c r="A488" s="1" t="s">
        <v>592</v>
      </c>
      <c r="B488">
        <v>0.90028017930088999</v>
      </c>
      <c r="C488">
        <v>1.1130565149188341E-2</v>
      </c>
      <c r="D488">
        <v>1.1321207265749811E-2</v>
      </c>
      <c r="E488">
        <v>58.161646288797158</v>
      </c>
      <c r="F488">
        <v>2.7485095193642279E-3</v>
      </c>
      <c r="G488">
        <v>0.8</v>
      </c>
      <c r="H488">
        <v>-3.0597630639137081E-2</v>
      </c>
      <c r="I488">
        <v>0.94606202582981314</v>
      </c>
      <c r="J488">
        <v>-5.0985201376170242E-3</v>
      </c>
      <c r="K488">
        <v>7.2012681603830231E-3</v>
      </c>
      <c r="L488">
        <v>0</v>
      </c>
      <c r="M488">
        <v>349844568.70174998</v>
      </c>
      <c r="N488">
        <v>0</v>
      </c>
      <c r="O488" t="b">
        <v>1</v>
      </c>
    </row>
    <row r="489" spans="1:15" x14ac:dyDescent="0.3">
      <c r="A489" s="1" t="s">
        <v>593</v>
      </c>
      <c r="B489">
        <v>0.90316307486753422</v>
      </c>
      <c r="C489">
        <v>1.414157616232059E-2</v>
      </c>
      <c r="D489">
        <v>1.7514851454142919E-2</v>
      </c>
      <c r="E489">
        <v>63.881269429152049</v>
      </c>
      <c r="F489">
        <v>1.59683115395628E-2</v>
      </c>
      <c r="G489">
        <v>0.8</v>
      </c>
      <c r="H489">
        <v>3.5105530062741939E-2</v>
      </c>
      <c r="I489">
        <v>1.435798602631251</v>
      </c>
      <c r="J489">
        <v>0</v>
      </c>
      <c r="K489">
        <v>1.6432369460142929E-2</v>
      </c>
      <c r="L489">
        <v>0</v>
      </c>
      <c r="M489">
        <v>170795160.20429999</v>
      </c>
      <c r="N489">
        <v>0</v>
      </c>
      <c r="O489" t="b">
        <v>1</v>
      </c>
    </row>
    <row r="490" spans="1:15" x14ac:dyDescent="0.3">
      <c r="A490" s="1" t="s">
        <v>594</v>
      </c>
      <c r="B490">
        <v>1.932417849605395</v>
      </c>
      <c r="C490">
        <v>2.042191784603169E-2</v>
      </c>
      <c r="D490">
        <v>1.8914723111407478E-2</v>
      </c>
      <c r="E490">
        <v>63.204421141638861</v>
      </c>
      <c r="F490">
        <v>1.128906767669435E-2</v>
      </c>
      <c r="G490">
        <v>0.8</v>
      </c>
      <c r="H490">
        <v>0.1917661322120898</v>
      </c>
      <c r="I490">
        <v>1.552709405061097</v>
      </c>
      <c r="J490">
        <v>0</v>
      </c>
      <c r="K490">
        <v>1.234719794245454E-2</v>
      </c>
      <c r="L490">
        <v>0</v>
      </c>
      <c r="M490">
        <v>246412308.89315</v>
      </c>
      <c r="N490">
        <v>0</v>
      </c>
      <c r="O490" t="b">
        <v>1</v>
      </c>
    </row>
    <row r="491" spans="1:15" x14ac:dyDescent="0.3">
      <c r="A491" s="1" t="s">
        <v>595</v>
      </c>
      <c r="B491">
        <v>0.62928470692999228</v>
      </c>
      <c r="C491">
        <v>1.987595645471003E-2</v>
      </c>
      <c r="D491">
        <v>1.8613039550734921E-2</v>
      </c>
      <c r="E491">
        <v>51.381223351885772</v>
      </c>
      <c r="F491">
        <v>1.5278862974221761E-3</v>
      </c>
      <c r="G491">
        <v>0.6</v>
      </c>
      <c r="H491">
        <v>5.5812213619756232E-2</v>
      </c>
      <c r="I491">
        <v>0.86403942622699703</v>
      </c>
      <c r="J491">
        <v>-5.6164032362884142E-2</v>
      </c>
      <c r="K491">
        <v>9.1680471427313392E-4</v>
      </c>
      <c r="L491">
        <v>0</v>
      </c>
      <c r="M491">
        <v>660345601.73800004</v>
      </c>
      <c r="N491">
        <v>0</v>
      </c>
      <c r="O491" t="b">
        <v>1</v>
      </c>
    </row>
    <row r="492" spans="1:15" x14ac:dyDescent="0.3">
      <c r="A492" s="1" t="s">
        <v>596</v>
      </c>
      <c r="B492">
        <v>1.925744385548642</v>
      </c>
      <c r="C492">
        <v>1.9019697635048322E-2</v>
      </c>
      <c r="D492">
        <v>7.8024691358025309E-3</v>
      </c>
      <c r="E492">
        <v>89.384530479756251</v>
      </c>
      <c r="F492">
        <v>0.52072694502853722</v>
      </c>
      <c r="G492">
        <v>0.2</v>
      </c>
      <c r="H492">
        <v>0.23359672694499301</v>
      </c>
      <c r="I492">
        <v>-0.21370698528141679</v>
      </c>
      <c r="J492">
        <v>-1.971414489896572E-3</v>
      </c>
      <c r="K492">
        <v>0</v>
      </c>
      <c r="L492">
        <v>0</v>
      </c>
      <c r="M492">
        <v>127779582.5</v>
      </c>
      <c r="N492">
        <v>0</v>
      </c>
      <c r="O492" t="b">
        <v>1</v>
      </c>
    </row>
    <row r="493" spans="1:15" x14ac:dyDescent="0.3">
      <c r="A493" s="1" t="s">
        <v>597</v>
      </c>
      <c r="B493">
        <v>0.84386840941549057</v>
      </c>
      <c r="C493">
        <v>1.9497883766531669E-2</v>
      </c>
      <c r="D493">
        <v>1.4325323475046149E-2</v>
      </c>
      <c r="E493">
        <v>35.038610541683553</v>
      </c>
      <c r="F493">
        <v>-4.795424549054117E-2</v>
      </c>
      <c r="G493">
        <v>0.2</v>
      </c>
      <c r="H493">
        <v>-5.1688841772398277E-2</v>
      </c>
      <c r="I493">
        <v>6.0107311688032398E-2</v>
      </c>
      <c r="J493">
        <v>-8.1494057724957436E-2</v>
      </c>
      <c r="K493">
        <v>-1.096892138939665E-2</v>
      </c>
      <c r="L493">
        <v>0</v>
      </c>
      <c r="M493">
        <v>287098543.76684999</v>
      </c>
      <c r="N493">
        <v>0</v>
      </c>
      <c r="O493" t="b">
        <v>1</v>
      </c>
    </row>
    <row r="494" spans="1:15" x14ac:dyDescent="0.3">
      <c r="A494" s="1" t="s">
        <v>598</v>
      </c>
      <c r="B494">
        <v>3.709860373563119</v>
      </c>
      <c r="C494">
        <v>3.1792444713026981E-2</v>
      </c>
      <c r="D494">
        <v>2.3566715228382891E-2</v>
      </c>
      <c r="E494">
        <v>51.50549850677929</v>
      </c>
      <c r="F494">
        <v>2.1115360046203509E-2</v>
      </c>
      <c r="G494">
        <v>0.2</v>
      </c>
      <c r="H494">
        <v>0.13772025859365011</v>
      </c>
      <c r="I494">
        <v>1.019939074875698</v>
      </c>
      <c r="J494">
        <v>-5.0451623403043433E-2</v>
      </c>
      <c r="K494">
        <v>-6.5554231227651361E-3</v>
      </c>
      <c r="L494">
        <v>0</v>
      </c>
      <c r="M494">
        <v>326247759.83539999</v>
      </c>
      <c r="N494">
        <v>0</v>
      </c>
      <c r="O494" t="b">
        <v>1</v>
      </c>
    </row>
    <row r="495" spans="1:15" x14ac:dyDescent="0.3">
      <c r="A495" s="1" t="s">
        <v>599</v>
      </c>
      <c r="B495">
        <v>1.2831640849194419</v>
      </c>
      <c r="C495">
        <v>3.1243342705610948E-2</v>
      </c>
      <c r="D495">
        <v>3.238373508643775E-2</v>
      </c>
      <c r="E495">
        <v>43.846015668937852</v>
      </c>
      <c r="F495">
        <v>-8.2105771552763995E-3</v>
      </c>
      <c r="G495">
        <v>0.2</v>
      </c>
      <c r="H495">
        <v>1.3450466906828719E-2</v>
      </c>
      <c r="I495">
        <v>0.45842938993947879</v>
      </c>
      <c r="J495">
        <v>-7.4374577417173682E-2</v>
      </c>
      <c r="K495">
        <v>-1.9106759016001899E-2</v>
      </c>
      <c r="L495">
        <v>0</v>
      </c>
      <c r="M495">
        <v>96414226.5</v>
      </c>
      <c r="N495">
        <v>0</v>
      </c>
      <c r="O495" t="b">
        <v>1</v>
      </c>
    </row>
    <row r="496" spans="1:15" x14ac:dyDescent="0.3">
      <c r="A496" s="1" t="s">
        <v>600</v>
      </c>
      <c r="B496">
        <v>0.85671241971029211</v>
      </c>
      <c r="C496">
        <v>2.1013304383377292E-2</v>
      </c>
      <c r="D496">
        <v>1.9131714495952929E-2</v>
      </c>
      <c r="E496">
        <v>56.465898390072113</v>
      </c>
      <c r="F496">
        <v>2.8766086298258831E-2</v>
      </c>
      <c r="G496">
        <v>0.4</v>
      </c>
      <c r="H496">
        <v>-0.11551710549424719</v>
      </c>
      <c r="I496">
        <v>0.25353954733747502</v>
      </c>
      <c r="J496">
        <v>-3.665689149560114E-3</v>
      </c>
      <c r="K496">
        <v>1.7723414877683471E-2</v>
      </c>
      <c r="L496">
        <v>0</v>
      </c>
      <c r="M496">
        <v>53594577</v>
      </c>
      <c r="N496">
        <v>0</v>
      </c>
      <c r="O496" t="b">
        <v>0</v>
      </c>
    </row>
    <row r="497" spans="1:15" x14ac:dyDescent="0.3">
      <c r="A497" s="1" t="s">
        <v>601</v>
      </c>
      <c r="B497">
        <v>5.6865567953271787</v>
      </c>
      <c r="C497">
        <v>2.5348843657289989E-2</v>
      </c>
      <c r="D497">
        <v>4.016368596544416E-2</v>
      </c>
      <c r="E497">
        <v>58.49964024992039</v>
      </c>
      <c r="F497">
        <v>8.5712073254541998E-2</v>
      </c>
      <c r="G497">
        <v>0.4</v>
      </c>
      <c r="H497">
        <v>-8.6860764571221105E-2</v>
      </c>
      <c r="I497">
        <v>1.0928477888975121</v>
      </c>
      <c r="J497">
        <v>0</v>
      </c>
      <c r="K497">
        <v>3.8901135542670939E-2</v>
      </c>
      <c r="L497">
        <v>0</v>
      </c>
      <c r="M497">
        <v>80698878.102499992</v>
      </c>
      <c r="N497">
        <v>0</v>
      </c>
      <c r="O497" t="b">
        <v>0</v>
      </c>
    </row>
    <row r="498" spans="1:15" x14ac:dyDescent="0.3">
      <c r="A498" s="1" t="s">
        <v>602</v>
      </c>
      <c r="B498">
        <v>3.1313413658495959</v>
      </c>
      <c r="C498">
        <v>2.0689404465474698E-2</v>
      </c>
      <c r="D498">
        <v>2.6494879418566181E-2</v>
      </c>
      <c r="E498">
        <v>70.769400992666931</v>
      </c>
      <c r="F498">
        <v>8.3361965298058616E-2</v>
      </c>
      <c r="G498">
        <v>0.6</v>
      </c>
      <c r="H498">
        <v>0.13408117097926209</v>
      </c>
      <c r="I498">
        <v>0.30337617419483348</v>
      </c>
      <c r="J498">
        <v>-7.9223608635381471E-4</v>
      </c>
      <c r="K498">
        <v>2.464288132150827E-2</v>
      </c>
      <c r="L498">
        <v>0</v>
      </c>
      <c r="M498">
        <v>138223733.081</v>
      </c>
      <c r="N498">
        <v>0</v>
      </c>
      <c r="O498" t="b">
        <v>1</v>
      </c>
    </row>
    <row r="499" spans="1:15" x14ac:dyDescent="0.3">
      <c r="A499" s="1" t="s">
        <v>603</v>
      </c>
      <c r="B499">
        <v>8.5326072887133595</v>
      </c>
      <c r="C499">
        <v>3.1132948840490969E-2</v>
      </c>
      <c r="D499">
        <v>5.1556171780931873E-2</v>
      </c>
      <c r="E499">
        <v>66.146653001125429</v>
      </c>
      <c r="F499">
        <v>2.4204669030953641E-2</v>
      </c>
      <c r="G499">
        <v>0.6</v>
      </c>
      <c r="H499">
        <v>0.1023318451166159</v>
      </c>
      <c r="I499">
        <v>1.4203481655693879</v>
      </c>
      <c r="J499">
        <v>0</v>
      </c>
      <c r="K499">
        <v>4.899146476824745E-2</v>
      </c>
      <c r="L499">
        <v>0</v>
      </c>
      <c r="M499">
        <v>321681903.88</v>
      </c>
      <c r="N499">
        <v>0</v>
      </c>
      <c r="O499" t="b">
        <v>1</v>
      </c>
    </row>
    <row r="500" spans="1:15" x14ac:dyDescent="0.3">
      <c r="A500" s="1" t="s">
        <v>604</v>
      </c>
      <c r="B500">
        <v>2.6005428252420608</v>
      </c>
      <c r="C500">
        <v>2.028393789139487E-2</v>
      </c>
      <c r="D500">
        <v>2.6972006208709449E-2</v>
      </c>
      <c r="E500">
        <v>42.461418405454367</v>
      </c>
      <c r="F500">
        <v>-5.5922685529908867E-3</v>
      </c>
      <c r="G500">
        <v>0.2</v>
      </c>
      <c r="H500">
        <v>-0.18451420974865931</v>
      </c>
      <c r="I500">
        <v>0.34892633914704202</v>
      </c>
      <c r="J500">
        <v>-3.1061768329088579E-2</v>
      </c>
      <c r="K500">
        <v>2.431210252149163E-2</v>
      </c>
      <c r="L500">
        <v>0</v>
      </c>
      <c r="M500">
        <v>151572975.2525</v>
      </c>
      <c r="N500">
        <v>1</v>
      </c>
      <c r="O500" t="b">
        <v>1</v>
      </c>
    </row>
    <row r="501" spans="1:15" x14ac:dyDescent="0.3">
      <c r="A501" s="1" t="s">
        <v>605</v>
      </c>
      <c r="B501">
        <v>0.60666151706888671</v>
      </c>
      <c r="C501">
        <v>9.5953245656980064E-3</v>
      </c>
      <c r="D501">
        <v>1.237649209881579E-2</v>
      </c>
      <c r="E501">
        <v>63.101588483052751</v>
      </c>
      <c r="F501">
        <v>2.0625696159620292E-2</v>
      </c>
      <c r="G501">
        <v>0.4</v>
      </c>
      <c r="H501">
        <v>1.0981011015409461E-2</v>
      </c>
      <c r="I501">
        <v>0.69392241517822983</v>
      </c>
      <c r="J501">
        <v>0</v>
      </c>
      <c r="K501">
        <v>9.8082433325985541E-3</v>
      </c>
      <c r="L501">
        <v>0</v>
      </c>
      <c r="M501">
        <v>94736446.030299991</v>
      </c>
      <c r="N501">
        <v>0</v>
      </c>
      <c r="O501" t="b">
        <v>1</v>
      </c>
    </row>
    <row r="502" spans="1:15" x14ac:dyDescent="0.3">
      <c r="A502" s="1" t="s">
        <v>606</v>
      </c>
      <c r="B502">
        <v>0.27891403802162268</v>
      </c>
      <c r="C502">
        <v>2.1024252279959198E-2</v>
      </c>
      <c r="D502">
        <v>2.609619863865581E-2</v>
      </c>
      <c r="E502">
        <v>59.57349913558167</v>
      </c>
      <c r="F502">
        <v>1.8995314540287241E-2</v>
      </c>
      <c r="G502">
        <v>0.6</v>
      </c>
      <c r="H502">
        <v>7.8554205695652579E-2</v>
      </c>
      <c r="I502">
        <v>0.98533964271328356</v>
      </c>
      <c r="J502">
        <v>-2.976123373841677E-3</v>
      </c>
      <c r="K502">
        <v>2.5224306215658521E-2</v>
      </c>
      <c r="L502">
        <v>0</v>
      </c>
      <c r="M502">
        <v>849804290.03789997</v>
      </c>
      <c r="N502">
        <v>0</v>
      </c>
      <c r="O502" t="b">
        <v>1</v>
      </c>
    </row>
    <row r="503" spans="1:15" x14ac:dyDescent="0.3">
      <c r="A503" s="1" t="s">
        <v>607</v>
      </c>
      <c r="B503">
        <v>1.3663885999619569</v>
      </c>
      <c r="C503">
        <v>2.153149385379699E-2</v>
      </c>
      <c r="D503">
        <v>2.773400567286477E-2</v>
      </c>
      <c r="E503">
        <v>51.079122814161707</v>
      </c>
      <c r="F503">
        <v>1.515047294238459E-2</v>
      </c>
      <c r="G503">
        <v>0.6</v>
      </c>
      <c r="H503">
        <v>-0.1031526660558241</v>
      </c>
      <c r="I503">
        <v>0.4434197893898697</v>
      </c>
      <c r="J503">
        <v>-3.081063084361935E-2</v>
      </c>
      <c r="K503">
        <v>1.878311125381282E-2</v>
      </c>
      <c r="L503">
        <v>0</v>
      </c>
      <c r="M503">
        <v>41106966.772499993</v>
      </c>
      <c r="N503">
        <v>1</v>
      </c>
      <c r="O503" t="b">
        <v>0</v>
      </c>
    </row>
    <row r="504" spans="1:15" x14ac:dyDescent="0.3">
      <c r="A504" s="1" t="s">
        <v>608</v>
      </c>
      <c r="B504">
        <v>4.3606718322115912</v>
      </c>
      <c r="C504">
        <v>2.720658742333161E-2</v>
      </c>
      <c r="D504">
        <v>2.9760419266284071E-2</v>
      </c>
      <c r="E504">
        <v>69.677858868704575</v>
      </c>
      <c r="F504">
        <v>0.11506887435647691</v>
      </c>
      <c r="G504">
        <v>0.6</v>
      </c>
      <c r="H504">
        <v>0.10955213203110591</v>
      </c>
      <c r="I504">
        <v>0.46105228754255101</v>
      </c>
      <c r="J504">
        <v>0</v>
      </c>
      <c r="K504">
        <v>1.3340077132199649E-2</v>
      </c>
      <c r="L504">
        <v>0</v>
      </c>
      <c r="M504">
        <v>293000918.09549999</v>
      </c>
      <c r="N504">
        <v>0</v>
      </c>
      <c r="O504" t="b">
        <v>1</v>
      </c>
    </row>
    <row r="505" spans="1:15" x14ac:dyDescent="0.3">
      <c r="A505" s="1" t="s">
        <v>609</v>
      </c>
      <c r="B505">
        <v>0.77395041138366971</v>
      </c>
      <c r="C505">
        <v>1.90137382172046E-2</v>
      </c>
      <c r="D505">
        <v>2.4675222578172701E-2</v>
      </c>
      <c r="E505">
        <v>49.020437896329341</v>
      </c>
      <c r="F505">
        <v>-1.015745638032717E-2</v>
      </c>
      <c r="G505">
        <v>0.4</v>
      </c>
      <c r="H505">
        <v>-0.18380416011655021</v>
      </c>
      <c r="I505">
        <v>0.21100567140685389</v>
      </c>
      <c r="J505">
        <v>-1.9640994886838459E-2</v>
      </c>
      <c r="K505">
        <v>1.462685079016901E-2</v>
      </c>
      <c r="L505">
        <v>0</v>
      </c>
      <c r="M505">
        <v>248120847.48199999</v>
      </c>
      <c r="N505">
        <v>0</v>
      </c>
      <c r="O505" t="b">
        <v>1</v>
      </c>
    </row>
    <row r="506" spans="1:15" x14ac:dyDescent="0.3">
      <c r="A506" s="1" t="s">
        <v>610</v>
      </c>
      <c r="B506">
        <v>0.89985705224006529</v>
      </c>
      <c r="C506">
        <v>1.620505628081818E-2</v>
      </c>
      <c r="D506">
        <v>1.278061711453749E-2</v>
      </c>
      <c r="E506">
        <v>61.108479402048047</v>
      </c>
      <c r="F506">
        <v>2.7085883920736631E-3</v>
      </c>
      <c r="G506">
        <v>0.8</v>
      </c>
      <c r="H506">
        <v>2.6850852711829489E-2</v>
      </c>
      <c r="I506">
        <v>1.4653745495533439</v>
      </c>
      <c r="J506">
        <v>0</v>
      </c>
      <c r="K506">
        <v>2.8896827489552912E-3</v>
      </c>
      <c r="L506">
        <v>0</v>
      </c>
      <c r="M506">
        <v>20752469.070900001</v>
      </c>
      <c r="N506">
        <v>0</v>
      </c>
      <c r="O506" t="b">
        <v>0</v>
      </c>
    </row>
    <row r="507" spans="1:15" x14ac:dyDescent="0.3">
      <c r="A507" s="1" t="s">
        <v>611</v>
      </c>
      <c r="B507">
        <v>0.14099574832672529</v>
      </c>
      <c r="C507">
        <v>3.0745826472022711E-3</v>
      </c>
      <c r="D507">
        <v>3.6743460863308138E-3</v>
      </c>
      <c r="E507">
        <v>50.841063897383478</v>
      </c>
      <c r="F507">
        <v>2.1437749670021322E-3</v>
      </c>
      <c r="G507">
        <v>0.2</v>
      </c>
      <c r="H507">
        <v>-9.1098520300060701E-2</v>
      </c>
      <c r="I507">
        <v>-2.3331926689070261E-3</v>
      </c>
      <c r="J507">
        <v>-5.5859016699157937E-3</v>
      </c>
      <c r="K507">
        <v>3.0358904367262518E-3</v>
      </c>
      <c r="L507">
        <v>0</v>
      </c>
      <c r="M507">
        <v>89362861.804000005</v>
      </c>
      <c r="N507">
        <v>0</v>
      </c>
      <c r="O507" t="b">
        <v>0</v>
      </c>
    </row>
    <row r="508" spans="1:15" x14ac:dyDescent="0.3">
      <c r="A508" s="1" t="s">
        <v>612</v>
      </c>
      <c r="B508">
        <v>3.504224579097114</v>
      </c>
      <c r="C508">
        <v>4.3444391012857853E-2</v>
      </c>
      <c r="D508">
        <v>3.1812546491445597E-2</v>
      </c>
      <c r="E508">
        <v>46.204421624917288</v>
      </c>
      <c r="F508">
        <v>-0.12733960835226671</v>
      </c>
      <c r="G508">
        <v>0.4</v>
      </c>
      <c r="H508">
        <v>-0.14776202872932381</v>
      </c>
      <c r="I508">
        <v>1.8420495201507729</v>
      </c>
      <c r="J508">
        <v>-9.96763031588348E-2</v>
      </c>
      <c r="K508">
        <v>-6.4055186006406473E-3</v>
      </c>
      <c r="L508">
        <v>0</v>
      </c>
      <c r="M508">
        <v>330208447</v>
      </c>
      <c r="N508">
        <v>0</v>
      </c>
      <c r="O508" t="b">
        <v>1</v>
      </c>
    </row>
    <row r="509" spans="1:15" x14ac:dyDescent="0.3">
      <c r="A509" s="1" t="s">
        <v>613</v>
      </c>
      <c r="B509">
        <v>4.453028651177604</v>
      </c>
      <c r="C509">
        <v>2.812018825298284E-2</v>
      </c>
      <c r="D509">
        <v>1.978441117222484E-2</v>
      </c>
      <c r="E509">
        <v>52.87715362597632</v>
      </c>
      <c r="F509">
        <v>-1.3861990372579959E-2</v>
      </c>
      <c r="G509">
        <v>0.4</v>
      </c>
      <c r="H509">
        <v>2.8393175418171959E-2</v>
      </c>
      <c r="I509">
        <v>0.55120924710480679</v>
      </c>
      <c r="J509">
        <v>-2.1938249263475099E-2</v>
      </c>
      <c r="K509">
        <v>1.6131619642845822E-2</v>
      </c>
      <c r="L509">
        <v>0</v>
      </c>
      <c r="M509">
        <v>33533048.153499998</v>
      </c>
      <c r="N509">
        <v>0</v>
      </c>
      <c r="O509" t="b">
        <v>0</v>
      </c>
    </row>
    <row r="510" spans="1:15" x14ac:dyDescent="0.3">
      <c r="A510" s="1" t="s">
        <v>614</v>
      </c>
      <c r="B510">
        <v>43.968998289953532</v>
      </c>
      <c r="C510">
        <v>2.1380084165614831E-2</v>
      </c>
      <c r="D510">
        <v>4.591692843319365E-2</v>
      </c>
      <c r="E510">
        <v>79.227906470004669</v>
      </c>
      <c r="F510">
        <v>0.13471162387786301</v>
      </c>
      <c r="G510">
        <v>0.8</v>
      </c>
      <c r="H510">
        <v>7.5240713271206372E-3</v>
      </c>
      <c r="I510">
        <v>0.84159127913395093</v>
      </c>
      <c r="J510">
        <v>0</v>
      </c>
      <c r="K510">
        <v>4.3304010795564007E-2</v>
      </c>
      <c r="L510">
        <v>0</v>
      </c>
      <c r="M510">
        <v>170130896.14500001</v>
      </c>
      <c r="N510">
        <v>0</v>
      </c>
      <c r="O510" t="b">
        <v>1</v>
      </c>
    </row>
    <row r="511" spans="1:15" x14ac:dyDescent="0.3">
      <c r="A511" s="1" t="s">
        <v>615</v>
      </c>
      <c r="B511">
        <v>1.470520143369074</v>
      </c>
      <c r="C511">
        <v>3.173704568667135E-2</v>
      </c>
      <c r="D511">
        <v>3.7889693424985729E-2</v>
      </c>
      <c r="E511">
        <v>69.831561404683342</v>
      </c>
      <c r="F511">
        <v>0.13430946773664451</v>
      </c>
      <c r="G511">
        <v>0.6</v>
      </c>
      <c r="H511">
        <v>3.8706672526056941E-4</v>
      </c>
      <c r="I511">
        <v>2.243493062349899</v>
      </c>
      <c r="J511">
        <v>0</v>
      </c>
      <c r="K511">
        <v>3.6830422076323588E-2</v>
      </c>
      <c r="L511">
        <v>0</v>
      </c>
      <c r="M511">
        <v>556903592.72850001</v>
      </c>
      <c r="N511">
        <v>0</v>
      </c>
      <c r="O511" t="b">
        <v>1</v>
      </c>
    </row>
    <row r="512" spans="1:15" x14ac:dyDescent="0.3">
      <c r="A512" s="1" t="s">
        <v>616</v>
      </c>
      <c r="B512">
        <v>0.46527938183441081</v>
      </c>
      <c r="C512">
        <v>1.054746756242303E-2</v>
      </c>
      <c r="D512">
        <v>1.589784394134134E-2</v>
      </c>
      <c r="E512">
        <v>63.24872261711397</v>
      </c>
      <c r="F512">
        <v>3.9087472175439057E-2</v>
      </c>
      <c r="G512">
        <v>0.4</v>
      </c>
      <c r="H512">
        <v>-4.9296852017728147E-2</v>
      </c>
      <c r="I512">
        <v>0.36742305875736803</v>
      </c>
      <c r="J512">
        <v>0</v>
      </c>
      <c r="K512">
        <v>1.453745101286086E-2</v>
      </c>
      <c r="L512">
        <v>0</v>
      </c>
      <c r="M512">
        <v>29047810.881349999</v>
      </c>
      <c r="N512">
        <v>0</v>
      </c>
      <c r="O512" t="b">
        <v>0</v>
      </c>
    </row>
    <row r="513" spans="1:15" x14ac:dyDescent="0.3">
      <c r="A513" s="1" t="s">
        <v>617</v>
      </c>
      <c r="B513">
        <v>4.2393954836555414</v>
      </c>
      <c r="C513">
        <v>1.550506723595765E-2</v>
      </c>
      <c r="D513">
        <v>1.13378684807255E-2</v>
      </c>
      <c r="E513">
        <v>53.39653643291485</v>
      </c>
      <c r="F513">
        <v>-1.345841602020548E-2</v>
      </c>
      <c r="G513">
        <v>0.6</v>
      </c>
      <c r="H513">
        <v>-0.18936662147594249</v>
      </c>
      <c r="I513">
        <v>1.2914796540196409</v>
      </c>
      <c r="J513">
        <v>-1.434751261715916E-2</v>
      </c>
      <c r="K513">
        <v>1.4631648255192251E-4</v>
      </c>
      <c r="L513">
        <v>0</v>
      </c>
      <c r="M513">
        <v>86492842.5</v>
      </c>
      <c r="N513">
        <v>0</v>
      </c>
      <c r="O513" t="b">
        <v>0</v>
      </c>
    </row>
    <row r="514" spans="1:15" x14ac:dyDescent="0.3">
      <c r="A514" s="1" t="s">
        <v>618</v>
      </c>
      <c r="B514">
        <v>7.4243174856166076</v>
      </c>
      <c r="C514">
        <v>2.5760990581598218E-2</v>
      </c>
      <c r="D514">
        <v>2.0680083275503049E-2</v>
      </c>
      <c r="E514">
        <v>60.130284419602781</v>
      </c>
      <c r="F514">
        <v>9.150542154757435E-2</v>
      </c>
      <c r="G514">
        <v>0.6</v>
      </c>
      <c r="H514">
        <v>-0.17924863622664011</v>
      </c>
      <c r="I514">
        <v>5.0950849824852033E-2</v>
      </c>
      <c r="J514">
        <v>-8.3611464748993836E-3</v>
      </c>
      <c r="K514">
        <v>2.2256224787868821E-3</v>
      </c>
      <c r="L514">
        <v>0</v>
      </c>
      <c r="M514">
        <v>147467974.88299999</v>
      </c>
      <c r="N514">
        <v>0</v>
      </c>
      <c r="O514" t="b">
        <v>1</v>
      </c>
    </row>
    <row r="515" spans="1:15" x14ac:dyDescent="0.3">
      <c r="A515" s="1" t="s">
        <v>619</v>
      </c>
      <c r="B515">
        <v>0.48799848631801751</v>
      </c>
      <c r="C515">
        <v>8.580706122528951E-3</v>
      </c>
      <c r="D515">
        <v>1.047623066697608E-2</v>
      </c>
      <c r="E515">
        <v>64.351766645935584</v>
      </c>
      <c r="F515">
        <v>2.0674951004673311E-2</v>
      </c>
      <c r="G515">
        <v>0.4</v>
      </c>
      <c r="H515">
        <v>-4.7546344883050741E-2</v>
      </c>
      <c r="I515">
        <v>0.63346202682773478</v>
      </c>
      <c r="J515">
        <v>0</v>
      </c>
      <c r="K515">
        <v>6.8567725899055798E-3</v>
      </c>
      <c r="L515">
        <v>0</v>
      </c>
      <c r="M515">
        <v>39737722.270300001</v>
      </c>
      <c r="N515">
        <v>0</v>
      </c>
      <c r="O515" t="b">
        <v>0</v>
      </c>
    </row>
    <row r="516" spans="1:15" x14ac:dyDescent="0.3">
      <c r="A516" s="1" t="s">
        <v>620</v>
      </c>
      <c r="B516">
        <v>6.0082006672737922</v>
      </c>
      <c r="C516">
        <v>2.1240898915625368E-2</v>
      </c>
      <c r="D516">
        <v>3.6438520823022048E-2</v>
      </c>
      <c r="E516">
        <v>72.32593644987368</v>
      </c>
      <c r="F516">
        <v>0.1198163067360796</v>
      </c>
      <c r="G516">
        <v>0.8</v>
      </c>
      <c r="H516">
        <v>0.19082367510198631</v>
      </c>
      <c r="I516">
        <v>0.7458226462156603</v>
      </c>
      <c r="J516">
        <v>0</v>
      </c>
      <c r="K516">
        <v>3.3365360377310298E-2</v>
      </c>
      <c r="L516">
        <v>0</v>
      </c>
      <c r="M516">
        <v>406898429.63599998</v>
      </c>
      <c r="N516">
        <v>0</v>
      </c>
      <c r="O516" t="b">
        <v>1</v>
      </c>
    </row>
    <row r="517" spans="1:15" x14ac:dyDescent="0.3">
      <c r="A517" s="1" t="s">
        <v>621</v>
      </c>
      <c r="B517">
        <v>0.69620716138147387</v>
      </c>
      <c r="C517">
        <v>1.5830265496003221E-2</v>
      </c>
      <c r="D517">
        <v>1.283779942927952E-2</v>
      </c>
      <c r="E517">
        <v>34.932807153207897</v>
      </c>
      <c r="F517">
        <v>-3.7502380009235559E-2</v>
      </c>
      <c r="G517">
        <v>0.2</v>
      </c>
      <c r="H517">
        <v>-2.4712856818548731E-2</v>
      </c>
      <c r="I517">
        <v>2.0063932273857429E-2</v>
      </c>
      <c r="J517">
        <v>-6.9573348622009257E-2</v>
      </c>
      <c r="K517">
        <v>-8.2645559915210942E-3</v>
      </c>
      <c r="L517">
        <v>0</v>
      </c>
      <c r="M517">
        <v>178937535.09615001</v>
      </c>
      <c r="N517">
        <v>0</v>
      </c>
      <c r="O517" t="b">
        <v>1</v>
      </c>
    </row>
    <row r="518" spans="1:15" x14ac:dyDescent="0.3">
      <c r="A518" s="1" t="s">
        <v>622</v>
      </c>
      <c r="B518">
        <v>0.40577985563154639</v>
      </c>
      <c r="C518">
        <v>1.0594027461028759E-2</v>
      </c>
      <c r="D518">
        <v>1.1072326493954621E-2</v>
      </c>
      <c r="E518">
        <v>61.214035065130233</v>
      </c>
      <c r="F518">
        <v>1.1327121458954309E-2</v>
      </c>
      <c r="G518">
        <v>0.6</v>
      </c>
      <c r="H518">
        <v>-3.8183567481701368E-2</v>
      </c>
      <c r="I518">
        <v>1.0144004981513379</v>
      </c>
      <c r="J518">
        <v>0</v>
      </c>
      <c r="K518">
        <v>6.0278621182354719E-3</v>
      </c>
      <c r="L518">
        <v>0</v>
      </c>
      <c r="M518">
        <v>29699481.797200002</v>
      </c>
      <c r="N518">
        <v>0</v>
      </c>
      <c r="O518" t="b">
        <v>0</v>
      </c>
    </row>
    <row r="519" spans="1:15" x14ac:dyDescent="0.3">
      <c r="A519" s="1" t="s">
        <v>623</v>
      </c>
      <c r="B519">
        <v>0.56585510585188903</v>
      </c>
      <c r="C519">
        <v>1.344390024855938E-2</v>
      </c>
      <c r="D519">
        <v>1.044426123957887E-2</v>
      </c>
      <c r="E519">
        <v>57.157628590819108</v>
      </c>
      <c r="F519">
        <v>-2.8405591092158788E-3</v>
      </c>
      <c r="G519">
        <v>0.8</v>
      </c>
      <c r="H519">
        <v>1.580599607141342E-2</v>
      </c>
      <c r="I519">
        <v>1.26401937594805</v>
      </c>
      <c r="J519">
        <v>-3.5464099110082969E-3</v>
      </c>
      <c r="K519">
        <v>1.1893406533285409E-3</v>
      </c>
      <c r="L519">
        <v>0</v>
      </c>
      <c r="M519">
        <v>13153296.2568</v>
      </c>
      <c r="N519">
        <v>0</v>
      </c>
      <c r="O519" t="b">
        <v>0</v>
      </c>
    </row>
    <row r="520" spans="1:15" x14ac:dyDescent="0.3">
      <c r="A520" s="1" t="s">
        <v>624</v>
      </c>
      <c r="B520">
        <v>0.31641994153632008</v>
      </c>
      <c r="C520">
        <v>8.7726529374702322E-3</v>
      </c>
      <c r="D520">
        <v>1.2570386122116341E-2</v>
      </c>
      <c r="E520">
        <v>64.492705340396128</v>
      </c>
      <c r="F520">
        <v>1.8167806624079349E-2</v>
      </c>
      <c r="G520">
        <v>0.4</v>
      </c>
      <c r="H520">
        <v>-4.7408524196455713E-2</v>
      </c>
      <c r="I520">
        <v>0.72427794938060497</v>
      </c>
      <c r="J520">
        <v>0</v>
      </c>
      <c r="K520">
        <v>1.1100863680833409E-2</v>
      </c>
      <c r="L520">
        <v>0</v>
      </c>
      <c r="M520">
        <v>18593109.988049999</v>
      </c>
      <c r="N520">
        <v>0</v>
      </c>
      <c r="O520" t="b">
        <v>0</v>
      </c>
    </row>
    <row r="521" spans="1:15" x14ac:dyDescent="0.3">
      <c r="A521" s="1" t="s">
        <v>625</v>
      </c>
      <c r="B521">
        <v>1.0984541877140059</v>
      </c>
      <c r="C521">
        <v>1.6562940104252209E-2</v>
      </c>
      <c r="D521">
        <v>2.2391435464414949E-2</v>
      </c>
      <c r="E521">
        <v>62.729374372216597</v>
      </c>
      <c r="F521">
        <v>4.0090208065090227E-2</v>
      </c>
      <c r="G521">
        <v>0.2</v>
      </c>
      <c r="H521">
        <v>0.1410999172598339</v>
      </c>
      <c r="I521">
        <v>0.49707555942529769</v>
      </c>
      <c r="J521">
        <v>-5.3989202159570038E-3</v>
      </c>
      <c r="K521">
        <v>-1.9563581640332779E-3</v>
      </c>
      <c r="L521">
        <v>0</v>
      </c>
      <c r="M521">
        <v>8501235.5421500001</v>
      </c>
      <c r="N521">
        <v>0</v>
      </c>
      <c r="O521" t="b">
        <v>0</v>
      </c>
    </row>
    <row r="522" spans="1:15" x14ac:dyDescent="0.3">
      <c r="A522" s="1" t="s">
        <v>626</v>
      </c>
      <c r="B522">
        <v>6.4079395253002467</v>
      </c>
      <c r="C522">
        <v>2.7812841100285361E-2</v>
      </c>
      <c r="D522">
        <v>3.3373120076390511E-2</v>
      </c>
      <c r="E522">
        <v>38.761436583569044</v>
      </c>
      <c r="F522">
        <v>-8.0567793634070739E-2</v>
      </c>
      <c r="G522">
        <v>0.2</v>
      </c>
      <c r="H522">
        <v>-4.0388624327832631E-3</v>
      </c>
      <c r="I522">
        <v>1.362151404891405</v>
      </c>
      <c r="J522">
        <v>-8.9757974667541096E-2</v>
      </c>
      <c r="K522">
        <v>2.3450132376197089E-2</v>
      </c>
      <c r="L522">
        <v>0</v>
      </c>
      <c r="M522">
        <v>307768763.65450001</v>
      </c>
      <c r="N522">
        <v>0</v>
      </c>
      <c r="O522" t="b">
        <v>1</v>
      </c>
    </row>
    <row r="523" spans="1:15" x14ac:dyDescent="0.3">
      <c r="A523" s="1" t="s">
        <v>627</v>
      </c>
      <c r="B523">
        <v>0.63279582263266088</v>
      </c>
      <c r="C523">
        <v>9.9232981483495953E-3</v>
      </c>
      <c r="D523">
        <v>1.275704224799949E-2</v>
      </c>
      <c r="E523">
        <v>62.888166062905483</v>
      </c>
      <c r="F523">
        <v>2.047880426955162E-2</v>
      </c>
      <c r="G523">
        <v>0.4</v>
      </c>
      <c r="H523">
        <v>4.1221030575554783E-2</v>
      </c>
      <c r="I523">
        <v>0.77020839286594123</v>
      </c>
      <c r="J523">
        <v>0</v>
      </c>
      <c r="K523">
        <v>1.037329277180987E-2</v>
      </c>
      <c r="L523">
        <v>0</v>
      </c>
      <c r="M523">
        <v>84022735.872099996</v>
      </c>
      <c r="N523">
        <v>0</v>
      </c>
      <c r="O523" t="b">
        <v>0</v>
      </c>
    </row>
    <row r="524" spans="1:15" x14ac:dyDescent="0.3">
      <c r="A524" s="1" t="s">
        <v>628</v>
      </c>
      <c r="B524">
        <v>6.9662063712332483</v>
      </c>
      <c r="C524">
        <v>2.6992430142720271E-2</v>
      </c>
      <c r="D524">
        <v>1.921884686918799E-2</v>
      </c>
      <c r="E524">
        <v>58.866610185474499</v>
      </c>
      <c r="F524">
        <v>7.189433899572184E-2</v>
      </c>
      <c r="G524">
        <v>1</v>
      </c>
      <c r="H524">
        <v>-0.20115887366471569</v>
      </c>
      <c r="I524">
        <v>0.78524577643126037</v>
      </c>
      <c r="J524">
        <v>0</v>
      </c>
      <c r="K524">
        <v>3.8762694782534801E-4</v>
      </c>
      <c r="L524">
        <v>0</v>
      </c>
      <c r="M524">
        <v>138925529</v>
      </c>
      <c r="N524">
        <v>0</v>
      </c>
      <c r="O524" t="b">
        <v>1</v>
      </c>
    </row>
    <row r="525" spans="1:15" x14ac:dyDescent="0.3">
      <c r="A525" s="1" t="s">
        <v>629</v>
      </c>
      <c r="B525">
        <v>0.52130448355952042</v>
      </c>
      <c r="C525">
        <v>2.1976867514292231E-2</v>
      </c>
      <c r="D525">
        <v>4.5247590701752889E-2</v>
      </c>
      <c r="E525">
        <v>72.598855871870995</v>
      </c>
      <c r="F525">
        <v>9.3952055489452846E-2</v>
      </c>
      <c r="G525">
        <v>0.8</v>
      </c>
      <c r="H525">
        <v>1.6120172129254821E-2</v>
      </c>
      <c r="I525">
        <v>0.9896806164920533</v>
      </c>
      <c r="J525">
        <v>0</v>
      </c>
      <c r="K525">
        <v>4.601558400324568E-2</v>
      </c>
      <c r="L525">
        <v>0</v>
      </c>
      <c r="M525">
        <v>138548394.29194999</v>
      </c>
      <c r="N525">
        <v>0</v>
      </c>
      <c r="O525" t="b">
        <v>1</v>
      </c>
    </row>
    <row r="526" spans="1:15" x14ac:dyDescent="0.3">
      <c r="A526" s="1" t="s">
        <v>630</v>
      </c>
      <c r="B526">
        <v>55.275834475252537</v>
      </c>
      <c r="C526">
        <v>3.154581248873016E-2</v>
      </c>
      <c r="D526">
        <v>3.1713692188284667E-2</v>
      </c>
      <c r="E526">
        <v>51.613690163174489</v>
      </c>
      <c r="F526">
        <v>-2.3343999453407931E-3</v>
      </c>
      <c r="G526">
        <v>0.6</v>
      </c>
      <c r="H526">
        <v>3.6751613947586012E-2</v>
      </c>
      <c r="I526">
        <v>0.50632634145686939</v>
      </c>
      <c r="J526">
        <v>-3.1911602209944712E-2</v>
      </c>
      <c r="K526">
        <v>3.1398249690295371E-4</v>
      </c>
      <c r="L526">
        <v>0</v>
      </c>
      <c r="M526">
        <v>389770782</v>
      </c>
      <c r="N526">
        <v>0</v>
      </c>
      <c r="O526" t="b">
        <v>1</v>
      </c>
    </row>
    <row r="527" spans="1:15" x14ac:dyDescent="0.3">
      <c r="A527" s="1" t="s">
        <v>631</v>
      </c>
      <c r="B527">
        <v>2.3346944167449659</v>
      </c>
      <c r="C527">
        <v>5.9467509341440808E-2</v>
      </c>
      <c r="D527">
        <v>5.4839531329597527E-2</v>
      </c>
      <c r="E527">
        <v>45.6610416594798</v>
      </c>
      <c r="F527">
        <v>-0.1161638901395768</v>
      </c>
      <c r="G527">
        <v>0.6</v>
      </c>
      <c r="H527">
        <v>-0.13541390058092309</v>
      </c>
      <c r="I527">
        <v>2.8408233235936589</v>
      </c>
      <c r="J527">
        <v>-0.1173561151079137</v>
      </c>
      <c r="K527">
        <v>2.0535482193917209E-2</v>
      </c>
      <c r="O527" t="b">
        <v>0</v>
      </c>
    </row>
    <row r="528" spans="1:15" x14ac:dyDescent="0.3">
      <c r="A528" s="1" t="s">
        <v>632</v>
      </c>
      <c r="B528">
        <v>2.9737620103988491</v>
      </c>
      <c r="C528">
        <v>7.4811622903115702E-2</v>
      </c>
      <c r="D528">
        <v>7.2704402515723285E-2</v>
      </c>
      <c r="E528">
        <v>55.035218612779552</v>
      </c>
      <c r="F528">
        <v>5.7180851063829641E-2</v>
      </c>
      <c r="G528">
        <v>0.4</v>
      </c>
      <c r="H528">
        <v>8.4454467598628749E-2</v>
      </c>
      <c r="I528">
        <v>3.5972041560968031</v>
      </c>
      <c r="J528">
        <v>-5.8948863636363653E-2</v>
      </c>
      <c r="K528">
        <v>-2.021197929504559E-2</v>
      </c>
      <c r="O528" t="b">
        <v>0</v>
      </c>
    </row>
    <row r="529" spans="1:15" x14ac:dyDescent="0.3">
      <c r="A529" s="1" t="s">
        <v>633</v>
      </c>
      <c r="B529">
        <v>1.50038115401234</v>
      </c>
      <c r="C529">
        <v>2.2528245555740841E-2</v>
      </c>
      <c r="D529">
        <v>2.3423423423423462E-2</v>
      </c>
      <c r="E529">
        <v>57.794258382060562</v>
      </c>
      <c r="F529">
        <v>2.3942733004626241E-2</v>
      </c>
      <c r="G529">
        <v>0.4</v>
      </c>
      <c r="H529">
        <v>-5.3182406673232978E-2</v>
      </c>
      <c r="I529">
        <v>0.41649471450134379</v>
      </c>
      <c r="J529">
        <v>0</v>
      </c>
      <c r="K529">
        <v>2.1942611631118551E-2</v>
      </c>
      <c r="L529">
        <v>0</v>
      </c>
      <c r="M529">
        <v>235898581.79185</v>
      </c>
      <c r="N529">
        <v>0</v>
      </c>
      <c r="O529" t="b">
        <v>1</v>
      </c>
    </row>
    <row r="530" spans="1:15" x14ac:dyDescent="0.3">
      <c r="A530" s="1" t="s">
        <v>634</v>
      </c>
      <c r="B530">
        <v>4.8518819230671886</v>
      </c>
      <c r="C530">
        <v>7.2883910516256409E-2</v>
      </c>
      <c r="D530">
        <v>1.5923088478293559E-2</v>
      </c>
      <c r="E530">
        <v>46.803691089317027</v>
      </c>
      <c r="F530">
        <v>4.3416927899686542E-2</v>
      </c>
      <c r="G530">
        <v>0.6</v>
      </c>
      <c r="H530">
        <v>0</v>
      </c>
      <c r="I530">
        <v>1</v>
      </c>
      <c r="J530">
        <v>-5.6758775205378864E-3</v>
      </c>
      <c r="K530">
        <v>5.4372451291344603E-3</v>
      </c>
      <c r="L530">
        <v>3.968253968253968E-3</v>
      </c>
      <c r="M530">
        <v>633409636.5</v>
      </c>
      <c r="N530">
        <v>0</v>
      </c>
      <c r="O530" t="b">
        <v>1</v>
      </c>
    </row>
    <row r="531" spans="1:15" x14ac:dyDescent="0.3">
      <c r="A531" s="1" t="s">
        <v>635</v>
      </c>
      <c r="B531">
        <v>1.0019529019075759</v>
      </c>
      <c r="C531">
        <v>2.1250416797262681E-2</v>
      </c>
      <c r="D531">
        <v>5.1313049047928161E-2</v>
      </c>
      <c r="E531">
        <v>77.716664129523565</v>
      </c>
      <c r="F531">
        <v>0.10248088479435059</v>
      </c>
      <c r="G531">
        <v>0.4</v>
      </c>
      <c r="H531">
        <v>1.8713468902761519E-2</v>
      </c>
      <c r="I531">
        <v>0.98606608293548126</v>
      </c>
      <c r="J531">
        <v>0</v>
      </c>
      <c r="K531">
        <v>5.2455591319604089E-2</v>
      </c>
      <c r="L531">
        <v>0</v>
      </c>
      <c r="M531">
        <v>196049609.345</v>
      </c>
      <c r="N531">
        <v>0</v>
      </c>
      <c r="O531" t="b">
        <v>1</v>
      </c>
    </row>
    <row r="532" spans="1:15" x14ac:dyDescent="0.3">
      <c r="A532" s="1" t="s">
        <v>636</v>
      </c>
      <c r="B532">
        <v>6.4729994554216628</v>
      </c>
      <c r="C532">
        <v>3.6537590062213042E-2</v>
      </c>
      <c r="D532">
        <v>2.5795890720253001E-2</v>
      </c>
      <c r="E532">
        <v>71.776839986841537</v>
      </c>
      <c r="F532">
        <v>0.16178110040002619</v>
      </c>
      <c r="G532">
        <v>1</v>
      </c>
      <c r="H532">
        <v>0.12364541915878741</v>
      </c>
      <c r="I532">
        <v>2.2108140383970829</v>
      </c>
      <c r="J532">
        <v>0</v>
      </c>
      <c r="K532">
        <v>1.037983346640803E-2</v>
      </c>
      <c r="L532">
        <v>0</v>
      </c>
      <c r="M532">
        <v>165103085.5</v>
      </c>
      <c r="N532">
        <v>0</v>
      </c>
      <c r="O532" t="b">
        <v>1</v>
      </c>
    </row>
    <row r="533" spans="1:15" x14ac:dyDescent="0.3">
      <c r="A533" s="1" t="s">
        <v>637</v>
      </c>
      <c r="B533">
        <v>45.819146098891572</v>
      </c>
      <c r="C533">
        <v>4.4860916913616711E-2</v>
      </c>
      <c r="D533">
        <v>5.9381608835278543E-2</v>
      </c>
      <c r="E533">
        <v>62.532120940337357</v>
      </c>
      <c r="F533">
        <v>4.9120785094382453E-2</v>
      </c>
      <c r="G533">
        <v>0.4</v>
      </c>
      <c r="H533">
        <v>0.1398713562130878</v>
      </c>
      <c r="I533">
        <v>2.6910162230191892</v>
      </c>
      <c r="J533">
        <v>0</v>
      </c>
      <c r="K533">
        <v>3.8379032340053458E-2</v>
      </c>
      <c r="L533">
        <v>0</v>
      </c>
      <c r="M533">
        <v>221493769.623</v>
      </c>
      <c r="N533">
        <v>0</v>
      </c>
      <c r="O533" t="b">
        <v>1</v>
      </c>
    </row>
    <row r="534" spans="1:15" x14ac:dyDescent="0.3">
      <c r="A534" s="1" t="s">
        <v>638</v>
      </c>
      <c r="B534">
        <v>3.0500803423916261</v>
      </c>
      <c r="C534">
        <v>4.2315210077575272E-2</v>
      </c>
      <c r="D534">
        <v>7.117092119866808E-2</v>
      </c>
      <c r="E534">
        <v>72.472798176308288</v>
      </c>
      <c r="F534">
        <v>0.13262099308610931</v>
      </c>
      <c r="G534">
        <v>1</v>
      </c>
      <c r="H534">
        <v>0.12753919751507409</v>
      </c>
      <c r="I534">
        <v>2.3295972214108618</v>
      </c>
      <c r="J534">
        <v>0</v>
      </c>
      <c r="K534">
        <v>5.2262773722627782E-2</v>
      </c>
      <c r="L534">
        <v>0</v>
      </c>
      <c r="M534">
        <v>168715783</v>
      </c>
      <c r="N534">
        <v>0</v>
      </c>
      <c r="O534" t="b">
        <v>1</v>
      </c>
    </row>
    <row r="535" spans="1:15" x14ac:dyDescent="0.3">
      <c r="A535" s="1" t="s">
        <v>639</v>
      </c>
      <c r="B535">
        <v>2.600136213635882E-2</v>
      </c>
      <c r="C535">
        <v>5.1412407015367185E-4</v>
      </c>
      <c r="D535">
        <v>1.9772966795252931E-4</v>
      </c>
      <c r="E535">
        <v>83.658332059919786</v>
      </c>
      <c r="F535">
        <v>4.3850154806139852E-3</v>
      </c>
      <c r="G535">
        <v>0.8</v>
      </c>
      <c r="H535">
        <v>-7.8261026647970633E-2</v>
      </c>
      <c r="I535">
        <v>2.8490748691117659E-2</v>
      </c>
      <c r="J535">
        <v>0</v>
      </c>
      <c r="K535">
        <v>1.9579069776654021E-4</v>
      </c>
      <c r="L535">
        <v>0</v>
      </c>
      <c r="M535">
        <v>69266124.053100005</v>
      </c>
      <c r="N535">
        <v>0</v>
      </c>
      <c r="O535" t="b">
        <v>0</v>
      </c>
    </row>
    <row r="536" spans="1:15" x14ac:dyDescent="0.3">
      <c r="A536" s="1" t="s">
        <v>640</v>
      </c>
      <c r="B536">
        <v>1.748903294342683</v>
      </c>
      <c r="C536">
        <v>4.0306598164154939E-2</v>
      </c>
      <c r="D536">
        <v>3.5492048859184118E-2</v>
      </c>
      <c r="E536">
        <v>48.526937550063401</v>
      </c>
      <c r="F536">
        <v>-4.8256196534327778E-2</v>
      </c>
      <c r="G536">
        <v>0.4</v>
      </c>
      <c r="H536">
        <v>1.507932347830679E-2</v>
      </c>
      <c r="I536">
        <v>1.907553215324802</v>
      </c>
      <c r="J536">
        <v>-5.1169910343319407E-2</v>
      </c>
      <c r="K536">
        <v>-2.3041474654372779E-4</v>
      </c>
      <c r="L536">
        <v>0</v>
      </c>
      <c r="M536">
        <v>129305674</v>
      </c>
      <c r="N536">
        <v>0</v>
      </c>
      <c r="O536" t="b">
        <v>1</v>
      </c>
    </row>
    <row r="537" spans="1:15" x14ac:dyDescent="0.3">
      <c r="A537" s="1" t="s">
        <v>641</v>
      </c>
      <c r="B537">
        <v>1.9949839209483651</v>
      </c>
      <c r="C537">
        <v>2.724505755579635E-2</v>
      </c>
      <c r="D537">
        <v>2.6279742760882099E-2</v>
      </c>
      <c r="E537">
        <v>69.052668937680096</v>
      </c>
      <c r="F537">
        <v>5.3658768222612618E-2</v>
      </c>
      <c r="G537">
        <v>0.8</v>
      </c>
      <c r="H537">
        <v>0.101264150398733</v>
      </c>
      <c r="I537">
        <v>1.4184025903654121</v>
      </c>
      <c r="J537">
        <v>0</v>
      </c>
      <c r="K537">
        <v>1.35245118801437E-2</v>
      </c>
      <c r="L537">
        <v>0</v>
      </c>
      <c r="M537">
        <v>86658675.462449998</v>
      </c>
      <c r="N537">
        <v>0</v>
      </c>
      <c r="O537" t="b">
        <v>0</v>
      </c>
    </row>
    <row r="538" spans="1:15" x14ac:dyDescent="0.3">
      <c r="A538" s="1" t="s">
        <v>642</v>
      </c>
      <c r="B538">
        <v>7.3575064513200452</v>
      </c>
      <c r="C538">
        <v>3.3697473899972727E-2</v>
      </c>
      <c r="D538">
        <v>1.7060547769533731E-2</v>
      </c>
      <c r="E538">
        <v>53.918599136231371</v>
      </c>
      <c r="F538">
        <v>-5.00761366108331E-2</v>
      </c>
      <c r="G538">
        <v>0.6</v>
      </c>
      <c r="H538">
        <v>-0.1837852022400675</v>
      </c>
      <c r="I538">
        <v>1.495793438766724</v>
      </c>
      <c r="J538">
        <v>-6.8714011516314732E-2</v>
      </c>
      <c r="K538">
        <v>1.083333333333325E-2</v>
      </c>
      <c r="L538">
        <v>0</v>
      </c>
      <c r="M538">
        <v>484835112</v>
      </c>
      <c r="N538">
        <v>0</v>
      </c>
      <c r="O538" t="b">
        <v>1</v>
      </c>
    </row>
    <row r="539" spans="1:15" x14ac:dyDescent="0.3">
      <c r="A539" s="1" t="s">
        <v>643</v>
      </c>
      <c r="B539">
        <v>0.48310113791961118</v>
      </c>
      <c r="C539">
        <v>1.317687514100427E-2</v>
      </c>
      <c r="D539">
        <v>1.6318993639329291E-2</v>
      </c>
      <c r="E539">
        <v>62.711864447377103</v>
      </c>
      <c r="F539">
        <v>2.280919063082365E-2</v>
      </c>
      <c r="G539">
        <v>0.6</v>
      </c>
      <c r="H539">
        <v>-0.10739325560726271</v>
      </c>
      <c r="I539">
        <v>0.9746598926666844</v>
      </c>
      <c r="J539">
        <v>0</v>
      </c>
      <c r="K539">
        <v>1.0164242476008219E-2</v>
      </c>
      <c r="L539">
        <v>0</v>
      </c>
      <c r="M539">
        <v>11734133.012700001</v>
      </c>
      <c r="N539">
        <v>0</v>
      </c>
      <c r="O539" t="b">
        <v>0</v>
      </c>
    </row>
    <row r="540" spans="1:15" x14ac:dyDescent="0.3">
      <c r="A540" s="1" t="s">
        <v>644</v>
      </c>
      <c r="B540">
        <v>0.42745662581128552</v>
      </c>
      <c r="C540">
        <v>1.8283003670285951E-2</v>
      </c>
      <c r="D540">
        <v>3.079555175363554E-2</v>
      </c>
      <c r="E540">
        <v>43.053694528770897</v>
      </c>
      <c r="F540">
        <v>-1.350210970464139E-2</v>
      </c>
      <c r="G540">
        <v>0.2</v>
      </c>
      <c r="H540">
        <v>-0.1242976481969333</v>
      </c>
      <c r="I540">
        <v>0.78266700213009899</v>
      </c>
      <c r="J540">
        <v>-2.826267664172899E-2</v>
      </c>
      <c r="K540">
        <v>3.040987219039204E-2</v>
      </c>
      <c r="L540">
        <v>0</v>
      </c>
      <c r="M540">
        <v>7719008.8369999994</v>
      </c>
      <c r="N540">
        <v>0</v>
      </c>
      <c r="O540" t="b">
        <v>0</v>
      </c>
    </row>
    <row r="541" spans="1:15" x14ac:dyDescent="0.3">
      <c r="A541" s="1" t="s">
        <v>645</v>
      </c>
      <c r="B541">
        <v>2.3698631941648332</v>
      </c>
      <c r="C541">
        <v>2.2886172806999831E-2</v>
      </c>
      <c r="D541">
        <v>1.7093191694833379E-2</v>
      </c>
      <c r="E541">
        <v>70.060677199960594</v>
      </c>
      <c r="F541">
        <v>9.299134473295334E-2</v>
      </c>
      <c r="G541">
        <v>0.6</v>
      </c>
      <c r="H541">
        <v>8.6341223905686285E-2</v>
      </c>
      <c r="I541">
        <v>0.22800499063590979</v>
      </c>
      <c r="J541">
        <v>0</v>
      </c>
      <c r="K541">
        <v>1.4506769825917141E-3</v>
      </c>
      <c r="L541">
        <v>0</v>
      </c>
      <c r="M541">
        <v>49261175.5616</v>
      </c>
      <c r="N541">
        <v>0</v>
      </c>
      <c r="O541" t="b">
        <v>0</v>
      </c>
    </row>
    <row r="542" spans="1:15" x14ac:dyDescent="0.3">
      <c r="A542" s="1" t="s">
        <v>646</v>
      </c>
      <c r="B542">
        <v>24.748954475696141</v>
      </c>
      <c r="C542">
        <v>4.7904601892449418E-2</v>
      </c>
      <c r="D542">
        <v>8.0483131060913968E-2</v>
      </c>
      <c r="E542">
        <v>70.534545632998388</v>
      </c>
      <c r="F542">
        <v>0.10572951223166301</v>
      </c>
      <c r="G542">
        <v>1</v>
      </c>
      <c r="H542">
        <v>0.19232546479959731</v>
      </c>
      <c r="I542">
        <v>2.7005547300643622</v>
      </c>
      <c r="J542">
        <v>0</v>
      </c>
      <c r="K542">
        <v>3.6473066506169223E-2</v>
      </c>
      <c r="L542">
        <v>0</v>
      </c>
      <c r="M542">
        <v>163985863.5</v>
      </c>
      <c r="N542">
        <v>0</v>
      </c>
      <c r="O542" t="b">
        <v>1</v>
      </c>
    </row>
    <row r="543" spans="1:15" x14ac:dyDescent="0.3">
      <c r="A543" s="1" t="s">
        <v>647</v>
      </c>
      <c r="B543">
        <v>2.5643431325857469</v>
      </c>
      <c r="C543">
        <v>4.1387074444573062E-2</v>
      </c>
      <c r="D543">
        <v>3.9864428663653952E-2</v>
      </c>
      <c r="E543">
        <v>45.557017098804103</v>
      </c>
      <c r="F543">
        <v>3.9946290701577743E-2</v>
      </c>
      <c r="G543">
        <v>0.2</v>
      </c>
      <c r="H543">
        <v>-0.28067387141683159</v>
      </c>
      <c r="I543">
        <v>1.2299322670498669</v>
      </c>
      <c r="J543">
        <v>-6.5460030165912508E-2</v>
      </c>
      <c r="K543">
        <v>9.9429502852486085E-3</v>
      </c>
      <c r="L543">
        <v>0</v>
      </c>
      <c r="M543">
        <v>150073060.5</v>
      </c>
      <c r="N543">
        <v>0</v>
      </c>
      <c r="O543" t="b">
        <v>1</v>
      </c>
    </row>
    <row r="544" spans="1:15" x14ac:dyDescent="0.3">
      <c r="A544" s="1" t="s">
        <v>648</v>
      </c>
      <c r="B544">
        <v>0.46848131244210772</v>
      </c>
      <c r="C544">
        <v>1.449509011268897E-2</v>
      </c>
      <c r="D544">
        <v>2.5742574257425769E-2</v>
      </c>
      <c r="E544">
        <v>68.23861158209975</v>
      </c>
      <c r="F544">
        <v>5.165199169611423E-2</v>
      </c>
      <c r="G544">
        <v>0.6</v>
      </c>
      <c r="H544">
        <v>-4.992311095922157E-2</v>
      </c>
      <c r="I544">
        <v>1.100272011656783</v>
      </c>
      <c r="J544">
        <v>0</v>
      </c>
      <c r="K544">
        <v>1.962268912865173E-2</v>
      </c>
      <c r="L544">
        <v>0</v>
      </c>
      <c r="M544">
        <v>24338823.079950001</v>
      </c>
      <c r="N544">
        <v>0</v>
      </c>
      <c r="O544" t="b">
        <v>0</v>
      </c>
    </row>
    <row r="545" spans="1:15" x14ac:dyDescent="0.3">
      <c r="A545" s="1" t="s">
        <v>649</v>
      </c>
      <c r="B545">
        <v>0.3267409725285072</v>
      </c>
      <c r="C545">
        <v>9.1367963012361844E-3</v>
      </c>
      <c r="D545">
        <v>9.7116971001928645E-3</v>
      </c>
      <c r="E545">
        <v>53.50232091846371</v>
      </c>
      <c r="F545">
        <v>-1.2260771332057271E-2</v>
      </c>
      <c r="G545">
        <v>0.2</v>
      </c>
      <c r="H545">
        <v>-3.9292803236710673E-2</v>
      </c>
      <c r="I545">
        <v>0.81458159455079215</v>
      </c>
      <c r="J545">
        <v>-1.7236356840953811E-2</v>
      </c>
      <c r="K545">
        <v>6.7905787757815972E-3</v>
      </c>
      <c r="L545">
        <v>0</v>
      </c>
      <c r="M545">
        <v>25182170.386300001</v>
      </c>
      <c r="N545">
        <v>0</v>
      </c>
      <c r="O545" t="b">
        <v>0</v>
      </c>
    </row>
    <row r="546" spans="1:15" x14ac:dyDescent="0.3">
      <c r="A546" s="1" t="s">
        <v>650</v>
      </c>
      <c r="B546">
        <v>0.39213950948653242</v>
      </c>
      <c r="C546">
        <v>8.8103419417765484E-3</v>
      </c>
      <c r="D546">
        <v>1.2649127142824941E-2</v>
      </c>
      <c r="E546">
        <v>67.733272896463774</v>
      </c>
      <c r="F546">
        <v>2.918121488195724E-2</v>
      </c>
      <c r="G546">
        <v>0.6</v>
      </c>
      <c r="H546">
        <v>5.1468166734894502E-2</v>
      </c>
      <c r="I546">
        <v>0.72202501063548052</v>
      </c>
      <c r="J546">
        <v>0</v>
      </c>
      <c r="K546">
        <v>1.1694643648637809E-2</v>
      </c>
      <c r="L546">
        <v>0</v>
      </c>
      <c r="M546">
        <v>44144164.351999998</v>
      </c>
      <c r="N546">
        <v>0</v>
      </c>
      <c r="O546" t="b">
        <v>0</v>
      </c>
    </row>
    <row r="547" spans="1:15" x14ac:dyDescent="0.3">
      <c r="A547" s="1" t="s">
        <v>651</v>
      </c>
      <c r="B547">
        <v>0.27313632706644758</v>
      </c>
      <c r="C547">
        <v>9.9794054463444512E-3</v>
      </c>
      <c r="D547">
        <v>1.5710632078918509E-2</v>
      </c>
      <c r="E547">
        <v>65.698193293508325</v>
      </c>
      <c r="F547">
        <v>3.087735685606896E-2</v>
      </c>
      <c r="G547">
        <v>0.4</v>
      </c>
      <c r="H547">
        <v>2.506082661005089E-2</v>
      </c>
      <c r="I547">
        <v>0.76130042964896827</v>
      </c>
      <c r="J547">
        <v>0</v>
      </c>
      <c r="K547">
        <v>1.265354447239897E-2</v>
      </c>
      <c r="L547">
        <v>0</v>
      </c>
      <c r="M547">
        <v>80556363.601999998</v>
      </c>
      <c r="N547">
        <v>0</v>
      </c>
      <c r="O547" t="b">
        <v>0</v>
      </c>
    </row>
    <row r="548" spans="1:15" x14ac:dyDescent="0.3">
      <c r="A548" s="1" t="s">
        <v>652</v>
      </c>
      <c r="B548">
        <v>1.1214575511505209</v>
      </c>
      <c r="C548">
        <v>2.0770886526296981E-2</v>
      </c>
      <c r="D548">
        <v>2.33535462792498E-2</v>
      </c>
      <c r="E548">
        <v>41.743092491105912</v>
      </c>
      <c r="F548">
        <v>-1.7044130498106599E-2</v>
      </c>
      <c r="G548">
        <v>0.4</v>
      </c>
      <c r="H548">
        <v>-0.11284933609011739</v>
      </c>
      <c r="I548">
        <v>0.29845595830735527</v>
      </c>
      <c r="J548">
        <v>-5.0722000397350753E-2</v>
      </c>
      <c r="K548">
        <v>-6.502874218882293E-3</v>
      </c>
      <c r="L548">
        <v>0</v>
      </c>
      <c r="M548">
        <v>67654121.120200008</v>
      </c>
      <c r="N548">
        <v>0</v>
      </c>
      <c r="O548" t="b">
        <v>0</v>
      </c>
    </row>
    <row r="549" spans="1:15" x14ac:dyDescent="0.3">
      <c r="A549" s="1" t="s">
        <v>653</v>
      </c>
      <c r="B549">
        <v>5.7580572096295244</v>
      </c>
      <c r="C549">
        <v>2.7693618745813411E-2</v>
      </c>
      <c r="D549">
        <v>4.2660638707194963E-2</v>
      </c>
      <c r="E549">
        <v>60.08044709364863</v>
      </c>
      <c r="F549">
        <v>6.7132005748306245E-2</v>
      </c>
      <c r="G549">
        <v>0.8</v>
      </c>
      <c r="H549">
        <v>-4.1833180968636387E-3</v>
      </c>
      <c r="I549">
        <v>0.8000475044718387</v>
      </c>
      <c r="J549">
        <v>-9.1498284407167674E-3</v>
      </c>
      <c r="K549">
        <v>2.4589760015768961E-2</v>
      </c>
      <c r="L549">
        <v>0</v>
      </c>
      <c r="M549">
        <v>121162074.48999999</v>
      </c>
      <c r="N549">
        <v>0</v>
      </c>
      <c r="O549" t="b">
        <v>1</v>
      </c>
    </row>
    <row r="550" spans="1:15" x14ac:dyDescent="0.3">
      <c r="A550" s="1" t="s">
        <v>654</v>
      </c>
      <c r="B550">
        <v>1.3134892414344801</v>
      </c>
      <c r="C550">
        <v>2.0707697326729939E-2</v>
      </c>
      <c r="D550">
        <v>2.555573072678536E-2</v>
      </c>
      <c r="E550">
        <v>76.680796095097548</v>
      </c>
      <c r="F550">
        <v>5.6286427976686149E-2</v>
      </c>
      <c r="G550">
        <v>1</v>
      </c>
      <c r="H550">
        <v>0.12389258062557421</v>
      </c>
      <c r="I550">
        <v>0.1381276998994718</v>
      </c>
      <c r="J550">
        <v>0</v>
      </c>
      <c r="K550">
        <v>1.9774919614147901E-2</v>
      </c>
      <c r="L550">
        <v>0</v>
      </c>
      <c r="M550">
        <v>57525255.025849998</v>
      </c>
      <c r="N550">
        <v>0</v>
      </c>
      <c r="O550" t="b">
        <v>0</v>
      </c>
    </row>
    <row r="551" spans="1:15" x14ac:dyDescent="0.3">
      <c r="A551" s="1" t="s">
        <v>655</v>
      </c>
      <c r="B551">
        <v>1.4619872122400011</v>
      </c>
      <c r="C551">
        <v>2.0378968667967678E-2</v>
      </c>
      <c r="D551">
        <v>2.6066350710900538E-2</v>
      </c>
      <c r="E551">
        <v>79.435386011627969</v>
      </c>
      <c r="F551">
        <v>7.8310536600030067E-2</v>
      </c>
      <c r="G551">
        <v>1</v>
      </c>
      <c r="H551">
        <v>0.14407772871855279</v>
      </c>
      <c r="I551">
        <v>0.26293762086495398</v>
      </c>
      <c r="J551">
        <v>0</v>
      </c>
      <c r="K551">
        <v>2.0483641536273019E-2</v>
      </c>
      <c r="L551">
        <v>0</v>
      </c>
      <c r="M551">
        <v>190705185.43634999</v>
      </c>
      <c r="N551">
        <v>0</v>
      </c>
      <c r="O551" t="b">
        <v>1</v>
      </c>
    </row>
    <row r="552" spans="1:15" x14ac:dyDescent="0.3">
      <c r="A552" s="1" t="s">
        <v>656</v>
      </c>
      <c r="B552">
        <v>4.939949654263711E-2</v>
      </c>
      <c r="C552">
        <v>2.7261813504468511E-3</v>
      </c>
      <c r="D552">
        <v>3.2780733317145381E-3</v>
      </c>
      <c r="E552">
        <v>59.511187877034232</v>
      </c>
      <c r="F552">
        <v>2.0183699312648069E-3</v>
      </c>
      <c r="G552">
        <v>0.4</v>
      </c>
      <c r="H552">
        <v>-9.0569567489776334E-2</v>
      </c>
      <c r="I552">
        <v>0.22586516694725239</v>
      </c>
      <c r="J552">
        <v>0</v>
      </c>
      <c r="K552">
        <v>3.2888544377387419E-3</v>
      </c>
      <c r="L552">
        <v>0</v>
      </c>
      <c r="M552">
        <v>21981816.391100001</v>
      </c>
      <c r="N552">
        <v>0</v>
      </c>
      <c r="O552" t="b">
        <v>0</v>
      </c>
    </row>
    <row r="553" spans="1:15" x14ac:dyDescent="0.3">
      <c r="A553" s="1" t="s">
        <v>657</v>
      </c>
      <c r="B553">
        <v>1.051140348755186</v>
      </c>
      <c r="C553">
        <v>1.8082081841118869E-2</v>
      </c>
      <c r="D553">
        <v>2.6801257835669529E-2</v>
      </c>
      <c r="E553">
        <v>65.707862584589066</v>
      </c>
      <c r="F553">
        <v>4.5511689516933851E-2</v>
      </c>
      <c r="G553">
        <v>0.6</v>
      </c>
      <c r="H553">
        <v>0.10399138743796831</v>
      </c>
      <c r="I553">
        <v>0.50372256760453071</v>
      </c>
      <c r="J553">
        <v>0</v>
      </c>
      <c r="K553">
        <v>2.3768095523229341E-2</v>
      </c>
      <c r="L553">
        <v>0</v>
      </c>
      <c r="M553">
        <v>52333184.651000001</v>
      </c>
      <c r="N553">
        <v>0</v>
      </c>
      <c r="O553" t="b">
        <v>0</v>
      </c>
    </row>
    <row r="554" spans="1:15" x14ac:dyDescent="0.3">
      <c r="A554" s="1" t="s">
        <v>658</v>
      </c>
      <c r="B554">
        <v>4.7605307911649799</v>
      </c>
      <c r="C554">
        <v>3.5507800336876109E-2</v>
      </c>
      <c r="D554">
        <v>2.33460132766465E-2</v>
      </c>
      <c r="E554">
        <v>41.722870244555857</v>
      </c>
      <c r="F554">
        <v>-4.0438018894932808E-2</v>
      </c>
      <c r="G554">
        <v>0.6</v>
      </c>
      <c r="H554">
        <v>-0.18680981425838969</v>
      </c>
      <c r="I554">
        <v>1.0475195110547679</v>
      </c>
      <c r="J554">
        <v>-4.6850561637992387E-2</v>
      </c>
      <c r="K554">
        <v>1.032403918613412E-2</v>
      </c>
      <c r="L554">
        <v>0</v>
      </c>
      <c r="M554">
        <v>14489947</v>
      </c>
      <c r="N554">
        <v>0</v>
      </c>
      <c r="O554" t="b">
        <v>0</v>
      </c>
    </row>
    <row r="555" spans="1:15" x14ac:dyDescent="0.3">
      <c r="A555" s="1" t="s">
        <v>659</v>
      </c>
      <c r="B555">
        <v>2.2453056128714328</v>
      </c>
      <c r="C555">
        <v>0.14598866143507361</v>
      </c>
      <c r="D555">
        <v>8.0104031209362755E-2</v>
      </c>
      <c r="E555">
        <v>34.568667386457903</v>
      </c>
      <c r="F555">
        <v>-0.39233504543658632</v>
      </c>
      <c r="G555">
        <v>0.6</v>
      </c>
      <c r="H555">
        <v>0</v>
      </c>
      <c r="I555">
        <v>1</v>
      </c>
      <c r="J555">
        <v>-0.29803742583295301</v>
      </c>
      <c r="K555">
        <v>-4.8267326732673199E-2</v>
      </c>
      <c r="O555" t="b">
        <v>0</v>
      </c>
    </row>
    <row r="556" spans="1:15" x14ac:dyDescent="0.3">
      <c r="A556" s="1" t="s">
        <v>660</v>
      </c>
      <c r="B556">
        <v>2.831404778788134</v>
      </c>
      <c r="C556">
        <v>4.119605381621029E-2</v>
      </c>
      <c r="D556">
        <v>3.5355739851593293E-2</v>
      </c>
      <c r="E556">
        <v>72.105820616583173</v>
      </c>
      <c r="F556">
        <v>6.8563432835821114E-2</v>
      </c>
      <c r="G556">
        <v>0.6</v>
      </c>
      <c r="H556">
        <v>0.12665152267827209</v>
      </c>
      <c r="I556">
        <v>1.6565147860009219</v>
      </c>
      <c r="J556">
        <v>-1.452854859799402E-3</v>
      </c>
      <c r="K556">
        <v>-1.452854859799402E-3</v>
      </c>
      <c r="L556">
        <v>0</v>
      </c>
      <c r="M556">
        <v>36074517.5</v>
      </c>
      <c r="N556">
        <v>0</v>
      </c>
      <c r="O556" t="b">
        <v>0</v>
      </c>
    </row>
    <row r="557" spans="1:15" x14ac:dyDescent="0.3">
      <c r="A557" s="1" t="s">
        <v>661</v>
      </c>
      <c r="B557">
        <v>1.528050353041813</v>
      </c>
      <c r="C557">
        <v>1.5849993807937321E-2</v>
      </c>
      <c r="D557">
        <v>1.3743815283122631E-2</v>
      </c>
      <c r="E557">
        <v>50.486899833081438</v>
      </c>
      <c r="F557">
        <v>7.439252375513572E-3</v>
      </c>
      <c r="G557">
        <v>0.6</v>
      </c>
      <c r="H557">
        <v>-0.1132750185518806</v>
      </c>
      <c r="I557">
        <v>0.32350314072039682</v>
      </c>
      <c r="J557">
        <v>-1.574791091327676E-2</v>
      </c>
      <c r="K557">
        <v>5.8804257778835023E-3</v>
      </c>
      <c r="L557">
        <v>0</v>
      </c>
      <c r="M557">
        <v>63926753.30985</v>
      </c>
      <c r="N557">
        <v>0</v>
      </c>
      <c r="O557" t="b">
        <v>0</v>
      </c>
    </row>
    <row r="558" spans="1:15" x14ac:dyDescent="0.3">
      <c r="A558" s="1" t="s">
        <v>662</v>
      </c>
      <c r="B558">
        <v>0.19540583068754419</v>
      </c>
      <c r="C558">
        <v>4.4577887082047829E-3</v>
      </c>
      <c r="D558">
        <v>5.4112381286971602E-3</v>
      </c>
      <c r="E558">
        <v>52.879602311249982</v>
      </c>
      <c r="F558">
        <v>2.4011141169502088E-3</v>
      </c>
      <c r="G558">
        <v>0.2</v>
      </c>
      <c r="H558">
        <v>-7.7208489455434015E-2</v>
      </c>
      <c r="I558">
        <v>1.9599969472911569E-2</v>
      </c>
      <c r="J558">
        <v>-4.2592146689625077E-3</v>
      </c>
      <c r="K558">
        <v>2.8276570482095309E-3</v>
      </c>
      <c r="L558">
        <v>0</v>
      </c>
      <c r="M558">
        <v>9834592.4794000015</v>
      </c>
      <c r="N558">
        <v>1</v>
      </c>
      <c r="O558" t="b">
        <v>0</v>
      </c>
    </row>
    <row r="559" spans="1:15" x14ac:dyDescent="0.3">
      <c r="A559" s="1" t="s">
        <v>663</v>
      </c>
      <c r="B559">
        <v>10.818596256978079</v>
      </c>
      <c r="C559">
        <v>4.125613490820304E-2</v>
      </c>
      <c r="D559">
        <v>5.7011020859550732E-2</v>
      </c>
      <c r="E559">
        <v>55.08143062836497</v>
      </c>
      <c r="F559">
        <v>-3.8182218309859017E-2</v>
      </c>
      <c r="G559">
        <v>0.6</v>
      </c>
      <c r="H559">
        <v>0.1324377527887359</v>
      </c>
      <c r="I559">
        <v>1.771820372166425</v>
      </c>
      <c r="J559">
        <v>-3.9168987249010627E-2</v>
      </c>
      <c r="K559">
        <v>3.4764422697498347E-2</v>
      </c>
      <c r="L559">
        <v>0</v>
      </c>
      <c r="M559">
        <v>472144680</v>
      </c>
      <c r="N559">
        <v>0</v>
      </c>
      <c r="O559" t="b">
        <v>1</v>
      </c>
    </row>
    <row r="560" spans="1:15" x14ac:dyDescent="0.3">
      <c r="A560" s="1" t="s">
        <v>664</v>
      </c>
      <c r="B560">
        <v>3.1553061883031668</v>
      </c>
      <c r="C560">
        <v>2.8583261059001421E-2</v>
      </c>
      <c r="D560">
        <v>2.4458737204456949E-2</v>
      </c>
      <c r="E560">
        <v>44.27880191601637</v>
      </c>
      <c r="F560">
        <v>-1.8380358714886521E-2</v>
      </c>
      <c r="G560">
        <v>0.2</v>
      </c>
      <c r="H560">
        <v>-0.17132161734137469</v>
      </c>
      <c r="I560">
        <v>1.2461314710599589</v>
      </c>
      <c r="J560">
        <v>-3.1666666666666621E-2</v>
      </c>
      <c r="K560">
        <v>9.4184345281638215E-3</v>
      </c>
      <c r="L560">
        <v>0</v>
      </c>
      <c r="M560">
        <v>43619913.139600001</v>
      </c>
      <c r="N560">
        <v>0</v>
      </c>
      <c r="O560" t="b">
        <v>0</v>
      </c>
    </row>
    <row r="561" spans="1:15" x14ac:dyDescent="0.3">
      <c r="A561" s="1" t="s">
        <v>665</v>
      </c>
      <c r="B561">
        <v>3.3510638963879709</v>
      </c>
      <c r="C561">
        <v>2.242324248483045E-2</v>
      </c>
      <c r="D561">
        <v>2.6216827482836651E-2</v>
      </c>
      <c r="E561">
        <v>32.656401805095648</v>
      </c>
      <c r="F561">
        <v>-1.687377887126584E-2</v>
      </c>
      <c r="G561">
        <v>0.4</v>
      </c>
      <c r="H561">
        <v>-0.33397345283508317</v>
      </c>
      <c r="I561">
        <v>0.15819795488824259</v>
      </c>
      <c r="J561">
        <v>-4.5518703735637711E-2</v>
      </c>
      <c r="K561">
        <v>-1.069475823162191E-3</v>
      </c>
      <c r="L561">
        <v>0</v>
      </c>
      <c r="M561">
        <v>21560623.760000002</v>
      </c>
      <c r="N561">
        <v>1</v>
      </c>
      <c r="O561" t="b">
        <v>0</v>
      </c>
    </row>
    <row r="562" spans="1:15" x14ac:dyDescent="0.3">
      <c r="A562" s="1" t="s">
        <v>666</v>
      </c>
      <c r="B562">
        <v>7.5837434907801233</v>
      </c>
      <c r="C562">
        <v>4.1668920279011673E-2</v>
      </c>
      <c r="D562">
        <v>3.9120879120879137E-2</v>
      </c>
      <c r="E562">
        <v>63.446548080107142</v>
      </c>
      <c r="F562">
        <v>0.1023622047244095</v>
      </c>
      <c r="G562">
        <v>1</v>
      </c>
      <c r="H562">
        <v>2.8804078744403369E-2</v>
      </c>
      <c r="I562">
        <v>1.6207719363154161</v>
      </c>
      <c r="J562">
        <v>0</v>
      </c>
      <c r="K562">
        <v>4.0271418326252029E-3</v>
      </c>
      <c r="L562">
        <v>0</v>
      </c>
      <c r="M562">
        <v>175330620.5</v>
      </c>
      <c r="N562">
        <v>0</v>
      </c>
      <c r="O562" t="b">
        <v>1</v>
      </c>
    </row>
    <row r="563" spans="1:15" x14ac:dyDescent="0.3">
      <c r="A563" s="1" t="s">
        <v>667</v>
      </c>
      <c r="B563">
        <v>0.79258410482084263</v>
      </c>
      <c r="C563">
        <v>8.6009092103070013E-3</v>
      </c>
      <c r="D563">
        <v>1.1038380400906361E-2</v>
      </c>
      <c r="E563">
        <v>53.711151838836408</v>
      </c>
      <c r="F563">
        <v>8.4019635951388949E-3</v>
      </c>
      <c r="G563">
        <v>0.2</v>
      </c>
      <c r="H563">
        <v>-0.1242855097247393</v>
      </c>
      <c r="I563">
        <v>0.32072837360449558</v>
      </c>
      <c r="J563">
        <v>-3.02172984025828E-3</v>
      </c>
      <c r="K563">
        <v>9.7245673800208099E-3</v>
      </c>
      <c r="L563">
        <v>0</v>
      </c>
      <c r="M563">
        <v>26330023.240699999</v>
      </c>
      <c r="N563">
        <v>0</v>
      </c>
      <c r="O563" t="b">
        <v>0</v>
      </c>
    </row>
    <row r="564" spans="1:15" x14ac:dyDescent="0.3">
      <c r="A564" s="1" t="s">
        <v>668</v>
      </c>
      <c r="B564">
        <v>4.0913243434024276</v>
      </c>
      <c r="C564">
        <v>1.7637375439832171E-2</v>
      </c>
      <c r="D564">
        <v>1.463557630545465E-2</v>
      </c>
      <c r="E564">
        <v>61.890861195149171</v>
      </c>
      <c r="F564">
        <v>-1.7643590858037459E-3</v>
      </c>
      <c r="G564">
        <v>1</v>
      </c>
      <c r="H564">
        <v>9.13073843659713E-2</v>
      </c>
      <c r="I564">
        <v>1.5580535261048729</v>
      </c>
      <c r="J564">
        <v>0</v>
      </c>
      <c r="K564">
        <v>3.2393391575122892E-3</v>
      </c>
      <c r="L564">
        <v>0</v>
      </c>
      <c r="M564">
        <v>55855492.827</v>
      </c>
      <c r="N564">
        <v>0</v>
      </c>
      <c r="O564" t="b">
        <v>0</v>
      </c>
    </row>
    <row r="565" spans="1:15" x14ac:dyDescent="0.3">
      <c r="A565" s="1" t="s">
        <v>669</v>
      </c>
      <c r="B565">
        <v>1.1645611402354601</v>
      </c>
      <c r="C565">
        <v>2.51742572467674E-2</v>
      </c>
      <c r="D565">
        <v>2.1833117163856421E-2</v>
      </c>
      <c r="E565">
        <v>65.900628392474289</v>
      </c>
      <c r="F565">
        <v>5.8852612111113027E-2</v>
      </c>
      <c r="G565">
        <v>0.4</v>
      </c>
      <c r="H565">
        <v>8.5670074627789014E-2</v>
      </c>
      <c r="I565">
        <v>0.510328386449724</v>
      </c>
      <c r="J565">
        <v>-8.7850867795158383E-3</v>
      </c>
      <c r="K565">
        <v>8.7221979938945093E-3</v>
      </c>
      <c r="L565">
        <v>0</v>
      </c>
      <c r="M565">
        <v>124123749.7534</v>
      </c>
      <c r="N565">
        <v>0</v>
      </c>
      <c r="O565" t="b">
        <v>1</v>
      </c>
    </row>
    <row r="566" spans="1:15" x14ac:dyDescent="0.3">
      <c r="A566" s="1" t="s">
        <v>670</v>
      </c>
      <c r="B566">
        <v>2.3320854589132698</v>
      </c>
      <c r="C566">
        <v>2.8579478663152819E-2</v>
      </c>
      <c r="D566">
        <v>3.9950980392156929E-2</v>
      </c>
      <c r="E566">
        <v>46.72511627133504</v>
      </c>
      <c r="F566">
        <v>-8.2644628099174389E-3</v>
      </c>
      <c r="G566">
        <v>0.4</v>
      </c>
      <c r="H566">
        <v>-3.3961976051111183E-2</v>
      </c>
      <c r="I566">
        <v>1.3120959202133651</v>
      </c>
      <c r="J566">
        <v>-6.1205706396686647E-2</v>
      </c>
      <c r="K566">
        <v>-2.2754491017964121E-2</v>
      </c>
      <c r="L566">
        <v>0</v>
      </c>
      <c r="M566">
        <v>422638259</v>
      </c>
      <c r="N566">
        <v>0</v>
      </c>
      <c r="O566" t="b">
        <v>1</v>
      </c>
    </row>
    <row r="567" spans="1:15" x14ac:dyDescent="0.3">
      <c r="A567" s="1" t="s">
        <v>671</v>
      </c>
      <c r="B567">
        <v>0.64194690941675925</v>
      </c>
      <c r="C567">
        <v>1.2922495041272049E-2</v>
      </c>
      <c r="D567">
        <v>9.3826683334439949E-3</v>
      </c>
      <c r="E567">
        <v>35.945811288911507</v>
      </c>
      <c r="F567">
        <v>-2.5297256994859411E-2</v>
      </c>
      <c r="G567">
        <v>0.2</v>
      </c>
      <c r="H567">
        <v>-4.1805379926372281E-2</v>
      </c>
      <c r="I567">
        <v>-0.21767647880027771</v>
      </c>
      <c r="J567">
        <v>-4.8623399903477187E-2</v>
      </c>
      <c r="K567">
        <v>-3.7781935662417609E-3</v>
      </c>
      <c r="L567">
        <v>0</v>
      </c>
      <c r="M567">
        <v>25221786.34485</v>
      </c>
      <c r="N567">
        <v>0</v>
      </c>
      <c r="O567" t="b">
        <v>0</v>
      </c>
    </row>
    <row r="568" spans="1:15" x14ac:dyDescent="0.3">
      <c r="A568" s="1" t="s">
        <v>672</v>
      </c>
      <c r="B568">
        <v>2.3433562814941439E-2</v>
      </c>
      <c r="C568">
        <v>3.9346644147411522E-4</v>
      </c>
      <c r="D568">
        <v>6.665916681079274E-4</v>
      </c>
      <c r="E568">
        <v>83.932521051675678</v>
      </c>
      <c r="F568">
        <v>3.3407234696352091E-3</v>
      </c>
      <c r="G568">
        <v>0.6</v>
      </c>
      <c r="H568">
        <v>-8.2627535625523801E-2</v>
      </c>
      <c r="I568">
        <v>-6.3737620760354128E-4</v>
      </c>
      <c r="J568">
        <v>0</v>
      </c>
      <c r="K568">
        <v>3.3424705392293141E-4</v>
      </c>
      <c r="L568">
        <v>0</v>
      </c>
      <c r="M568">
        <v>40502608.765000001</v>
      </c>
      <c r="N568">
        <v>0</v>
      </c>
      <c r="O568" t="b">
        <v>0</v>
      </c>
    </row>
    <row r="569" spans="1:15" x14ac:dyDescent="0.3">
      <c r="A569" s="1" t="s">
        <v>673</v>
      </c>
      <c r="B569">
        <v>0.98832599215501027</v>
      </c>
      <c r="C569">
        <v>1.803514584224471E-2</v>
      </c>
      <c r="D569">
        <v>2.5091240875912409E-2</v>
      </c>
      <c r="E569">
        <v>69.446338036492733</v>
      </c>
      <c r="F569">
        <v>6.8807402076372925E-2</v>
      </c>
      <c r="G569">
        <v>0.6</v>
      </c>
      <c r="H569">
        <v>7.6249236599122569E-2</v>
      </c>
      <c r="I569">
        <v>0.5039093246937536</v>
      </c>
      <c r="J569">
        <v>0</v>
      </c>
      <c r="K569">
        <v>2.1054592882429501E-2</v>
      </c>
      <c r="L569">
        <v>0</v>
      </c>
      <c r="M569">
        <v>179054688.54840001</v>
      </c>
      <c r="N569">
        <v>0</v>
      </c>
      <c r="O569" t="b">
        <v>1</v>
      </c>
    </row>
    <row r="570" spans="1:15" x14ac:dyDescent="0.3">
      <c r="A570" s="1" t="s">
        <v>674</v>
      </c>
      <c r="B570">
        <v>7.2865290812757184</v>
      </c>
      <c r="C570">
        <v>4.2031201437907922E-2</v>
      </c>
      <c r="D570">
        <v>3.905168435625294E-2</v>
      </c>
      <c r="E570">
        <v>51.065273746803143</v>
      </c>
      <c r="F570">
        <v>-7.6742823667252491E-2</v>
      </c>
      <c r="G570">
        <v>0.8</v>
      </c>
      <c r="H570">
        <v>-4.1338161765148512E-2</v>
      </c>
      <c r="I570">
        <v>2.72300861883024</v>
      </c>
      <c r="J570">
        <v>-7.0754716981132004E-2</v>
      </c>
      <c r="K570">
        <v>-5.7680106131385862E-5</v>
      </c>
      <c r="L570">
        <v>0</v>
      </c>
      <c r="M570">
        <v>287202960.5</v>
      </c>
      <c r="N570">
        <v>0</v>
      </c>
      <c r="O570" t="b">
        <v>1</v>
      </c>
    </row>
    <row r="571" spans="1:15" x14ac:dyDescent="0.3">
      <c r="A571" s="1" t="s">
        <v>675</v>
      </c>
      <c r="B571">
        <v>0.3786281746281015</v>
      </c>
      <c r="C571">
        <v>8.2862589783689478E-3</v>
      </c>
      <c r="D571">
        <v>1.1084727587074799E-2</v>
      </c>
      <c r="E571">
        <v>52.317217125651219</v>
      </c>
      <c r="F571">
        <v>7.2235031675844663E-3</v>
      </c>
      <c r="G571">
        <v>0.2</v>
      </c>
      <c r="H571">
        <v>-0.1132919130203761</v>
      </c>
      <c r="I571">
        <v>0.2822863890546794</v>
      </c>
      <c r="J571">
        <v>-1.2237459900215301E-2</v>
      </c>
      <c r="K571">
        <v>8.9894537874506408E-3</v>
      </c>
      <c r="L571">
        <v>0</v>
      </c>
      <c r="M571">
        <v>26593527.669349998</v>
      </c>
      <c r="N571">
        <v>0</v>
      </c>
      <c r="O571" t="b">
        <v>0</v>
      </c>
    </row>
    <row r="572" spans="1:15" x14ac:dyDescent="0.3">
      <c r="A572" s="1" t="s">
        <v>676</v>
      </c>
      <c r="B572">
        <v>1.950635770357912</v>
      </c>
      <c r="C572">
        <v>2.2884042355207791E-2</v>
      </c>
      <c r="D572">
        <v>1.6893477240732029E-2</v>
      </c>
      <c r="E572">
        <v>40.983301822112672</v>
      </c>
      <c r="F572">
        <v>-7.7289456592335992E-2</v>
      </c>
      <c r="G572">
        <v>0.6</v>
      </c>
      <c r="H572">
        <v>-0.13920713381120989</v>
      </c>
      <c r="I572">
        <v>0.21928472685262529</v>
      </c>
      <c r="J572">
        <v>-7.8685689580631268E-2</v>
      </c>
      <c r="K572">
        <v>1.2921414307529579E-3</v>
      </c>
      <c r="L572">
        <v>0</v>
      </c>
      <c r="M572">
        <v>8284325.5</v>
      </c>
      <c r="N572">
        <v>0</v>
      </c>
      <c r="O572" t="b">
        <v>0</v>
      </c>
    </row>
    <row r="573" spans="1:15" x14ac:dyDescent="0.3">
      <c r="A573" s="1" t="s">
        <v>677</v>
      </c>
      <c r="B573">
        <v>2.438477824597141</v>
      </c>
      <c r="C573">
        <v>2.64190446868596E-2</v>
      </c>
      <c r="D573">
        <v>1.7388949079089971E-2</v>
      </c>
      <c r="E573">
        <v>38.548929507104319</v>
      </c>
      <c r="F573">
        <v>-9.3854309837031247E-2</v>
      </c>
      <c r="G573">
        <v>0.4</v>
      </c>
      <c r="H573">
        <v>-0.15618330089886531</v>
      </c>
      <c r="I573">
        <v>0.2242810627115997</v>
      </c>
      <c r="J573">
        <v>-9.509803921568627E-2</v>
      </c>
      <c r="K573">
        <v>-2.1621621621621401E-3</v>
      </c>
      <c r="L573">
        <v>0</v>
      </c>
      <c r="M573">
        <v>107225868</v>
      </c>
      <c r="N573">
        <v>0</v>
      </c>
      <c r="O573" t="b">
        <v>1</v>
      </c>
    </row>
    <row r="574" spans="1:15" x14ac:dyDescent="0.3">
      <c r="A574" s="1" t="s">
        <v>678</v>
      </c>
      <c r="B574">
        <v>0.55289584458631547</v>
      </c>
      <c r="C574">
        <v>1.4297723947285391E-2</v>
      </c>
      <c r="D574">
        <v>1.0744707811182809E-2</v>
      </c>
      <c r="E574">
        <v>44.40893571896251</v>
      </c>
      <c r="F574">
        <v>-4.0972365167661451E-2</v>
      </c>
      <c r="G574">
        <v>0.6</v>
      </c>
      <c r="H574">
        <v>-0.1440515712204114</v>
      </c>
      <c r="I574">
        <v>1.065943777526251</v>
      </c>
      <c r="J574">
        <v>-4.4488975975211731E-2</v>
      </c>
      <c r="K574">
        <v>6.9551676817756203E-3</v>
      </c>
      <c r="L574">
        <v>0</v>
      </c>
      <c r="M574">
        <v>1219161722.6319001</v>
      </c>
      <c r="N574">
        <v>0</v>
      </c>
      <c r="O574" t="b">
        <v>1</v>
      </c>
    </row>
    <row r="575" spans="1:15" x14ac:dyDescent="0.3">
      <c r="A575" s="1" t="s">
        <v>679</v>
      </c>
      <c r="B575">
        <v>0.95060195011474868</v>
      </c>
      <c r="C575">
        <v>2.0504787534830649E-2</v>
      </c>
      <c r="D575">
        <v>2.2648835202760939E-2</v>
      </c>
      <c r="E575">
        <v>67.594559615810482</v>
      </c>
      <c r="F575">
        <v>4.7210300429184393E-2</v>
      </c>
      <c r="G575">
        <v>0.6</v>
      </c>
      <c r="H575">
        <v>2.3095042796219128E-2</v>
      </c>
      <c r="I575">
        <v>0.42827460010793472</v>
      </c>
      <c r="J575">
        <v>-2.156566745740163E-4</v>
      </c>
      <c r="K575">
        <v>1.3111888111888129E-2</v>
      </c>
      <c r="L575">
        <v>0</v>
      </c>
      <c r="M575">
        <v>67936347.263599992</v>
      </c>
      <c r="N575">
        <v>0</v>
      </c>
      <c r="O575" t="b">
        <v>0</v>
      </c>
    </row>
    <row r="576" spans="1:15" x14ac:dyDescent="0.3">
      <c r="A576" s="1" t="s">
        <v>680</v>
      </c>
      <c r="B576">
        <v>1.028917120918909</v>
      </c>
      <c r="C576">
        <v>3.878724934855203E-2</v>
      </c>
      <c r="D576">
        <v>4.7585120178533717E-2</v>
      </c>
      <c r="E576">
        <v>60.13319268033689</v>
      </c>
      <c r="F576">
        <v>0.1079267095739482</v>
      </c>
      <c r="G576">
        <v>0.6</v>
      </c>
      <c r="H576">
        <v>5.0261513818786963E-2</v>
      </c>
      <c r="I576">
        <v>1.966648506390781</v>
      </c>
      <c r="J576">
        <v>-3.0513008869933241E-2</v>
      </c>
      <c r="K576">
        <v>2.0649852830842089E-2</v>
      </c>
      <c r="L576">
        <v>0</v>
      </c>
      <c r="M576">
        <v>174625319.07844999</v>
      </c>
      <c r="N576">
        <v>0</v>
      </c>
      <c r="O576" t="b">
        <v>1</v>
      </c>
    </row>
    <row r="577" spans="1:15" x14ac:dyDescent="0.3">
      <c r="A577" s="1" t="s">
        <v>681</v>
      </c>
      <c r="B577">
        <v>2.2864518930066729E-2</v>
      </c>
      <c r="C577">
        <v>2.2993050080014001E-4</v>
      </c>
      <c r="D577">
        <v>2.9967518428021349E-4</v>
      </c>
      <c r="E577">
        <v>99.271861620328295</v>
      </c>
      <c r="F577">
        <v>3.4642579999333289E-3</v>
      </c>
      <c r="G577">
        <v>0.6</v>
      </c>
      <c r="H577">
        <v>-8.1570780906516149E-2</v>
      </c>
      <c r="I577">
        <v>-1.638824834971345E-3</v>
      </c>
      <c r="J577">
        <v>0</v>
      </c>
      <c r="K577">
        <v>2.9976501641670872E-4</v>
      </c>
      <c r="L577">
        <v>0</v>
      </c>
      <c r="M577">
        <v>63092517.695600003</v>
      </c>
      <c r="N577">
        <v>0</v>
      </c>
      <c r="O577" t="b">
        <v>0</v>
      </c>
    </row>
    <row r="578" spans="1:15" x14ac:dyDescent="0.3">
      <c r="A578" s="1" t="s">
        <v>682</v>
      </c>
      <c r="B578">
        <v>3.134044538441938</v>
      </c>
      <c r="C578">
        <v>4.3317823613572053E-2</v>
      </c>
      <c r="D578">
        <v>3.1720801658604032E-2</v>
      </c>
      <c r="E578">
        <v>46.045132592767857</v>
      </c>
      <c r="F578">
        <v>-0.1288380493678507</v>
      </c>
      <c r="G578">
        <v>0.4</v>
      </c>
      <c r="H578">
        <v>-0.1498431331105563</v>
      </c>
      <c r="I578">
        <v>1.8552120987749781</v>
      </c>
      <c r="J578">
        <v>-0.1009071703740525</v>
      </c>
      <c r="K578">
        <v>-6.4542708047239383E-3</v>
      </c>
      <c r="L578">
        <v>0</v>
      </c>
      <c r="M578">
        <v>195246468.5</v>
      </c>
      <c r="N578">
        <v>0</v>
      </c>
      <c r="O578" t="b">
        <v>1</v>
      </c>
    </row>
    <row r="579" spans="1:15" x14ac:dyDescent="0.3">
      <c r="A579" s="1" t="s">
        <v>683</v>
      </c>
      <c r="B579">
        <v>6.2227721810585619</v>
      </c>
      <c r="C579">
        <v>1.8257272314291719E-2</v>
      </c>
      <c r="D579">
        <v>3.3341352783433698E-2</v>
      </c>
      <c r="E579">
        <v>53.053229183361822</v>
      </c>
      <c r="F579">
        <v>-2.0771803210866691E-2</v>
      </c>
      <c r="G579">
        <v>0.4</v>
      </c>
      <c r="H579">
        <v>-5.7823334738837332E-3</v>
      </c>
      <c r="I579">
        <v>0.70542047765401839</v>
      </c>
      <c r="J579">
        <v>-2.8912834130136119E-2</v>
      </c>
      <c r="K579">
        <v>2.3814244089994219E-2</v>
      </c>
      <c r="L579">
        <v>0</v>
      </c>
      <c r="M579">
        <v>345832152.764</v>
      </c>
      <c r="N579">
        <v>0</v>
      </c>
      <c r="O579" t="b">
        <v>1</v>
      </c>
    </row>
    <row r="580" spans="1:15" x14ac:dyDescent="0.3">
      <c r="A580" s="1" t="s">
        <v>684</v>
      </c>
      <c r="B580">
        <v>2.9959750205704259</v>
      </c>
      <c r="C580">
        <v>2.3351325179816251E-2</v>
      </c>
      <c r="D580">
        <v>2.720187061574442E-2</v>
      </c>
      <c r="E580">
        <v>47.947254050622767</v>
      </c>
      <c r="F580">
        <v>-2.3963484214530099E-2</v>
      </c>
      <c r="G580">
        <v>0.4</v>
      </c>
      <c r="H580">
        <v>-0.1988794828503446</v>
      </c>
      <c r="I580">
        <v>0.69274744501393481</v>
      </c>
      <c r="J580">
        <v>-3.1917301743001558E-2</v>
      </c>
      <c r="K580">
        <v>1.7123830664341311E-2</v>
      </c>
      <c r="L580">
        <v>0</v>
      </c>
      <c r="M580">
        <v>227398201</v>
      </c>
      <c r="N580">
        <v>0</v>
      </c>
      <c r="O580" t="b">
        <v>1</v>
      </c>
    </row>
    <row r="581" spans="1:15" x14ac:dyDescent="0.3">
      <c r="A581" s="1" t="s">
        <v>685</v>
      </c>
      <c r="B581">
        <v>1.472988262453224</v>
      </c>
      <c r="C581">
        <v>4.0656590186398667E-2</v>
      </c>
      <c r="D581">
        <v>2.8153463980127059E-2</v>
      </c>
      <c r="E581">
        <v>62.724528315495093</v>
      </c>
      <c r="F581">
        <v>8.4081388390185419E-2</v>
      </c>
      <c r="G581">
        <v>1</v>
      </c>
      <c r="H581">
        <v>-2.999000500512685E-2</v>
      </c>
      <c r="I581">
        <v>2.6598488476845858</v>
      </c>
      <c r="J581">
        <v>0</v>
      </c>
      <c r="K581">
        <v>5.8300943920042148E-3</v>
      </c>
      <c r="L581">
        <v>0</v>
      </c>
      <c r="M581">
        <v>61086178</v>
      </c>
      <c r="N581">
        <v>0</v>
      </c>
      <c r="O581" t="b">
        <v>0</v>
      </c>
    </row>
    <row r="582" spans="1:15" x14ac:dyDescent="0.3">
      <c r="A582" s="1" t="s">
        <v>686</v>
      </c>
      <c r="B582">
        <v>2.749386517697475</v>
      </c>
      <c r="C582">
        <v>3.3237585925607049E-2</v>
      </c>
      <c r="D582">
        <v>4.0927620189750477E-2</v>
      </c>
      <c r="E582">
        <v>62.187887495264278</v>
      </c>
      <c r="F582">
        <v>9.6603307340896949E-2</v>
      </c>
      <c r="G582">
        <v>0.6</v>
      </c>
      <c r="H582">
        <v>9.1981748216050735E-2</v>
      </c>
      <c r="I582">
        <v>1.3316476487433</v>
      </c>
      <c r="J582">
        <v>0</v>
      </c>
      <c r="K582">
        <v>1.6840976924173971E-2</v>
      </c>
      <c r="L582">
        <v>0</v>
      </c>
      <c r="M582">
        <v>1040428740.4615999</v>
      </c>
      <c r="N582">
        <v>0</v>
      </c>
      <c r="O582" t="b">
        <v>1</v>
      </c>
    </row>
    <row r="583" spans="1:15" x14ac:dyDescent="0.3">
      <c r="A583" s="1" t="s">
        <v>687</v>
      </c>
      <c r="B583">
        <v>3.8702688195735542</v>
      </c>
      <c r="C583">
        <v>3.5705892627508728E-2</v>
      </c>
      <c r="D583">
        <v>4.5002906091721792E-2</v>
      </c>
      <c r="E583">
        <v>65.529700951095975</v>
      </c>
      <c r="F583">
        <v>0.13535594764875</v>
      </c>
      <c r="G583">
        <v>0.6</v>
      </c>
      <c r="H583">
        <v>0.1041559048499978</v>
      </c>
      <c r="I583">
        <v>1.535673535920087</v>
      </c>
      <c r="J583">
        <v>0</v>
      </c>
      <c r="K583">
        <v>1.827183225612505E-2</v>
      </c>
      <c r="L583">
        <v>0</v>
      </c>
      <c r="M583">
        <v>310593826.02735001</v>
      </c>
      <c r="N583">
        <v>0</v>
      </c>
      <c r="O583" t="b">
        <v>1</v>
      </c>
    </row>
    <row r="584" spans="1:15" x14ac:dyDescent="0.3">
      <c r="A584" s="1" t="s">
        <v>688</v>
      </c>
      <c r="B584">
        <v>7.2268045513393124</v>
      </c>
      <c r="C584">
        <v>2.5511531338127169E-2</v>
      </c>
      <c r="D584">
        <v>1.6111495502619429E-2</v>
      </c>
      <c r="E584">
        <v>38.447833037999743</v>
      </c>
      <c r="F584">
        <v>-9.085190510424157E-2</v>
      </c>
      <c r="G584">
        <v>0.4</v>
      </c>
      <c r="H584">
        <v>-4.4037852569471451E-2</v>
      </c>
      <c r="I584">
        <v>1.102356964132968</v>
      </c>
      <c r="J584">
        <v>-8.7281104505984919E-2</v>
      </c>
      <c r="K584">
        <v>-5.9933189231674566E-3</v>
      </c>
      <c r="L584">
        <v>0</v>
      </c>
      <c r="M584">
        <v>1132308869.095</v>
      </c>
      <c r="N584">
        <v>0</v>
      </c>
      <c r="O584" t="b">
        <v>1</v>
      </c>
    </row>
    <row r="585" spans="1:15" x14ac:dyDescent="0.3">
      <c r="A585" s="1" t="s">
        <v>689</v>
      </c>
      <c r="B585">
        <v>2.257372256574822</v>
      </c>
      <c r="C585">
        <v>2.6734555039287781E-2</v>
      </c>
      <c r="D585">
        <v>2.7939339029921871E-2</v>
      </c>
      <c r="E585">
        <v>65.655860243373979</v>
      </c>
      <c r="F585">
        <v>0.14956542338544981</v>
      </c>
      <c r="G585">
        <v>0.4</v>
      </c>
      <c r="H585">
        <v>4.201347908167076E-2</v>
      </c>
      <c r="I585">
        <v>1.2251493443252011</v>
      </c>
      <c r="J585">
        <v>-1.1584281618849611E-2</v>
      </c>
      <c r="K585">
        <v>1.7344000385556061E-2</v>
      </c>
      <c r="L585">
        <v>0</v>
      </c>
      <c r="M585">
        <v>251210501.42515001</v>
      </c>
      <c r="N585">
        <v>0</v>
      </c>
      <c r="O585" t="b">
        <v>1</v>
      </c>
    </row>
    <row r="586" spans="1:15" x14ac:dyDescent="0.3">
      <c r="A586" s="1" t="s">
        <v>690</v>
      </c>
      <c r="B586">
        <v>0.5660130991962451</v>
      </c>
      <c r="C586">
        <v>2.066955763044143E-2</v>
      </c>
      <c r="D586">
        <v>2.4339118971366359E-2</v>
      </c>
      <c r="E586">
        <v>60.769733562399402</v>
      </c>
      <c r="F586">
        <v>4.9698321795196287E-2</v>
      </c>
      <c r="G586">
        <v>0.6</v>
      </c>
      <c r="H586">
        <v>-0.14247770869718429</v>
      </c>
      <c r="I586">
        <v>0.57127212752716428</v>
      </c>
      <c r="J586">
        <v>0</v>
      </c>
      <c r="K586">
        <v>1.437255286913941E-2</v>
      </c>
      <c r="L586">
        <v>0</v>
      </c>
      <c r="M586">
        <v>97152162.001000002</v>
      </c>
      <c r="N586">
        <v>0</v>
      </c>
      <c r="O586" t="b">
        <v>1</v>
      </c>
    </row>
    <row r="587" spans="1:15" x14ac:dyDescent="0.3">
      <c r="A587" s="1" t="s">
        <v>691</v>
      </c>
      <c r="B587">
        <v>34.351399852490687</v>
      </c>
      <c r="C587">
        <v>4.754729600825322E-2</v>
      </c>
      <c r="D587">
        <v>0.14619609449830301</v>
      </c>
      <c r="E587">
        <v>73.492443238912898</v>
      </c>
      <c r="F587">
        <v>0.2469825138554953</v>
      </c>
      <c r="G587">
        <v>0.8</v>
      </c>
      <c r="H587">
        <v>6.0673700018504459E-2</v>
      </c>
      <c r="I587">
        <v>2.308276888438614</v>
      </c>
      <c r="J587">
        <v>0</v>
      </c>
      <c r="K587">
        <v>0.156244798668459</v>
      </c>
      <c r="L587">
        <v>0</v>
      </c>
      <c r="M587">
        <v>1422110338.3345001</v>
      </c>
      <c r="N587">
        <v>0</v>
      </c>
      <c r="O587" t="b">
        <v>1</v>
      </c>
    </row>
    <row r="588" spans="1:15" x14ac:dyDescent="0.3">
      <c r="A588" s="1" t="s">
        <v>692</v>
      </c>
      <c r="B588">
        <v>1.9281561109821921</v>
      </c>
      <c r="C588">
        <v>4.4799166147355768E-2</v>
      </c>
      <c r="D588">
        <v>4.5539033457248933E-2</v>
      </c>
      <c r="E588">
        <v>56.983139822259339</v>
      </c>
      <c r="F588">
        <v>1.7975402081362279E-2</v>
      </c>
      <c r="G588">
        <v>0.6</v>
      </c>
      <c r="H588">
        <v>5.2122059203822707E-2</v>
      </c>
      <c r="I588">
        <v>1.7133273866479639</v>
      </c>
      <c r="J588">
        <v>-4.1647385469689713E-3</v>
      </c>
      <c r="K588">
        <v>-1.160362032954332E-3</v>
      </c>
      <c r="L588">
        <v>0</v>
      </c>
      <c r="M588">
        <v>82835190.251749992</v>
      </c>
      <c r="N588">
        <v>0</v>
      </c>
      <c r="O588" t="b">
        <v>0</v>
      </c>
    </row>
    <row r="589" spans="1:15" x14ac:dyDescent="0.3">
      <c r="A589" s="1" t="s">
        <v>693</v>
      </c>
      <c r="B589">
        <v>0.87303103843169416</v>
      </c>
      <c r="C589">
        <v>1.9654008069151151E-2</v>
      </c>
      <c r="D589">
        <v>1.3845114813147281E-2</v>
      </c>
      <c r="E589">
        <v>45.572493869234393</v>
      </c>
      <c r="F589">
        <v>1.4155251141552579E-2</v>
      </c>
      <c r="G589">
        <v>0.6</v>
      </c>
      <c r="H589">
        <v>-0.1428233732744443</v>
      </c>
      <c r="I589">
        <v>-5.9697277821378493E-2</v>
      </c>
      <c r="J589">
        <v>-4.4936572780047257E-2</v>
      </c>
      <c r="K589">
        <v>6.5714933152050134E-3</v>
      </c>
      <c r="L589">
        <v>0</v>
      </c>
      <c r="M589">
        <v>61692320.587099999</v>
      </c>
      <c r="N589">
        <v>0</v>
      </c>
      <c r="O589" t="b">
        <v>0</v>
      </c>
    </row>
    <row r="590" spans="1:15" x14ac:dyDescent="0.3">
      <c r="A590" s="1" t="s">
        <v>694</v>
      </c>
      <c r="B590">
        <v>1.323591338274394</v>
      </c>
      <c r="C590">
        <v>3.2745950971657438E-2</v>
      </c>
      <c r="D590">
        <v>2.6026719445818889E-2</v>
      </c>
      <c r="E590">
        <v>74.329942975720869</v>
      </c>
      <c r="F590">
        <v>0.1675332177931832</v>
      </c>
      <c r="G590">
        <v>0.8</v>
      </c>
      <c r="H590">
        <v>0.13928003697685659</v>
      </c>
      <c r="I590">
        <v>1.888045829221354</v>
      </c>
      <c r="J590">
        <v>0</v>
      </c>
      <c r="K590">
        <v>1.1511511511511641E-2</v>
      </c>
      <c r="L590">
        <v>0</v>
      </c>
      <c r="M590">
        <v>72541786</v>
      </c>
      <c r="N590">
        <v>0</v>
      </c>
      <c r="O590" t="b">
        <v>0</v>
      </c>
    </row>
    <row r="591" spans="1:15" x14ac:dyDescent="0.3">
      <c r="A591" s="1" t="s">
        <v>695</v>
      </c>
      <c r="B591">
        <v>2.6655659946221362</v>
      </c>
      <c r="C591">
        <v>5.3397610430899058E-2</v>
      </c>
      <c r="D591">
        <v>4.0854020096475922E-2</v>
      </c>
      <c r="E591">
        <v>51.401277719560333</v>
      </c>
      <c r="F591">
        <v>-9.995654768666018E-2</v>
      </c>
      <c r="G591">
        <v>0.2</v>
      </c>
      <c r="H591">
        <v>0.13091903856977349</v>
      </c>
      <c r="I591">
        <v>2.5914862223083541</v>
      </c>
      <c r="J591">
        <v>-9.1669684171835852E-2</v>
      </c>
      <c r="K591">
        <v>2.1996200209643661E-2</v>
      </c>
      <c r="L591">
        <v>0</v>
      </c>
      <c r="M591">
        <v>72253425.968099996</v>
      </c>
      <c r="N591">
        <v>0</v>
      </c>
      <c r="O591" t="b">
        <v>0</v>
      </c>
    </row>
    <row r="592" spans="1:15" x14ac:dyDescent="0.3">
      <c r="A592" s="1" t="s">
        <v>696</v>
      </c>
      <c r="B592">
        <v>1.490270567337272</v>
      </c>
      <c r="C592">
        <v>1.8208827935057261E-2</v>
      </c>
      <c r="D592">
        <v>1.972672167422387E-2</v>
      </c>
      <c r="E592">
        <v>50.556465035265092</v>
      </c>
      <c r="F592">
        <v>4.158057724490849E-3</v>
      </c>
      <c r="G592">
        <v>0.6</v>
      </c>
      <c r="H592">
        <v>-0.13894438904094089</v>
      </c>
      <c r="I592">
        <v>0.58921605660841303</v>
      </c>
      <c r="J592">
        <v>-1.6174052276267999E-2</v>
      </c>
      <c r="K592">
        <v>1.033502415250198E-2</v>
      </c>
      <c r="L592">
        <v>0</v>
      </c>
      <c r="M592">
        <v>58711705.586000003</v>
      </c>
      <c r="N592">
        <v>0</v>
      </c>
      <c r="O592" t="b">
        <v>0</v>
      </c>
    </row>
    <row r="593" spans="1:15" x14ac:dyDescent="0.3">
      <c r="A593" s="1" t="s">
        <v>697</v>
      </c>
      <c r="B593">
        <v>4.9858016143259443</v>
      </c>
      <c r="C593">
        <v>4.8585086867335259E-2</v>
      </c>
      <c r="D593">
        <v>3.2839602416682948E-2</v>
      </c>
      <c r="E593">
        <v>56.787385589774821</v>
      </c>
      <c r="F593">
        <v>4.7998366013071843E-2</v>
      </c>
      <c r="G593">
        <v>0.4</v>
      </c>
      <c r="H593">
        <v>0.21193170457546251</v>
      </c>
      <c r="I593">
        <v>-0.29275255712525527</v>
      </c>
      <c r="J593">
        <v>-7.7573033707865169E-2</v>
      </c>
      <c r="K593">
        <v>-5.7165003391143046E-3</v>
      </c>
      <c r="L593">
        <v>0</v>
      </c>
      <c r="M593">
        <v>107726449.5</v>
      </c>
      <c r="N593">
        <v>0</v>
      </c>
      <c r="O593" t="b">
        <v>1</v>
      </c>
    </row>
    <row r="594" spans="1:15" x14ac:dyDescent="0.3">
      <c r="A594" s="1" t="s">
        <v>698</v>
      </c>
      <c r="B594">
        <v>1.657106356179151</v>
      </c>
      <c r="C594">
        <v>1.841710175633806E-2</v>
      </c>
      <c r="D594">
        <v>1.497835545948112E-2</v>
      </c>
      <c r="E594">
        <v>55.85109952214674</v>
      </c>
      <c r="F594">
        <v>5.1569585339628958E-2</v>
      </c>
      <c r="G594">
        <v>0.4</v>
      </c>
      <c r="H594">
        <v>-9.2515506013848739E-2</v>
      </c>
      <c r="I594">
        <v>0.6065405784106076</v>
      </c>
      <c r="J594">
        <v>-2.3086160247028361E-2</v>
      </c>
      <c r="K594">
        <v>-7.7515678045625425E-4</v>
      </c>
      <c r="L594">
        <v>0</v>
      </c>
      <c r="M594">
        <v>26747537.1985</v>
      </c>
      <c r="N594">
        <v>0</v>
      </c>
      <c r="O594" t="b">
        <v>0</v>
      </c>
    </row>
    <row r="595" spans="1:15" x14ac:dyDescent="0.3">
      <c r="A595" s="1" t="s">
        <v>699</v>
      </c>
      <c r="B595">
        <v>1.572698421566743</v>
      </c>
      <c r="C595">
        <v>2.7247027400671218E-2</v>
      </c>
      <c r="D595">
        <v>2.234927234927234E-2</v>
      </c>
      <c r="E595">
        <v>50.857603893361841</v>
      </c>
      <c r="F595">
        <v>3.6824142266929982E-2</v>
      </c>
      <c r="G595">
        <v>0.6</v>
      </c>
      <c r="H595">
        <v>3.2471306012114981E-3</v>
      </c>
      <c r="I595">
        <v>0.88761541265540622</v>
      </c>
      <c r="J595">
        <v>-1.8200374213301559E-2</v>
      </c>
      <c r="K595">
        <v>1.2098895318253479E-2</v>
      </c>
      <c r="L595">
        <v>0</v>
      </c>
      <c r="M595">
        <v>32116446.920699999</v>
      </c>
      <c r="N595">
        <v>0</v>
      </c>
      <c r="O595" t="b">
        <v>0</v>
      </c>
    </row>
    <row r="596" spans="1:15" x14ac:dyDescent="0.3">
      <c r="A596" s="1" t="s">
        <v>700</v>
      </c>
      <c r="B596">
        <v>2.819318745150829</v>
      </c>
      <c r="C596">
        <v>2.3388295934686339E-2</v>
      </c>
      <c r="D596">
        <v>2.1668436421555571E-2</v>
      </c>
      <c r="E596">
        <v>46.197938882314183</v>
      </c>
      <c r="F596">
        <v>2.6998935037273689E-2</v>
      </c>
      <c r="G596">
        <v>0.2</v>
      </c>
      <c r="H596">
        <v>-5.7421630279681527E-3</v>
      </c>
      <c r="I596">
        <v>0.1180181999457202</v>
      </c>
      <c r="J596">
        <v>-5.2550499096125192E-2</v>
      </c>
      <c r="K596">
        <v>1.658837717263895E-2</v>
      </c>
      <c r="L596">
        <v>0</v>
      </c>
      <c r="M596">
        <v>771776682.50924993</v>
      </c>
      <c r="N596">
        <v>0</v>
      </c>
      <c r="O596" t="b">
        <v>1</v>
      </c>
    </row>
    <row r="597" spans="1:15" x14ac:dyDescent="0.3">
      <c r="A597" s="1" t="s">
        <v>701</v>
      </c>
      <c r="B597">
        <v>0.87544288200518872</v>
      </c>
      <c r="C597">
        <v>1.942187331819982E-2</v>
      </c>
      <c r="D597">
        <v>1.247029956672311E-2</v>
      </c>
      <c r="E597">
        <v>38.687593789984142</v>
      </c>
      <c r="F597">
        <v>-1.103600193952803E-2</v>
      </c>
      <c r="G597">
        <v>0.4</v>
      </c>
      <c r="H597">
        <v>-0.12538602362542531</v>
      </c>
      <c r="I597">
        <v>-0.4466761526235975</v>
      </c>
      <c r="J597">
        <v>-5.4212443452206098E-2</v>
      </c>
      <c r="K597">
        <v>1.533125509653122E-3</v>
      </c>
      <c r="L597">
        <v>0</v>
      </c>
      <c r="M597">
        <v>267899885.50435001</v>
      </c>
      <c r="N597">
        <v>0</v>
      </c>
      <c r="O597" t="b">
        <v>1</v>
      </c>
    </row>
    <row r="598" spans="1:15" x14ac:dyDescent="0.3">
      <c r="A598" s="1" t="s">
        <v>702</v>
      </c>
      <c r="B598">
        <v>2.3920866104885108</v>
      </c>
      <c r="C598">
        <v>1.7765613868029079E-2</v>
      </c>
      <c r="D598">
        <v>1.8752738642524362E-2</v>
      </c>
      <c r="E598">
        <v>56.862776345223978</v>
      </c>
      <c r="F598">
        <v>1.611941650127147E-2</v>
      </c>
      <c r="G598">
        <v>0.8</v>
      </c>
      <c r="H598">
        <v>-0.1242265005141521</v>
      </c>
      <c r="I598">
        <v>0.23008039245526099</v>
      </c>
      <c r="J598">
        <v>-3.3973324648794989E-3</v>
      </c>
      <c r="K598">
        <v>1.367913874877646E-2</v>
      </c>
      <c r="L598">
        <v>0</v>
      </c>
      <c r="M598">
        <v>72592138.3125</v>
      </c>
      <c r="N598">
        <v>0</v>
      </c>
      <c r="O598" t="b">
        <v>0</v>
      </c>
    </row>
    <row r="599" spans="1:15" x14ac:dyDescent="0.3">
      <c r="A599" s="1" t="s">
        <v>703</v>
      </c>
      <c r="B599">
        <v>1.519367341410893</v>
      </c>
      <c r="C599">
        <v>3.9008147404644228E-2</v>
      </c>
      <c r="D599">
        <v>2.079589216944789E-2</v>
      </c>
      <c r="E599">
        <v>54.214456707057202</v>
      </c>
      <c r="F599">
        <v>7.0348996977191547E-2</v>
      </c>
      <c r="G599">
        <v>0.4</v>
      </c>
      <c r="H599">
        <v>2.1164090167711109E-2</v>
      </c>
      <c r="I599">
        <v>1.204123696495103</v>
      </c>
      <c r="J599">
        <v>-5.4841057995632103E-2</v>
      </c>
      <c r="K599">
        <v>-9.4099694811800028E-3</v>
      </c>
      <c r="L599">
        <v>0</v>
      </c>
      <c r="M599">
        <v>56155614.5</v>
      </c>
      <c r="N599">
        <v>0</v>
      </c>
      <c r="O599" t="b">
        <v>0</v>
      </c>
    </row>
    <row r="600" spans="1:15" x14ac:dyDescent="0.3">
      <c r="A600" s="1" t="s">
        <v>704</v>
      </c>
      <c r="B600">
        <v>5.3217604231371878</v>
      </c>
      <c r="C600">
        <v>1.3678859846130801E-2</v>
      </c>
      <c r="D600">
        <v>1.352011309600306E-2</v>
      </c>
      <c r="E600">
        <v>62.700085597888283</v>
      </c>
      <c r="F600">
        <v>2.8199164860722051E-2</v>
      </c>
      <c r="G600">
        <v>0.6</v>
      </c>
      <c r="H600">
        <v>0.11333294976079659</v>
      </c>
      <c r="I600">
        <v>0.35561054182632051</v>
      </c>
      <c r="J600">
        <v>-1.7960230917254409E-3</v>
      </c>
      <c r="K600">
        <v>4.2591636551367884E-3</v>
      </c>
      <c r="L600">
        <v>0</v>
      </c>
      <c r="M600">
        <v>2965428780</v>
      </c>
      <c r="N600">
        <v>0</v>
      </c>
      <c r="O600" t="b">
        <v>1</v>
      </c>
    </row>
    <row r="601" spans="1:15" x14ac:dyDescent="0.3">
      <c r="A601" s="1" t="s">
        <v>705</v>
      </c>
      <c r="B601">
        <v>1.133653947215848</v>
      </c>
      <c r="C601">
        <v>1.3539399823430651E-2</v>
      </c>
      <c r="D601">
        <v>1.337632867550465E-2</v>
      </c>
      <c r="E601">
        <v>62.854736611083638</v>
      </c>
      <c r="F601">
        <v>2.837140751658063E-2</v>
      </c>
      <c r="G601">
        <v>0.6</v>
      </c>
      <c r="H601">
        <v>0.1151089503909994</v>
      </c>
      <c r="I601">
        <v>0.34630819813101638</v>
      </c>
      <c r="J601">
        <v>-1.550202718817006E-3</v>
      </c>
      <c r="K601">
        <v>4.318100035984207E-3</v>
      </c>
      <c r="L601">
        <v>0</v>
      </c>
      <c r="M601">
        <v>248662852</v>
      </c>
      <c r="N601">
        <v>0</v>
      </c>
      <c r="O601" t="b">
        <v>1</v>
      </c>
    </row>
    <row r="602" spans="1:15" x14ac:dyDescent="0.3">
      <c r="A602" s="1" t="s">
        <v>706</v>
      </c>
      <c r="B602">
        <v>0.72314452269317009</v>
      </c>
      <c r="C602">
        <v>1.7262939190574599E-2</v>
      </c>
      <c r="D602">
        <v>1.3726426354738671E-2</v>
      </c>
      <c r="E602">
        <v>40.681129262050938</v>
      </c>
      <c r="F602">
        <v>-5.13975411970643E-2</v>
      </c>
      <c r="G602">
        <v>0.2</v>
      </c>
      <c r="H602">
        <v>-0.19556162605326571</v>
      </c>
      <c r="I602">
        <v>0.30331964249447507</v>
      </c>
      <c r="J602">
        <v>-5.4760271499747271E-2</v>
      </c>
      <c r="K602">
        <v>1.3549479796757909E-2</v>
      </c>
      <c r="L602">
        <v>0</v>
      </c>
      <c r="M602">
        <v>70241545.099600002</v>
      </c>
      <c r="N602">
        <v>0</v>
      </c>
      <c r="O602" t="b">
        <v>0</v>
      </c>
    </row>
    <row r="603" spans="1:15" x14ac:dyDescent="0.3">
      <c r="A603" s="1" t="s">
        <v>707</v>
      </c>
      <c r="B603">
        <v>3.1550865878913772</v>
      </c>
      <c r="C603">
        <v>3.3493488194175983E-2</v>
      </c>
      <c r="D603">
        <v>5.3397027600849273E-2</v>
      </c>
      <c r="E603">
        <v>70.39456892631469</v>
      </c>
      <c r="F603">
        <v>6.7314457805388583E-2</v>
      </c>
      <c r="G603">
        <v>1</v>
      </c>
      <c r="H603">
        <v>0.16252158188939239</v>
      </c>
      <c r="I603">
        <v>1.8985490922460859</v>
      </c>
      <c r="J603">
        <v>0</v>
      </c>
      <c r="K603">
        <v>3.3915047744484728E-2</v>
      </c>
      <c r="L603">
        <v>0</v>
      </c>
      <c r="M603">
        <v>294236826.52939999</v>
      </c>
      <c r="N603">
        <v>0</v>
      </c>
      <c r="O603" t="b">
        <v>1</v>
      </c>
    </row>
    <row r="604" spans="1:15" x14ac:dyDescent="0.3">
      <c r="A604" s="1" t="s">
        <v>708</v>
      </c>
      <c r="B604">
        <v>1.786996624243248</v>
      </c>
      <c r="C604">
        <v>2.2116294854495649E-2</v>
      </c>
      <c r="D604">
        <v>4.7648514851485253E-2</v>
      </c>
      <c r="E604">
        <v>81.183623197385131</v>
      </c>
      <c r="F604">
        <v>0.13949667529280679</v>
      </c>
      <c r="G604">
        <v>0.8</v>
      </c>
      <c r="H604">
        <v>0.19218327408377789</v>
      </c>
      <c r="I604">
        <v>0.67615029165667728</v>
      </c>
      <c r="J604">
        <v>0</v>
      </c>
      <c r="K604">
        <v>4.7174701918092372E-2</v>
      </c>
      <c r="L604">
        <v>0</v>
      </c>
      <c r="M604">
        <v>473760577.14365011</v>
      </c>
      <c r="N604">
        <v>0</v>
      </c>
      <c r="O604" t="b">
        <v>1</v>
      </c>
    </row>
    <row r="605" spans="1:15" x14ac:dyDescent="0.3">
      <c r="A605" s="1" t="s">
        <v>709</v>
      </c>
      <c r="B605">
        <v>0.72080010331955591</v>
      </c>
      <c r="C605">
        <v>2.3072986661957621E-2</v>
      </c>
      <c r="D605">
        <v>1.9110115236875839E-2</v>
      </c>
      <c r="E605">
        <v>53.107725483003023</v>
      </c>
      <c r="F605">
        <v>7.501720578114246E-2</v>
      </c>
      <c r="G605">
        <v>0.6</v>
      </c>
      <c r="H605">
        <v>4.129114737799041E-2</v>
      </c>
      <c r="I605">
        <v>0.50471517906357743</v>
      </c>
      <c r="J605">
        <v>-3.4610630407911007E-2</v>
      </c>
      <c r="K605">
        <v>1.0022631749110779E-2</v>
      </c>
      <c r="L605">
        <v>0</v>
      </c>
      <c r="M605">
        <v>29115880</v>
      </c>
      <c r="N605">
        <v>0</v>
      </c>
      <c r="O605" t="b">
        <v>0</v>
      </c>
    </row>
    <row r="606" spans="1:15" x14ac:dyDescent="0.3">
      <c r="A606" s="1" t="s">
        <v>710</v>
      </c>
      <c r="B606">
        <v>0.77417123095338725</v>
      </c>
      <c r="C606">
        <v>3.4998699410189293E-2</v>
      </c>
      <c r="D606">
        <v>7.278481012658225E-2</v>
      </c>
      <c r="E606">
        <v>48.526880533407088</v>
      </c>
      <c r="F606">
        <v>2.931596091205213E-2</v>
      </c>
      <c r="G606">
        <v>0.4</v>
      </c>
      <c r="H606">
        <v>-0.12455087541984081</v>
      </c>
      <c r="I606">
        <v>1.3626605585114131</v>
      </c>
      <c r="J606">
        <v>-5.2676659528907988E-2</v>
      </c>
      <c r="K606">
        <v>-4.2838598009519613E-2</v>
      </c>
      <c r="L606">
        <v>0</v>
      </c>
      <c r="M606">
        <v>183223297</v>
      </c>
      <c r="N606">
        <v>0</v>
      </c>
      <c r="O606" t="b">
        <v>1</v>
      </c>
    </row>
    <row r="607" spans="1:15" x14ac:dyDescent="0.3">
      <c r="A607" s="1" t="s">
        <v>711</v>
      </c>
      <c r="B607">
        <v>2.4726286215607471</v>
      </c>
      <c r="C607">
        <v>2.8155643606931759E-2</v>
      </c>
      <c r="D607">
        <v>1.9585515827829639E-2</v>
      </c>
      <c r="E607">
        <v>63.156271109989859</v>
      </c>
      <c r="F607">
        <v>1.6905974988420391E-2</v>
      </c>
      <c r="G607">
        <v>0.4</v>
      </c>
      <c r="H607">
        <v>0.13403535131032029</v>
      </c>
      <c r="I607">
        <v>1.37211500930067</v>
      </c>
      <c r="J607">
        <v>-3.685018644439586E-2</v>
      </c>
      <c r="K607">
        <v>-6.7857950689890201E-3</v>
      </c>
      <c r="L607">
        <v>0</v>
      </c>
      <c r="M607">
        <v>81668924</v>
      </c>
      <c r="N607">
        <v>0</v>
      </c>
      <c r="O607" t="b">
        <v>0</v>
      </c>
    </row>
    <row r="608" spans="1:15" x14ac:dyDescent="0.3">
      <c r="A608" s="1" t="s">
        <v>712</v>
      </c>
      <c r="B608">
        <v>6.6919008355495349</v>
      </c>
      <c r="C608">
        <v>4.0174706342976138E-2</v>
      </c>
      <c r="D608">
        <v>4.6286846370894988E-2</v>
      </c>
      <c r="E608">
        <v>57.507433508616003</v>
      </c>
      <c r="F608">
        <v>6.3393769152196189E-2</v>
      </c>
      <c r="G608">
        <v>0.6</v>
      </c>
      <c r="H608">
        <v>-7.9376230736326631E-2</v>
      </c>
      <c r="I608">
        <v>2.1819861846867719</v>
      </c>
      <c r="J608">
        <v>0</v>
      </c>
      <c r="K608">
        <v>4.0347261257885007E-2</v>
      </c>
      <c r="L608">
        <v>0</v>
      </c>
      <c r="M608">
        <v>128381148</v>
      </c>
      <c r="N608">
        <v>0</v>
      </c>
      <c r="O608" t="b">
        <v>1</v>
      </c>
    </row>
    <row r="609" spans="1:15" x14ac:dyDescent="0.3">
      <c r="A609" s="1" t="s">
        <v>713</v>
      </c>
      <c r="B609">
        <v>8.9088983661855856</v>
      </c>
      <c r="C609">
        <v>2.7753577464752599E-2</v>
      </c>
      <c r="D609">
        <v>2.015576323987547E-2</v>
      </c>
      <c r="E609">
        <v>66.389529700972147</v>
      </c>
      <c r="F609">
        <v>0.1053680944624846</v>
      </c>
      <c r="G609">
        <v>0.6</v>
      </c>
      <c r="H609">
        <v>0.25705761065169908</v>
      </c>
      <c r="I609">
        <v>1.3597064385943971</v>
      </c>
      <c r="J609">
        <v>-7.5101490589897244E-3</v>
      </c>
      <c r="K609">
        <v>1.022816679779703E-2</v>
      </c>
      <c r="L609">
        <v>0</v>
      </c>
      <c r="M609">
        <v>4331543527.0815001</v>
      </c>
      <c r="N609">
        <v>0</v>
      </c>
      <c r="O609" t="b">
        <v>1</v>
      </c>
    </row>
    <row r="610" spans="1:15" x14ac:dyDescent="0.3">
      <c r="A610" s="1" t="s">
        <v>714</v>
      </c>
      <c r="B610">
        <v>8.9822262040683096</v>
      </c>
      <c r="C610">
        <v>2.805104838720936E-2</v>
      </c>
      <c r="D610">
        <v>2.070516223728177E-2</v>
      </c>
      <c r="E610">
        <v>66.103371488838576</v>
      </c>
      <c r="F610">
        <v>0.1045151943706666</v>
      </c>
      <c r="G610">
        <v>0.6</v>
      </c>
      <c r="H610">
        <v>0.25126706165139778</v>
      </c>
      <c r="I610">
        <v>1.400872171631476</v>
      </c>
      <c r="J610">
        <v>-9.3401272781835631E-3</v>
      </c>
      <c r="K610">
        <v>9.8713258483662525E-3</v>
      </c>
      <c r="L610">
        <v>0</v>
      </c>
      <c r="M610">
        <v>6441752324.2614994</v>
      </c>
      <c r="N610">
        <v>0</v>
      </c>
      <c r="O610" t="b">
        <v>1</v>
      </c>
    </row>
    <row r="611" spans="1:15" x14ac:dyDescent="0.3">
      <c r="A611" s="1" t="s">
        <v>715</v>
      </c>
      <c r="B611">
        <v>6.1610827623028233E-2</v>
      </c>
      <c r="C611">
        <v>2.6869912131215622E-3</v>
      </c>
      <c r="D611">
        <v>3.0354175661706931E-3</v>
      </c>
      <c r="E611">
        <v>47.692210885783538</v>
      </c>
      <c r="F611">
        <v>7.5943068885608866E-4</v>
      </c>
      <c r="G611">
        <v>0.2</v>
      </c>
      <c r="H611">
        <v>-8.9632702599748482E-2</v>
      </c>
      <c r="I611">
        <v>-4.8206411607564857E-2</v>
      </c>
      <c r="J611">
        <v>-6.9683242241296286E-3</v>
      </c>
      <c r="K611">
        <v>2.606068291232555E-3</v>
      </c>
      <c r="L611">
        <v>0</v>
      </c>
      <c r="M611">
        <v>170964777.28075001</v>
      </c>
      <c r="N611">
        <v>0</v>
      </c>
      <c r="O611" t="b">
        <v>1</v>
      </c>
    </row>
    <row r="612" spans="1:15" x14ac:dyDescent="0.3">
      <c r="A612" s="1" t="s">
        <v>716</v>
      </c>
      <c r="B612">
        <v>2.6246075496134562</v>
      </c>
      <c r="C612">
        <v>1.9998533599614871E-2</v>
      </c>
      <c r="D612">
        <v>4.1145992075586751E-2</v>
      </c>
      <c r="E612">
        <v>58.003494434960302</v>
      </c>
      <c r="F612">
        <v>5.6929556820835892E-2</v>
      </c>
      <c r="G612">
        <v>0.6</v>
      </c>
      <c r="H612">
        <v>-0.14128999283293339</v>
      </c>
      <c r="I612">
        <v>0.2369601086693659</v>
      </c>
      <c r="J612">
        <v>0</v>
      </c>
      <c r="K612">
        <v>3.7224373666324251E-2</v>
      </c>
      <c r="L612">
        <v>0</v>
      </c>
      <c r="M612">
        <v>146014005.48899999</v>
      </c>
      <c r="N612">
        <v>0</v>
      </c>
      <c r="O612" t="b">
        <v>1</v>
      </c>
    </row>
    <row r="613" spans="1:15" x14ac:dyDescent="0.3">
      <c r="A613" s="1" t="s">
        <v>717</v>
      </c>
      <c r="B613">
        <v>2.226500292488065</v>
      </c>
      <c r="C613">
        <v>2.779831265560391E-2</v>
      </c>
      <c r="D613">
        <v>3.9208537882609099E-2</v>
      </c>
      <c r="E613">
        <v>58.209381948517617</v>
      </c>
      <c r="F613">
        <v>6.1434686385984483E-2</v>
      </c>
      <c r="G613">
        <v>0.2</v>
      </c>
      <c r="H613">
        <v>-9.0810280487285733E-2</v>
      </c>
      <c r="I613">
        <v>1.0485808773418179</v>
      </c>
      <c r="J613">
        <v>0</v>
      </c>
      <c r="K613">
        <v>3.6644728752904143E-2</v>
      </c>
      <c r="L613">
        <v>0</v>
      </c>
      <c r="M613">
        <v>191886998.53150001</v>
      </c>
      <c r="N613">
        <v>0</v>
      </c>
      <c r="O613" t="b">
        <v>1</v>
      </c>
    </row>
    <row r="614" spans="1:15" x14ac:dyDescent="0.3">
      <c r="A614" s="1" t="s">
        <v>718</v>
      </c>
      <c r="B614">
        <v>0.21464457115729971</v>
      </c>
      <c r="C614">
        <v>4.1437175899092613E-2</v>
      </c>
      <c r="D614">
        <v>3.6679536679536759E-2</v>
      </c>
      <c r="E614">
        <v>41.217413113081449</v>
      </c>
      <c r="F614">
        <v>-0.12203389830508481</v>
      </c>
      <c r="G614">
        <v>0.4</v>
      </c>
      <c r="H614">
        <v>-6.0768933794075497E-2</v>
      </c>
      <c r="I614">
        <v>2.1814283620476931</v>
      </c>
      <c r="J614">
        <v>-0.1190476190476191</v>
      </c>
      <c r="K614">
        <v>5.8252427184464217E-3</v>
      </c>
      <c r="L614">
        <v>0</v>
      </c>
      <c r="M614">
        <v>174062688</v>
      </c>
      <c r="N614">
        <v>0</v>
      </c>
      <c r="O614" t="b">
        <v>1</v>
      </c>
    </row>
    <row r="615" spans="1:15" x14ac:dyDescent="0.3">
      <c r="A615" s="1" t="s">
        <v>719</v>
      </c>
      <c r="B615">
        <v>2.1117250292008389</v>
      </c>
      <c r="C615">
        <v>1.362034177320235E-2</v>
      </c>
      <c r="D615">
        <v>1.589891771261983E-2</v>
      </c>
      <c r="E615">
        <v>58.54719781007433</v>
      </c>
      <c r="F615">
        <v>-4.8715990269637688E-3</v>
      </c>
      <c r="G615">
        <v>0.6</v>
      </c>
      <c r="H615">
        <v>6.3477440228351762E-3</v>
      </c>
      <c r="I615">
        <v>1.0781543881992479</v>
      </c>
      <c r="J615">
        <v>-5.5736926836464917E-3</v>
      </c>
      <c r="K615">
        <v>1.303521140564667E-2</v>
      </c>
      <c r="L615">
        <v>0</v>
      </c>
      <c r="M615">
        <v>23292762.136500001</v>
      </c>
      <c r="N615">
        <v>0</v>
      </c>
      <c r="O615" t="b">
        <v>0</v>
      </c>
    </row>
    <row r="616" spans="1:15" x14ac:dyDescent="0.3">
      <c r="A616" s="1" t="s">
        <v>720</v>
      </c>
      <c r="B616">
        <v>4.6862142705043128</v>
      </c>
      <c r="C616">
        <v>2.2381170637897779E-2</v>
      </c>
      <c r="D616">
        <v>4.4416425480700267E-2</v>
      </c>
      <c r="E616">
        <v>58.809271241662529</v>
      </c>
      <c r="F616">
        <v>3.7242896207347442E-2</v>
      </c>
      <c r="G616">
        <v>0.8</v>
      </c>
      <c r="H616">
        <v>-0.15033995009147419</v>
      </c>
      <c r="I616">
        <v>1.0796956407420919</v>
      </c>
      <c r="J616">
        <v>0</v>
      </c>
      <c r="K616">
        <v>3.9751312215396961E-2</v>
      </c>
      <c r="L616">
        <v>0</v>
      </c>
      <c r="M616">
        <v>171871874.43799999</v>
      </c>
      <c r="N616">
        <v>0</v>
      </c>
      <c r="O616" t="b">
        <v>1</v>
      </c>
    </row>
    <row r="617" spans="1:15" x14ac:dyDescent="0.3">
      <c r="A617" s="1" t="s">
        <v>721</v>
      </c>
      <c r="B617">
        <v>20.719264054244778</v>
      </c>
      <c r="C617">
        <v>2.329996857343887E-2</v>
      </c>
      <c r="D617">
        <v>3.1408843506814881E-2</v>
      </c>
      <c r="E617">
        <v>74.592997773688253</v>
      </c>
      <c r="F617">
        <v>0.12098448567758389</v>
      </c>
      <c r="G617">
        <v>1</v>
      </c>
      <c r="H617">
        <v>0.1111171307363696</v>
      </c>
      <c r="I617">
        <v>1.096502785628088</v>
      </c>
      <c r="J617">
        <v>0</v>
      </c>
      <c r="K617">
        <v>1.4442492413698551E-2</v>
      </c>
      <c r="L617">
        <v>0</v>
      </c>
      <c r="M617">
        <v>1389436075.2969999</v>
      </c>
      <c r="N617">
        <v>0</v>
      </c>
      <c r="O617" t="b">
        <v>1</v>
      </c>
    </row>
    <row r="618" spans="1:15" x14ac:dyDescent="0.3">
      <c r="A618" s="1" t="s">
        <v>722</v>
      </c>
      <c r="B618">
        <v>3.8589304482569662</v>
      </c>
      <c r="C618">
        <v>5.4907946048050167E-2</v>
      </c>
      <c r="D618">
        <v>5.9049516220831037E-2</v>
      </c>
      <c r="E618">
        <v>72.370996582103402</v>
      </c>
      <c r="F618">
        <v>0.22056269538034029</v>
      </c>
      <c r="G618">
        <v>0.8</v>
      </c>
      <c r="H618">
        <v>0.28671598554371602</v>
      </c>
      <c r="I618">
        <v>2.2462713950137658</v>
      </c>
      <c r="J618">
        <v>0</v>
      </c>
      <c r="K618">
        <v>2.9894490035170081E-2</v>
      </c>
      <c r="L618">
        <v>0</v>
      </c>
      <c r="M618">
        <v>20073079.5</v>
      </c>
      <c r="N618">
        <v>0</v>
      </c>
      <c r="O618" t="b">
        <v>0</v>
      </c>
    </row>
    <row r="619" spans="1:15" x14ac:dyDescent="0.3">
      <c r="A619" s="1" t="s">
        <v>723</v>
      </c>
      <c r="B619">
        <v>0.36065627195533401</v>
      </c>
      <c r="C619">
        <v>8.5353744342075016E-3</v>
      </c>
      <c r="D619">
        <v>1.2713498981168751E-2</v>
      </c>
      <c r="E619">
        <v>63.774151654009977</v>
      </c>
      <c r="F619">
        <v>1.8708577738239199E-2</v>
      </c>
      <c r="G619">
        <v>0.8</v>
      </c>
      <c r="H619">
        <v>-5.9107030171522593E-2</v>
      </c>
      <c r="I619">
        <v>0.68766940438363267</v>
      </c>
      <c r="J619">
        <v>0</v>
      </c>
      <c r="K619">
        <v>1.046955149283191E-2</v>
      </c>
      <c r="L619">
        <v>0</v>
      </c>
      <c r="M619">
        <v>13164721.212850001</v>
      </c>
      <c r="N619">
        <v>0</v>
      </c>
      <c r="O619" t="b">
        <v>0</v>
      </c>
    </row>
    <row r="620" spans="1:15" x14ac:dyDescent="0.3">
      <c r="A620" s="1" t="s">
        <v>724</v>
      </c>
      <c r="B620">
        <v>0.90307057608126273</v>
      </c>
      <c r="C620">
        <v>1.865462871475445E-2</v>
      </c>
      <c r="D620">
        <v>2.416856021483154E-2</v>
      </c>
      <c r="E620">
        <v>58.352283208670762</v>
      </c>
      <c r="F620">
        <v>3.1101303945916481E-2</v>
      </c>
      <c r="G620">
        <v>0.4</v>
      </c>
      <c r="H620">
        <v>0.103078809520273</v>
      </c>
      <c r="I620">
        <v>0.2036890781436024</v>
      </c>
      <c r="J620">
        <v>-1.1435572799673331E-2</v>
      </c>
      <c r="K620">
        <v>2.4116775967844228E-2</v>
      </c>
      <c r="L620">
        <v>0</v>
      </c>
      <c r="M620">
        <v>178110214.86649999</v>
      </c>
      <c r="N620">
        <v>0</v>
      </c>
      <c r="O620" t="b">
        <v>1</v>
      </c>
    </row>
    <row r="621" spans="1:15" x14ac:dyDescent="0.3">
      <c r="A621" s="1" t="s">
        <v>725</v>
      </c>
      <c r="B621">
        <v>1.3308900163365549</v>
      </c>
      <c r="C621">
        <v>1.001399529233016E-2</v>
      </c>
      <c r="D621">
        <v>1.0842494149868719E-2</v>
      </c>
      <c r="E621">
        <v>61.195981037312741</v>
      </c>
      <c r="F621">
        <v>9.7017306611155707E-3</v>
      </c>
      <c r="G621">
        <v>0.6</v>
      </c>
      <c r="H621">
        <v>-0.21261953381754251</v>
      </c>
      <c r="I621">
        <v>0.95509894397516071</v>
      </c>
      <c r="J621">
        <v>0</v>
      </c>
      <c r="K621">
        <v>6.4215667714209168E-3</v>
      </c>
      <c r="L621">
        <v>0</v>
      </c>
      <c r="M621">
        <v>27084148.800000001</v>
      </c>
      <c r="N621">
        <v>0</v>
      </c>
      <c r="O621" t="b">
        <v>0</v>
      </c>
    </row>
    <row r="622" spans="1:15" x14ac:dyDescent="0.3">
      <c r="A622" s="1" t="s">
        <v>726</v>
      </c>
      <c r="B622">
        <v>2.2145947126940748</v>
      </c>
      <c r="C622">
        <v>5.4681350930717902E-2</v>
      </c>
      <c r="D622">
        <v>4.9135802469135667E-2</v>
      </c>
      <c r="E622">
        <v>44.482232393381018</v>
      </c>
      <c r="F622">
        <v>-0.12318683697770071</v>
      </c>
      <c r="G622">
        <v>0.4</v>
      </c>
      <c r="H622">
        <v>-0.1022031324453064</v>
      </c>
      <c r="I622">
        <v>0.86703195377972753</v>
      </c>
      <c r="J622">
        <v>-0.12959381044487431</v>
      </c>
      <c r="K622">
        <v>3.7929267042542181E-2</v>
      </c>
      <c r="L622">
        <v>0</v>
      </c>
      <c r="M622">
        <v>162178484.5</v>
      </c>
      <c r="N622">
        <v>0</v>
      </c>
      <c r="O622" t="b">
        <v>1</v>
      </c>
    </row>
    <row r="623" spans="1:15" x14ac:dyDescent="0.3">
      <c r="A623" s="1" t="s">
        <v>727</v>
      </c>
      <c r="B623">
        <v>0.6379309569022269</v>
      </c>
      <c r="C623">
        <v>3.104286894901347E-3</v>
      </c>
      <c r="D623">
        <v>4.9635036496349476E-3</v>
      </c>
      <c r="E623">
        <v>85.292126141437052</v>
      </c>
      <c r="F623">
        <v>1.261456588154131E-2</v>
      </c>
      <c r="G623">
        <v>1</v>
      </c>
      <c r="H623">
        <v>-4.6396034712485858E-2</v>
      </c>
      <c r="I623">
        <v>8.4124992423760855E-2</v>
      </c>
      <c r="J623">
        <v>0</v>
      </c>
      <c r="K623">
        <v>4.868549172345471E-4</v>
      </c>
      <c r="L623">
        <v>0</v>
      </c>
      <c r="M623">
        <v>122126523.5</v>
      </c>
      <c r="N623">
        <v>0</v>
      </c>
      <c r="O623" t="b">
        <v>1</v>
      </c>
    </row>
    <row r="624" spans="1:15" x14ac:dyDescent="0.3">
      <c r="A624" s="1" t="s">
        <v>728</v>
      </c>
      <c r="B624">
        <v>0.52384699380376998</v>
      </c>
      <c r="C624">
        <v>1.1623015717925751E-2</v>
      </c>
      <c r="D624">
        <v>1.453966957918615E-2</v>
      </c>
      <c r="E624">
        <v>61.396799838259149</v>
      </c>
      <c r="F624">
        <v>2.4374167564447099E-2</v>
      </c>
      <c r="G624">
        <v>0.6</v>
      </c>
      <c r="H624">
        <v>3.0533129951932142E-3</v>
      </c>
      <c r="I624">
        <v>0.66368767666367634</v>
      </c>
      <c r="J624">
        <v>0</v>
      </c>
      <c r="K624">
        <v>1.0463398283975909E-2</v>
      </c>
      <c r="L624">
        <v>0</v>
      </c>
      <c r="M624">
        <v>15542812.944599999</v>
      </c>
      <c r="N624">
        <v>1</v>
      </c>
      <c r="O624" t="b">
        <v>0</v>
      </c>
    </row>
    <row r="625" spans="1:15" x14ac:dyDescent="0.3">
      <c r="A625" s="1" t="s">
        <v>729</v>
      </c>
      <c r="B625">
        <v>7.8639485995876619</v>
      </c>
      <c r="C625">
        <v>3.920018244149176E-2</v>
      </c>
      <c r="D625">
        <v>3.3846767359553463E-2</v>
      </c>
      <c r="E625">
        <v>32.037399118604483</v>
      </c>
      <c r="F625">
        <v>-7.8798732607797239E-2</v>
      </c>
      <c r="G625">
        <v>0.2</v>
      </c>
      <c r="H625">
        <v>-0.28065750981121151</v>
      </c>
      <c r="I625">
        <v>0.73524952131532773</v>
      </c>
      <c r="J625">
        <v>-9.842254280706475E-2</v>
      </c>
      <c r="K625">
        <v>1.7034220532319511E-2</v>
      </c>
      <c r="L625">
        <v>0</v>
      </c>
      <c r="M625">
        <v>157540340</v>
      </c>
      <c r="N625">
        <v>0</v>
      </c>
      <c r="O625" t="b">
        <v>1</v>
      </c>
    </row>
    <row r="626" spans="1:15" x14ac:dyDescent="0.3">
      <c r="A626" s="1" t="s">
        <v>730</v>
      </c>
      <c r="B626">
        <v>19.075720226772241</v>
      </c>
      <c r="C626">
        <v>1.9196833046462369E-2</v>
      </c>
      <c r="D626">
        <v>3.8600530748492207E-2</v>
      </c>
      <c r="E626">
        <v>64.939906491657268</v>
      </c>
      <c r="F626">
        <v>4.8012639123698582E-2</v>
      </c>
      <c r="G626">
        <v>0.4</v>
      </c>
      <c r="H626">
        <v>-7.9975000151740042E-2</v>
      </c>
      <c r="I626">
        <v>0.51125978052541821</v>
      </c>
      <c r="J626">
        <v>0</v>
      </c>
      <c r="K626">
        <v>3.8479586067505567E-2</v>
      </c>
      <c r="L626">
        <v>0</v>
      </c>
      <c r="M626">
        <v>269340812.42199999</v>
      </c>
      <c r="N626">
        <v>0</v>
      </c>
      <c r="O626" t="b">
        <v>1</v>
      </c>
    </row>
    <row r="627" spans="1:15" x14ac:dyDescent="0.3">
      <c r="A627" s="1" t="s">
        <v>731</v>
      </c>
      <c r="B627">
        <v>4.2852716442690797</v>
      </c>
      <c r="C627">
        <v>2.7693367224176549E-2</v>
      </c>
      <c r="D627">
        <v>2.2747835078195749E-2</v>
      </c>
      <c r="E627">
        <v>50.538397489083067</v>
      </c>
      <c r="F627">
        <v>-1.1132270804309671E-2</v>
      </c>
      <c r="G627">
        <v>0.2</v>
      </c>
      <c r="H627">
        <v>1.9499078004872841E-2</v>
      </c>
      <c r="I627">
        <v>0.80419785878483319</v>
      </c>
      <c r="J627">
        <v>-7.007211538461533E-2</v>
      </c>
      <c r="K627">
        <v>1.8026315789473779E-2</v>
      </c>
      <c r="L627">
        <v>0</v>
      </c>
      <c r="M627">
        <v>117643415.344</v>
      </c>
      <c r="N627">
        <v>0</v>
      </c>
      <c r="O627" t="b">
        <v>1</v>
      </c>
    </row>
    <row r="628" spans="1:15" x14ac:dyDescent="0.3">
      <c r="A628" s="1" t="s">
        <v>732</v>
      </c>
      <c r="B628">
        <v>0.85517230051965043</v>
      </c>
      <c r="C628">
        <v>2.944808197381716E-2</v>
      </c>
      <c r="D628">
        <v>3.4779614325068917E-2</v>
      </c>
      <c r="E628">
        <v>70.450987622997133</v>
      </c>
      <c r="F628">
        <v>5.4661538629157791E-2</v>
      </c>
      <c r="G628">
        <v>0.8</v>
      </c>
      <c r="H628">
        <v>0.1571009447718639</v>
      </c>
      <c r="I628">
        <v>0.82025494085833661</v>
      </c>
      <c r="J628">
        <v>0</v>
      </c>
      <c r="K628">
        <v>1.6095171448565541E-2</v>
      </c>
      <c r="L628">
        <v>0</v>
      </c>
      <c r="M628">
        <v>279186372.52530003</v>
      </c>
      <c r="N628">
        <v>0</v>
      </c>
      <c r="O628" t="b">
        <v>1</v>
      </c>
    </row>
    <row r="629" spans="1:15" x14ac:dyDescent="0.3">
      <c r="A629" s="1" t="s">
        <v>733</v>
      </c>
      <c r="B629">
        <v>2.31521971280254</v>
      </c>
      <c r="C629">
        <v>3.6954823827654283E-2</v>
      </c>
      <c r="D629">
        <v>2.0271348762968811E-2</v>
      </c>
      <c r="E629">
        <v>34.231454699173909</v>
      </c>
      <c r="F629">
        <v>-7.8811939420673549E-2</v>
      </c>
      <c r="G629">
        <v>0.4</v>
      </c>
      <c r="H629">
        <v>-0.22637446048949339</v>
      </c>
      <c r="I629">
        <v>0.50617214841059877</v>
      </c>
      <c r="J629">
        <v>-0.15337837837837839</v>
      </c>
      <c r="K629">
        <v>1.26070793599482E-2</v>
      </c>
      <c r="L629">
        <v>0</v>
      </c>
      <c r="M629">
        <v>98145805.5</v>
      </c>
      <c r="N629">
        <v>0</v>
      </c>
      <c r="O629" t="b">
        <v>1</v>
      </c>
    </row>
    <row r="630" spans="1:15" x14ac:dyDescent="0.3">
      <c r="A630" s="1" t="s">
        <v>734</v>
      </c>
      <c r="B630">
        <v>1.850947506440993</v>
      </c>
      <c r="C630">
        <v>2.26839029974116E-2</v>
      </c>
      <c r="D630">
        <v>3.3349101809616442E-2</v>
      </c>
      <c r="E630">
        <v>61.798976948635968</v>
      </c>
      <c r="F630">
        <v>6.1079006090995369E-2</v>
      </c>
      <c r="G630">
        <v>0.4</v>
      </c>
      <c r="H630">
        <v>-7.0504903087248586E-3</v>
      </c>
      <c r="I630">
        <v>1.01404060272525</v>
      </c>
      <c r="J630">
        <v>-6.4098349077856831E-3</v>
      </c>
      <c r="K630">
        <v>2.8799745817846171E-2</v>
      </c>
      <c r="L630">
        <v>0</v>
      </c>
      <c r="M630">
        <v>116237539.92659999</v>
      </c>
      <c r="N630">
        <v>0</v>
      </c>
      <c r="O630" t="b">
        <v>1</v>
      </c>
    </row>
    <row r="631" spans="1:15" x14ac:dyDescent="0.3">
      <c r="A631" s="1" t="s">
        <v>735</v>
      </c>
      <c r="B631">
        <v>0.34457257720465923</v>
      </c>
      <c r="C631">
        <v>1.979539931202693E-2</v>
      </c>
      <c r="D631">
        <v>3.8726467394738763E-2</v>
      </c>
      <c r="E631">
        <v>74.678001096568906</v>
      </c>
      <c r="F631">
        <v>0.11069493807387749</v>
      </c>
      <c r="G631">
        <v>0.8</v>
      </c>
      <c r="H631">
        <v>-4.2793566794093699E-2</v>
      </c>
      <c r="I631">
        <v>0.78902830718837036</v>
      </c>
      <c r="J631">
        <v>0</v>
      </c>
      <c r="K631">
        <v>3.3553819114573447E-2</v>
      </c>
      <c r="L631">
        <v>0</v>
      </c>
      <c r="M631">
        <v>386086027.90179998</v>
      </c>
      <c r="N631">
        <v>0</v>
      </c>
      <c r="O631" t="b">
        <v>1</v>
      </c>
    </row>
    <row r="632" spans="1:15" x14ac:dyDescent="0.3">
      <c r="A632" s="1" t="s">
        <v>736</v>
      </c>
      <c r="B632">
        <v>0.76537160802198545</v>
      </c>
      <c r="C632">
        <v>4.1938170302574553E-2</v>
      </c>
      <c r="D632">
        <v>4.8219178082191727E-2</v>
      </c>
      <c r="E632">
        <v>66.509094390576763</v>
      </c>
      <c r="F632">
        <v>8.2443653618030854E-2</v>
      </c>
      <c r="G632">
        <v>0.6</v>
      </c>
      <c r="H632">
        <v>0.150458027152443</v>
      </c>
      <c r="I632">
        <v>2.5603724249613018</v>
      </c>
      <c r="J632">
        <v>0</v>
      </c>
      <c r="K632">
        <v>3.8702333523050747E-2</v>
      </c>
      <c r="L632">
        <v>0</v>
      </c>
      <c r="M632">
        <v>65064334</v>
      </c>
      <c r="N632">
        <v>0</v>
      </c>
      <c r="O632" t="b">
        <v>0</v>
      </c>
    </row>
    <row r="633" spans="1:15" x14ac:dyDescent="0.3">
      <c r="A633" s="1" t="s">
        <v>737</v>
      </c>
      <c r="B633">
        <v>12.164294189257451</v>
      </c>
      <c r="C633">
        <v>2.5990193424532088E-2</v>
      </c>
      <c r="D633">
        <v>4.7530734946606402E-2</v>
      </c>
      <c r="E633">
        <v>42.895805931618931</v>
      </c>
      <c r="F633">
        <v>2.0531248228373041E-2</v>
      </c>
      <c r="G633">
        <v>0.4</v>
      </c>
      <c r="H633">
        <v>0.1093696546235132</v>
      </c>
      <c r="I633">
        <v>0.16836579293547729</v>
      </c>
      <c r="J633">
        <v>-9.1344324420871037E-2</v>
      </c>
      <c r="K633">
        <v>-4.0469561723257108E-2</v>
      </c>
      <c r="L633">
        <v>0</v>
      </c>
      <c r="M633">
        <v>489924451.60399997</v>
      </c>
      <c r="N633">
        <v>0</v>
      </c>
      <c r="O633" t="b">
        <v>1</v>
      </c>
    </row>
    <row r="634" spans="1:15" x14ac:dyDescent="0.3">
      <c r="A634" s="1" t="s">
        <v>738</v>
      </c>
      <c r="B634">
        <v>8.4138943000989457</v>
      </c>
      <c r="C634">
        <v>2.3962333893711579E-2</v>
      </c>
      <c r="D634">
        <v>2.2840543388488541E-2</v>
      </c>
      <c r="E634">
        <v>45.417809649022963</v>
      </c>
      <c r="F634">
        <v>-4.5972014671919581E-2</v>
      </c>
      <c r="G634">
        <v>0.4</v>
      </c>
      <c r="H634">
        <v>-0.25057264685147229</v>
      </c>
      <c r="I634">
        <v>0.46537816004389121</v>
      </c>
      <c r="J634">
        <v>-5.5683300388613237E-2</v>
      </c>
      <c r="K634">
        <v>1.6972224635792399E-2</v>
      </c>
      <c r="L634">
        <v>0</v>
      </c>
      <c r="M634">
        <v>1229356034.9305</v>
      </c>
      <c r="N634">
        <v>0</v>
      </c>
      <c r="O634" t="b">
        <v>1</v>
      </c>
    </row>
    <row r="635" spans="1:15" x14ac:dyDescent="0.3">
      <c r="A635" s="1" t="s">
        <v>739</v>
      </c>
      <c r="B635">
        <v>0.62126539889515942</v>
      </c>
      <c r="C635">
        <v>1.7539960443115739E-2</v>
      </c>
      <c r="D635">
        <v>2.0327498588368121E-2</v>
      </c>
      <c r="E635">
        <v>43.073647990851477</v>
      </c>
      <c r="F635">
        <v>-1.8020515663986662E-2</v>
      </c>
      <c r="G635">
        <v>0.6</v>
      </c>
      <c r="H635">
        <v>-5.0835205643101622E-2</v>
      </c>
      <c r="I635">
        <v>9.0709962707773067E-2</v>
      </c>
      <c r="J635">
        <v>-4.6054403447347132E-2</v>
      </c>
      <c r="K635">
        <v>7.1083309638897418E-3</v>
      </c>
      <c r="L635">
        <v>0</v>
      </c>
      <c r="M635">
        <v>135116482.403</v>
      </c>
      <c r="N635">
        <v>0</v>
      </c>
      <c r="O635" t="b">
        <v>1</v>
      </c>
    </row>
    <row r="636" spans="1:15" x14ac:dyDescent="0.3">
      <c r="A636" s="1" t="s">
        <v>740</v>
      </c>
      <c r="B636">
        <v>1.138102718695065</v>
      </c>
      <c r="C636">
        <v>9.3866464217264318E-3</v>
      </c>
      <c r="D636">
        <v>1.093635306440578E-2</v>
      </c>
      <c r="E636">
        <v>53.12225637076024</v>
      </c>
      <c r="F636">
        <v>2.203434120354375E-2</v>
      </c>
      <c r="G636">
        <v>0.2</v>
      </c>
      <c r="H636">
        <v>-8.7740828410435651E-2</v>
      </c>
      <c r="I636">
        <v>0.14014826767069311</v>
      </c>
      <c r="J636">
        <v>-1.233290703073453E-2</v>
      </c>
      <c r="K636">
        <v>1.047587298941588E-2</v>
      </c>
      <c r="L636">
        <v>0</v>
      </c>
      <c r="M636">
        <v>47878181.420000002</v>
      </c>
      <c r="N636">
        <v>0</v>
      </c>
      <c r="O636" t="b">
        <v>0</v>
      </c>
    </row>
    <row r="637" spans="1:15" x14ac:dyDescent="0.3">
      <c r="A637" s="1" t="s">
        <v>741</v>
      </c>
      <c r="B637">
        <v>0.32462289323495602</v>
      </c>
      <c r="C637">
        <v>7.9547277360509511E-3</v>
      </c>
      <c r="D637">
        <v>6.7387426241398568E-3</v>
      </c>
      <c r="E637">
        <v>64.364553576844443</v>
      </c>
      <c r="F637">
        <v>1.674780624168459E-2</v>
      </c>
      <c r="G637">
        <v>0.8</v>
      </c>
      <c r="H637">
        <v>5.6679178089876867E-2</v>
      </c>
      <c r="I637">
        <v>0.7406028970328371</v>
      </c>
      <c r="J637">
        <v>0</v>
      </c>
      <c r="K637">
        <v>3.867006464690181E-3</v>
      </c>
      <c r="L637">
        <v>0</v>
      </c>
      <c r="M637">
        <v>27433918.285100002</v>
      </c>
      <c r="N637">
        <v>0</v>
      </c>
      <c r="O637" t="b">
        <v>0</v>
      </c>
    </row>
    <row r="638" spans="1:15" x14ac:dyDescent="0.3">
      <c r="A638" s="1" t="s">
        <v>742</v>
      </c>
      <c r="B638">
        <v>7.1021636139133566</v>
      </c>
      <c r="C638">
        <v>2.3017272648621509E-2</v>
      </c>
      <c r="D638">
        <v>1.875822373751454E-2</v>
      </c>
      <c r="E638">
        <v>45.976335558829959</v>
      </c>
      <c r="F638">
        <v>-6.6446811085562163E-2</v>
      </c>
      <c r="G638">
        <v>0.6</v>
      </c>
      <c r="H638">
        <v>-0.12079373278720761</v>
      </c>
      <c r="I638">
        <v>0.93546160054675764</v>
      </c>
      <c r="J638">
        <v>-6.1648876319070567E-2</v>
      </c>
      <c r="K638">
        <v>9.682623307013527E-3</v>
      </c>
      <c r="L638">
        <v>0</v>
      </c>
      <c r="M638">
        <v>115062793.67</v>
      </c>
      <c r="N638">
        <v>0</v>
      </c>
      <c r="O638" t="b">
        <v>1</v>
      </c>
    </row>
    <row r="639" spans="1:15" x14ac:dyDescent="0.3">
      <c r="A639" s="1" t="s">
        <v>743</v>
      </c>
      <c r="B639">
        <v>5.3325019254494563</v>
      </c>
      <c r="C639">
        <v>2.2147884791373671E-2</v>
      </c>
      <c r="D639">
        <v>1.6397527910685841E-2</v>
      </c>
      <c r="E639">
        <v>45.2211208129035</v>
      </c>
      <c r="F639">
        <v>-6.7007672634271098E-2</v>
      </c>
      <c r="G639">
        <v>0.6</v>
      </c>
      <c r="H639">
        <v>-0.1381571466886039</v>
      </c>
      <c r="I639">
        <v>0.96685108190450686</v>
      </c>
      <c r="J639">
        <v>-6.1772270282908548E-2</v>
      </c>
      <c r="K639">
        <v>8.9214252490161794E-3</v>
      </c>
      <c r="L639">
        <v>0</v>
      </c>
      <c r="M639">
        <v>46487616.358999997</v>
      </c>
      <c r="N639">
        <v>0</v>
      </c>
      <c r="O639" t="b">
        <v>0</v>
      </c>
    </row>
    <row r="640" spans="1:15" x14ac:dyDescent="0.3">
      <c r="A640" s="1" t="s">
        <v>744</v>
      </c>
      <c r="B640">
        <v>0.67271982564400679</v>
      </c>
      <c r="C640">
        <v>1.993840603096058E-2</v>
      </c>
      <c r="D640">
        <v>1.6680547363803561E-2</v>
      </c>
      <c r="E640">
        <v>59.964354049223779</v>
      </c>
      <c r="F640">
        <v>2.5588103872260071E-2</v>
      </c>
      <c r="G640">
        <v>0.8</v>
      </c>
      <c r="H640">
        <v>-0.13348463067804919</v>
      </c>
      <c r="I640">
        <v>0.22367480773698781</v>
      </c>
      <c r="J640">
        <v>-7.2003201450069332E-3</v>
      </c>
      <c r="K640">
        <v>-7.2003201450069332E-3</v>
      </c>
      <c r="L640">
        <v>0</v>
      </c>
      <c r="M640">
        <v>46451899.289399996</v>
      </c>
      <c r="N640">
        <v>0</v>
      </c>
      <c r="O640" t="b">
        <v>0</v>
      </c>
    </row>
    <row r="641" spans="1:15" x14ac:dyDescent="0.3">
      <c r="A641" s="1" t="s">
        <v>745</v>
      </c>
      <c r="B641">
        <v>2.0648975194078711</v>
      </c>
      <c r="C641">
        <v>1.5854557120760681E-2</v>
      </c>
      <c r="D641">
        <v>8.6762899262898905E-3</v>
      </c>
      <c r="E641">
        <v>44.729556124089562</v>
      </c>
      <c r="F641">
        <v>-3.6074205408054277E-4</v>
      </c>
      <c r="G641">
        <v>0.6</v>
      </c>
      <c r="H641">
        <v>-7.5511868065350832E-2</v>
      </c>
      <c r="I641">
        <v>-6.4818946020802501E-2</v>
      </c>
      <c r="J641">
        <v>-4.9120962560597947E-2</v>
      </c>
      <c r="K641">
        <v>1.537988311288929E-3</v>
      </c>
      <c r="L641">
        <v>0</v>
      </c>
      <c r="M641">
        <v>183703222.47499999</v>
      </c>
      <c r="N641">
        <v>0</v>
      </c>
      <c r="O641" t="b">
        <v>1</v>
      </c>
    </row>
    <row r="642" spans="1:15" x14ac:dyDescent="0.3">
      <c r="A642" s="1" t="s">
        <v>746</v>
      </c>
      <c r="B642">
        <v>9.6344798818292468</v>
      </c>
      <c r="C642">
        <v>2.981518809750958E-2</v>
      </c>
      <c r="D642">
        <v>4.8245342575973189E-2</v>
      </c>
      <c r="E642">
        <v>61.208204563295169</v>
      </c>
      <c r="F642">
        <v>1.8530484364608139E-2</v>
      </c>
      <c r="G642">
        <v>0.6</v>
      </c>
      <c r="H642">
        <v>0.1129180552065928</v>
      </c>
      <c r="I642">
        <v>0.78729416445049372</v>
      </c>
      <c r="J642">
        <v>0</v>
      </c>
      <c r="K642">
        <v>2.6004127639307931E-2</v>
      </c>
      <c r="L642">
        <v>0</v>
      </c>
      <c r="M642">
        <v>115908377.348</v>
      </c>
      <c r="N642">
        <v>0</v>
      </c>
      <c r="O642" t="b">
        <v>1</v>
      </c>
    </row>
    <row r="643" spans="1:15" x14ac:dyDescent="0.3">
      <c r="A643" s="1" t="s">
        <v>747</v>
      </c>
      <c r="B643">
        <v>2.4876296926293469</v>
      </c>
      <c r="C643">
        <v>6.5671322403097865E-2</v>
      </c>
      <c r="D643">
        <v>5.8342133051742358E-2</v>
      </c>
      <c r="E643">
        <v>44.38692884817214</v>
      </c>
      <c r="F643">
        <v>-7.7222898903775761E-2</v>
      </c>
      <c r="G643">
        <v>0.4</v>
      </c>
      <c r="H643">
        <v>-9.1744395607827642E-2</v>
      </c>
      <c r="I643">
        <v>2.7440950869918561</v>
      </c>
      <c r="J643">
        <v>-5.3473263368315822E-2</v>
      </c>
      <c r="K643">
        <v>-4.8719236564540358E-2</v>
      </c>
      <c r="L643">
        <v>0</v>
      </c>
      <c r="M643">
        <v>1079526408</v>
      </c>
      <c r="N643">
        <v>0</v>
      </c>
      <c r="O643" t="b">
        <v>1</v>
      </c>
    </row>
    <row r="644" spans="1:15" x14ac:dyDescent="0.3">
      <c r="A644" s="1" t="s">
        <v>748</v>
      </c>
      <c r="B644">
        <v>0.99748796359659431</v>
      </c>
      <c r="C644">
        <v>5.802722301318175E-2</v>
      </c>
      <c r="D644">
        <v>4.5956951716114171E-2</v>
      </c>
      <c r="E644">
        <v>62.986557503313897</v>
      </c>
      <c r="F644">
        <v>0.14481702241017641</v>
      </c>
      <c r="G644">
        <v>0.6</v>
      </c>
      <c r="H644">
        <v>0.16173269672700721</v>
      </c>
      <c r="I644">
        <v>1.9752388358306381</v>
      </c>
      <c r="J644">
        <v>-1.883561643835607E-2</v>
      </c>
      <c r="K644">
        <v>1.117647058823534E-2</v>
      </c>
      <c r="L644">
        <v>0</v>
      </c>
      <c r="M644">
        <v>134618373.78376999</v>
      </c>
      <c r="N644">
        <v>0</v>
      </c>
      <c r="O644" t="b">
        <v>1</v>
      </c>
    </row>
    <row r="645" spans="1:15" x14ac:dyDescent="0.3">
      <c r="A645" s="1" t="s">
        <v>749</v>
      </c>
      <c r="B645">
        <v>4.2008334252224078</v>
      </c>
      <c r="C645">
        <v>2.328363499181027E-2</v>
      </c>
      <c r="D645">
        <v>2.6660015519343772E-2</v>
      </c>
      <c r="E645">
        <v>52.445185265206618</v>
      </c>
      <c r="F645">
        <v>-2.1514415764702921E-3</v>
      </c>
      <c r="G645">
        <v>0.8</v>
      </c>
      <c r="H645">
        <v>-0.16740055035649121</v>
      </c>
      <c r="I645">
        <v>0.59342980502725118</v>
      </c>
      <c r="J645">
        <v>-1.8757920040898709E-2</v>
      </c>
      <c r="K645">
        <v>1.6107231358414079E-2</v>
      </c>
      <c r="L645">
        <v>0</v>
      </c>
      <c r="M645">
        <v>67260493.480500013</v>
      </c>
      <c r="N645">
        <v>0</v>
      </c>
      <c r="O645" t="b">
        <v>0</v>
      </c>
    </row>
    <row r="646" spans="1:15" x14ac:dyDescent="0.3">
      <c r="A646" s="1" t="s">
        <v>750</v>
      </c>
      <c r="B646">
        <v>0.17019983888941781</v>
      </c>
      <c r="C646">
        <v>1.7991526309663618E-2</v>
      </c>
      <c r="D646">
        <v>2.167019027484144E-2</v>
      </c>
      <c r="E646">
        <v>47.107876571933623</v>
      </c>
      <c r="F646">
        <v>-1.1494252873563199E-2</v>
      </c>
      <c r="G646">
        <v>0.4</v>
      </c>
      <c r="H646">
        <v>-8.6500071050049934E-2</v>
      </c>
      <c r="I646">
        <v>3.8453343557235613E-2</v>
      </c>
      <c r="J646">
        <v>-4.4444444444444398E-2</v>
      </c>
      <c r="K646">
        <v>1.6111707841031109E-2</v>
      </c>
      <c r="L646">
        <v>0</v>
      </c>
      <c r="M646">
        <v>100933834.5</v>
      </c>
      <c r="N646">
        <v>0</v>
      </c>
      <c r="O646" t="b">
        <v>1</v>
      </c>
    </row>
    <row r="647" spans="1:15" x14ac:dyDescent="0.3">
      <c r="A647" s="1" t="s">
        <v>751</v>
      </c>
      <c r="B647">
        <v>4.2401471748404749</v>
      </c>
      <c r="C647">
        <v>3.2245200839870668E-2</v>
      </c>
      <c r="D647">
        <v>4.7491577754625612E-2</v>
      </c>
      <c r="E647">
        <v>63.377352323945892</v>
      </c>
      <c r="F647">
        <v>1.2886677347794031E-2</v>
      </c>
      <c r="G647">
        <v>1</v>
      </c>
      <c r="H647">
        <v>-0.13820234371230619</v>
      </c>
      <c r="I647">
        <v>0.49333545540825802</v>
      </c>
      <c r="J647">
        <v>-1.8364101913300401E-2</v>
      </c>
      <c r="K647">
        <v>2.5797644122006469E-2</v>
      </c>
      <c r="L647">
        <v>0</v>
      </c>
      <c r="M647">
        <v>68511869.324999988</v>
      </c>
      <c r="N647">
        <v>0</v>
      </c>
      <c r="O647" t="b">
        <v>0</v>
      </c>
    </row>
    <row r="648" spans="1:15" x14ac:dyDescent="0.3">
      <c r="A648" s="1" t="s">
        <v>752</v>
      </c>
      <c r="B648">
        <v>5.3507310259844703</v>
      </c>
      <c r="C648">
        <v>1.972765190423062E-2</v>
      </c>
      <c r="D648">
        <v>1.563248903144936E-2</v>
      </c>
      <c r="E648">
        <v>48.271019526010143</v>
      </c>
      <c r="F648">
        <v>-1.1494839349233231E-2</v>
      </c>
      <c r="G648">
        <v>0.2</v>
      </c>
      <c r="H648">
        <v>-7.462927449208924E-2</v>
      </c>
      <c r="I648">
        <v>0.44129032050530242</v>
      </c>
      <c r="J648">
        <v>-5.0880078384714873E-2</v>
      </c>
      <c r="K648">
        <v>7.3537604456825889E-3</v>
      </c>
      <c r="L648">
        <v>0</v>
      </c>
      <c r="M648">
        <v>428588289.491</v>
      </c>
      <c r="N648">
        <v>0</v>
      </c>
      <c r="O648" t="b">
        <v>1</v>
      </c>
    </row>
    <row r="649" spans="1:15" x14ac:dyDescent="0.3">
      <c r="A649" s="1" t="s">
        <v>753</v>
      </c>
      <c r="B649">
        <v>0.52574505125191695</v>
      </c>
      <c r="C649">
        <v>1.7203699321070579E-2</v>
      </c>
      <c r="D649">
        <v>2.6505235602094321E-2</v>
      </c>
      <c r="E649">
        <v>55.98942437988002</v>
      </c>
      <c r="F649">
        <v>3.663500678426046E-2</v>
      </c>
      <c r="G649">
        <v>0.6</v>
      </c>
      <c r="H649">
        <v>-0.16257358817254669</v>
      </c>
      <c r="I649">
        <v>0.74874052807883629</v>
      </c>
      <c r="J649">
        <v>0</v>
      </c>
      <c r="K649">
        <v>2.5847599865726819E-2</v>
      </c>
      <c r="L649">
        <v>0</v>
      </c>
      <c r="M649">
        <v>29453353.606800001</v>
      </c>
      <c r="N649">
        <v>0</v>
      </c>
      <c r="O649" t="b">
        <v>0</v>
      </c>
    </row>
    <row r="650" spans="1:15" x14ac:dyDescent="0.3">
      <c r="A650" s="1" t="s">
        <v>754</v>
      </c>
      <c r="B650">
        <v>0.85438703213215927</v>
      </c>
      <c r="C650">
        <v>4.2676674931676289E-2</v>
      </c>
      <c r="D650">
        <v>5.2447552447552483E-2</v>
      </c>
      <c r="E650">
        <v>62.826535863960487</v>
      </c>
      <c r="F650">
        <v>0.14596451058958221</v>
      </c>
      <c r="G650">
        <v>0.8</v>
      </c>
      <c r="H650">
        <v>0.11076968125782991</v>
      </c>
      <c r="I650">
        <v>2.0307383573578219</v>
      </c>
      <c r="J650">
        <v>0</v>
      </c>
      <c r="K650">
        <v>1.3670886075949349E-2</v>
      </c>
      <c r="L650">
        <v>0</v>
      </c>
      <c r="M650">
        <v>75083837</v>
      </c>
      <c r="N650">
        <v>0</v>
      </c>
      <c r="O650" t="b">
        <v>0</v>
      </c>
    </row>
    <row r="651" spans="1:15" x14ac:dyDescent="0.3">
      <c r="A651" s="1" t="s">
        <v>755</v>
      </c>
      <c r="B651">
        <v>0.4040353118597842</v>
      </c>
      <c r="C651">
        <v>5.3993760772388637E-3</v>
      </c>
      <c r="D651">
        <v>2.9399973272751421E-3</v>
      </c>
      <c r="E651">
        <v>64.341321346379232</v>
      </c>
      <c r="F651">
        <v>7.1332436069986294E-3</v>
      </c>
      <c r="G651">
        <v>0.4</v>
      </c>
      <c r="H651">
        <v>7.564650126454979E-2</v>
      </c>
      <c r="I651">
        <v>9.598794924349982E-2</v>
      </c>
      <c r="J651">
        <v>-2.399680042661112E-3</v>
      </c>
      <c r="K651">
        <v>-8.011750567499254E-4</v>
      </c>
      <c r="L651">
        <v>0</v>
      </c>
      <c r="M651">
        <v>144422347</v>
      </c>
      <c r="N651">
        <v>0</v>
      </c>
      <c r="O651" t="b">
        <v>1</v>
      </c>
    </row>
    <row r="652" spans="1:15" x14ac:dyDescent="0.3">
      <c r="A652" s="1" t="s">
        <v>756</v>
      </c>
      <c r="B652">
        <v>3.229534410296877</v>
      </c>
      <c r="C652">
        <v>1.6815236958746621E-2</v>
      </c>
      <c r="D652">
        <v>1.343330209309582E-2</v>
      </c>
      <c r="E652">
        <v>47.797230830424667</v>
      </c>
      <c r="F652">
        <v>-1.4586743149156201E-2</v>
      </c>
      <c r="G652">
        <v>0.4</v>
      </c>
      <c r="H652">
        <v>-0.1074024669255836</v>
      </c>
      <c r="I652">
        <v>0.61914892094646046</v>
      </c>
      <c r="J652">
        <v>-4.1568940565896439E-2</v>
      </c>
      <c r="K652">
        <v>9.9384761003313837E-3</v>
      </c>
      <c r="L652">
        <v>0</v>
      </c>
      <c r="M652">
        <v>805090522.07149994</v>
      </c>
      <c r="N652">
        <v>0</v>
      </c>
      <c r="O652" t="b">
        <v>1</v>
      </c>
    </row>
    <row r="653" spans="1:15" x14ac:dyDescent="0.3">
      <c r="A653" s="1" t="s">
        <v>757</v>
      </c>
      <c r="B653">
        <v>7.703558418320811</v>
      </c>
      <c r="C653">
        <v>5.67857763402684E-2</v>
      </c>
      <c r="D653">
        <v>2.9706619489901231E-2</v>
      </c>
      <c r="E653">
        <v>55.859300504159073</v>
      </c>
      <c r="F653">
        <v>-1.619075654989643E-3</v>
      </c>
      <c r="G653">
        <v>0.4</v>
      </c>
      <c r="H653">
        <v>6.1750877108256073E-2</v>
      </c>
      <c r="I653">
        <v>4.0372134331198151</v>
      </c>
      <c r="J653">
        <v>-1.0358914502480389E-2</v>
      </c>
      <c r="K653">
        <v>-3.6843268734809698E-4</v>
      </c>
      <c r="L653">
        <v>0</v>
      </c>
      <c r="M653">
        <v>2698225972</v>
      </c>
      <c r="N653">
        <v>0</v>
      </c>
      <c r="O653" t="b">
        <v>1</v>
      </c>
    </row>
    <row r="654" spans="1:15" x14ac:dyDescent="0.3">
      <c r="A654" s="1" t="s">
        <v>758</v>
      </c>
      <c r="B654">
        <v>0.95766282509533651</v>
      </c>
      <c r="C654">
        <v>3.8140221637474069E-2</v>
      </c>
      <c r="D654">
        <v>3.2856744593571997E-2</v>
      </c>
      <c r="E654">
        <v>70.397258143016614</v>
      </c>
      <c r="F654">
        <v>5.7791146386262808E-2</v>
      </c>
      <c r="G654">
        <v>1</v>
      </c>
      <c r="H654">
        <v>-5.6089938980867678E-3</v>
      </c>
      <c r="I654">
        <v>2.056455073151366</v>
      </c>
      <c r="J654">
        <v>0</v>
      </c>
      <c r="K654">
        <v>1.978320113394982E-2</v>
      </c>
      <c r="L654">
        <v>0</v>
      </c>
      <c r="M654">
        <v>379481034.17229998</v>
      </c>
      <c r="N654">
        <v>0</v>
      </c>
      <c r="O654" t="b">
        <v>1</v>
      </c>
    </row>
    <row r="655" spans="1:15" x14ac:dyDescent="0.3">
      <c r="A655" s="1" t="s">
        <v>759</v>
      </c>
      <c r="B655">
        <v>0.76088283189121775</v>
      </c>
      <c r="C655">
        <v>3.0205749578849451E-2</v>
      </c>
      <c r="D655">
        <v>1.7653830885271969E-2</v>
      </c>
      <c r="E655">
        <v>52.508213674021732</v>
      </c>
      <c r="F655">
        <v>7.9064035466782645E-3</v>
      </c>
      <c r="G655">
        <v>0.8</v>
      </c>
      <c r="H655">
        <v>-0.1037055473581955</v>
      </c>
      <c r="I655">
        <v>1.4921561892119961</v>
      </c>
      <c r="J655">
        <v>-1.621161409250493E-2</v>
      </c>
      <c r="K655">
        <v>4.3339061372418266E-3</v>
      </c>
      <c r="L655">
        <v>0</v>
      </c>
      <c r="M655">
        <v>226730030.79275</v>
      </c>
      <c r="N655">
        <v>0</v>
      </c>
      <c r="O655" t="b">
        <v>1</v>
      </c>
    </row>
    <row r="656" spans="1:15" x14ac:dyDescent="0.3">
      <c r="A656" s="1" t="s">
        <v>760</v>
      </c>
      <c r="B656">
        <v>3.6331525136360212</v>
      </c>
      <c r="C656">
        <v>3.795207890563064E-2</v>
      </c>
      <c r="D656">
        <v>4.4395696228977329E-2</v>
      </c>
      <c r="E656">
        <v>44.946885862884074</v>
      </c>
      <c r="F656">
        <v>-4.106981869177595E-2</v>
      </c>
      <c r="G656">
        <v>0.4</v>
      </c>
      <c r="H656">
        <v>-9.2473625244589015E-4</v>
      </c>
      <c r="I656">
        <v>1.1705817626347359</v>
      </c>
      <c r="J656">
        <v>-9.2090288315629709E-2</v>
      </c>
      <c r="K656">
        <v>2.648509543212518E-2</v>
      </c>
      <c r="L656">
        <v>0</v>
      </c>
      <c r="M656">
        <v>84894433</v>
      </c>
      <c r="N656">
        <v>0</v>
      </c>
      <c r="O656" t="b">
        <v>0</v>
      </c>
    </row>
    <row r="657" spans="1:15" x14ac:dyDescent="0.3">
      <c r="A657" s="1" t="s">
        <v>761</v>
      </c>
      <c r="B657">
        <v>0.53242671108426931</v>
      </c>
      <c r="C657">
        <v>2.2713868718559651E-2</v>
      </c>
      <c r="D657">
        <v>1.685110449391225E-2</v>
      </c>
      <c r="E657">
        <v>58.125361927000263</v>
      </c>
      <c r="F657">
        <v>7.1785867785977509E-2</v>
      </c>
      <c r="G657">
        <v>0.6</v>
      </c>
      <c r="H657">
        <v>-8.5399510542827975E-2</v>
      </c>
      <c r="I657">
        <v>-2.892566064403004E-2</v>
      </c>
      <c r="J657">
        <v>-2.4649440352848221E-2</v>
      </c>
      <c r="K657">
        <v>4.6545516886677962E-3</v>
      </c>
      <c r="L657">
        <v>0</v>
      </c>
      <c r="M657">
        <v>88241051.227050006</v>
      </c>
      <c r="N657">
        <v>0</v>
      </c>
      <c r="O657" t="b">
        <v>0</v>
      </c>
    </row>
    <row r="658" spans="1:15" x14ac:dyDescent="0.3">
      <c r="A658" s="1" t="s">
        <v>762</v>
      </c>
      <c r="B658">
        <v>1.1293984238423851</v>
      </c>
      <c r="C658">
        <v>1.5245659069146669E-2</v>
      </c>
      <c r="D658">
        <v>4.8191144708423228E-2</v>
      </c>
      <c r="E658">
        <v>66.771864829143624</v>
      </c>
      <c r="F658">
        <v>2.8317601332592979E-2</v>
      </c>
      <c r="G658">
        <v>0.4</v>
      </c>
      <c r="H658">
        <v>3.9686169025296668E-2</v>
      </c>
      <c r="I658">
        <v>0.819776301491421</v>
      </c>
      <c r="J658">
        <v>0</v>
      </c>
      <c r="K658">
        <v>4.6475490888543407E-2</v>
      </c>
      <c r="L658">
        <v>0</v>
      </c>
      <c r="M658">
        <v>88966817.835199997</v>
      </c>
      <c r="N658">
        <v>0</v>
      </c>
      <c r="O658" t="b">
        <v>0</v>
      </c>
    </row>
    <row r="659" spans="1:15" x14ac:dyDescent="0.3">
      <c r="A659" s="1" t="s">
        <v>763</v>
      </c>
      <c r="B659">
        <v>1.670215416938287</v>
      </c>
      <c r="C659">
        <v>2.2011273285955289E-2</v>
      </c>
      <c r="D659">
        <v>2.583025830258295E-2</v>
      </c>
      <c r="E659">
        <v>64.95522657399458</v>
      </c>
      <c r="F659">
        <v>3.9452054794520519E-2</v>
      </c>
      <c r="G659">
        <v>0.8</v>
      </c>
      <c r="H659">
        <v>3.8815486219972523E-2</v>
      </c>
      <c r="I659">
        <v>0.2479297120654419</v>
      </c>
      <c r="J659">
        <v>0</v>
      </c>
      <c r="K659">
        <v>1.9344438473938741E-2</v>
      </c>
      <c r="L659">
        <v>0</v>
      </c>
      <c r="M659">
        <v>102103260.5</v>
      </c>
      <c r="N659">
        <v>0</v>
      </c>
      <c r="O659" t="b">
        <v>1</v>
      </c>
    </row>
    <row r="660" spans="1:15" x14ac:dyDescent="0.3">
      <c r="A660" s="1" t="s">
        <v>764</v>
      </c>
      <c r="B660">
        <v>0.39869419040672072</v>
      </c>
      <c r="C660">
        <v>2.2797115319903059E-2</v>
      </c>
      <c r="D660">
        <v>3.4210466126892741E-2</v>
      </c>
      <c r="E660">
        <v>58.723961440287063</v>
      </c>
      <c r="F660">
        <v>-1.9251798722528472E-2</v>
      </c>
      <c r="G660">
        <v>0.6</v>
      </c>
      <c r="H660">
        <v>-2.0879573315536051E-2</v>
      </c>
      <c r="I660">
        <v>0.65040129831516236</v>
      </c>
      <c r="J660">
        <v>-1.273540170708576E-2</v>
      </c>
      <c r="K660">
        <v>2.1774820198526609E-2</v>
      </c>
      <c r="L660">
        <v>0</v>
      </c>
      <c r="M660">
        <v>131338484.75364999</v>
      </c>
      <c r="N660">
        <v>0</v>
      </c>
      <c r="O660" t="b">
        <v>1</v>
      </c>
    </row>
    <row r="661" spans="1:15" x14ac:dyDescent="0.3">
      <c r="A661" s="1" t="s">
        <v>765</v>
      </c>
      <c r="B661">
        <v>3.952162394072944</v>
      </c>
      <c r="C661">
        <v>2.2093313548217811E-2</v>
      </c>
      <c r="D661">
        <v>1.427173882662044E-2</v>
      </c>
      <c r="E661">
        <v>48.092021389837058</v>
      </c>
      <c r="F661">
        <v>7.4223089626182182E-2</v>
      </c>
      <c r="G661">
        <v>0.4</v>
      </c>
      <c r="H661">
        <v>-5.9039297154518562E-2</v>
      </c>
      <c r="I661">
        <v>0.1443119840552797</v>
      </c>
      <c r="J661">
        <v>-4.3252465609823987E-2</v>
      </c>
      <c r="K661">
        <v>7.1559674349994662E-3</v>
      </c>
      <c r="L661">
        <v>0</v>
      </c>
      <c r="M661">
        <v>271221238.17900002</v>
      </c>
      <c r="N661">
        <v>0</v>
      </c>
      <c r="O661" t="b">
        <v>1</v>
      </c>
    </row>
    <row r="662" spans="1:15" x14ac:dyDescent="0.3">
      <c r="A662" s="1" t="s">
        <v>766</v>
      </c>
      <c r="B662">
        <v>1.387944726854657</v>
      </c>
      <c r="C662">
        <v>2.8523319499684702E-2</v>
      </c>
      <c r="D662">
        <v>5.3842992190711009E-2</v>
      </c>
      <c r="E662">
        <v>73.084402771372197</v>
      </c>
      <c r="F662">
        <v>9.0786819098856775E-2</v>
      </c>
      <c r="G662">
        <v>0.6</v>
      </c>
      <c r="H662">
        <v>0.21472173612552059</v>
      </c>
      <c r="I662">
        <v>0.57028113789000934</v>
      </c>
      <c r="J662">
        <v>0</v>
      </c>
      <c r="K662">
        <v>2.485256950294867E-2</v>
      </c>
      <c r="L662">
        <v>0</v>
      </c>
      <c r="M662">
        <v>58479074.382449999</v>
      </c>
      <c r="N662">
        <v>0</v>
      </c>
      <c r="O662" t="b">
        <v>0</v>
      </c>
    </row>
    <row r="663" spans="1:15" x14ac:dyDescent="0.3">
      <c r="A663" s="1" t="s">
        <v>767</v>
      </c>
      <c r="B663">
        <v>11.29570829352186</v>
      </c>
      <c r="C663">
        <v>2.5203508174219871E-2</v>
      </c>
      <c r="D663">
        <v>2.7176580838056151E-2</v>
      </c>
      <c r="E663">
        <v>59.44039786668187</v>
      </c>
      <c r="F663">
        <v>-2.7277383732539181E-2</v>
      </c>
      <c r="G663">
        <v>0.8</v>
      </c>
      <c r="H663">
        <v>-4.806819839820315E-2</v>
      </c>
      <c r="I663">
        <v>1.3196773612121819</v>
      </c>
      <c r="J663">
        <v>-7.3510683301624136E-3</v>
      </c>
      <c r="K663">
        <v>2.1609300205151619E-2</v>
      </c>
      <c r="L663">
        <v>0</v>
      </c>
      <c r="M663">
        <v>212583768.51350001</v>
      </c>
      <c r="N663">
        <v>0</v>
      </c>
      <c r="O663" t="b">
        <v>1</v>
      </c>
    </row>
    <row r="664" spans="1:15" x14ac:dyDescent="0.3">
      <c r="A664" s="1" t="s">
        <v>768</v>
      </c>
      <c r="B664">
        <v>14.733846405833891</v>
      </c>
      <c r="C664">
        <v>3.7541331581608502E-2</v>
      </c>
      <c r="D664">
        <v>2.7492547201060001E-2</v>
      </c>
      <c r="E664">
        <v>49.639378007891303</v>
      </c>
      <c r="F664">
        <v>1.5840559078555749E-2</v>
      </c>
      <c r="G664">
        <v>1</v>
      </c>
      <c r="H664">
        <v>-0.13119437182274021</v>
      </c>
      <c r="I664">
        <v>1.414872421218619</v>
      </c>
      <c r="J664">
        <v>-9.8143102230295876E-3</v>
      </c>
      <c r="K664">
        <v>1.728875064800417E-2</v>
      </c>
      <c r="L664">
        <v>0</v>
      </c>
      <c r="M664">
        <v>363210374</v>
      </c>
      <c r="N664">
        <v>0</v>
      </c>
      <c r="O664" t="b">
        <v>1</v>
      </c>
    </row>
    <row r="665" spans="1:15" x14ac:dyDescent="0.3">
      <c r="A665" s="1" t="s">
        <v>769</v>
      </c>
      <c r="B665">
        <v>9.1412356769949845</v>
      </c>
      <c r="C665">
        <v>3.5738105890106439E-2</v>
      </c>
      <c r="D665">
        <v>3.627279266881428E-2</v>
      </c>
      <c r="E665">
        <v>54.072735244816421</v>
      </c>
      <c r="F665">
        <v>7.6504802067287825E-2</v>
      </c>
      <c r="G665">
        <v>0.4</v>
      </c>
      <c r="H665">
        <v>-5.7310627056989097E-2</v>
      </c>
      <c r="I665">
        <v>0.84434376800179367</v>
      </c>
      <c r="J665">
        <v>-4.6153247460793967E-3</v>
      </c>
      <c r="K665">
        <v>2.504257919730701E-2</v>
      </c>
      <c r="L665">
        <v>0</v>
      </c>
      <c r="M665">
        <v>391647434.58099997</v>
      </c>
      <c r="N665">
        <v>0</v>
      </c>
      <c r="O665" t="b">
        <v>1</v>
      </c>
    </row>
    <row r="666" spans="1:15" x14ac:dyDescent="0.3">
      <c r="A666" s="1" t="s">
        <v>770</v>
      </c>
      <c r="B666">
        <v>5.417894692378237</v>
      </c>
      <c r="C666">
        <v>2.8177109904193039E-2</v>
      </c>
      <c r="D666">
        <v>2.1052631578947229E-2</v>
      </c>
      <c r="E666">
        <v>41.440769745947719</v>
      </c>
      <c r="F666">
        <v>-8.2721114397481199E-2</v>
      </c>
      <c r="G666">
        <v>0.6</v>
      </c>
      <c r="H666">
        <v>3.1525418959683139E-3</v>
      </c>
      <c r="I666">
        <v>1.087709906244448</v>
      </c>
      <c r="J666">
        <v>-7.9030558482613311E-2</v>
      </c>
      <c r="K666">
        <v>5.3856209150326961E-3</v>
      </c>
      <c r="L666">
        <v>0</v>
      </c>
      <c r="M666">
        <v>391051618.47649997</v>
      </c>
      <c r="N666">
        <v>0</v>
      </c>
      <c r="O666" t="b">
        <v>1</v>
      </c>
    </row>
    <row r="667" spans="1:15" x14ac:dyDescent="0.3">
      <c r="A667" s="1" t="s">
        <v>771</v>
      </c>
      <c r="B667">
        <v>0.2339701601903047</v>
      </c>
      <c r="C667">
        <v>2.9263096304162979E-3</v>
      </c>
      <c r="D667">
        <v>4.5826350151336867E-3</v>
      </c>
      <c r="E667">
        <v>61.918939814102991</v>
      </c>
      <c r="F667">
        <v>6.2714191681654263E-3</v>
      </c>
      <c r="G667">
        <v>0.4</v>
      </c>
      <c r="H667">
        <v>-9.8976827623917532E-2</v>
      </c>
      <c r="I667">
        <v>0.21701428197307851</v>
      </c>
      <c r="J667">
        <v>-2.4758108280464869E-4</v>
      </c>
      <c r="K667">
        <v>3.3556457421950459E-3</v>
      </c>
      <c r="L667">
        <v>0</v>
      </c>
      <c r="M667">
        <v>2820912233.6705499</v>
      </c>
      <c r="N667">
        <v>0</v>
      </c>
      <c r="O667" t="b">
        <v>1</v>
      </c>
    </row>
    <row r="668" spans="1:15" x14ac:dyDescent="0.3">
      <c r="A668" s="1" t="s">
        <v>772</v>
      </c>
      <c r="B668">
        <v>0.69134884320836687</v>
      </c>
      <c r="C668">
        <v>4.4718553894460993E-2</v>
      </c>
      <c r="D668">
        <v>4.7865459249676598E-2</v>
      </c>
      <c r="E668">
        <v>64.084843926140252</v>
      </c>
      <c r="F668">
        <v>0.16240601503759389</v>
      </c>
      <c r="G668">
        <v>0.8</v>
      </c>
      <c r="H668">
        <v>0.1508746146843738</v>
      </c>
      <c r="I668">
        <v>1.986093031336144</v>
      </c>
      <c r="J668">
        <v>-5.1480051480050637E-3</v>
      </c>
      <c r="K668">
        <v>1.8445322793148922E-2</v>
      </c>
      <c r="L668">
        <v>0</v>
      </c>
      <c r="M668">
        <v>98338658.5</v>
      </c>
      <c r="N668">
        <v>0</v>
      </c>
      <c r="O668" t="b">
        <v>1</v>
      </c>
    </row>
    <row r="669" spans="1:15" x14ac:dyDescent="0.3">
      <c r="A669" s="1" t="s">
        <v>773</v>
      </c>
      <c r="B669">
        <v>8.7208865719517928E-2</v>
      </c>
      <c r="C669">
        <v>1.7505141757064161E-3</v>
      </c>
      <c r="D669">
        <v>1.943033782291932E-3</v>
      </c>
      <c r="E669">
        <v>36.771705798458548</v>
      </c>
      <c r="F669">
        <v>-4.6412380897198346E-3</v>
      </c>
      <c r="G669">
        <v>0</v>
      </c>
      <c r="H669">
        <v>-9.5333147158639345E-2</v>
      </c>
      <c r="I669">
        <v>-7.1539514909724341E-3</v>
      </c>
      <c r="J669">
        <v>-6.3723485943935074E-3</v>
      </c>
      <c r="K669">
        <v>0</v>
      </c>
      <c r="L669">
        <v>0</v>
      </c>
      <c r="M669">
        <v>32832037.69805</v>
      </c>
      <c r="N669">
        <v>0</v>
      </c>
      <c r="O669" t="b">
        <v>0</v>
      </c>
    </row>
    <row r="670" spans="1:15" x14ac:dyDescent="0.3">
      <c r="A670" s="1" t="s">
        <v>774</v>
      </c>
      <c r="B670">
        <v>1.079774845626768</v>
      </c>
      <c r="C670">
        <v>1.355309207514457E-2</v>
      </c>
      <c r="D670">
        <v>1.330488264089354E-2</v>
      </c>
      <c r="E670">
        <v>62.798880275949983</v>
      </c>
      <c r="F670">
        <v>2.8398089583064449E-2</v>
      </c>
      <c r="G670">
        <v>0.6</v>
      </c>
      <c r="H670">
        <v>0.11467566373673729</v>
      </c>
      <c r="I670">
        <v>0.34799262418263199</v>
      </c>
      <c r="J670">
        <v>-1.75416614459345E-3</v>
      </c>
      <c r="K670">
        <v>4.1593143433324986E-3</v>
      </c>
      <c r="L670">
        <v>0</v>
      </c>
      <c r="M670">
        <v>468321339</v>
      </c>
      <c r="N670">
        <v>0</v>
      </c>
      <c r="O670" t="b">
        <v>1</v>
      </c>
    </row>
    <row r="671" spans="1:15" x14ac:dyDescent="0.3">
      <c r="A671" s="1" t="s">
        <v>775</v>
      </c>
      <c r="B671">
        <v>0.56890982522684652</v>
      </c>
      <c r="C671">
        <v>1.349406606325537E-2</v>
      </c>
      <c r="D671">
        <v>1.351992409867173E-2</v>
      </c>
      <c r="E671">
        <v>62.8829591869045</v>
      </c>
      <c r="F671">
        <v>2.8543547206635541E-2</v>
      </c>
      <c r="G671">
        <v>0.6</v>
      </c>
      <c r="H671">
        <v>0.1150061276065554</v>
      </c>
      <c r="I671">
        <v>0.34635061197776751</v>
      </c>
      <c r="J671">
        <v>-1.657589391427905E-3</v>
      </c>
      <c r="K671">
        <v>3.8095238095237072E-3</v>
      </c>
      <c r="L671">
        <v>0</v>
      </c>
      <c r="M671">
        <v>71879190.5</v>
      </c>
      <c r="N671">
        <v>0</v>
      </c>
      <c r="O671" t="b">
        <v>0</v>
      </c>
    </row>
    <row r="672" spans="1:15" x14ac:dyDescent="0.3">
      <c r="A672" s="1" t="s">
        <v>776</v>
      </c>
      <c r="B672">
        <v>2.9446611606610089</v>
      </c>
      <c r="C672">
        <v>1.7450154139990692E-2</v>
      </c>
      <c r="D672">
        <v>1.4619519161822209E-2</v>
      </c>
      <c r="E672">
        <v>56.777337344287417</v>
      </c>
      <c r="F672">
        <v>5.8851212288539838E-2</v>
      </c>
      <c r="G672">
        <v>0.2</v>
      </c>
      <c r="H672">
        <v>0.1931874447821052</v>
      </c>
      <c r="I672">
        <v>0.75200868959957357</v>
      </c>
      <c r="J672">
        <v>-2.8190184402391068E-2</v>
      </c>
      <c r="K672">
        <v>1.1011988568621289E-2</v>
      </c>
      <c r="L672">
        <v>0</v>
      </c>
      <c r="M672">
        <v>219293875.4355</v>
      </c>
      <c r="N672">
        <v>0</v>
      </c>
      <c r="O672" t="b">
        <v>1</v>
      </c>
    </row>
    <row r="673" spans="1:15" x14ac:dyDescent="0.3">
      <c r="A673" s="1" t="s">
        <v>777</v>
      </c>
      <c r="B673">
        <v>2.2894083306467379</v>
      </c>
      <c r="C673">
        <v>4.3616085552424043E-2</v>
      </c>
      <c r="D673">
        <v>3.2387121356448903E-2</v>
      </c>
      <c r="E673">
        <v>46.156846172052752</v>
      </c>
      <c r="F673">
        <v>-0.12792822728027911</v>
      </c>
      <c r="G673">
        <v>0.4</v>
      </c>
      <c r="H673">
        <v>-0.14776640325551371</v>
      </c>
      <c r="I673">
        <v>1.850087614698289</v>
      </c>
      <c r="J673">
        <v>-0.10042844901456729</v>
      </c>
      <c r="K673">
        <v>-6.8117313150425352E-3</v>
      </c>
      <c r="L673">
        <v>0</v>
      </c>
      <c r="M673">
        <v>2609332279</v>
      </c>
      <c r="N673">
        <v>0</v>
      </c>
      <c r="O673" t="b">
        <v>1</v>
      </c>
    </row>
    <row r="674" spans="1:15" x14ac:dyDescent="0.3">
      <c r="A674" s="1" t="s">
        <v>778</v>
      </c>
      <c r="B674">
        <v>2.1184016523578042</v>
      </c>
      <c r="C674">
        <v>3.177443606356388E-2</v>
      </c>
      <c r="D674">
        <v>2.6248687565621719E-2</v>
      </c>
      <c r="E674">
        <v>52.999744435681848</v>
      </c>
      <c r="F674">
        <v>-6.1547665130027851E-2</v>
      </c>
      <c r="G674">
        <v>0.6</v>
      </c>
      <c r="H674">
        <v>1.6752429762447861E-2</v>
      </c>
      <c r="I674">
        <v>1.9410462597273159</v>
      </c>
      <c r="J674">
        <v>-8.1813236377658916E-2</v>
      </c>
      <c r="K674">
        <v>1.6931055521659522E-2</v>
      </c>
      <c r="L674">
        <v>0</v>
      </c>
      <c r="M674">
        <v>291355997.33265001</v>
      </c>
      <c r="N674">
        <v>0</v>
      </c>
      <c r="O674" t="b">
        <v>1</v>
      </c>
    </row>
    <row r="675" spans="1:15" x14ac:dyDescent="0.3">
      <c r="A675" s="1" t="s">
        <v>779</v>
      </c>
      <c r="B675">
        <v>7.6989757273347603</v>
      </c>
      <c r="C675">
        <v>2.4763750461840289E-2</v>
      </c>
      <c r="D675">
        <v>2.5712695844604571E-2</v>
      </c>
      <c r="E675">
        <v>61.480732534253697</v>
      </c>
      <c r="F675">
        <v>1.144844458614469E-2</v>
      </c>
      <c r="G675">
        <v>0.8</v>
      </c>
      <c r="H675">
        <v>0.155971184874236</v>
      </c>
      <c r="I675">
        <v>1.0135570705084931</v>
      </c>
      <c r="J675">
        <v>-7.3341124031751637E-3</v>
      </c>
      <c r="K675">
        <v>7.051697330914708E-3</v>
      </c>
      <c r="L675">
        <v>0</v>
      </c>
      <c r="M675">
        <v>1038075952.21</v>
      </c>
      <c r="N675">
        <v>0</v>
      </c>
      <c r="O675" t="b">
        <v>1</v>
      </c>
    </row>
    <row r="676" spans="1:15" x14ac:dyDescent="0.3">
      <c r="A676" s="1" t="s">
        <v>780</v>
      </c>
      <c r="B676">
        <v>0.38383588373713218</v>
      </c>
      <c r="C676">
        <v>1.265114976061741E-2</v>
      </c>
      <c r="D676">
        <v>8.2399472643375077E-3</v>
      </c>
      <c r="E676">
        <v>42.031969865864781</v>
      </c>
      <c r="F676">
        <v>-3.2948929159803958E-4</v>
      </c>
      <c r="G676">
        <v>0.2</v>
      </c>
      <c r="H676">
        <v>-0.1018010856911773</v>
      </c>
      <c r="I676">
        <v>-0.1659922159981875</v>
      </c>
      <c r="J676">
        <v>-2.8498238872878608E-2</v>
      </c>
      <c r="K676">
        <v>-9.8781692459670722E-4</v>
      </c>
      <c r="L676">
        <v>0</v>
      </c>
      <c r="M676">
        <v>132213561.99600001</v>
      </c>
      <c r="N676">
        <v>0</v>
      </c>
      <c r="O676" t="b">
        <v>1</v>
      </c>
    </row>
    <row r="677" spans="1:15" x14ac:dyDescent="0.3">
      <c r="A677" s="1" t="s">
        <v>781</v>
      </c>
      <c r="B677">
        <v>10.259708189185501</v>
      </c>
      <c r="C677">
        <v>3.6228422780012003E-2</v>
      </c>
      <c r="D677">
        <v>7.2889704973604752E-2</v>
      </c>
      <c r="E677">
        <v>67.192166736651018</v>
      </c>
      <c r="F677">
        <v>0.1011976513590231</v>
      </c>
      <c r="G677">
        <v>0.2</v>
      </c>
      <c r="H677">
        <v>6.1099280939470374E-3</v>
      </c>
      <c r="I677">
        <v>0.90624597620070058</v>
      </c>
      <c r="J677">
        <v>0</v>
      </c>
      <c r="K677">
        <v>6.6330545713328082E-2</v>
      </c>
      <c r="L677">
        <v>0</v>
      </c>
      <c r="M677">
        <v>72794379.291500002</v>
      </c>
      <c r="N677">
        <v>1</v>
      </c>
      <c r="O677" t="b">
        <v>0</v>
      </c>
    </row>
    <row r="678" spans="1:15" x14ac:dyDescent="0.3">
      <c r="A678" s="1" t="s">
        <v>782</v>
      </c>
      <c r="B678">
        <v>2.6274294945439052</v>
      </c>
      <c r="C678">
        <v>1.6431395874648411E-2</v>
      </c>
      <c r="D678">
        <v>2.4002051243566379E-2</v>
      </c>
      <c r="E678">
        <v>61.336446139857387</v>
      </c>
      <c r="F678">
        <v>7.2778504578846714E-2</v>
      </c>
      <c r="G678">
        <v>0.6</v>
      </c>
      <c r="H678">
        <v>-0.16123179543183469</v>
      </c>
      <c r="I678">
        <v>0.34488811264479968</v>
      </c>
      <c r="J678">
        <v>0</v>
      </c>
      <c r="K678">
        <v>1.499936524057377E-2</v>
      </c>
      <c r="L678">
        <v>0</v>
      </c>
      <c r="M678">
        <v>487894308.63</v>
      </c>
      <c r="N678">
        <v>0</v>
      </c>
      <c r="O678" t="b">
        <v>1</v>
      </c>
    </row>
    <row r="679" spans="1:15" x14ac:dyDescent="0.3">
      <c r="A679" s="1" t="s">
        <v>783</v>
      </c>
      <c r="B679">
        <v>0.15019808973382801</v>
      </c>
      <c r="C679">
        <v>3.028187293020726E-2</v>
      </c>
      <c r="D679">
        <v>3.2258064516129059E-2</v>
      </c>
      <c r="E679">
        <v>27.701315486868442</v>
      </c>
      <c r="F679">
        <v>-0.12982456140350879</v>
      </c>
      <c r="G679">
        <v>0</v>
      </c>
      <c r="H679">
        <v>-0.13806790180712311</v>
      </c>
      <c r="I679">
        <v>1.603360279800331</v>
      </c>
      <c r="J679">
        <v>-0.1236749116607774</v>
      </c>
      <c r="K679">
        <v>-1.5873015873015931E-2</v>
      </c>
      <c r="L679">
        <v>0</v>
      </c>
      <c r="M679">
        <v>4284128.392395</v>
      </c>
      <c r="N679">
        <v>0</v>
      </c>
      <c r="O679" t="b">
        <v>0</v>
      </c>
    </row>
    <row r="680" spans="1:15" x14ac:dyDescent="0.3">
      <c r="A680" s="1" t="s">
        <v>784</v>
      </c>
      <c r="B680">
        <v>7.6457856746962536</v>
      </c>
      <c r="C680">
        <v>4.1137338183020837E-2</v>
      </c>
      <c r="D680">
        <v>3.1905735499838467E-2</v>
      </c>
      <c r="E680">
        <v>60.841656632646313</v>
      </c>
      <c r="F680">
        <v>0.17871638762049741</v>
      </c>
      <c r="G680">
        <v>0.4</v>
      </c>
      <c r="H680">
        <v>2.0500115273322499E-2</v>
      </c>
      <c r="I680">
        <v>1.050644848223677</v>
      </c>
      <c r="J680">
        <v>-1.0224731068271259E-2</v>
      </c>
      <c r="K680">
        <v>2.5208229907882629E-2</v>
      </c>
      <c r="L680">
        <v>0</v>
      </c>
      <c r="M680">
        <v>178582897.5</v>
      </c>
      <c r="N680">
        <v>0</v>
      </c>
      <c r="O680" t="b">
        <v>1</v>
      </c>
    </row>
    <row r="681" spans="1:15" x14ac:dyDescent="0.3">
      <c r="A681" s="1" t="s">
        <v>785</v>
      </c>
      <c r="B681">
        <v>1.9370623008702868E-2</v>
      </c>
      <c r="C681">
        <v>3.853983683013147E-4</v>
      </c>
      <c r="D681">
        <v>5.9290149677787096E-4</v>
      </c>
      <c r="E681">
        <v>82.139586983181673</v>
      </c>
      <c r="F681">
        <v>3.3417242418738451E-3</v>
      </c>
      <c r="G681">
        <v>0.4</v>
      </c>
      <c r="H681">
        <v>-8.0378638715688178E-2</v>
      </c>
      <c r="I681">
        <v>-6.7932359248733937E-4</v>
      </c>
      <c r="J681">
        <v>0</v>
      </c>
      <c r="K681">
        <v>5.9325323751036052E-4</v>
      </c>
      <c r="L681">
        <v>0</v>
      </c>
      <c r="M681">
        <v>57975112.676100001</v>
      </c>
      <c r="N681">
        <v>0</v>
      </c>
      <c r="O681" t="b">
        <v>0</v>
      </c>
    </row>
    <row r="682" spans="1:15" x14ac:dyDescent="0.3">
      <c r="A682" s="1" t="s">
        <v>786</v>
      </c>
      <c r="B682">
        <v>2.166255156538214</v>
      </c>
      <c r="C682">
        <v>1.733919634797744E-2</v>
      </c>
      <c r="D682">
        <v>1.009332927785879E-2</v>
      </c>
      <c r="E682">
        <v>40.046094365267727</v>
      </c>
      <c r="F682">
        <v>-2.3602232052143731E-2</v>
      </c>
      <c r="G682">
        <v>0.6</v>
      </c>
      <c r="H682">
        <v>-6.5161086023762749E-2</v>
      </c>
      <c r="I682">
        <v>0.33186689244113532</v>
      </c>
      <c r="J682">
        <v>-4.5686132223198173E-2</v>
      </c>
      <c r="K682">
        <v>5.5940566166823302E-3</v>
      </c>
      <c r="L682">
        <v>0</v>
      </c>
      <c r="M682">
        <v>44709643.138999999</v>
      </c>
      <c r="N682">
        <v>0</v>
      </c>
      <c r="O682" t="b">
        <v>0</v>
      </c>
    </row>
    <row r="683" spans="1:15" x14ac:dyDescent="0.3">
      <c r="A683" s="1" t="s">
        <v>787</v>
      </c>
      <c r="B683">
        <v>14.169772495625031</v>
      </c>
      <c r="C683">
        <v>3.9461544554734718E-2</v>
      </c>
      <c r="D683">
        <v>3.5039740669158367E-2</v>
      </c>
      <c r="E683">
        <v>53.326779492556568</v>
      </c>
      <c r="F683">
        <v>-1.402580000329501E-2</v>
      </c>
      <c r="G683">
        <v>0.8</v>
      </c>
      <c r="H683">
        <v>4.8374595185278722E-2</v>
      </c>
      <c r="I683">
        <v>1.36933432307206</v>
      </c>
      <c r="J683">
        <v>-3.1617952438228618E-2</v>
      </c>
      <c r="K683">
        <v>-8.8412033752806041E-3</v>
      </c>
      <c r="L683">
        <v>0</v>
      </c>
      <c r="M683">
        <v>72281702.631000012</v>
      </c>
      <c r="N683">
        <v>0</v>
      </c>
      <c r="O683" t="b">
        <v>0</v>
      </c>
    </row>
    <row r="684" spans="1:15" x14ac:dyDescent="0.3">
      <c r="A684" s="1" t="s">
        <v>788</v>
      </c>
      <c r="B684">
        <v>0.7068307624051352</v>
      </c>
      <c r="C684">
        <v>8.6866047079291343E-3</v>
      </c>
      <c r="D684">
        <v>1.2728246950357821E-2</v>
      </c>
      <c r="E684">
        <v>63.343837170457157</v>
      </c>
      <c r="F684">
        <v>1.9056063600363601E-2</v>
      </c>
      <c r="G684">
        <v>0.4</v>
      </c>
      <c r="H684">
        <v>-4.2541346460569493E-2</v>
      </c>
      <c r="I684">
        <v>0.73350179626647838</v>
      </c>
      <c r="J684">
        <v>0</v>
      </c>
      <c r="K684">
        <v>1.122447711484198E-2</v>
      </c>
      <c r="L684">
        <v>0</v>
      </c>
      <c r="M684">
        <v>82265262.506300002</v>
      </c>
      <c r="N684">
        <v>0</v>
      </c>
      <c r="O684" t="b">
        <v>0</v>
      </c>
    </row>
    <row r="685" spans="1:15" x14ac:dyDescent="0.3">
      <c r="A685" s="1" t="s">
        <v>789</v>
      </c>
      <c r="B685">
        <v>0.30739596141178288</v>
      </c>
      <c r="C685">
        <v>7.9374283172064953E-3</v>
      </c>
      <c r="D685">
        <v>9.9180425228650414E-3</v>
      </c>
      <c r="E685">
        <v>70.737507195291059</v>
      </c>
      <c r="F685">
        <v>3.392174451634955E-2</v>
      </c>
      <c r="G685">
        <v>0.6</v>
      </c>
      <c r="H685">
        <v>5.7355273418824272E-2</v>
      </c>
      <c r="I685">
        <v>0.47665775323599729</v>
      </c>
      <c r="J685">
        <v>0</v>
      </c>
      <c r="K685">
        <v>9.2409206521286702E-3</v>
      </c>
      <c r="L685">
        <v>0</v>
      </c>
      <c r="M685">
        <v>22963525.190549999</v>
      </c>
      <c r="N685">
        <v>0</v>
      </c>
      <c r="O685" t="b">
        <v>0</v>
      </c>
    </row>
    <row r="686" spans="1:15" x14ac:dyDescent="0.3">
      <c r="A686" s="1" t="s">
        <v>790</v>
      </c>
      <c r="B686">
        <v>19.206734410308279</v>
      </c>
      <c r="C686">
        <v>2.7366647778391168E-2</v>
      </c>
      <c r="D686">
        <v>1.9577390536169741E-2</v>
      </c>
      <c r="E686">
        <v>48.47170297609258</v>
      </c>
      <c r="F686">
        <v>-1.093589255767413E-2</v>
      </c>
      <c r="G686">
        <v>0.2</v>
      </c>
      <c r="H686">
        <v>3.6257961315845112E-2</v>
      </c>
      <c r="I686">
        <v>1.1226877021478481</v>
      </c>
      <c r="J686">
        <v>-8.4585485469817812E-2</v>
      </c>
      <c r="K686">
        <v>3.9624638800677134E-3</v>
      </c>
      <c r="L686">
        <v>0</v>
      </c>
      <c r="M686">
        <v>286616970</v>
      </c>
      <c r="N686">
        <v>1</v>
      </c>
      <c r="O686" t="b">
        <v>1</v>
      </c>
    </row>
    <row r="687" spans="1:15" x14ac:dyDescent="0.3">
      <c r="A687" s="1" t="s">
        <v>791</v>
      </c>
      <c r="B687">
        <v>0.31917615856605969</v>
      </c>
      <c r="C687">
        <v>3.3311537127715218E-3</v>
      </c>
      <c r="D687">
        <v>4.0442308394778364E-3</v>
      </c>
      <c r="E687">
        <v>47.633447228278833</v>
      </c>
      <c r="F687">
        <v>1.716652047593747E-3</v>
      </c>
      <c r="G687">
        <v>0.2</v>
      </c>
      <c r="H687">
        <v>-9.1018470025054823E-2</v>
      </c>
      <c r="I687">
        <v>-5.1580440048137957E-2</v>
      </c>
      <c r="J687">
        <v>-9.6681271181973116E-3</v>
      </c>
      <c r="K687">
        <v>3.2248776274115269E-3</v>
      </c>
      <c r="L687">
        <v>0</v>
      </c>
      <c r="M687">
        <v>694821068.17965007</v>
      </c>
      <c r="N687">
        <v>0</v>
      </c>
      <c r="O687" t="b">
        <v>1</v>
      </c>
    </row>
    <row r="688" spans="1:15" x14ac:dyDescent="0.3">
      <c r="A688" s="1" t="s">
        <v>792</v>
      </c>
      <c r="B688">
        <v>0.74463834288074005</v>
      </c>
      <c r="C688">
        <v>8.4408219899039551E-3</v>
      </c>
      <c r="D688">
        <v>1.223323399687368E-2</v>
      </c>
      <c r="E688">
        <v>61.775268114492931</v>
      </c>
      <c r="F688">
        <v>1.2841531936780729E-2</v>
      </c>
      <c r="G688">
        <v>0.6</v>
      </c>
      <c r="H688">
        <v>-6.1891836474754942E-2</v>
      </c>
      <c r="I688">
        <v>0.72433187601328286</v>
      </c>
      <c r="J688">
        <v>0</v>
      </c>
      <c r="K688">
        <v>1.101914799007986E-2</v>
      </c>
      <c r="L688">
        <v>0</v>
      </c>
      <c r="M688">
        <v>799424300.88730001</v>
      </c>
      <c r="N688">
        <v>0</v>
      </c>
      <c r="O688" t="b">
        <v>1</v>
      </c>
    </row>
    <row r="689" spans="1:15" x14ac:dyDescent="0.3">
      <c r="A689" s="1" t="s">
        <v>793</v>
      </c>
      <c r="B689">
        <v>0.25295990075769548</v>
      </c>
      <c r="C689">
        <v>2.13119366402426E-3</v>
      </c>
      <c r="D689">
        <v>3.268909970175453E-3</v>
      </c>
      <c r="E689">
        <v>50.338385039951874</v>
      </c>
      <c r="F689">
        <v>2.7456513107317888E-3</v>
      </c>
      <c r="G689">
        <v>0.2</v>
      </c>
      <c r="H689">
        <v>-8.8289107381830809E-2</v>
      </c>
      <c r="I689">
        <v>-3.8551631226699128E-2</v>
      </c>
      <c r="J689">
        <v>-4.9128101945002936E-3</v>
      </c>
      <c r="K689">
        <v>2.6863553422991071E-3</v>
      </c>
      <c r="L689">
        <v>0</v>
      </c>
      <c r="M689">
        <v>204195220.5185</v>
      </c>
      <c r="N689">
        <v>0</v>
      </c>
      <c r="O689" t="b">
        <v>1</v>
      </c>
    </row>
    <row r="690" spans="1:15" x14ac:dyDescent="0.3">
      <c r="A690" s="1" t="s">
        <v>794</v>
      </c>
      <c r="B690">
        <v>0.65945873009520306</v>
      </c>
      <c r="C690">
        <v>9.8765278888248674E-3</v>
      </c>
      <c r="D690">
        <v>1.1777691578441321E-2</v>
      </c>
      <c r="E690">
        <v>58.954951564217303</v>
      </c>
      <c r="F690">
        <v>-7.5979281080236216E-3</v>
      </c>
      <c r="G690">
        <v>0.4</v>
      </c>
      <c r="H690">
        <v>1.6974069429264501E-3</v>
      </c>
      <c r="I690">
        <v>0.98436909343748424</v>
      </c>
      <c r="J690">
        <v>-8.7559252435788215E-3</v>
      </c>
      <c r="K690">
        <v>9.6610687207590029E-3</v>
      </c>
      <c r="L690">
        <v>0</v>
      </c>
      <c r="M690">
        <v>553698925.82349992</v>
      </c>
      <c r="N690">
        <v>0</v>
      </c>
      <c r="O690" t="b">
        <v>1</v>
      </c>
    </row>
    <row r="691" spans="1:15" x14ac:dyDescent="0.3">
      <c r="A691" s="1" t="s">
        <v>795</v>
      </c>
      <c r="B691">
        <v>22.314657191832691</v>
      </c>
      <c r="C691">
        <v>4.7393291121894263E-2</v>
      </c>
      <c r="D691">
        <v>6.4692889304222206E-2</v>
      </c>
      <c r="E691">
        <v>71.222894174661889</v>
      </c>
      <c r="F691">
        <v>0.1688595402412989</v>
      </c>
      <c r="G691">
        <v>1</v>
      </c>
      <c r="H691">
        <v>0.1011522851714953</v>
      </c>
      <c r="I691">
        <v>3.303440858720696</v>
      </c>
      <c r="J691">
        <v>0</v>
      </c>
      <c r="K691">
        <v>3.7206740830487917E-2</v>
      </c>
      <c r="L691">
        <v>0</v>
      </c>
      <c r="M691">
        <v>43992880</v>
      </c>
      <c r="N691">
        <v>0</v>
      </c>
      <c r="O691" t="b">
        <v>0</v>
      </c>
    </row>
    <row r="692" spans="1:15" x14ac:dyDescent="0.3">
      <c r="A692" s="1" t="s">
        <v>796</v>
      </c>
      <c r="B692">
        <v>0.62881670167154846</v>
      </c>
      <c r="C692">
        <v>9.0454967435573182E-3</v>
      </c>
      <c r="D692">
        <v>1.4212330491346729E-2</v>
      </c>
      <c r="E692">
        <v>61.50513225355877</v>
      </c>
      <c r="F692">
        <v>1.897166343216616E-2</v>
      </c>
      <c r="G692">
        <v>0.2</v>
      </c>
      <c r="H692">
        <v>-2.195209170607091E-2</v>
      </c>
      <c r="I692">
        <v>0.63733313885074838</v>
      </c>
      <c r="J692">
        <v>0</v>
      </c>
      <c r="K692">
        <v>1.266466320066084E-2</v>
      </c>
      <c r="L692">
        <v>0</v>
      </c>
      <c r="M692">
        <v>40485172.134199999</v>
      </c>
      <c r="N692">
        <v>0</v>
      </c>
      <c r="O692" t="b">
        <v>0</v>
      </c>
    </row>
    <row r="693" spans="1:15" x14ac:dyDescent="0.3">
      <c r="A693" s="1" t="s">
        <v>797</v>
      </c>
      <c r="B693">
        <v>3.373941818506323</v>
      </c>
      <c r="C693">
        <v>1.9184512353050711E-2</v>
      </c>
      <c r="D693">
        <v>2.4643482611958992E-2</v>
      </c>
      <c r="E693">
        <v>60.668819692603847</v>
      </c>
      <c r="F693">
        <v>4.5675621038612002E-2</v>
      </c>
      <c r="G693">
        <v>0.4</v>
      </c>
      <c r="H693">
        <v>3.9654623788866562E-2</v>
      </c>
      <c r="I693">
        <v>0.68174362999670635</v>
      </c>
      <c r="J693">
        <v>-1.407676912641065E-2</v>
      </c>
      <c r="K693">
        <v>1.7348396762866699E-2</v>
      </c>
      <c r="L693">
        <v>0</v>
      </c>
      <c r="M693">
        <v>105670810.2925</v>
      </c>
      <c r="N693">
        <v>0</v>
      </c>
      <c r="O693" t="b">
        <v>1</v>
      </c>
    </row>
    <row r="694" spans="1:15" x14ac:dyDescent="0.3">
      <c r="A694" s="1" t="s">
        <v>798</v>
      </c>
      <c r="B694">
        <v>1.626165467225277</v>
      </c>
      <c r="C694">
        <v>2.5021741268674409E-2</v>
      </c>
      <c r="D694">
        <v>1.804582544110557E-2</v>
      </c>
      <c r="E694">
        <v>47.45967566602647</v>
      </c>
      <c r="F694">
        <v>4.1573111139959103E-2</v>
      </c>
      <c r="G694">
        <v>0.4</v>
      </c>
      <c r="H694">
        <v>-4.640350259191868E-2</v>
      </c>
      <c r="I694">
        <v>0.49903001248483858</v>
      </c>
      <c r="J694">
        <v>-6.2912651596968128E-2</v>
      </c>
      <c r="K694">
        <v>1.317009975789318E-2</v>
      </c>
      <c r="L694">
        <v>0</v>
      </c>
      <c r="M694">
        <v>125572703.37</v>
      </c>
      <c r="N694">
        <v>0</v>
      </c>
      <c r="O694" t="b">
        <v>1</v>
      </c>
    </row>
    <row r="695" spans="1:15" x14ac:dyDescent="0.3">
      <c r="A695" s="1" t="s">
        <v>799</v>
      </c>
      <c r="B695">
        <v>0.50061184056692931</v>
      </c>
      <c r="C695">
        <v>8.2642762667176663E-3</v>
      </c>
      <c r="D695">
        <v>6.8229017059730441E-3</v>
      </c>
      <c r="E695">
        <v>45.427578730103839</v>
      </c>
      <c r="F695">
        <v>-6.2943842674841877E-3</v>
      </c>
      <c r="G695">
        <v>0.2</v>
      </c>
      <c r="H695">
        <v>-9.5701984130048892E-2</v>
      </c>
      <c r="I695">
        <v>0.3963676964615</v>
      </c>
      <c r="J695">
        <v>-2.3786731645055511E-2</v>
      </c>
      <c r="K695">
        <v>3.2532032492404989E-4</v>
      </c>
      <c r="L695">
        <v>0</v>
      </c>
      <c r="M695">
        <v>34836759.099250004</v>
      </c>
      <c r="N695">
        <v>0</v>
      </c>
      <c r="O695" t="b">
        <v>0</v>
      </c>
    </row>
    <row r="696" spans="1:15" x14ac:dyDescent="0.3">
      <c r="A696" s="1" t="s">
        <v>800</v>
      </c>
      <c r="B696">
        <v>0.1624532908129343</v>
      </c>
      <c r="C696">
        <v>3.029155206571973E-3</v>
      </c>
      <c r="D696">
        <v>4.8107492275764581E-3</v>
      </c>
      <c r="E696">
        <v>56.408940596780859</v>
      </c>
      <c r="F696">
        <v>7.3045209518980414E-3</v>
      </c>
      <c r="G696">
        <v>0.2</v>
      </c>
      <c r="H696">
        <v>-8.7536554772808556E-2</v>
      </c>
      <c r="I696">
        <v>4.4107846138993337E-2</v>
      </c>
      <c r="J696">
        <v>-3.241376618597358E-3</v>
      </c>
      <c r="K696">
        <v>3.9010510749417642E-3</v>
      </c>
      <c r="L696">
        <v>0</v>
      </c>
      <c r="M696">
        <v>98730281.722000003</v>
      </c>
      <c r="N696">
        <v>0</v>
      </c>
      <c r="O696" t="b">
        <v>1</v>
      </c>
    </row>
    <row r="697" spans="1:15" x14ac:dyDescent="0.3">
      <c r="A697" s="1" t="s">
        <v>801</v>
      </c>
      <c r="B697">
        <v>2.3499805588647358</v>
      </c>
      <c r="C697">
        <v>1.7517167404864122E-2</v>
      </c>
      <c r="D697">
        <v>1.4602729719052149E-2</v>
      </c>
      <c r="E697">
        <v>63.846711491430582</v>
      </c>
      <c r="F697">
        <v>1.666489837367546E-2</v>
      </c>
      <c r="G697">
        <v>1</v>
      </c>
      <c r="H697">
        <v>0.1180035529994528</v>
      </c>
      <c r="I697">
        <v>1.5782296946298759</v>
      </c>
      <c r="J697">
        <v>0</v>
      </c>
      <c r="K697">
        <v>4.718288234985657E-3</v>
      </c>
      <c r="L697">
        <v>0</v>
      </c>
      <c r="M697">
        <v>40581795.237000003</v>
      </c>
      <c r="N697">
        <v>0</v>
      </c>
      <c r="O697" t="b">
        <v>0</v>
      </c>
    </row>
    <row r="698" spans="1:15" x14ac:dyDescent="0.3">
      <c r="A698" s="1" t="s">
        <v>802</v>
      </c>
      <c r="B698">
        <v>7.4814240525533995E-2</v>
      </c>
      <c r="C698">
        <v>1.4244416704213109E-3</v>
      </c>
      <c r="D698">
        <v>2.6446161403455249E-3</v>
      </c>
      <c r="E698">
        <v>62.239865541932829</v>
      </c>
      <c r="F698">
        <v>5.1845996911057401E-3</v>
      </c>
      <c r="G698">
        <v>0.2</v>
      </c>
      <c r="H698">
        <v>-8.4084351617711384E-2</v>
      </c>
      <c r="I698">
        <v>1.397165743211673E-2</v>
      </c>
      <c r="J698">
        <v>-1.9036088616797289E-4</v>
      </c>
      <c r="K698">
        <v>2.272783654277299E-3</v>
      </c>
      <c r="L698">
        <v>0</v>
      </c>
      <c r="M698">
        <v>128716253.07600001</v>
      </c>
      <c r="N698">
        <v>0</v>
      </c>
      <c r="O698" t="b">
        <v>1</v>
      </c>
    </row>
    <row r="699" spans="1:15" x14ac:dyDescent="0.3">
      <c r="A699" s="1" t="s">
        <v>803</v>
      </c>
      <c r="B699">
        <v>2.1084223124744281</v>
      </c>
      <c r="C699">
        <v>1.9153545716519151E-2</v>
      </c>
      <c r="D699">
        <v>1.498909883720922E-2</v>
      </c>
      <c r="E699">
        <v>58.311622927839373</v>
      </c>
      <c r="F699">
        <v>-1.520844516013597E-2</v>
      </c>
      <c r="G699">
        <v>0.8</v>
      </c>
      <c r="H699">
        <v>-0.13397644977031881</v>
      </c>
      <c r="I699">
        <v>1.353561696043859</v>
      </c>
      <c r="J699">
        <v>-8.5562460596235734E-3</v>
      </c>
      <c r="K699">
        <v>1.1823556161891791E-3</v>
      </c>
      <c r="L699">
        <v>0</v>
      </c>
      <c r="M699">
        <v>473854306.5</v>
      </c>
      <c r="N699">
        <v>0</v>
      </c>
      <c r="O699" t="b">
        <v>1</v>
      </c>
    </row>
    <row r="700" spans="1:15" x14ac:dyDescent="0.3">
      <c r="A700" s="1" t="s">
        <v>804</v>
      </c>
      <c r="B700">
        <v>2.2914153801646742</v>
      </c>
      <c r="C700">
        <v>1.7138484518808339E-2</v>
      </c>
      <c r="D700">
        <v>2.2288706058339491E-2</v>
      </c>
      <c r="E700">
        <v>56.755366666932247</v>
      </c>
      <c r="F700">
        <v>1.410800970873782E-2</v>
      </c>
      <c r="G700">
        <v>0.2</v>
      </c>
      <c r="H700">
        <v>4.1873631675946682E-2</v>
      </c>
      <c r="I700">
        <v>0.75287767989638699</v>
      </c>
      <c r="J700">
        <v>-2.813113324125904E-2</v>
      </c>
      <c r="K700">
        <v>1.518602885345488E-2</v>
      </c>
      <c r="L700">
        <v>0</v>
      </c>
      <c r="M700">
        <v>21741995.601</v>
      </c>
      <c r="N700">
        <v>1</v>
      </c>
      <c r="O700" t="b">
        <v>0</v>
      </c>
    </row>
    <row r="701" spans="1:15" x14ac:dyDescent="0.3">
      <c r="A701" s="1" t="s">
        <v>805</v>
      </c>
      <c r="B701">
        <v>0.83310136269608881</v>
      </c>
      <c r="C701">
        <v>1.338371341929284E-2</v>
      </c>
      <c r="D701">
        <v>1.1716151999922811E-2</v>
      </c>
      <c r="E701">
        <v>48.908142591428629</v>
      </c>
      <c r="F701">
        <v>8.7428027853806434E-3</v>
      </c>
      <c r="G701">
        <v>0.6</v>
      </c>
      <c r="H701">
        <v>-6.1230868386366197E-2</v>
      </c>
      <c r="I701">
        <v>0.54510469864114863</v>
      </c>
      <c r="J701">
        <v>-3.3503505928092703E-2</v>
      </c>
      <c r="K701">
        <v>9.2334531493452054E-3</v>
      </c>
      <c r="L701">
        <v>0</v>
      </c>
      <c r="M701">
        <v>48698625.836400002</v>
      </c>
      <c r="N701">
        <v>0</v>
      </c>
      <c r="O701" t="b">
        <v>0</v>
      </c>
    </row>
    <row r="702" spans="1:15" x14ac:dyDescent="0.3">
      <c r="A702" s="1" t="s">
        <v>806</v>
      </c>
      <c r="B702">
        <v>0.89907968816670747</v>
      </c>
      <c r="C702">
        <v>1.3401457904172531E-2</v>
      </c>
      <c r="D702">
        <v>2.1655074961021401E-2</v>
      </c>
      <c r="E702">
        <v>64.658442946448048</v>
      </c>
      <c r="F702">
        <v>3.1675391059906133E-2</v>
      </c>
      <c r="G702">
        <v>0.6</v>
      </c>
      <c r="H702">
        <v>-7.7867291083278431E-2</v>
      </c>
      <c r="I702">
        <v>1.042654858223415</v>
      </c>
      <c r="J702">
        <v>0</v>
      </c>
      <c r="K702">
        <v>1.8891536549101359E-2</v>
      </c>
      <c r="L702">
        <v>0</v>
      </c>
      <c r="M702">
        <v>506858061.37805003</v>
      </c>
      <c r="N702">
        <v>0</v>
      </c>
      <c r="O702" t="b">
        <v>1</v>
      </c>
    </row>
    <row r="703" spans="1:15" x14ac:dyDescent="0.3">
      <c r="A703" s="1" t="s">
        <v>807</v>
      </c>
      <c r="B703">
        <v>1.7291253472222059</v>
      </c>
      <c r="C703">
        <v>1.2932004182382681E-2</v>
      </c>
      <c r="D703">
        <v>2.3633412859268978E-2</v>
      </c>
      <c r="E703">
        <v>66.573902571359753</v>
      </c>
      <c r="F703">
        <v>4.4968934390996917E-2</v>
      </c>
      <c r="G703">
        <v>0.6</v>
      </c>
      <c r="H703">
        <v>-6.2281550923193013E-2</v>
      </c>
      <c r="I703">
        <v>0.94692169066607279</v>
      </c>
      <c r="J703">
        <v>0</v>
      </c>
      <c r="K703">
        <v>2.163863780496178E-2</v>
      </c>
      <c r="L703">
        <v>0</v>
      </c>
      <c r="M703">
        <v>19099714.723499998</v>
      </c>
      <c r="N703">
        <v>0</v>
      </c>
      <c r="O703" t="b">
        <v>0</v>
      </c>
    </row>
    <row r="704" spans="1:15" x14ac:dyDescent="0.3">
      <c r="A704" s="1" t="s">
        <v>808</v>
      </c>
      <c r="B704">
        <v>1.3494263052708579</v>
      </c>
      <c r="C704">
        <v>1.3698354841491969E-2</v>
      </c>
      <c r="D704">
        <v>1.934826987283543E-2</v>
      </c>
      <c r="E704">
        <v>62.749393266610291</v>
      </c>
      <c r="F704">
        <v>2.078350831671916E-2</v>
      </c>
      <c r="G704">
        <v>0.6</v>
      </c>
      <c r="H704">
        <v>-8.8073493403630548E-2</v>
      </c>
      <c r="I704">
        <v>1.102483540554833</v>
      </c>
      <c r="J704">
        <v>0</v>
      </c>
      <c r="K704">
        <v>1.7103132975955448E-2</v>
      </c>
      <c r="L704">
        <v>0</v>
      </c>
      <c r="M704">
        <v>18739530.788249999</v>
      </c>
      <c r="N704">
        <v>0</v>
      </c>
      <c r="O704" t="b">
        <v>0</v>
      </c>
    </row>
    <row r="705" spans="1:15" x14ac:dyDescent="0.3">
      <c r="A705" s="1" t="s">
        <v>809</v>
      </c>
      <c r="B705">
        <v>1.9332421980626751</v>
      </c>
      <c r="C705">
        <v>1.565175522250295E-2</v>
      </c>
      <c r="D705">
        <v>2.6992454418860619E-2</v>
      </c>
      <c r="E705">
        <v>66.605896808315663</v>
      </c>
      <c r="F705">
        <v>4.181040663298452E-2</v>
      </c>
      <c r="G705">
        <v>0.4</v>
      </c>
      <c r="H705">
        <v>-1.7317759040637849E-2</v>
      </c>
      <c r="I705">
        <v>1.2068511654030349</v>
      </c>
      <c r="J705">
        <v>0</v>
      </c>
      <c r="K705">
        <v>1.9723100547359481E-2</v>
      </c>
      <c r="L705">
        <v>0</v>
      </c>
      <c r="M705">
        <v>489555386.648</v>
      </c>
      <c r="N705">
        <v>0</v>
      </c>
      <c r="O705" t="b">
        <v>1</v>
      </c>
    </row>
    <row r="706" spans="1:15" x14ac:dyDescent="0.3">
      <c r="A706" s="1" t="s">
        <v>810</v>
      </c>
      <c r="B706">
        <v>1.8476695289084331</v>
      </c>
      <c r="C706">
        <v>1.5855197014677549E-2</v>
      </c>
      <c r="D706">
        <v>2.8609676146017501E-2</v>
      </c>
      <c r="E706">
        <v>67.58071019863722</v>
      </c>
      <c r="F706">
        <v>4.712954559749849E-2</v>
      </c>
      <c r="G706">
        <v>0.6</v>
      </c>
      <c r="H706">
        <v>1.0712198100522831E-2</v>
      </c>
      <c r="I706">
        <v>1.3124849677966599</v>
      </c>
      <c r="J706">
        <v>0</v>
      </c>
      <c r="K706">
        <v>2.3242336702169689E-2</v>
      </c>
      <c r="L706">
        <v>0</v>
      </c>
      <c r="M706">
        <v>24397210.171500001</v>
      </c>
      <c r="N706">
        <v>1</v>
      </c>
      <c r="O706" t="b">
        <v>0</v>
      </c>
    </row>
    <row r="707" spans="1:15" x14ac:dyDescent="0.3">
      <c r="A707" s="1" t="s">
        <v>811</v>
      </c>
      <c r="B707">
        <v>2.1880002138307688</v>
      </c>
      <c r="C707">
        <v>1.504524722770559E-2</v>
      </c>
      <c r="D707">
        <v>2.4685755150314959E-2</v>
      </c>
      <c r="E707">
        <v>64.914891475905023</v>
      </c>
      <c r="F707">
        <v>3.6823681227408533E-2</v>
      </c>
      <c r="G707">
        <v>0.6</v>
      </c>
      <c r="H707">
        <v>-4.4729855818113999E-2</v>
      </c>
      <c r="I707">
        <v>1.11834675702979</v>
      </c>
      <c r="J707">
        <v>0</v>
      </c>
      <c r="K707">
        <v>1.6588025584565399E-2</v>
      </c>
      <c r="L707">
        <v>0</v>
      </c>
      <c r="M707">
        <v>14449486.489</v>
      </c>
      <c r="N707">
        <v>1</v>
      </c>
      <c r="O707" t="b">
        <v>0</v>
      </c>
    </row>
    <row r="708" spans="1:15" x14ac:dyDescent="0.3">
      <c r="A708" s="1" t="s">
        <v>812</v>
      </c>
      <c r="B708">
        <v>4.3899904315902107</v>
      </c>
      <c r="C708">
        <v>3.2540141068788157E-2</v>
      </c>
      <c r="D708">
        <v>3.4022681787858597E-2</v>
      </c>
      <c r="E708">
        <v>70.841128338096084</v>
      </c>
      <c r="F708">
        <v>0.10836345711468939</v>
      </c>
      <c r="G708">
        <v>0.8</v>
      </c>
      <c r="H708">
        <v>0.1235959626400923</v>
      </c>
      <c r="I708">
        <v>1.347620350848572</v>
      </c>
      <c r="J708">
        <v>0</v>
      </c>
      <c r="K708">
        <v>2.1039884961780109E-2</v>
      </c>
      <c r="L708">
        <v>0</v>
      </c>
      <c r="M708">
        <v>187178841</v>
      </c>
      <c r="N708">
        <v>0</v>
      </c>
      <c r="O708" t="b">
        <v>1</v>
      </c>
    </row>
    <row r="709" spans="1:15" x14ac:dyDescent="0.3">
      <c r="A709" s="1" t="s">
        <v>813</v>
      </c>
      <c r="B709">
        <v>2.397102590366663</v>
      </c>
      <c r="C709">
        <v>2.6066796328476111E-2</v>
      </c>
      <c r="D709">
        <v>2.5228360156589899E-2</v>
      </c>
      <c r="E709">
        <v>44.023135178069523</v>
      </c>
      <c r="F709">
        <v>-3.1906247762941257E-2</v>
      </c>
      <c r="G709">
        <v>0.4</v>
      </c>
      <c r="H709">
        <v>-3.4379399052576393E-2</v>
      </c>
      <c r="I709">
        <v>0.36500869851691531</v>
      </c>
      <c r="J709">
        <v>-8.2885380618523907E-2</v>
      </c>
      <c r="K709">
        <v>1.389195148842326E-2</v>
      </c>
      <c r="L709">
        <v>0</v>
      </c>
      <c r="M709">
        <v>31736423.06535</v>
      </c>
      <c r="N709">
        <v>0</v>
      </c>
      <c r="O709" t="b">
        <v>0</v>
      </c>
    </row>
    <row r="710" spans="1:15" x14ac:dyDescent="0.3">
      <c r="A710" s="1" t="s">
        <v>814</v>
      </c>
      <c r="B710">
        <v>3.5032488429432802</v>
      </c>
      <c r="C710">
        <v>3.6810432310006087E-2</v>
      </c>
      <c r="D710">
        <v>2.7319533466428441E-2</v>
      </c>
      <c r="E710">
        <v>38.02730575604933</v>
      </c>
      <c r="F710">
        <v>-0.10200037742970371</v>
      </c>
      <c r="G710">
        <v>0.4</v>
      </c>
      <c r="H710">
        <v>5.0070741634683572E-2</v>
      </c>
      <c r="I710">
        <v>0.59715627399075821</v>
      </c>
      <c r="J710">
        <v>-0.1209126177720303</v>
      </c>
      <c r="K710">
        <v>1.0508617065996261E-4</v>
      </c>
      <c r="L710">
        <v>0</v>
      </c>
      <c r="M710">
        <v>127192156</v>
      </c>
      <c r="N710">
        <v>0</v>
      </c>
      <c r="O710" t="b">
        <v>1</v>
      </c>
    </row>
    <row r="711" spans="1:15" x14ac:dyDescent="0.3">
      <c r="A711" s="1" t="s">
        <v>815</v>
      </c>
      <c r="B711">
        <v>0.4482289535688137</v>
      </c>
      <c r="C711">
        <v>8.4000928329987581E-3</v>
      </c>
      <c r="D711">
        <v>4.6851574212893564E-3</v>
      </c>
      <c r="E711">
        <v>42.1289575189762</v>
      </c>
      <c r="F711">
        <v>-1.458910433979688E-2</v>
      </c>
      <c r="G711">
        <v>0.8</v>
      </c>
      <c r="H711">
        <v>-8.1301983489366958E-2</v>
      </c>
      <c r="I711">
        <v>0.1886805974321964</v>
      </c>
      <c r="J711">
        <v>-2.681014043406893E-2</v>
      </c>
      <c r="K711">
        <v>1.68950628871789E-3</v>
      </c>
      <c r="L711">
        <v>0</v>
      </c>
      <c r="M711">
        <v>289683135</v>
      </c>
      <c r="N711">
        <v>0</v>
      </c>
      <c r="O711" t="b">
        <v>1</v>
      </c>
    </row>
    <row r="712" spans="1:15" x14ac:dyDescent="0.3">
      <c r="A712" s="1" t="s">
        <v>816</v>
      </c>
      <c r="B712">
        <v>0.3500605727297289</v>
      </c>
      <c r="C712">
        <v>1.937247220419086E-2</v>
      </c>
      <c r="D712">
        <v>2.82235749861648E-2</v>
      </c>
      <c r="E712">
        <v>62.252808211699261</v>
      </c>
      <c r="F712">
        <v>7.8162291169451059E-2</v>
      </c>
      <c r="G712">
        <v>0.6</v>
      </c>
      <c r="H712">
        <v>3.1499372057609769E-2</v>
      </c>
      <c r="I712">
        <v>0.7446366737492669</v>
      </c>
      <c r="J712">
        <v>-1.202843083652261E-2</v>
      </c>
      <c r="K712">
        <v>1.8028169014084439E-2</v>
      </c>
      <c r="L712">
        <v>0</v>
      </c>
      <c r="M712">
        <v>218687204.02590001</v>
      </c>
      <c r="N712">
        <v>0</v>
      </c>
      <c r="O712" t="b">
        <v>1</v>
      </c>
    </row>
    <row r="713" spans="1:15" x14ac:dyDescent="0.3">
      <c r="A713" s="1" t="s">
        <v>817</v>
      </c>
      <c r="B713">
        <v>0.41443623607949759</v>
      </c>
      <c r="C713">
        <v>1.536656418537255E-2</v>
      </c>
      <c r="D713">
        <v>1.6314423433444619E-2</v>
      </c>
      <c r="E713">
        <v>67.114589497543619</v>
      </c>
      <c r="F713">
        <v>2.4696048632218751E-2</v>
      </c>
      <c r="G713">
        <v>0.4</v>
      </c>
      <c r="H713">
        <v>3.168158371637135E-2</v>
      </c>
      <c r="I713">
        <v>0.46626608204701608</v>
      </c>
      <c r="J713">
        <v>0</v>
      </c>
      <c r="K713">
        <v>1.4291086874764989E-2</v>
      </c>
      <c r="L713">
        <v>0</v>
      </c>
      <c r="M713">
        <v>46604157.357649997</v>
      </c>
      <c r="N713">
        <v>0</v>
      </c>
      <c r="O713" t="b">
        <v>0</v>
      </c>
    </row>
    <row r="714" spans="1:15" x14ac:dyDescent="0.3">
      <c r="A714" s="1" t="s">
        <v>818</v>
      </c>
      <c r="B714">
        <v>1.9437693280768711</v>
      </c>
      <c r="C714">
        <v>1.8009370135335271E-2</v>
      </c>
      <c r="D714">
        <v>2.455272349927274E-2</v>
      </c>
      <c r="E714">
        <v>47.728133663276083</v>
      </c>
      <c r="F714">
        <v>1.219157655841174E-2</v>
      </c>
      <c r="G714">
        <v>0.4</v>
      </c>
      <c r="H714">
        <v>-0.2355657472175515</v>
      </c>
      <c r="I714">
        <v>0.26397030723256082</v>
      </c>
      <c r="J714">
        <v>-5.2167341032470782E-3</v>
      </c>
      <c r="K714">
        <v>2.3139634088539252E-2</v>
      </c>
      <c r="L714">
        <v>0</v>
      </c>
      <c r="M714">
        <v>63378287.486000001</v>
      </c>
      <c r="N714">
        <v>0</v>
      </c>
      <c r="O714" t="b">
        <v>0</v>
      </c>
    </row>
    <row r="715" spans="1:15" x14ac:dyDescent="0.3">
      <c r="A715" s="1" t="s">
        <v>819</v>
      </c>
      <c r="B715">
        <v>6.6408463085925122</v>
      </c>
      <c r="C715">
        <v>3.497943802261002E-2</v>
      </c>
      <c r="D715">
        <v>4.1717145114564057E-2</v>
      </c>
      <c r="E715">
        <v>44.404326077421487</v>
      </c>
      <c r="F715">
        <v>-1.0785744060024969E-2</v>
      </c>
      <c r="G715">
        <v>0</v>
      </c>
      <c r="H715">
        <v>0.13469778914136629</v>
      </c>
      <c r="I715">
        <v>0.21154789400282109</v>
      </c>
      <c r="J715">
        <v>-0.101981930845277</v>
      </c>
      <c r="K715">
        <v>-2.2248545089354699E-2</v>
      </c>
      <c r="L715">
        <v>0</v>
      </c>
      <c r="M715">
        <v>211024103</v>
      </c>
      <c r="N715">
        <v>0</v>
      </c>
      <c r="O715" t="b">
        <v>1</v>
      </c>
    </row>
    <row r="716" spans="1:15" x14ac:dyDescent="0.3">
      <c r="A716" s="1" t="s">
        <v>820</v>
      </c>
      <c r="B716">
        <v>2.0419740043533632</v>
      </c>
      <c r="C716">
        <v>5.0072928012588593E-2</v>
      </c>
      <c r="D716">
        <v>5.1495831289847999E-2</v>
      </c>
      <c r="E716">
        <v>57.371746137022591</v>
      </c>
      <c r="F716">
        <v>6.0598179453836172E-2</v>
      </c>
      <c r="G716">
        <v>0.6</v>
      </c>
      <c r="H716">
        <v>0.19157745396961959</v>
      </c>
      <c r="I716">
        <v>2.3152361536315911</v>
      </c>
      <c r="J716">
        <v>-6.8098720292504522E-2</v>
      </c>
      <c r="K716">
        <v>6.9135802469135754E-3</v>
      </c>
      <c r="L716">
        <v>0</v>
      </c>
      <c r="M716">
        <v>1968081577</v>
      </c>
      <c r="N716">
        <v>0</v>
      </c>
      <c r="O716" t="b">
        <v>1</v>
      </c>
    </row>
    <row r="717" spans="1:15" x14ac:dyDescent="0.3">
      <c r="A717" s="1" t="s">
        <v>821</v>
      </c>
      <c r="B717">
        <v>16.900062700732558</v>
      </c>
      <c r="C717">
        <v>2.555921958574944E-2</v>
      </c>
      <c r="D717">
        <v>2.517951882300987E-2</v>
      </c>
      <c r="E717">
        <v>53.492818338168242</v>
      </c>
      <c r="F717">
        <v>1.4021522262214651E-2</v>
      </c>
      <c r="G717">
        <v>0.6</v>
      </c>
      <c r="H717">
        <v>-4.2446025076774953E-2</v>
      </c>
      <c r="I717">
        <v>0.71828592349630271</v>
      </c>
      <c r="J717">
        <v>-1.6627205558662261E-2</v>
      </c>
      <c r="K717">
        <v>1.0187244860544229E-2</v>
      </c>
      <c r="L717">
        <v>0</v>
      </c>
      <c r="M717">
        <v>1095415483.6094999</v>
      </c>
      <c r="N717">
        <v>0</v>
      </c>
      <c r="O717" t="b">
        <v>1</v>
      </c>
    </row>
    <row r="718" spans="1:15" x14ac:dyDescent="0.3">
      <c r="A718" s="1" t="s">
        <v>822</v>
      </c>
      <c r="B718">
        <v>0.5076137903086051</v>
      </c>
      <c r="C718">
        <v>1.9382413889153821E-2</v>
      </c>
      <c r="D718">
        <v>1.8732769746538699E-2</v>
      </c>
      <c r="E718">
        <v>34.601172298055808</v>
      </c>
      <c r="F718">
        <v>-5.5635486418364133E-2</v>
      </c>
      <c r="G718">
        <v>0.2</v>
      </c>
      <c r="H718">
        <v>-0.21670017530053881</v>
      </c>
      <c r="I718">
        <v>0.15579792500676751</v>
      </c>
      <c r="J718">
        <v>-8.4056126017738819E-2</v>
      </c>
      <c r="K718">
        <v>1.4947468773858E-2</v>
      </c>
      <c r="L718">
        <v>0</v>
      </c>
      <c r="M718">
        <v>109727203.48604999</v>
      </c>
      <c r="N718">
        <v>0</v>
      </c>
      <c r="O718" t="b">
        <v>1</v>
      </c>
    </row>
    <row r="719" spans="1:15" x14ac:dyDescent="0.3">
      <c r="A719" s="1" t="s">
        <v>823</v>
      </c>
      <c r="B719">
        <v>4.294976388845301</v>
      </c>
      <c r="C719">
        <v>8.3123212480071623E-2</v>
      </c>
      <c r="D719">
        <v>6.1737952390168327E-2</v>
      </c>
      <c r="E719">
        <v>49.422151550141869</v>
      </c>
      <c r="F719">
        <v>-6.6823189452772214E-2</v>
      </c>
      <c r="G719">
        <v>0.6</v>
      </c>
      <c r="H719">
        <v>4.4183240884739058E-2</v>
      </c>
      <c r="I719">
        <v>3.1174830950920138</v>
      </c>
      <c r="J719">
        <v>-5.642804967129289E-2</v>
      </c>
      <c r="K719">
        <v>-5.0881704628949247E-2</v>
      </c>
      <c r="L719">
        <v>0</v>
      </c>
      <c r="M719">
        <v>800655777</v>
      </c>
      <c r="N719">
        <v>0</v>
      </c>
      <c r="O719" t="b">
        <v>1</v>
      </c>
    </row>
    <row r="720" spans="1:15" x14ac:dyDescent="0.3">
      <c r="A720" s="1" t="s">
        <v>824</v>
      </c>
      <c r="B720">
        <v>2.5723157367098359</v>
      </c>
      <c r="C720">
        <v>3.2714176989823693E-2</v>
      </c>
      <c r="D720">
        <v>2.441816100724898E-2</v>
      </c>
      <c r="E720">
        <v>54.884156155721918</v>
      </c>
      <c r="F720">
        <v>0.13071613459879189</v>
      </c>
      <c r="G720">
        <v>0</v>
      </c>
      <c r="H720">
        <v>0.13759812992272349</v>
      </c>
      <c r="I720">
        <v>0.40570066979011071</v>
      </c>
      <c r="J720">
        <v>-4.9558805753656572E-2</v>
      </c>
      <c r="K720">
        <v>-2.9165609941669279E-3</v>
      </c>
      <c r="L720">
        <v>0</v>
      </c>
      <c r="M720">
        <v>67674587</v>
      </c>
      <c r="N720">
        <v>0</v>
      </c>
      <c r="O720" t="b">
        <v>0</v>
      </c>
    </row>
    <row r="721" spans="1:15" x14ac:dyDescent="0.3">
      <c r="A721" s="1" t="s">
        <v>825</v>
      </c>
      <c r="B721">
        <v>1.401813953317457</v>
      </c>
      <c r="C721">
        <v>1.1036514717180959E-2</v>
      </c>
      <c r="D721">
        <v>9.8885179819865228E-3</v>
      </c>
      <c r="E721">
        <v>62.604026302055239</v>
      </c>
      <c r="F721">
        <v>9.425415242787949E-3</v>
      </c>
      <c r="G721">
        <v>0.8</v>
      </c>
      <c r="H721">
        <v>0.22455552714975091</v>
      </c>
      <c r="I721">
        <v>1.030916804585243</v>
      </c>
      <c r="J721">
        <v>0</v>
      </c>
      <c r="K721">
        <v>5.0483470224247373E-3</v>
      </c>
      <c r="L721">
        <v>0</v>
      </c>
      <c r="M721">
        <v>15137407.864499999</v>
      </c>
      <c r="N721">
        <v>0</v>
      </c>
      <c r="O721" t="b">
        <v>0</v>
      </c>
    </row>
    <row r="722" spans="1:15" x14ac:dyDescent="0.3">
      <c r="A722" s="1" t="s">
        <v>826</v>
      </c>
      <c r="B722">
        <v>1.8943608794694009</v>
      </c>
      <c r="C722">
        <v>4.2078207007316772E-2</v>
      </c>
      <c r="D722">
        <v>3.3762772101288377E-2</v>
      </c>
      <c r="E722">
        <v>69.119356923595916</v>
      </c>
      <c r="F722">
        <v>0.13030379111222709</v>
      </c>
      <c r="G722">
        <v>0.8</v>
      </c>
      <c r="H722">
        <v>7.9223666230565148E-2</v>
      </c>
      <c r="I722">
        <v>2.2620814602496728</v>
      </c>
      <c r="J722">
        <v>-4.4228217602829689E-3</v>
      </c>
      <c r="K722">
        <v>2.8088604704270551E-2</v>
      </c>
      <c r="L722">
        <v>0</v>
      </c>
      <c r="M722">
        <v>162463530</v>
      </c>
      <c r="N722">
        <v>0</v>
      </c>
      <c r="O722" t="b">
        <v>1</v>
      </c>
    </row>
    <row r="723" spans="1:15" x14ac:dyDescent="0.3">
      <c r="A723" s="1" t="s">
        <v>827</v>
      </c>
      <c r="B723">
        <v>1.207633763857713</v>
      </c>
      <c r="C723">
        <v>3.0869983738694089E-2</v>
      </c>
      <c r="D723">
        <v>4.4222903885480683E-2</v>
      </c>
      <c r="E723">
        <v>49.970133818765952</v>
      </c>
      <c r="F723">
        <v>4.413275859768051E-2</v>
      </c>
      <c r="G723">
        <v>0.2</v>
      </c>
      <c r="H723">
        <v>-0.1236852689149817</v>
      </c>
      <c r="I723">
        <v>1.091150363707815</v>
      </c>
      <c r="J723">
        <v>-9.1185410334346795E-3</v>
      </c>
      <c r="K723">
        <v>4.0979244278871667E-2</v>
      </c>
      <c r="L723">
        <v>0</v>
      </c>
      <c r="M723">
        <v>201621816.2112</v>
      </c>
      <c r="N723">
        <v>0</v>
      </c>
      <c r="O723" t="b">
        <v>1</v>
      </c>
    </row>
    <row r="724" spans="1:15" x14ac:dyDescent="0.3">
      <c r="A724" s="1" t="s">
        <v>828</v>
      </c>
      <c r="B724">
        <v>0.38309601799921461</v>
      </c>
      <c r="C724">
        <v>8.5239660995655546E-3</v>
      </c>
      <c r="D724">
        <v>1.213971350632129E-2</v>
      </c>
      <c r="E724">
        <v>60.672090863641223</v>
      </c>
      <c r="F724">
        <v>1.29436927952109E-2</v>
      </c>
      <c r="G724">
        <v>0.4</v>
      </c>
      <c r="H724">
        <v>-5.2537918777800049E-2</v>
      </c>
      <c r="I724">
        <v>0.68874000522414514</v>
      </c>
      <c r="J724">
        <v>0</v>
      </c>
      <c r="K724">
        <v>1.046359998201352E-2</v>
      </c>
      <c r="L724">
        <v>0</v>
      </c>
      <c r="M724">
        <v>52360096.87015</v>
      </c>
      <c r="N724">
        <v>0</v>
      </c>
      <c r="O724" t="b">
        <v>0</v>
      </c>
    </row>
    <row r="725" spans="1:15" x14ac:dyDescent="0.3">
      <c r="A725" s="1" t="s">
        <v>829</v>
      </c>
      <c r="B725">
        <v>5.8781636879160102</v>
      </c>
      <c r="C725">
        <v>2.636893812989418E-2</v>
      </c>
      <c r="D725">
        <v>2.888928763682037E-2</v>
      </c>
      <c r="E725">
        <v>52.828922621888658</v>
      </c>
      <c r="F725">
        <v>4.6327153250410591E-2</v>
      </c>
      <c r="G725">
        <v>0.4</v>
      </c>
      <c r="H725">
        <v>0.1093716270486957</v>
      </c>
      <c r="I725">
        <v>0.88397004484328878</v>
      </c>
      <c r="J725">
        <v>-3.8806484994825752E-2</v>
      </c>
      <c r="K725">
        <v>2.2287443822800901E-2</v>
      </c>
      <c r="L725">
        <v>0</v>
      </c>
      <c r="M725">
        <v>292676659</v>
      </c>
      <c r="N725">
        <v>0</v>
      </c>
      <c r="O725" t="b">
        <v>1</v>
      </c>
    </row>
    <row r="726" spans="1:15" x14ac:dyDescent="0.3">
      <c r="A726" s="1" t="s">
        <v>830</v>
      </c>
      <c r="B726">
        <v>1.8108343550311881</v>
      </c>
      <c r="C726">
        <v>2.236150105002702E-2</v>
      </c>
      <c r="D726">
        <v>3.3279822178315717E-2</v>
      </c>
      <c r="E726">
        <v>59.981225856184317</v>
      </c>
      <c r="F726">
        <v>4.8554902816389189E-2</v>
      </c>
      <c r="G726">
        <v>0.4</v>
      </c>
      <c r="H726">
        <v>-4.4053716845060938E-2</v>
      </c>
      <c r="I726">
        <v>0.89880908764518208</v>
      </c>
      <c r="J726">
        <v>0</v>
      </c>
      <c r="K726">
        <v>3.3171727481500428E-2</v>
      </c>
      <c r="L726">
        <v>0</v>
      </c>
      <c r="M726">
        <v>220831160.63240001</v>
      </c>
      <c r="N726">
        <v>0</v>
      </c>
      <c r="O726" t="b">
        <v>1</v>
      </c>
    </row>
    <row r="727" spans="1:15" x14ac:dyDescent="0.3">
      <c r="A727" s="1" t="s">
        <v>831</v>
      </c>
      <c r="B727">
        <v>5.1668041571805254</v>
      </c>
      <c r="C727">
        <v>0.1176412604093926</v>
      </c>
      <c r="D727">
        <v>6.8192167577413573E-2</v>
      </c>
      <c r="E727">
        <v>42.583883224555727</v>
      </c>
      <c r="F727">
        <v>-0.2700681402692372</v>
      </c>
      <c r="G727">
        <v>0.6</v>
      </c>
      <c r="H727">
        <v>9.1648691947278288E-2</v>
      </c>
      <c r="I727">
        <v>2.8713999868786262</v>
      </c>
      <c r="J727">
        <v>-0.23457650749390041</v>
      </c>
      <c r="K727">
        <v>-6.233988044406491E-2</v>
      </c>
      <c r="L727">
        <v>0</v>
      </c>
      <c r="M727">
        <v>246373566.5</v>
      </c>
      <c r="N727">
        <v>0</v>
      </c>
      <c r="O727" t="b">
        <v>1</v>
      </c>
    </row>
    <row r="728" spans="1:15" x14ac:dyDescent="0.3">
      <c r="A728" s="1" t="s">
        <v>832</v>
      </c>
      <c r="B728">
        <v>2.7883916652244478</v>
      </c>
      <c r="C728">
        <v>3.2954375771588391E-2</v>
      </c>
      <c r="D728">
        <v>3.3450847794151507E-2</v>
      </c>
      <c r="E728">
        <v>37.652642752863621</v>
      </c>
      <c r="F728">
        <v>-0.16446592738152849</v>
      </c>
      <c r="G728">
        <v>0.8</v>
      </c>
      <c r="H728">
        <v>-0.15572374111653309</v>
      </c>
      <c r="I728">
        <v>1.159779001511267</v>
      </c>
      <c r="J728">
        <v>-0.1547167360965426</v>
      </c>
      <c r="K728">
        <v>4.6997134813382413E-3</v>
      </c>
      <c r="L728">
        <v>0</v>
      </c>
      <c r="M728">
        <v>149656015.40239999</v>
      </c>
      <c r="N728">
        <v>0</v>
      </c>
      <c r="O728" t="b">
        <v>1</v>
      </c>
    </row>
    <row r="729" spans="1:15" x14ac:dyDescent="0.3">
      <c r="A729" s="1" t="s">
        <v>833</v>
      </c>
      <c r="B729">
        <v>12.52848495783125</v>
      </c>
      <c r="C729">
        <v>2.253648898732058E-2</v>
      </c>
      <c r="D729">
        <v>2.4284069650309398E-2</v>
      </c>
      <c r="E729">
        <v>51.127185315392808</v>
      </c>
      <c r="F729">
        <v>-3.5196112460951223E-2</v>
      </c>
      <c r="G729">
        <v>0.2</v>
      </c>
      <c r="H729">
        <v>0.116684893589404</v>
      </c>
      <c r="I729">
        <v>0.90105612094794629</v>
      </c>
      <c r="J729">
        <v>-3.9646207265880203E-2</v>
      </c>
      <c r="K729">
        <v>-3.9596509773709432E-3</v>
      </c>
      <c r="L729">
        <v>0</v>
      </c>
      <c r="M729">
        <v>923322255.5</v>
      </c>
      <c r="N729">
        <v>0</v>
      </c>
      <c r="O729" t="b">
        <v>1</v>
      </c>
    </row>
    <row r="730" spans="1:15" x14ac:dyDescent="0.3">
      <c r="A730" s="1" t="s">
        <v>834</v>
      </c>
      <c r="B730">
        <v>6.509523578647837E-2</v>
      </c>
      <c r="C730">
        <v>1.345231946254533E-3</v>
      </c>
      <c r="D730">
        <v>2.4633392299171579E-3</v>
      </c>
      <c r="E730">
        <v>56.414501860062543</v>
      </c>
      <c r="F730">
        <v>3.2592199434404718E-3</v>
      </c>
      <c r="G730">
        <v>0.2</v>
      </c>
      <c r="H730">
        <v>-8.6025155384198984E-2</v>
      </c>
      <c r="I730">
        <v>-6.1122305392445609E-4</v>
      </c>
      <c r="J730">
        <v>-1.640220264044423E-3</v>
      </c>
      <c r="K730">
        <v>1.6435452554532941E-3</v>
      </c>
      <c r="L730">
        <v>0</v>
      </c>
      <c r="M730">
        <v>16392197.784</v>
      </c>
      <c r="N730">
        <v>0</v>
      </c>
      <c r="O730" t="b">
        <v>0</v>
      </c>
    </row>
    <row r="731" spans="1:15" x14ac:dyDescent="0.3">
      <c r="A731" s="1" t="s">
        <v>835</v>
      </c>
      <c r="B731">
        <v>6.5957769692567343</v>
      </c>
      <c r="C731">
        <v>2.85679875660808E-2</v>
      </c>
      <c r="D731">
        <v>3.1358281358281268E-2</v>
      </c>
      <c r="E731">
        <v>47.321325935814897</v>
      </c>
      <c r="F731">
        <v>9.7970608817354865E-3</v>
      </c>
      <c r="G731">
        <v>0.6</v>
      </c>
      <c r="H731">
        <v>-5.670183346172384E-2</v>
      </c>
      <c r="I731">
        <v>0.99017474294299013</v>
      </c>
      <c r="J731">
        <v>-1.9118021921998522E-2</v>
      </c>
      <c r="K731">
        <v>6.5393669892754858E-3</v>
      </c>
      <c r="L731">
        <v>0</v>
      </c>
      <c r="M731">
        <v>260177581</v>
      </c>
      <c r="N731">
        <v>0</v>
      </c>
      <c r="O731" t="b">
        <v>1</v>
      </c>
    </row>
    <row r="732" spans="1:15" x14ac:dyDescent="0.3">
      <c r="A732" s="1" t="s">
        <v>836</v>
      </c>
      <c r="B732">
        <v>3.6671941529120731</v>
      </c>
      <c r="C732">
        <v>1.7937752655605911E-2</v>
      </c>
      <c r="D732">
        <v>1.961455683819209E-2</v>
      </c>
      <c r="E732">
        <v>49.5508698181048</v>
      </c>
      <c r="F732">
        <v>-3.0952268094989851E-2</v>
      </c>
      <c r="G732">
        <v>0.6</v>
      </c>
      <c r="H732">
        <v>-3.6959161193912529E-2</v>
      </c>
      <c r="I732">
        <v>1.0101760768815271</v>
      </c>
      <c r="J732">
        <v>-2.8834734691938649E-2</v>
      </c>
      <c r="K732">
        <v>8.9325371366530959E-3</v>
      </c>
      <c r="L732">
        <v>0</v>
      </c>
      <c r="M732">
        <v>90039823.704999998</v>
      </c>
      <c r="N732">
        <v>1</v>
      </c>
      <c r="O732" t="b">
        <v>0</v>
      </c>
    </row>
    <row r="733" spans="1:15" x14ac:dyDescent="0.3">
      <c r="A733" s="1" t="s">
        <v>837</v>
      </c>
      <c r="B733">
        <v>1.6267563472480471</v>
      </c>
      <c r="C733">
        <v>1.085821695155486E-2</v>
      </c>
      <c r="D733">
        <v>1.204127674912228E-2</v>
      </c>
      <c r="E733">
        <v>61.437260994588478</v>
      </c>
      <c r="F733">
        <v>1.11018876583453E-2</v>
      </c>
      <c r="G733">
        <v>0.6</v>
      </c>
      <c r="H733">
        <v>-5.66895144204871E-2</v>
      </c>
      <c r="I733">
        <v>1.032538983804915</v>
      </c>
      <c r="J733">
        <v>0</v>
      </c>
      <c r="K733">
        <v>7.3762279704951972E-3</v>
      </c>
      <c r="L733">
        <v>0</v>
      </c>
      <c r="M733">
        <v>212468009.586</v>
      </c>
      <c r="N733">
        <v>0</v>
      </c>
      <c r="O733" t="b">
        <v>1</v>
      </c>
    </row>
    <row r="734" spans="1:15" x14ac:dyDescent="0.3">
      <c r="A734" s="1" t="s">
        <v>838</v>
      </c>
      <c r="B734">
        <v>5.5894820732096981</v>
      </c>
      <c r="C734">
        <v>3.2521569053410707E-2</v>
      </c>
      <c r="D734">
        <v>1.710595217315411E-2</v>
      </c>
      <c r="E734">
        <v>37.874140338816119</v>
      </c>
      <c r="F734">
        <v>-9.8675309146974644E-2</v>
      </c>
      <c r="G734">
        <v>0.6</v>
      </c>
      <c r="H734">
        <v>-5.9958204536416378E-2</v>
      </c>
      <c r="I734">
        <v>1.0471824566885219</v>
      </c>
      <c r="J734">
        <v>-9.6167903364062335E-2</v>
      </c>
      <c r="K734">
        <v>8.0351906158357966E-3</v>
      </c>
      <c r="L734">
        <v>0</v>
      </c>
      <c r="M734">
        <v>66504819.689499997</v>
      </c>
      <c r="N734">
        <v>0</v>
      </c>
      <c r="O734" t="b">
        <v>0</v>
      </c>
    </row>
    <row r="735" spans="1:15" x14ac:dyDescent="0.3">
      <c r="A735" s="1" t="s">
        <v>839</v>
      </c>
      <c r="B735">
        <v>0.16734923503292451</v>
      </c>
      <c r="C735">
        <v>2.4270396077405231E-2</v>
      </c>
      <c r="D735">
        <v>1.731059287620379E-2</v>
      </c>
      <c r="E735">
        <v>48.480603596864313</v>
      </c>
      <c r="F735">
        <v>-1.5342785006797531E-2</v>
      </c>
      <c r="G735">
        <v>0.6</v>
      </c>
      <c r="H735">
        <v>2.0051442729315271E-2</v>
      </c>
      <c r="I735">
        <v>0.74826844327892761</v>
      </c>
      <c r="J735">
        <v>-6.9392051934380139E-2</v>
      </c>
      <c r="K735">
        <v>-1.184179035602761E-2</v>
      </c>
      <c r="L735">
        <v>0</v>
      </c>
      <c r="M735">
        <v>166516935.0758</v>
      </c>
      <c r="N735">
        <v>0</v>
      </c>
      <c r="O735" t="b">
        <v>1</v>
      </c>
    </row>
    <row r="736" spans="1:15" x14ac:dyDescent="0.3">
      <c r="A736" s="1" t="s">
        <v>840</v>
      </c>
      <c r="B736">
        <v>4.1654448062277449</v>
      </c>
      <c r="C736">
        <v>1.6535907894021689E-2</v>
      </c>
      <c r="D736">
        <v>3.0055219667888031E-2</v>
      </c>
      <c r="E736">
        <v>60.441525561277153</v>
      </c>
      <c r="F736">
        <v>3.7910688828274967E-2</v>
      </c>
      <c r="G736">
        <v>0.4</v>
      </c>
      <c r="H736">
        <v>-0.1099342612286716</v>
      </c>
      <c r="I736">
        <v>0.25592567733201799</v>
      </c>
      <c r="J736">
        <v>0</v>
      </c>
      <c r="K736">
        <v>2.7978306202483649E-2</v>
      </c>
      <c r="L736">
        <v>0</v>
      </c>
      <c r="M736">
        <v>238788442.64199999</v>
      </c>
      <c r="N736">
        <v>0</v>
      </c>
      <c r="O736" t="b">
        <v>1</v>
      </c>
    </row>
    <row r="737" spans="1:15" x14ac:dyDescent="0.3">
      <c r="A737" s="1" t="s">
        <v>841</v>
      </c>
      <c r="B737">
        <v>0.12229911332102709</v>
      </c>
      <c r="C737">
        <v>2.64025770917722E-3</v>
      </c>
      <c r="D737">
        <v>3.6441433564545888E-3</v>
      </c>
      <c r="E737">
        <v>52.190351565861413</v>
      </c>
      <c r="F737">
        <v>2.4931988910459339E-3</v>
      </c>
      <c r="G737">
        <v>0.2</v>
      </c>
      <c r="H737">
        <v>-8.8790138926090834E-2</v>
      </c>
      <c r="I737">
        <v>1.339276533643147E-2</v>
      </c>
      <c r="J737">
        <v>-4.5409415415561538E-3</v>
      </c>
      <c r="K737">
        <v>3.0098371872964158E-3</v>
      </c>
      <c r="L737">
        <v>0</v>
      </c>
      <c r="M737">
        <v>115145286.74600001</v>
      </c>
      <c r="N737">
        <v>0</v>
      </c>
      <c r="O737" t="b">
        <v>1</v>
      </c>
    </row>
    <row r="738" spans="1:15" x14ac:dyDescent="0.3">
      <c r="A738" s="1" t="s">
        <v>842</v>
      </c>
      <c r="B738">
        <v>2.236725289170939</v>
      </c>
      <c r="C738">
        <v>1.319586370173177E-2</v>
      </c>
      <c r="D738">
        <v>1.125060471262882E-2</v>
      </c>
      <c r="E738">
        <v>59.181838427413638</v>
      </c>
      <c r="F738">
        <v>2.5373655166702762E-3</v>
      </c>
      <c r="G738">
        <v>0.6</v>
      </c>
      <c r="H738">
        <v>1.3498423479600069E-3</v>
      </c>
      <c r="I738">
        <v>1.2343512727501931</v>
      </c>
      <c r="J738">
        <v>0</v>
      </c>
      <c r="K738">
        <v>4.4384396129255599E-3</v>
      </c>
      <c r="L738">
        <v>0</v>
      </c>
      <c r="M738">
        <v>62408653.189999998</v>
      </c>
      <c r="N738">
        <v>0</v>
      </c>
      <c r="O738" t="b">
        <v>0</v>
      </c>
    </row>
    <row r="739" spans="1:15" x14ac:dyDescent="0.3">
      <c r="A739" s="1" t="s">
        <v>843</v>
      </c>
      <c r="B739">
        <v>0.93616810829633668</v>
      </c>
      <c r="C739">
        <v>9.1192015146878171E-3</v>
      </c>
      <c r="D739">
        <v>1.3559454115079981E-2</v>
      </c>
      <c r="E739">
        <v>61.829852997659593</v>
      </c>
      <c r="F739">
        <v>1.9251389992057218E-2</v>
      </c>
      <c r="G739">
        <v>0.4</v>
      </c>
      <c r="H739">
        <v>-1.453567768250136E-2</v>
      </c>
      <c r="I739">
        <v>0.71514245614780592</v>
      </c>
      <c r="J739">
        <v>0</v>
      </c>
      <c r="K739">
        <v>1.017466174661763E-2</v>
      </c>
      <c r="L739">
        <v>0</v>
      </c>
      <c r="M739">
        <v>62401175.192200013</v>
      </c>
      <c r="N739">
        <v>0</v>
      </c>
      <c r="O739" t="b">
        <v>0</v>
      </c>
    </row>
    <row r="740" spans="1:15" x14ac:dyDescent="0.3">
      <c r="A740" s="1" t="s">
        <v>844</v>
      </c>
      <c r="B740">
        <v>1.9183503443241889</v>
      </c>
      <c r="C740">
        <v>9.0399955907401238E-3</v>
      </c>
      <c r="D740">
        <v>1.3180526561329261E-2</v>
      </c>
      <c r="E740">
        <v>61.531741456902857</v>
      </c>
      <c r="F740">
        <v>1.8292185513087981E-2</v>
      </c>
      <c r="G740">
        <v>0.2</v>
      </c>
      <c r="H740">
        <v>-5.6230109264302991E-3</v>
      </c>
      <c r="I740">
        <v>0.71112907751439214</v>
      </c>
      <c r="J740">
        <v>0</v>
      </c>
      <c r="K740">
        <v>9.9468391420018953E-3</v>
      </c>
      <c r="L740">
        <v>0</v>
      </c>
      <c r="M740">
        <v>108892040.508</v>
      </c>
      <c r="N740">
        <v>0</v>
      </c>
      <c r="O740" t="b">
        <v>1</v>
      </c>
    </row>
    <row r="741" spans="1:15" x14ac:dyDescent="0.3">
      <c r="A741" s="1" t="s">
        <v>845</v>
      </c>
      <c r="B741">
        <v>7.2773240334703821</v>
      </c>
      <c r="C741">
        <v>1.057010064674223E-2</v>
      </c>
      <c r="D741">
        <v>1.107218489372278E-2</v>
      </c>
      <c r="E741">
        <v>60.947502995718153</v>
      </c>
      <c r="F741">
        <v>8.906747322700248E-3</v>
      </c>
      <c r="G741">
        <v>0.6</v>
      </c>
      <c r="H741">
        <v>4.2781116638346923E-3</v>
      </c>
      <c r="I741">
        <v>0.9946890365572868</v>
      </c>
      <c r="J741">
        <v>0</v>
      </c>
      <c r="K741">
        <v>6.4231502379810124E-3</v>
      </c>
      <c r="L741">
        <v>0</v>
      </c>
      <c r="M741">
        <v>3429829004.1739998</v>
      </c>
      <c r="N741">
        <v>0</v>
      </c>
      <c r="O741" t="b">
        <v>1</v>
      </c>
    </row>
    <row r="742" spans="1:15" x14ac:dyDescent="0.3">
      <c r="A742" s="1" t="s">
        <v>846</v>
      </c>
      <c r="B742">
        <v>1.688998399362293</v>
      </c>
      <c r="C742">
        <v>1.357857653422217E-2</v>
      </c>
      <c r="D742">
        <v>1.1158722374524709E-2</v>
      </c>
      <c r="E742">
        <v>58.906841023242642</v>
      </c>
      <c r="F742">
        <v>1.6024092504911549E-3</v>
      </c>
      <c r="G742">
        <v>0.6</v>
      </c>
      <c r="H742">
        <v>7.2104545386931099E-3</v>
      </c>
      <c r="I742">
        <v>1.2353628091045019</v>
      </c>
      <c r="J742">
        <v>0</v>
      </c>
      <c r="K742">
        <v>3.8657713787648711E-3</v>
      </c>
      <c r="L742">
        <v>0</v>
      </c>
      <c r="M742">
        <v>197145199.59650001</v>
      </c>
      <c r="N742">
        <v>0</v>
      </c>
      <c r="O742" t="b">
        <v>1</v>
      </c>
    </row>
    <row r="743" spans="1:15" x14ac:dyDescent="0.3">
      <c r="A743" s="1" t="s">
        <v>847</v>
      </c>
      <c r="B743">
        <v>0.81545959064958984</v>
      </c>
      <c r="C743">
        <v>3.0525094729793291E-2</v>
      </c>
      <c r="D743">
        <v>3.8615877579133387E-2</v>
      </c>
      <c r="E743">
        <v>72.44129230500053</v>
      </c>
      <c r="F743">
        <v>0.14923382690768941</v>
      </c>
      <c r="G743">
        <v>0.8</v>
      </c>
      <c r="H743">
        <v>0.1624133873670244</v>
      </c>
      <c r="I743">
        <v>1.5758312265276151</v>
      </c>
      <c r="J743">
        <v>0</v>
      </c>
      <c r="K743">
        <v>1.469566043110815E-2</v>
      </c>
      <c r="L743">
        <v>0</v>
      </c>
      <c r="M743">
        <v>82368094.225100011</v>
      </c>
      <c r="N743">
        <v>0</v>
      </c>
      <c r="O743" t="b">
        <v>0</v>
      </c>
    </row>
    <row r="744" spans="1:15" x14ac:dyDescent="0.3">
      <c r="A744" s="1" t="s">
        <v>848</v>
      </c>
      <c r="B744">
        <v>4.0168926164152952</v>
      </c>
      <c r="C744">
        <v>1.0692353355964249E-2</v>
      </c>
      <c r="D744">
        <v>1.1544430218351279E-2</v>
      </c>
      <c r="E744">
        <v>60.821354399623921</v>
      </c>
      <c r="F744">
        <v>9.7540653138017408E-3</v>
      </c>
      <c r="G744">
        <v>0.6</v>
      </c>
      <c r="H744">
        <v>-0.13383245600488691</v>
      </c>
      <c r="I744">
        <v>1.0060700626759</v>
      </c>
      <c r="J744">
        <v>0</v>
      </c>
      <c r="K744">
        <v>7.0554112484484399E-3</v>
      </c>
      <c r="L744">
        <v>0</v>
      </c>
      <c r="M744">
        <v>271657915.76749998</v>
      </c>
      <c r="N744">
        <v>0</v>
      </c>
      <c r="O744" t="b">
        <v>1</v>
      </c>
    </row>
    <row r="745" spans="1:15" x14ac:dyDescent="0.3">
      <c r="A745" s="1" t="s">
        <v>849</v>
      </c>
      <c r="B745">
        <v>2.0964260370183472</v>
      </c>
      <c r="C745">
        <v>9.9604988598038114E-3</v>
      </c>
      <c r="D745">
        <v>1.550785370164477E-2</v>
      </c>
      <c r="E745">
        <v>63.468891080702463</v>
      </c>
      <c r="F745">
        <v>2.739906570796791E-2</v>
      </c>
      <c r="G745">
        <v>0.4</v>
      </c>
      <c r="H745">
        <v>-2.3047641035195181E-2</v>
      </c>
      <c r="I745">
        <v>0.72911392590078405</v>
      </c>
      <c r="J745">
        <v>0</v>
      </c>
      <c r="K745">
        <v>1.3658386229880691E-2</v>
      </c>
      <c r="L745">
        <v>0</v>
      </c>
      <c r="M745">
        <v>435006606.18550003</v>
      </c>
      <c r="N745">
        <v>0</v>
      </c>
      <c r="O745" t="b">
        <v>1</v>
      </c>
    </row>
    <row r="746" spans="1:15" x14ac:dyDescent="0.3">
      <c r="A746" s="1" t="s">
        <v>850</v>
      </c>
      <c r="B746">
        <v>6.5265822179447284</v>
      </c>
      <c r="C746">
        <v>1.3631522680163429E-2</v>
      </c>
      <c r="D746">
        <v>1.0871245190962111E-2</v>
      </c>
      <c r="E746">
        <v>56.989872727952907</v>
      </c>
      <c r="F746">
        <v>-5.3535481538879992E-3</v>
      </c>
      <c r="G746">
        <v>0.6</v>
      </c>
      <c r="H746">
        <v>-5.0039505632541543E-3</v>
      </c>
      <c r="I746">
        <v>1.2502243358514029</v>
      </c>
      <c r="J746">
        <v>-3.4717163349665681E-3</v>
      </c>
      <c r="K746">
        <v>1.629683247316382E-3</v>
      </c>
      <c r="L746">
        <v>0</v>
      </c>
      <c r="M746">
        <v>513727605.1135</v>
      </c>
      <c r="N746">
        <v>0</v>
      </c>
      <c r="O746" t="b">
        <v>1</v>
      </c>
    </row>
    <row r="747" spans="1:15" x14ac:dyDescent="0.3">
      <c r="A747" s="1" t="s">
        <v>851</v>
      </c>
      <c r="B747">
        <v>4.269934578039809</v>
      </c>
      <c r="C747">
        <v>1.6813546247961511E-2</v>
      </c>
      <c r="D747">
        <v>2.3665330487718409E-2</v>
      </c>
      <c r="E747">
        <v>65.001342263180931</v>
      </c>
      <c r="F747">
        <v>4.4175088605096668E-2</v>
      </c>
      <c r="G747">
        <v>0.8</v>
      </c>
      <c r="H747">
        <v>3.0721466952610899E-2</v>
      </c>
      <c r="I747">
        <v>1.3497442017866059</v>
      </c>
      <c r="J747">
        <v>0</v>
      </c>
      <c r="K747">
        <v>1.3602075434045119E-2</v>
      </c>
      <c r="L747">
        <v>0</v>
      </c>
      <c r="M747">
        <v>6918598829.7525005</v>
      </c>
      <c r="N747">
        <v>0</v>
      </c>
      <c r="O747" t="b">
        <v>1</v>
      </c>
    </row>
    <row r="748" spans="1:15" x14ac:dyDescent="0.3">
      <c r="A748" s="1" t="s">
        <v>852</v>
      </c>
      <c r="B748">
        <v>2.8784729232439599</v>
      </c>
      <c r="C748">
        <v>1.542523859236453E-2</v>
      </c>
      <c r="D748">
        <v>2.616179370659337E-2</v>
      </c>
      <c r="E748">
        <v>68.954579736351832</v>
      </c>
      <c r="F748">
        <v>5.9442028409542491E-2</v>
      </c>
      <c r="G748">
        <v>0.6</v>
      </c>
      <c r="H748">
        <v>3.1487405149517207E-2</v>
      </c>
      <c r="I748">
        <v>1.153938185855589</v>
      </c>
      <c r="J748">
        <v>0</v>
      </c>
      <c r="K748">
        <v>1.9387192107462651E-2</v>
      </c>
      <c r="L748">
        <v>0</v>
      </c>
      <c r="M748">
        <v>130935159.2</v>
      </c>
      <c r="N748">
        <v>0</v>
      </c>
      <c r="O748" t="b">
        <v>1</v>
      </c>
    </row>
    <row r="749" spans="1:15" x14ac:dyDescent="0.3">
      <c r="A749" s="1" t="s">
        <v>853</v>
      </c>
      <c r="B749">
        <v>6.3329124895910178</v>
      </c>
      <c r="C749">
        <v>1.8977861820770211E-2</v>
      </c>
      <c r="D749">
        <v>2.1321546299071049E-2</v>
      </c>
      <c r="E749">
        <v>61.401533130196682</v>
      </c>
      <c r="F749">
        <v>2.9172744964393701E-2</v>
      </c>
      <c r="G749">
        <v>0.8</v>
      </c>
      <c r="H749">
        <v>2.793554959828989E-2</v>
      </c>
      <c r="I749">
        <v>1.5356292750634111</v>
      </c>
      <c r="J749">
        <v>0</v>
      </c>
      <c r="K749">
        <v>8.3825386944513802E-3</v>
      </c>
      <c r="L749">
        <v>0</v>
      </c>
      <c r="M749">
        <v>105853258.748</v>
      </c>
      <c r="N749">
        <v>0</v>
      </c>
      <c r="O749" t="b">
        <v>1</v>
      </c>
    </row>
    <row r="750" spans="1:15" x14ac:dyDescent="0.3">
      <c r="A750" s="1" t="s">
        <v>854</v>
      </c>
      <c r="B750">
        <v>1.9548028928077119</v>
      </c>
      <c r="C750">
        <v>1.396487278759617E-2</v>
      </c>
      <c r="D750">
        <v>1.6409487069581351E-2</v>
      </c>
      <c r="E750">
        <v>56.092609658113872</v>
      </c>
      <c r="F750">
        <v>-5.1101997882004868E-3</v>
      </c>
      <c r="G750">
        <v>0.6</v>
      </c>
      <c r="H750">
        <v>-0.24443783723691909</v>
      </c>
      <c r="I750">
        <v>1.1541401287028861</v>
      </c>
      <c r="J750">
        <v>-3.0553596991645948E-3</v>
      </c>
      <c r="K750">
        <v>1.0744302920024261E-2</v>
      </c>
      <c r="L750">
        <v>0</v>
      </c>
      <c r="M750">
        <v>118731199.90700001</v>
      </c>
      <c r="N750">
        <v>0</v>
      </c>
      <c r="O750" t="b">
        <v>1</v>
      </c>
    </row>
    <row r="751" spans="1:15" x14ac:dyDescent="0.3">
      <c r="A751" s="1" t="s">
        <v>855</v>
      </c>
      <c r="B751">
        <v>1.1602301721841459</v>
      </c>
      <c r="C751">
        <v>1.188223530335316E-2</v>
      </c>
      <c r="D751">
        <v>1.754432679496264E-2</v>
      </c>
      <c r="E751">
        <v>61.922130810591391</v>
      </c>
      <c r="F751">
        <v>1.9974533044888831E-2</v>
      </c>
      <c r="G751">
        <v>0.6</v>
      </c>
      <c r="H751">
        <v>-0.12259598068482851</v>
      </c>
      <c r="I751">
        <v>0.92687059252839543</v>
      </c>
      <c r="J751">
        <v>0</v>
      </c>
      <c r="K751">
        <v>1.438192722395759E-2</v>
      </c>
      <c r="L751">
        <v>0</v>
      </c>
      <c r="M751">
        <v>142297090.70860001</v>
      </c>
      <c r="N751">
        <v>0</v>
      </c>
      <c r="O751" t="b">
        <v>1</v>
      </c>
    </row>
    <row r="752" spans="1:15" x14ac:dyDescent="0.3">
      <c r="A752" s="1" t="s">
        <v>856</v>
      </c>
      <c r="B752">
        <v>1.653681486517951</v>
      </c>
      <c r="C752">
        <v>1.1586731453580751E-2</v>
      </c>
      <c r="D752">
        <v>1.890388307338748E-2</v>
      </c>
      <c r="E752">
        <v>64.021967522067868</v>
      </c>
      <c r="F752">
        <v>2.8256484149855821E-2</v>
      </c>
      <c r="G752">
        <v>0.6</v>
      </c>
      <c r="H752">
        <v>-6.8278082935281939E-2</v>
      </c>
      <c r="I752">
        <v>0.84957903196983098</v>
      </c>
      <c r="J752">
        <v>0</v>
      </c>
      <c r="K752">
        <v>1.580048682581037E-2</v>
      </c>
      <c r="L752">
        <v>0</v>
      </c>
      <c r="M752">
        <v>55011306.553499997</v>
      </c>
      <c r="N752">
        <v>0</v>
      </c>
      <c r="O752" t="b">
        <v>0</v>
      </c>
    </row>
    <row r="753" spans="1:15" x14ac:dyDescent="0.3">
      <c r="A753" s="1" t="s">
        <v>857</v>
      </c>
      <c r="B753">
        <v>4.0818234036262986</v>
      </c>
      <c r="C753">
        <v>1.04731422418582E-2</v>
      </c>
      <c r="D753">
        <v>1.1204848335565631E-2</v>
      </c>
      <c r="E753">
        <v>61.544978204026911</v>
      </c>
      <c r="F753">
        <v>1.128196079855948E-2</v>
      </c>
      <c r="G753">
        <v>0.6</v>
      </c>
      <c r="H753">
        <v>-6.0042593881066593E-2</v>
      </c>
      <c r="I753">
        <v>1.018159734359295</v>
      </c>
      <c r="J753">
        <v>0</v>
      </c>
      <c r="K753">
        <v>7.6841533728055911E-3</v>
      </c>
      <c r="L753">
        <v>0</v>
      </c>
      <c r="M753">
        <v>56233544.824500002</v>
      </c>
      <c r="N753">
        <v>0</v>
      </c>
      <c r="O753" t="b">
        <v>0</v>
      </c>
    </row>
    <row r="754" spans="1:15" x14ac:dyDescent="0.3">
      <c r="A754" s="1" t="s">
        <v>858</v>
      </c>
      <c r="B754">
        <v>3.8456947829805901</v>
      </c>
      <c r="C754">
        <v>1.3740120273039891E-2</v>
      </c>
      <c r="D754">
        <v>1.035056879894832E-2</v>
      </c>
      <c r="E754">
        <v>56.515643979504787</v>
      </c>
      <c r="F754">
        <v>-6.1007222857467616E-3</v>
      </c>
      <c r="G754">
        <v>0.8</v>
      </c>
      <c r="H754">
        <v>2.2642124028269879E-2</v>
      </c>
      <c r="I754">
        <v>1.253813818580001</v>
      </c>
      <c r="J754">
        <v>-5.3271828478217431E-3</v>
      </c>
      <c r="K754">
        <v>9.6560307276338797E-4</v>
      </c>
      <c r="L754">
        <v>0</v>
      </c>
      <c r="M754">
        <v>64393747.005999997</v>
      </c>
      <c r="N754">
        <v>0</v>
      </c>
      <c r="O754" t="b">
        <v>0</v>
      </c>
    </row>
    <row r="755" spans="1:15" x14ac:dyDescent="0.3">
      <c r="A755" s="1" t="s">
        <v>859</v>
      </c>
      <c r="B755">
        <v>0.41507285514148629</v>
      </c>
      <c r="C755">
        <v>1.473980309451301E-2</v>
      </c>
      <c r="D755">
        <v>1.6690340909090991E-2</v>
      </c>
      <c r="E755">
        <v>72.35695162807788</v>
      </c>
      <c r="F755">
        <v>0.1148060174188439</v>
      </c>
      <c r="G755">
        <v>0.6</v>
      </c>
      <c r="H755">
        <v>-2.5959375948094599E-3</v>
      </c>
      <c r="I755">
        <v>0.79413729597394556</v>
      </c>
      <c r="J755">
        <v>0</v>
      </c>
      <c r="K755">
        <v>1.331414177761792E-2</v>
      </c>
      <c r="L755">
        <v>0</v>
      </c>
      <c r="M755">
        <v>3565165.1483999998</v>
      </c>
      <c r="N755">
        <v>1</v>
      </c>
      <c r="O755" t="b">
        <v>0</v>
      </c>
    </row>
    <row r="756" spans="1:15" x14ac:dyDescent="0.3">
      <c r="A756" s="1" t="s">
        <v>860</v>
      </c>
      <c r="B756">
        <v>1.146087248823255</v>
      </c>
      <c r="C756">
        <v>1.1984073153989409E-2</v>
      </c>
      <c r="D756">
        <v>1.5693130700105171E-2</v>
      </c>
      <c r="E756">
        <v>53.663751894316214</v>
      </c>
      <c r="F756">
        <v>3.5514318228821118E-2</v>
      </c>
      <c r="G756">
        <v>0.2</v>
      </c>
      <c r="H756">
        <v>4.8493000172395218E-2</v>
      </c>
      <c r="I756">
        <v>0.43783217568226229</v>
      </c>
      <c r="J756">
        <v>-2.9942354956733249E-2</v>
      </c>
      <c r="K756">
        <v>1.551504622870015E-2</v>
      </c>
      <c r="L756">
        <v>0</v>
      </c>
      <c r="M756">
        <v>13337786.98545</v>
      </c>
      <c r="N756">
        <v>0</v>
      </c>
      <c r="O756" t="b">
        <v>0</v>
      </c>
    </row>
    <row r="757" spans="1:15" x14ac:dyDescent="0.3">
      <c r="A757" s="1" t="s">
        <v>861</v>
      </c>
      <c r="B757">
        <v>1.874396141936598</v>
      </c>
      <c r="C757">
        <v>1.74964635670363E-2</v>
      </c>
      <c r="D757">
        <v>1.38803323065434E-2</v>
      </c>
      <c r="E757">
        <v>61.014152154344977</v>
      </c>
      <c r="F757">
        <v>-2.0307784029511828E-3</v>
      </c>
      <c r="G757">
        <v>1</v>
      </c>
      <c r="H757">
        <v>9.9404886966161718E-2</v>
      </c>
      <c r="I757">
        <v>1.525160878119747</v>
      </c>
      <c r="J757">
        <v>0</v>
      </c>
      <c r="K757">
        <v>3.5221162673060298E-3</v>
      </c>
      <c r="L757">
        <v>0</v>
      </c>
      <c r="M757">
        <v>14562505.99815</v>
      </c>
      <c r="N757">
        <v>0</v>
      </c>
      <c r="O757" t="b">
        <v>0</v>
      </c>
    </row>
    <row r="758" spans="1:15" x14ac:dyDescent="0.3">
      <c r="A758" s="1" t="s">
        <v>862</v>
      </c>
      <c r="B758">
        <v>0.702708906531327</v>
      </c>
      <c r="C758">
        <v>8.3948041340490831E-3</v>
      </c>
      <c r="D758">
        <v>1.2428978969651561E-2</v>
      </c>
      <c r="E758">
        <v>62.497045262496847</v>
      </c>
      <c r="F758">
        <v>9.4690939963146814E-3</v>
      </c>
      <c r="G758">
        <v>0.6</v>
      </c>
      <c r="H758">
        <v>-3.6290855449747472E-2</v>
      </c>
      <c r="I758">
        <v>0.79622115283335038</v>
      </c>
      <c r="J758">
        <v>0</v>
      </c>
      <c r="K758">
        <v>1.090519125749068E-2</v>
      </c>
      <c r="L758">
        <v>0</v>
      </c>
      <c r="M758">
        <v>116341394.9868</v>
      </c>
      <c r="N758">
        <v>0</v>
      </c>
      <c r="O758" t="b">
        <v>1</v>
      </c>
    </row>
    <row r="759" spans="1:15" x14ac:dyDescent="0.3">
      <c r="A759" s="1" t="s">
        <v>863</v>
      </c>
      <c r="B759">
        <v>1.538537558701859</v>
      </c>
      <c r="C759">
        <v>1.207027465344886E-2</v>
      </c>
      <c r="D759">
        <v>1.8044168987565189E-2</v>
      </c>
      <c r="E759">
        <v>64.511409975701753</v>
      </c>
      <c r="F759">
        <v>2.8101080004194309E-2</v>
      </c>
      <c r="G759">
        <v>0.4</v>
      </c>
      <c r="H759">
        <v>-7.4571173447119068E-2</v>
      </c>
      <c r="I759">
        <v>0.6914435148978495</v>
      </c>
      <c r="J759">
        <v>0</v>
      </c>
      <c r="K759">
        <v>1.257526890262306E-2</v>
      </c>
      <c r="L759">
        <v>0</v>
      </c>
      <c r="M759">
        <v>32863711.098000001</v>
      </c>
      <c r="N759">
        <v>0</v>
      </c>
      <c r="O759" t="b">
        <v>0</v>
      </c>
    </row>
    <row r="760" spans="1:15" x14ac:dyDescent="0.3">
      <c r="A760" s="1" t="s">
        <v>864</v>
      </c>
      <c r="B760">
        <v>1.034386506512599</v>
      </c>
      <c r="C760">
        <v>1.104486025584389E-2</v>
      </c>
      <c r="D760">
        <v>1.026339729982537E-2</v>
      </c>
      <c r="E760">
        <v>44.265784136515677</v>
      </c>
      <c r="F760">
        <v>-1.0262691507361249E-2</v>
      </c>
      <c r="G760">
        <v>0.2</v>
      </c>
      <c r="H760">
        <v>-0.14809534793425799</v>
      </c>
      <c r="I760">
        <v>0.36085988232127852</v>
      </c>
      <c r="J760">
        <v>-2.4664267898335309E-2</v>
      </c>
      <c r="K760">
        <v>3.7178625666220988E-3</v>
      </c>
      <c r="L760">
        <v>0</v>
      </c>
      <c r="M760">
        <v>549269951.30569994</v>
      </c>
      <c r="N760">
        <v>0</v>
      </c>
      <c r="O760" t="b">
        <v>1</v>
      </c>
    </row>
    <row r="761" spans="1:15" x14ac:dyDescent="0.3">
      <c r="A761" s="1" t="s">
        <v>865</v>
      </c>
      <c r="B761">
        <v>3.486675430260338</v>
      </c>
      <c r="C761">
        <v>1.7037011088331659E-2</v>
      </c>
      <c r="D761">
        <v>1.368169535750764E-2</v>
      </c>
      <c r="E761">
        <v>61.258237185053183</v>
      </c>
      <c r="F761">
        <v>-6.8361711581943485E-4</v>
      </c>
      <c r="G761">
        <v>1</v>
      </c>
      <c r="H761">
        <v>0.10167652024924539</v>
      </c>
      <c r="I761">
        <v>1.5158800323882211</v>
      </c>
      <c r="J761">
        <v>0</v>
      </c>
      <c r="K761">
        <v>2.105541491408847E-3</v>
      </c>
      <c r="L761">
        <v>0</v>
      </c>
      <c r="M761">
        <v>114784459.9065</v>
      </c>
      <c r="N761">
        <v>0</v>
      </c>
      <c r="O761" t="b">
        <v>1</v>
      </c>
    </row>
    <row r="762" spans="1:15" x14ac:dyDescent="0.3">
      <c r="A762" s="1" t="s">
        <v>866</v>
      </c>
      <c r="B762">
        <v>4.373636625211005</v>
      </c>
      <c r="C762">
        <v>3.2337424215977857E-2</v>
      </c>
      <c r="D762">
        <v>4.5693160813308743E-2</v>
      </c>
      <c r="E762">
        <v>38.103333523107601</v>
      </c>
      <c r="F762">
        <v>-0.12122826623697271</v>
      </c>
      <c r="G762">
        <v>0.2</v>
      </c>
      <c r="H762">
        <v>-0.11044464916490331</v>
      </c>
      <c r="I762">
        <v>1.50744243194745</v>
      </c>
      <c r="J762">
        <v>-0.12344374809620411</v>
      </c>
      <c r="K762">
        <v>-1.4787296037296E-2</v>
      </c>
      <c r="L762">
        <v>0</v>
      </c>
      <c r="M762">
        <v>100672207.40800001</v>
      </c>
      <c r="N762">
        <v>0</v>
      </c>
      <c r="O762" t="b">
        <v>1</v>
      </c>
    </row>
    <row r="763" spans="1:15" x14ac:dyDescent="0.3">
      <c r="A763" s="1" t="s">
        <v>867</v>
      </c>
      <c r="B763">
        <v>4.2675287429257143E-2</v>
      </c>
      <c r="C763">
        <v>8.5155568606405609E-4</v>
      </c>
      <c r="D763">
        <v>7.9218589430211613E-4</v>
      </c>
      <c r="E763">
        <v>70.613581913708813</v>
      </c>
      <c r="F763">
        <v>2.4704446800423159E-3</v>
      </c>
      <c r="G763">
        <v>0.2</v>
      </c>
      <c r="H763">
        <v>-8.2992895714786907E-2</v>
      </c>
      <c r="I763">
        <v>3.0975671122700669E-2</v>
      </c>
      <c r="J763">
        <v>-3.9493919332678212E-4</v>
      </c>
      <c r="K763">
        <v>3.9724840601573769E-4</v>
      </c>
      <c r="L763">
        <v>0</v>
      </c>
      <c r="M763">
        <v>273983567.12529999</v>
      </c>
      <c r="N763">
        <v>0</v>
      </c>
      <c r="O763" t="b">
        <v>1</v>
      </c>
    </row>
    <row r="764" spans="1:15" x14ac:dyDescent="0.3">
      <c r="A764" s="1" t="s">
        <v>868</v>
      </c>
      <c r="B764">
        <v>0.73116606077026691</v>
      </c>
      <c r="C764">
        <v>1.019109270492221E-2</v>
      </c>
      <c r="D764">
        <v>1.6463727392341889E-2</v>
      </c>
      <c r="E764">
        <v>64.340656971476776</v>
      </c>
      <c r="F764">
        <v>2.8261364955563421E-2</v>
      </c>
      <c r="G764">
        <v>0.4</v>
      </c>
      <c r="H764">
        <v>-5.3878797034445031E-3</v>
      </c>
      <c r="I764">
        <v>0.76115649516940198</v>
      </c>
      <c r="J764">
        <v>0</v>
      </c>
      <c r="K764">
        <v>1.436169761543216E-2</v>
      </c>
      <c r="L764">
        <v>0</v>
      </c>
      <c r="M764">
        <v>17184814.949700002</v>
      </c>
      <c r="N764">
        <v>1</v>
      </c>
      <c r="O764" t="b">
        <v>0</v>
      </c>
    </row>
    <row r="765" spans="1:15" x14ac:dyDescent="0.3">
      <c r="A765" s="1" t="s">
        <v>869</v>
      </c>
      <c r="B765">
        <v>5.6060279087307219</v>
      </c>
      <c r="C765">
        <v>3.3982105284177257E-2</v>
      </c>
      <c r="D765">
        <v>3.0854094683881939E-2</v>
      </c>
      <c r="E765">
        <v>54.836293839299749</v>
      </c>
      <c r="F765">
        <v>0.23860650198963879</v>
      </c>
      <c r="G765">
        <v>0.4</v>
      </c>
      <c r="H765">
        <v>0.1107109368262212</v>
      </c>
      <c r="I765">
        <v>-0.38956836468705291</v>
      </c>
      <c r="J765">
        <v>-8.805970149253739E-2</v>
      </c>
      <c r="K765">
        <v>1.670159004067551E-2</v>
      </c>
      <c r="L765">
        <v>0</v>
      </c>
      <c r="M765">
        <v>92703459</v>
      </c>
      <c r="N765">
        <v>1</v>
      </c>
      <c r="O765" t="b">
        <v>0</v>
      </c>
    </row>
    <row r="766" spans="1:15" x14ac:dyDescent="0.3">
      <c r="A766" s="1" t="s">
        <v>870</v>
      </c>
      <c r="B766">
        <v>4.9730649707530468</v>
      </c>
      <c r="C766">
        <v>2.5150277497815478E-2</v>
      </c>
      <c r="D766">
        <v>5.0274611346556503E-2</v>
      </c>
      <c r="E766">
        <v>81.374862134793005</v>
      </c>
      <c r="F766">
        <v>0.17598710621316391</v>
      </c>
      <c r="G766">
        <v>0.6</v>
      </c>
      <c r="H766">
        <v>0.15232176556839461</v>
      </c>
      <c r="I766">
        <v>0.24202204766963359</v>
      </c>
      <c r="J766">
        <v>0</v>
      </c>
      <c r="K766">
        <v>4.4051723682751558E-2</v>
      </c>
      <c r="L766">
        <v>0</v>
      </c>
      <c r="M766">
        <v>159584843.007</v>
      </c>
      <c r="N766">
        <v>0</v>
      </c>
      <c r="O766" t="b">
        <v>1</v>
      </c>
    </row>
    <row r="767" spans="1:15" x14ac:dyDescent="0.3">
      <c r="A767" s="1" t="s">
        <v>871</v>
      </c>
      <c r="B767">
        <v>7.7870459119479722</v>
      </c>
      <c r="C767">
        <v>3.3871742737857542E-2</v>
      </c>
      <c r="D767">
        <v>3.7568834874596557E-2</v>
      </c>
      <c r="E767">
        <v>69.092223951435344</v>
      </c>
      <c r="F767">
        <v>4.9264276325397871E-2</v>
      </c>
      <c r="G767">
        <v>1</v>
      </c>
      <c r="H767">
        <v>3.0640058223949392E-2</v>
      </c>
      <c r="I767">
        <v>1.943421911617139</v>
      </c>
      <c r="J767">
        <v>0</v>
      </c>
      <c r="K767">
        <v>8.2449631169467796E-3</v>
      </c>
      <c r="L767">
        <v>0</v>
      </c>
      <c r="M767">
        <v>224551757.891</v>
      </c>
      <c r="N767">
        <v>0</v>
      </c>
      <c r="O767" t="b">
        <v>1</v>
      </c>
    </row>
    <row r="768" spans="1:15" x14ac:dyDescent="0.3">
      <c r="A768" s="1" t="s">
        <v>872</v>
      </c>
      <c r="B768">
        <v>0.24375795877055839</v>
      </c>
      <c r="C768">
        <v>4.5386965246461027E-3</v>
      </c>
      <c r="D768">
        <v>3.5098107122775368E-3</v>
      </c>
      <c r="E768">
        <v>51.315570114283418</v>
      </c>
      <c r="F768">
        <v>3.3815594780814968E-3</v>
      </c>
      <c r="G768">
        <v>0.4</v>
      </c>
      <c r="H768">
        <v>-8.6024843312262275E-2</v>
      </c>
      <c r="I768">
        <v>-1.87322630784479E-2</v>
      </c>
      <c r="J768">
        <v>-5.8033954028222654E-3</v>
      </c>
      <c r="K768">
        <v>2.87193199982072E-3</v>
      </c>
      <c r="L768">
        <v>0</v>
      </c>
      <c r="M768">
        <v>17791679.146600001</v>
      </c>
      <c r="N768">
        <v>0</v>
      </c>
      <c r="O768" t="b">
        <v>0</v>
      </c>
    </row>
    <row r="769" spans="1:15" x14ac:dyDescent="0.3">
      <c r="A769" s="1" t="s">
        <v>873</v>
      </c>
      <c r="B769">
        <v>0.40279588625856749</v>
      </c>
      <c r="C769">
        <v>2.870961413104544E-2</v>
      </c>
      <c r="D769">
        <v>1.88880969351389E-2</v>
      </c>
      <c r="E769">
        <v>49.973514792329603</v>
      </c>
      <c r="F769">
        <v>7.0992366412213626E-2</v>
      </c>
      <c r="G769">
        <v>0.4</v>
      </c>
      <c r="H769">
        <v>-0.13540087185747521</v>
      </c>
      <c r="I769">
        <v>0.23345968797918509</v>
      </c>
      <c r="J769">
        <v>-6.2792251169004776E-2</v>
      </c>
      <c r="K769">
        <v>1.22655122655122E-2</v>
      </c>
      <c r="O769" t="b">
        <v>0</v>
      </c>
    </row>
    <row r="770" spans="1:15" x14ac:dyDescent="0.3">
      <c r="A770" s="1" t="s">
        <v>874</v>
      </c>
      <c r="B770">
        <v>4.8723383762924062</v>
      </c>
      <c r="C770">
        <v>3.1700108498268757E-2</v>
      </c>
      <c r="D770">
        <v>0.1094918055185068</v>
      </c>
      <c r="E770">
        <v>69.840825158103414</v>
      </c>
      <c r="F770">
        <v>8.1274446351689678E-2</v>
      </c>
      <c r="G770">
        <v>0.2</v>
      </c>
      <c r="H770">
        <v>4.0040382177264647E-2</v>
      </c>
      <c r="I770">
        <v>0.77911940689267556</v>
      </c>
      <c r="J770">
        <v>0</v>
      </c>
      <c r="K770">
        <v>0.11603168725176261</v>
      </c>
      <c r="L770">
        <v>0</v>
      </c>
      <c r="M770">
        <v>61072795.060500003</v>
      </c>
      <c r="N770">
        <v>0</v>
      </c>
      <c r="O770" t="b">
        <v>0</v>
      </c>
    </row>
    <row r="771" spans="1:15" x14ac:dyDescent="0.3">
      <c r="A771" s="1" t="s">
        <v>875</v>
      </c>
      <c r="B771">
        <v>2.4252979281009841</v>
      </c>
      <c r="C771">
        <v>2.094204238063193E-2</v>
      </c>
      <c r="D771">
        <v>1.7615059148605401E-2</v>
      </c>
      <c r="E771">
        <v>53.154726227852727</v>
      </c>
      <c r="F771">
        <v>-5.5229238048621232E-2</v>
      </c>
      <c r="G771">
        <v>0.8</v>
      </c>
      <c r="H771">
        <v>3.3497300203604717E-2</v>
      </c>
      <c r="I771">
        <v>0.9045984001628824</v>
      </c>
      <c r="J771">
        <v>-5.5845426381868513E-2</v>
      </c>
      <c r="K771">
        <v>3.4551265440097012E-4</v>
      </c>
      <c r="L771">
        <v>0</v>
      </c>
      <c r="M771">
        <v>407680765.33960003</v>
      </c>
      <c r="N771">
        <v>0</v>
      </c>
      <c r="O771" t="b">
        <v>1</v>
      </c>
    </row>
    <row r="772" spans="1:15" x14ac:dyDescent="0.3">
      <c r="A772" s="1" t="s">
        <v>876</v>
      </c>
      <c r="B772">
        <v>0.13126447204001879</v>
      </c>
      <c r="C772">
        <v>2.789312152623233E-3</v>
      </c>
      <c r="D772">
        <v>4.2159125198152026E-3</v>
      </c>
      <c r="E772">
        <v>52.412667633496653</v>
      </c>
      <c r="F772">
        <v>3.670472213394893E-3</v>
      </c>
      <c r="G772">
        <v>0.2</v>
      </c>
      <c r="H772">
        <v>-8.648235929602259E-2</v>
      </c>
      <c r="I772">
        <v>5.1272193637513716E-3</v>
      </c>
      <c r="J772">
        <v>-5.2359562437244156E-3</v>
      </c>
      <c r="K772">
        <v>3.0650524341377938E-3</v>
      </c>
      <c r="L772">
        <v>0</v>
      </c>
      <c r="M772">
        <v>35864704.936700001</v>
      </c>
      <c r="N772">
        <v>0</v>
      </c>
      <c r="O772" t="b">
        <v>0</v>
      </c>
    </row>
    <row r="773" spans="1:15" x14ac:dyDescent="0.3">
      <c r="A773" s="1" t="s">
        <v>877</v>
      </c>
      <c r="B773">
        <v>0.67849441075800121</v>
      </c>
      <c r="C773">
        <v>2.2914367131307029E-2</v>
      </c>
      <c r="D773">
        <v>1.1077338736913189E-2</v>
      </c>
      <c r="E773">
        <v>39.961305751729952</v>
      </c>
      <c r="F773">
        <v>-5.7306590257879653E-2</v>
      </c>
      <c r="G773">
        <v>0.4</v>
      </c>
      <c r="H773">
        <v>-0.15721559286019521</v>
      </c>
      <c r="I773">
        <v>1.3138153479272181</v>
      </c>
      <c r="J773">
        <v>-6.3271116735210353E-2</v>
      </c>
      <c r="K773">
        <v>-3.0303030303030498E-3</v>
      </c>
      <c r="L773">
        <v>0</v>
      </c>
      <c r="M773">
        <v>388771077</v>
      </c>
      <c r="N773">
        <v>0</v>
      </c>
      <c r="O773" t="b">
        <v>1</v>
      </c>
    </row>
    <row r="774" spans="1:15" x14ac:dyDescent="0.3">
      <c r="A774" s="1" t="s">
        <v>878</v>
      </c>
      <c r="B774">
        <v>2.1384982424715688</v>
      </c>
      <c r="C774">
        <v>3.4846214452620997E-2</v>
      </c>
      <c r="D774">
        <v>4.7225336322869883E-2</v>
      </c>
      <c r="E774">
        <v>68.376298133670034</v>
      </c>
      <c r="F774">
        <v>0.11591032655636591</v>
      </c>
      <c r="G774">
        <v>0.8</v>
      </c>
      <c r="H774">
        <v>-5.636282372266356E-2</v>
      </c>
      <c r="I774">
        <v>1.9804704356003591</v>
      </c>
      <c r="J774">
        <v>0</v>
      </c>
      <c r="K774">
        <v>3.7763543266076338E-2</v>
      </c>
      <c r="L774">
        <v>0</v>
      </c>
      <c r="M774">
        <v>93824669.129049987</v>
      </c>
      <c r="N774">
        <v>0</v>
      </c>
      <c r="O774" t="b">
        <v>1</v>
      </c>
    </row>
    <row r="775" spans="1:15" x14ac:dyDescent="0.3">
      <c r="A775" s="1" t="s">
        <v>879</v>
      </c>
      <c r="B775">
        <v>0.40881296140949241</v>
      </c>
      <c r="C775">
        <v>7.2161631530083883E-3</v>
      </c>
      <c r="D775">
        <v>8.534501627468551E-3</v>
      </c>
      <c r="E775">
        <v>59.749843819940637</v>
      </c>
      <c r="F775">
        <v>1.86898746695916E-2</v>
      </c>
      <c r="G775">
        <v>0.2</v>
      </c>
      <c r="H775">
        <v>-7.893614565946179E-2</v>
      </c>
      <c r="I775">
        <v>0.45092741974833112</v>
      </c>
      <c r="J775">
        <v>-2.241998460717487E-3</v>
      </c>
      <c r="K775">
        <v>6.838749120275267E-3</v>
      </c>
      <c r="L775">
        <v>0</v>
      </c>
      <c r="M775">
        <v>244418685.69729999</v>
      </c>
      <c r="N775">
        <v>0</v>
      </c>
      <c r="O775" t="b">
        <v>1</v>
      </c>
    </row>
    <row r="776" spans="1:15" x14ac:dyDescent="0.3">
      <c r="A776" s="1" t="s">
        <v>880</v>
      </c>
      <c r="B776">
        <v>0.67012291642795752</v>
      </c>
      <c r="C776">
        <v>1.155067690801931E-2</v>
      </c>
      <c r="D776">
        <v>9.483607080127977E-3</v>
      </c>
      <c r="E776">
        <v>64.939915116791568</v>
      </c>
      <c r="F776">
        <v>1.430299766774246E-2</v>
      </c>
      <c r="G776">
        <v>0.8</v>
      </c>
      <c r="H776">
        <v>0.14123361034292639</v>
      </c>
      <c r="I776">
        <v>0.95256263267503938</v>
      </c>
      <c r="J776">
        <v>0</v>
      </c>
      <c r="K776">
        <v>3.5686114416981769E-3</v>
      </c>
      <c r="L776">
        <v>0</v>
      </c>
      <c r="M776">
        <v>290656905.4332</v>
      </c>
      <c r="N776">
        <v>0</v>
      </c>
      <c r="O776" t="b">
        <v>1</v>
      </c>
    </row>
    <row r="777" spans="1:15" x14ac:dyDescent="0.3">
      <c r="A777" s="1" t="s">
        <v>881</v>
      </c>
      <c r="B777">
        <v>0.57586910174690786</v>
      </c>
      <c r="C777">
        <v>8.5609579413784172E-3</v>
      </c>
      <c r="D777">
        <v>9.1070050797643475E-3</v>
      </c>
      <c r="E777">
        <v>55.345564471221508</v>
      </c>
      <c r="F777">
        <v>-3.3662201585027418E-3</v>
      </c>
      <c r="G777">
        <v>0.2</v>
      </c>
      <c r="H777">
        <v>-0.19660827910819789</v>
      </c>
      <c r="I777">
        <v>0.82562654404908353</v>
      </c>
      <c r="J777">
        <v>-1.118367958934363E-2</v>
      </c>
      <c r="K777">
        <v>6.2077517617300506E-3</v>
      </c>
      <c r="L777">
        <v>0</v>
      </c>
      <c r="M777">
        <v>6917271.8363000005</v>
      </c>
      <c r="N777">
        <v>0</v>
      </c>
      <c r="O777" t="b">
        <v>0</v>
      </c>
    </row>
    <row r="778" spans="1:15" x14ac:dyDescent="0.3">
      <c r="A778" s="1" t="s">
        <v>882</v>
      </c>
      <c r="B778">
        <v>1.353593427505311</v>
      </c>
      <c r="C778">
        <v>1.428593138693585E-2</v>
      </c>
      <c r="D778">
        <v>1.1369908844423319E-2</v>
      </c>
      <c r="E778">
        <v>57.696137991920317</v>
      </c>
      <c r="F778">
        <v>-2.6273767180317038E-3</v>
      </c>
      <c r="G778">
        <v>1</v>
      </c>
      <c r="H778">
        <v>-5.845158911892092E-2</v>
      </c>
      <c r="I778">
        <v>1.30739921985579</v>
      </c>
      <c r="J778">
        <v>0</v>
      </c>
      <c r="K778">
        <v>1.4776403837637451E-3</v>
      </c>
      <c r="L778">
        <v>0</v>
      </c>
      <c r="M778">
        <v>32171932.631700002</v>
      </c>
      <c r="N778">
        <v>0</v>
      </c>
      <c r="O778" t="b">
        <v>0</v>
      </c>
    </row>
    <row r="779" spans="1:15" x14ac:dyDescent="0.3">
      <c r="A779" s="1" t="s">
        <v>883</v>
      </c>
      <c r="B779">
        <v>0.99022532214570391</v>
      </c>
      <c r="C779">
        <v>2.161120301496517E-2</v>
      </c>
      <c r="D779">
        <v>2.7062418158009489E-2</v>
      </c>
      <c r="E779">
        <v>66.175769727972749</v>
      </c>
      <c r="F779">
        <v>4.6835732236691692E-2</v>
      </c>
      <c r="G779">
        <v>0.8</v>
      </c>
      <c r="H779">
        <v>-1.44415515306864E-2</v>
      </c>
      <c r="I779">
        <v>1.472085184409317</v>
      </c>
      <c r="J779">
        <v>0</v>
      </c>
      <c r="K779">
        <v>2.5055928411632959E-2</v>
      </c>
      <c r="L779">
        <v>0</v>
      </c>
      <c r="M779">
        <v>44532373.3389</v>
      </c>
      <c r="N779">
        <v>0</v>
      </c>
      <c r="O779" t="b">
        <v>0</v>
      </c>
    </row>
    <row r="780" spans="1:15" x14ac:dyDescent="0.3">
      <c r="A780" s="1" t="s">
        <v>884</v>
      </c>
      <c r="B780">
        <v>0.80255609794690652</v>
      </c>
      <c r="C780">
        <v>1.2109795316468421E-2</v>
      </c>
      <c r="D780">
        <v>1.9208338803107679E-2</v>
      </c>
      <c r="E780">
        <v>64.020829133645179</v>
      </c>
      <c r="F780">
        <v>2.649517445831728E-2</v>
      </c>
      <c r="G780">
        <v>0.6</v>
      </c>
      <c r="H780">
        <v>-7.8390913860624051E-2</v>
      </c>
      <c r="I780">
        <v>0.94453964360444809</v>
      </c>
      <c r="J780">
        <v>0</v>
      </c>
      <c r="K780">
        <v>1.6009750264452949E-2</v>
      </c>
      <c r="L780">
        <v>0</v>
      </c>
      <c r="M780">
        <v>11389972.794199999</v>
      </c>
      <c r="N780">
        <v>0</v>
      </c>
      <c r="O780" t="b">
        <v>0</v>
      </c>
    </row>
    <row r="781" spans="1:15" x14ac:dyDescent="0.3">
      <c r="A781" s="1" t="s">
        <v>885</v>
      </c>
      <c r="B781">
        <v>0.66426553307404168</v>
      </c>
      <c r="C781">
        <v>3.3246523176878963E-2</v>
      </c>
      <c r="D781">
        <v>6.1061061061061003E-2</v>
      </c>
      <c r="E781">
        <v>56.770765575459777</v>
      </c>
      <c r="F781">
        <v>0.1482758620689657</v>
      </c>
      <c r="G781">
        <v>0.6</v>
      </c>
      <c r="H781">
        <v>-1.5671113096307639E-2</v>
      </c>
      <c r="I781">
        <v>0.88757853125258956</v>
      </c>
      <c r="J781">
        <v>-1.499250374812688E-3</v>
      </c>
      <c r="K781">
        <v>4.7718930256948067E-2</v>
      </c>
      <c r="L781">
        <v>0</v>
      </c>
      <c r="M781">
        <v>87236342</v>
      </c>
      <c r="N781">
        <v>1</v>
      </c>
      <c r="O781" t="b">
        <v>0</v>
      </c>
    </row>
    <row r="782" spans="1:15" x14ac:dyDescent="0.3">
      <c r="A782" s="1" t="s">
        <v>886</v>
      </c>
      <c r="B782">
        <v>0.6463171332779567</v>
      </c>
      <c r="C782">
        <v>8.7590852369072107E-3</v>
      </c>
      <c r="D782">
        <v>1.2366475940597661E-2</v>
      </c>
      <c r="E782">
        <v>61.079271585393833</v>
      </c>
      <c r="F782">
        <v>1.198113957972757E-2</v>
      </c>
      <c r="G782">
        <v>0.4</v>
      </c>
      <c r="H782">
        <v>-3.6289911031893593E-2</v>
      </c>
      <c r="I782">
        <v>0.74087960894821958</v>
      </c>
      <c r="J782">
        <v>-2.101601761342442E-3</v>
      </c>
      <c r="K782">
        <v>1.0905274810185221E-2</v>
      </c>
      <c r="L782">
        <v>0</v>
      </c>
      <c r="M782">
        <v>19245701.313450001</v>
      </c>
      <c r="N782">
        <v>0</v>
      </c>
      <c r="O782" t="b">
        <v>0</v>
      </c>
    </row>
    <row r="783" spans="1:15" x14ac:dyDescent="0.3">
      <c r="A783" s="1" t="s">
        <v>887</v>
      </c>
      <c r="B783">
        <v>3.6429817001329301</v>
      </c>
      <c r="C783">
        <v>1.9700312027541259E-2</v>
      </c>
      <c r="D783">
        <v>3.1743456629894043E-2</v>
      </c>
      <c r="E783">
        <v>79.931116308259391</v>
      </c>
      <c r="F783">
        <v>0.14099550191585061</v>
      </c>
      <c r="G783">
        <v>0.6</v>
      </c>
      <c r="H783">
        <v>9.8609315519573013E-2</v>
      </c>
      <c r="I783">
        <v>4.3436466116276939E-2</v>
      </c>
      <c r="J783">
        <v>0</v>
      </c>
      <c r="K783">
        <v>2.6363989565410421E-2</v>
      </c>
      <c r="L783">
        <v>0</v>
      </c>
      <c r="M783">
        <v>115191556.112</v>
      </c>
      <c r="N783">
        <v>0</v>
      </c>
      <c r="O783" t="b">
        <v>1</v>
      </c>
    </row>
    <row r="784" spans="1:15" x14ac:dyDescent="0.3">
      <c r="A784" s="1" t="s">
        <v>888</v>
      </c>
      <c r="B784">
        <v>9.1190974489836591</v>
      </c>
      <c r="C784">
        <v>2.7520212002002831E-2</v>
      </c>
      <c r="D784">
        <v>2.2211492032834249E-2</v>
      </c>
      <c r="E784">
        <v>62.763241381017792</v>
      </c>
      <c r="F784">
        <v>0.1053807919404879</v>
      </c>
      <c r="G784">
        <v>0.6</v>
      </c>
      <c r="H784">
        <v>1.2372709130659359E-2</v>
      </c>
      <c r="I784">
        <v>0.80751668894251771</v>
      </c>
      <c r="J784">
        <v>0</v>
      </c>
      <c r="K784">
        <v>1.9067535982285611E-2</v>
      </c>
      <c r="L784">
        <v>0</v>
      </c>
      <c r="M784">
        <v>96958314.5</v>
      </c>
      <c r="N784">
        <v>0</v>
      </c>
      <c r="O784" t="b">
        <v>1</v>
      </c>
    </row>
    <row r="785" spans="1:15" x14ac:dyDescent="0.3">
      <c r="A785" s="1" t="s">
        <v>889</v>
      </c>
      <c r="B785">
        <v>0.13673644660505629</v>
      </c>
      <c r="C785">
        <v>3.0191377460550002E-3</v>
      </c>
      <c r="D785">
        <v>5.2528267891958982E-3</v>
      </c>
      <c r="E785">
        <v>54.434288032418912</v>
      </c>
      <c r="F785">
        <v>3.6231562898880738E-3</v>
      </c>
      <c r="G785">
        <v>0.2</v>
      </c>
      <c r="H785">
        <v>-7.6620916988909896E-2</v>
      </c>
      <c r="I785">
        <v>6.2729579884407988E-3</v>
      </c>
      <c r="J785">
        <v>-2.919258076944153E-3</v>
      </c>
      <c r="K785">
        <v>3.9546457111823141E-3</v>
      </c>
      <c r="L785">
        <v>0</v>
      </c>
      <c r="M785">
        <v>23756173.95355</v>
      </c>
      <c r="N785">
        <v>0</v>
      </c>
      <c r="O785" t="b">
        <v>0</v>
      </c>
    </row>
    <row r="786" spans="1:15" x14ac:dyDescent="0.3">
      <c r="A786" s="1" t="s">
        <v>890</v>
      </c>
      <c r="B786">
        <v>3.8417498591388342E-2</v>
      </c>
      <c r="C786">
        <v>7.5756377874598138E-4</v>
      </c>
      <c r="D786">
        <v>7.8482565236166681E-4</v>
      </c>
      <c r="E786">
        <v>74.218912348673442</v>
      </c>
      <c r="F786">
        <v>2.5760355544308671E-3</v>
      </c>
      <c r="G786">
        <v>0.6</v>
      </c>
      <c r="H786">
        <v>-9.3146744155500782E-2</v>
      </c>
      <c r="I786">
        <v>3.239661666958387E-3</v>
      </c>
      <c r="J786">
        <v>0</v>
      </c>
      <c r="K786">
        <v>2.9587607920800169E-4</v>
      </c>
      <c r="L786">
        <v>0</v>
      </c>
      <c r="M786">
        <v>31426982.844700001</v>
      </c>
      <c r="N786">
        <v>0</v>
      </c>
      <c r="O786" t="b">
        <v>0</v>
      </c>
    </row>
    <row r="787" spans="1:15" x14ac:dyDescent="0.3">
      <c r="A787" s="1" t="s">
        <v>891</v>
      </c>
      <c r="B787">
        <v>0.13395786701570381</v>
      </c>
      <c r="C787">
        <v>2.64171369046542E-3</v>
      </c>
      <c r="D787">
        <v>4.0131180645531306E-3</v>
      </c>
      <c r="E787">
        <v>52.584276144849241</v>
      </c>
      <c r="F787">
        <v>3.0223969902622989E-3</v>
      </c>
      <c r="G787">
        <v>0.2</v>
      </c>
      <c r="H787">
        <v>-8.33246961220835E-2</v>
      </c>
      <c r="I787">
        <v>1.3616536777843221E-2</v>
      </c>
      <c r="J787">
        <v>-4.3823222773938797E-3</v>
      </c>
      <c r="K787">
        <v>3.1434347910377358E-3</v>
      </c>
      <c r="O787" t="b">
        <v>0</v>
      </c>
    </row>
    <row r="788" spans="1:15" x14ac:dyDescent="0.3">
      <c r="A788" s="1" t="s">
        <v>892</v>
      </c>
      <c r="B788">
        <v>8.1032318497689812E-2</v>
      </c>
      <c r="C788">
        <v>1.6133957693662639E-3</v>
      </c>
      <c r="D788">
        <v>1.385772339108073E-3</v>
      </c>
      <c r="E788">
        <v>53.220443311644622</v>
      </c>
      <c r="F788">
        <v>1.29435145026946E-4</v>
      </c>
      <c r="G788">
        <v>0.6</v>
      </c>
      <c r="H788">
        <v>-7.6986171732037603E-2</v>
      </c>
      <c r="I788">
        <v>-7.5552086514015983E-3</v>
      </c>
      <c r="J788">
        <v>-2.2309633073088748E-3</v>
      </c>
      <c r="K788">
        <v>1.1900727598923579E-3</v>
      </c>
      <c r="L788">
        <v>0</v>
      </c>
      <c r="M788">
        <v>28456326.363600001</v>
      </c>
      <c r="N788">
        <v>0</v>
      </c>
      <c r="O788" t="b">
        <v>0</v>
      </c>
    </row>
    <row r="789" spans="1:15" x14ac:dyDescent="0.3">
      <c r="A789" s="1" t="s">
        <v>893</v>
      </c>
      <c r="B789">
        <v>3.3063094792097738</v>
      </c>
      <c r="C789">
        <v>1.6008083079353991E-2</v>
      </c>
      <c r="D789">
        <v>3.3117071753655483E-2</v>
      </c>
      <c r="E789">
        <v>67.552702920597284</v>
      </c>
      <c r="F789">
        <v>0.10318821072422429</v>
      </c>
      <c r="G789">
        <v>0.2</v>
      </c>
      <c r="H789">
        <v>0.13756493459747229</v>
      </c>
      <c r="I789">
        <v>-4.5543827430145406E-3</v>
      </c>
      <c r="J789">
        <v>-4.9142416650607146E-3</v>
      </c>
      <c r="K789">
        <v>3.2906581316263228E-2</v>
      </c>
      <c r="L789">
        <v>0</v>
      </c>
      <c r="M789">
        <v>1359428262.7190001</v>
      </c>
      <c r="N789">
        <v>0</v>
      </c>
      <c r="O789" t="b">
        <v>1</v>
      </c>
    </row>
    <row r="790" spans="1:15" x14ac:dyDescent="0.3">
      <c r="A790" s="1" t="s">
        <v>894</v>
      </c>
      <c r="B790">
        <v>0.29154841828119687</v>
      </c>
      <c r="C790">
        <v>3.0295843901123809E-3</v>
      </c>
      <c r="D790">
        <v>4.8319821102357323E-3</v>
      </c>
      <c r="E790">
        <v>62.725867213314487</v>
      </c>
      <c r="F790">
        <v>7.4031735663155906E-3</v>
      </c>
      <c r="G790">
        <v>0.4</v>
      </c>
      <c r="H790">
        <v>-9.82693881421942E-2</v>
      </c>
      <c r="I790">
        <v>0.22841902584781751</v>
      </c>
      <c r="J790">
        <v>-1.028638757654132E-4</v>
      </c>
      <c r="K790">
        <v>3.5068693135900109E-3</v>
      </c>
      <c r="L790">
        <v>0</v>
      </c>
      <c r="M790">
        <v>348343312.4364</v>
      </c>
      <c r="N790">
        <v>0</v>
      </c>
      <c r="O790" t="b">
        <v>1</v>
      </c>
    </row>
    <row r="791" spans="1:15" x14ac:dyDescent="0.3">
      <c r="A791" s="1" t="s">
        <v>895</v>
      </c>
      <c r="B791">
        <v>0.92711553215889575</v>
      </c>
      <c r="C791">
        <v>6.1766524460952418E-2</v>
      </c>
      <c r="D791">
        <v>3.4310459693537562E-2</v>
      </c>
      <c r="E791">
        <v>50.846434433397938</v>
      </c>
      <c r="F791">
        <v>-4.8192771084337283E-2</v>
      </c>
      <c r="G791">
        <v>0.4</v>
      </c>
      <c r="H791">
        <v>4.0962099225171557E-2</v>
      </c>
      <c r="I791">
        <v>3.151306945528737</v>
      </c>
      <c r="J791">
        <v>-8.1957186544342586E-2</v>
      </c>
      <c r="K791">
        <v>-2.7849740932642471E-2</v>
      </c>
      <c r="L791">
        <v>0</v>
      </c>
      <c r="M791">
        <v>195999854.5</v>
      </c>
      <c r="N791">
        <v>0</v>
      </c>
      <c r="O791" t="b">
        <v>1</v>
      </c>
    </row>
    <row r="792" spans="1:15" x14ac:dyDescent="0.3">
      <c r="A792" s="1" t="s">
        <v>896</v>
      </c>
      <c r="B792">
        <v>5.0014769657039819E-2</v>
      </c>
      <c r="C792">
        <v>1.090951261029855E-3</v>
      </c>
      <c r="D792">
        <v>1.9456823084691311E-3</v>
      </c>
      <c r="E792">
        <v>64.00442945136777</v>
      </c>
      <c r="F792">
        <v>5.1898334517326283E-3</v>
      </c>
      <c r="G792">
        <v>0.2</v>
      </c>
      <c r="H792">
        <v>-8.5707659818036172E-2</v>
      </c>
      <c r="I792">
        <v>2.8351502867107029E-2</v>
      </c>
      <c r="J792">
        <v>-1.2961663972673729E-3</v>
      </c>
      <c r="K792">
        <v>1.2973482987046481E-3</v>
      </c>
      <c r="L792">
        <v>0</v>
      </c>
      <c r="M792">
        <v>32651386.1591</v>
      </c>
      <c r="N792">
        <v>0</v>
      </c>
      <c r="O792" t="b">
        <v>0</v>
      </c>
    </row>
    <row r="793" spans="1:15" x14ac:dyDescent="0.3">
      <c r="A793" s="1" t="s">
        <v>897</v>
      </c>
      <c r="B793">
        <v>7.3614307492784814</v>
      </c>
      <c r="C793">
        <v>2.3845239326886699E-2</v>
      </c>
      <c r="D793">
        <v>4.1050541434388139E-2</v>
      </c>
      <c r="E793">
        <v>52.001999154374182</v>
      </c>
      <c r="F793">
        <v>-2.1396849749736099E-2</v>
      </c>
      <c r="G793">
        <v>0.6</v>
      </c>
      <c r="H793">
        <v>-3.2016517096653978E-2</v>
      </c>
      <c r="I793">
        <v>0.86252643435997089</v>
      </c>
      <c r="J793">
        <v>-3.2147123092694962E-2</v>
      </c>
      <c r="K793">
        <v>3.1942666323484532E-2</v>
      </c>
      <c r="L793">
        <v>0</v>
      </c>
      <c r="M793">
        <v>2294223565.4549999</v>
      </c>
      <c r="N793">
        <v>0</v>
      </c>
      <c r="O793" t="b">
        <v>1</v>
      </c>
    </row>
    <row r="794" spans="1:15" x14ac:dyDescent="0.3">
      <c r="A794" s="1" t="s">
        <v>898</v>
      </c>
      <c r="B794">
        <v>2.2124316631121362E-2</v>
      </c>
      <c r="C794">
        <v>4.4011236651743223E-4</v>
      </c>
      <c r="D794">
        <v>5.9280242372645162E-4</v>
      </c>
      <c r="E794">
        <v>85.909992494679372</v>
      </c>
      <c r="F794">
        <v>3.539459079620944E-3</v>
      </c>
      <c r="G794">
        <v>0.4</v>
      </c>
      <c r="H794">
        <v>-8.0945769971661002E-2</v>
      </c>
      <c r="I794">
        <v>-9.3100426341222728E-4</v>
      </c>
      <c r="J794">
        <v>0</v>
      </c>
      <c r="K794">
        <v>3.9403063488685502E-4</v>
      </c>
      <c r="L794">
        <v>0</v>
      </c>
      <c r="M794">
        <v>268738792.32695001</v>
      </c>
      <c r="N794">
        <v>0</v>
      </c>
      <c r="O794" t="b">
        <v>1</v>
      </c>
    </row>
    <row r="795" spans="1:15" x14ac:dyDescent="0.3">
      <c r="A795" s="1" t="s">
        <v>899</v>
      </c>
      <c r="B795">
        <v>0.60898426287324681</v>
      </c>
      <c r="C795">
        <v>9.5661093812066927E-3</v>
      </c>
      <c r="D795">
        <v>1.220378067438883E-2</v>
      </c>
      <c r="E795">
        <v>62.873985882877641</v>
      </c>
      <c r="F795">
        <v>2.0763015567852209E-2</v>
      </c>
      <c r="G795">
        <v>0.4</v>
      </c>
      <c r="H795">
        <v>-0.1409784883308863</v>
      </c>
      <c r="I795">
        <v>0.83094287930360478</v>
      </c>
      <c r="J795">
        <v>0</v>
      </c>
      <c r="K795">
        <v>9.4778387926974794E-3</v>
      </c>
      <c r="L795">
        <v>0</v>
      </c>
      <c r="M795">
        <v>33057710.140299998</v>
      </c>
      <c r="N795">
        <v>0</v>
      </c>
      <c r="O795" t="b">
        <v>0</v>
      </c>
    </row>
    <row r="796" spans="1:15" x14ac:dyDescent="0.3">
      <c r="A796" s="1" t="s">
        <v>900</v>
      </c>
      <c r="B796">
        <v>2.6117139074374318</v>
      </c>
      <c r="C796">
        <v>2.5231512969156909E-2</v>
      </c>
      <c r="D796">
        <v>3.5841947637909453E-2</v>
      </c>
      <c r="E796">
        <v>70.014171146497802</v>
      </c>
      <c r="F796">
        <v>0.1209040869520961</v>
      </c>
      <c r="G796">
        <v>0.8</v>
      </c>
      <c r="H796">
        <v>2.0749883298965429E-2</v>
      </c>
      <c r="I796">
        <v>1.000989300176186</v>
      </c>
      <c r="J796">
        <v>0</v>
      </c>
      <c r="K796">
        <v>2.831313332008745E-2</v>
      </c>
      <c r="L796">
        <v>0</v>
      </c>
      <c r="M796">
        <v>52206449.134200007</v>
      </c>
      <c r="N796">
        <v>0</v>
      </c>
      <c r="O796" t="b">
        <v>0</v>
      </c>
    </row>
    <row r="797" spans="1:15" x14ac:dyDescent="0.3">
      <c r="A797" s="1" t="s">
        <v>901</v>
      </c>
      <c r="B797">
        <v>1.8580546537989719</v>
      </c>
      <c r="C797">
        <v>2.1640515418110549E-2</v>
      </c>
      <c r="D797">
        <v>1.7120894479385029E-2</v>
      </c>
      <c r="E797">
        <v>50.778967771707158</v>
      </c>
      <c r="F797">
        <v>-2.7853260869565188E-2</v>
      </c>
      <c r="G797">
        <v>0.4</v>
      </c>
      <c r="H797">
        <v>-1.7163512671542262E-2</v>
      </c>
      <c r="I797">
        <v>1.436880846814669</v>
      </c>
      <c r="J797">
        <v>-5.7829474377263157E-2</v>
      </c>
      <c r="K797">
        <v>-7.3988439306358336E-3</v>
      </c>
      <c r="L797">
        <v>0</v>
      </c>
      <c r="M797">
        <v>10739416.8487</v>
      </c>
      <c r="N797">
        <v>0</v>
      </c>
      <c r="O797" t="b">
        <v>0</v>
      </c>
    </row>
    <row r="798" spans="1:15" x14ac:dyDescent="0.3">
      <c r="A798" s="1" t="s">
        <v>902</v>
      </c>
      <c r="B798">
        <v>1.4344302816599639</v>
      </c>
      <c r="C798">
        <v>1.7090650759018621E-2</v>
      </c>
      <c r="D798">
        <v>3.0578798937695089E-2</v>
      </c>
      <c r="E798">
        <v>77.737552226838332</v>
      </c>
      <c r="F798">
        <v>7.9452882846964057E-2</v>
      </c>
      <c r="G798">
        <v>1</v>
      </c>
      <c r="H798">
        <v>6.6297633179649498E-2</v>
      </c>
      <c r="I798">
        <v>0.97760478856607924</v>
      </c>
      <c r="J798">
        <v>0</v>
      </c>
      <c r="K798">
        <v>2.5775558317658879E-2</v>
      </c>
      <c r="L798">
        <v>0</v>
      </c>
      <c r="M798">
        <v>120409997.50759999</v>
      </c>
      <c r="N798">
        <v>0</v>
      </c>
      <c r="O798" t="b">
        <v>1</v>
      </c>
    </row>
    <row r="799" spans="1:15" x14ac:dyDescent="0.3">
      <c r="A799" s="1" t="s">
        <v>903</v>
      </c>
      <c r="B799">
        <v>0.60444962493780441</v>
      </c>
      <c r="C799">
        <v>2.063848484636123E-2</v>
      </c>
      <c r="D799">
        <v>1.862569355527104E-2</v>
      </c>
      <c r="E799">
        <v>69.884088022139011</v>
      </c>
      <c r="F799">
        <v>0.13055142730308231</v>
      </c>
      <c r="G799">
        <v>1</v>
      </c>
      <c r="H799">
        <v>3.103614614223673E-2</v>
      </c>
      <c r="I799">
        <v>0.10169250014668781</v>
      </c>
      <c r="J799">
        <v>0</v>
      </c>
      <c r="K799">
        <v>1.617201107510402E-2</v>
      </c>
      <c r="L799">
        <v>0</v>
      </c>
      <c r="M799">
        <v>380428651.32754999</v>
      </c>
      <c r="N799">
        <v>0</v>
      </c>
      <c r="O799" t="b">
        <v>1</v>
      </c>
    </row>
    <row r="800" spans="1:15" x14ac:dyDescent="0.3">
      <c r="A800" s="1" t="s">
        <v>904</v>
      </c>
      <c r="B800">
        <v>0.53576260183650692</v>
      </c>
      <c r="C800">
        <v>3.177714127144169E-2</v>
      </c>
      <c r="D800">
        <v>3.3807829181494678E-2</v>
      </c>
      <c r="E800">
        <v>51.519169210717457</v>
      </c>
      <c r="F800">
        <v>5.3091817613991177E-2</v>
      </c>
      <c r="G800">
        <v>0.4</v>
      </c>
      <c r="H800">
        <v>0.10806125622189219</v>
      </c>
      <c r="I800">
        <v>0.60872301747219881</v>
      </c>
      <c r="J800">
        <v>-7.6670317634173202E-2</v>
      </c>
      <c r="K800">
        <v>-2.5433526011560788E-2</v>
      </c>
      <c r="L800">
        <v>0</v>
      </c>
      <c r="M800">
        <v>3336612.5</v>
      </c>
      <c r="N800">
        <v>0</v>
      </c>
      <c r="O800" t="b">
        <v>0</v>
      </c>
    </row>
    <row r="801" spans="1:15" x14ac:dyDescent="0.3">
      <c r="A801" s="1" t="s">
        <v>905</v>
      </c>
      <c r="B801">
        <v>0.46708638554283383</v>
      </c>
      <c r="C801">
        <v>2.2762494422165391E-2</v>
      </c>
      <c r="D801">
        <v>3.5575048732943489E-2</v>
      </c>
      <c r="E801">
        <v>81.801556167538564</v>
      </c>
      <c r="F801">
        <v>0.1450573365698502</v>
      </c>
      <c r="G801">
        <v>1</v>
      </c>
      <c r="H801">
        <v>4.1573444857418991E-2</v>
      </c>
      <c r="I801">
        <v>0.97682946052344111</v>
      </c>
      <c r="J801">
        <v>0</v>
      </c>
      <c r="K801">
        <v>2.702702702702697E-2</v>
      </c>
      <c r="L801">
        <v>0</v>
      </c>
      <c r="M801">
        <v>263468694.20954999</v>
      </c>
      <c r="N801">
        <v>0</v>
      </c>
      <c r="O801" t="b">
        <v>1</v>
      </c>
    </row>
    <row r="802" spans="1:15" x14ac:dyDescent="0.3">
      <c r="A802" s="1" t="s">
        <v>906</v>
      </c>
      <c r="B802">
        <v>5.5108387571852546</v>
      </c>
      <c r="C802">
        <v>2.589923280940528E-2</v>
      </c>
      <c r="D802">
        <v>2.2088542156217771E-2</v>
      </c>
      <c r="E802">
        <v>76.67434842760062</v>
      </c>
      <c r="F802">
        <v>0.1595008446406192</v>
      </c>
      <c r="G802">
        <v>0.8</v>
      </c>
      <c r="H802">
        <v>0.1541425537312609</v>
      </c>
      <c r="I802">
        <v>1.8382069631976781</v>
      </c>
      <c r="J802">
        <v>0</v>
      </c>
      <c r="K802">
        <v>1.1023472393804081E-2</v>
      </c>
      <c r="L802">
        <v>0</v>
      </c>
      <c r="M802">
        <v>149791268</v>
      </c>
      <c r="N802">
        <v>0</v>
      </c>
      <c r="O802" t="b">
        <v>1</v>
      </c>
    </row>
    <row r="803" spans="1:15" x14ac:dyDescent="0.3">
      <c r="A803" s="1" t="s">
        <v>907</v>
      </c>
      <c r="B803">
        <v>1.0406692643602149</v>
      </c>
      <c r="C803">
        <v>3.8175688347770159E-2</v>
      </c>
      <c r="D803">
        <v>3.2281731474688283E-2</v>
      </c>
      <c r="E803">
        <v>58.141943243011227</v>
      </c>
      <c r="F803">
        <v>7.1540880503144555E-2</v>
      </c>
      <c r="G803">
        <v>0.6</v>
      </c>
      <c r="H803">
        <v>7.2735610266958434E-2</v>
      </c>
      <c r="I803">
        <v>1.357838077676089</v>
      </c>
      <c r="J803">
        <v>-3.8108680310515057E-2</v>
      </c>
      <c r="K803">
        <v>1.300631735414348E-2</v>
      </c>
      <c r="L803">
        <v>0</v>
      </c>
      <c r="M803">
        <v>273610057.19410002</v>
      </c>
      <c r="N803">
        <v>0</v>
      </c>
      <c r="O803" t="b">
        <v>1</v>
      </c>
    </row>
    <row r="804" spans="1:15" x14ac:dyDescent="0.3">
      <c r="A804" s="1" t="s">
        <v>908</v>
      </c>
      <c r="B804">
        <v>0.47319760206503481</v>
      </c>
      <c r="C804">
        <v>1.943316640924167E-2</v>
      </c>
      <c r="D804">
        <v>9.2402464065707533E-3</v>
      </c>
      <c r="E804">
        <v>44.661131734292773</v>
      </c>
      <c r="F804">
        <v>1.4621381635144809E-2</v>
      </c>
      <c r="G804">
        <v>0.4</v>
      </c>
      <c r="H804">
        <v>-0.12252556795487329</v>
      </c>
      <c r="I804">
        <v>0.1022110135759626</v>
      </c>
      <c r="J804">
        <v>-4.5472363778910292E-2</v>
      </c>
      <c r="K804">
        <v>4.952538175815091E-3</v>
      </c>
      <c r="L804">
        <v>0</v>
      </c>
      <c r="M804">
        <v>323472355.27590001</v>
      </c>
      <c r="N804">
        <v>0</v>
      </c>
      <c r="O804" t="b">
        <v>1</v>
      </c>
    </row>
    <row r="805" spans="1:15" x14ac:dyDescent="0.3">
      <c r="A805" s="1" t="s">
        <v>909</v>
      </c>
      <c r="B805">
        <v>0.32477928910265408</v>
      </c>
      <c r="C805">
        <v>1.6190393275306789E-2</v>
      </c>
      <c r="D805">
        <v>1.6949152542372871E-2</v>
      </c>
      <c r="E805">
        <v>45.396842186599407</v>
      </c>
      <c r="F805">
        <v>-5.1817602040815647E-4</v>
      </c>
      <c r="G805">
        <v>0.6</v>
      </c>
      <c r="H805">
        <v>-0.2204863193140848</v>
      </c>
      <c r="I805">
        <v>0.52598585736901415</v>
      </c>
      <c r="J805">
        <v>-1.79087232813403E-2</v>
      </c>
      <c r="K805">
        <v>8.040201005025116E-3</v>
      </c>
      <c r="L805">
        <v>0</v>
      </c>
      <c r="M805">
        <v>88223989.99939999</v>
      </c>
      <c r="N805">
        <v>0</v>
      </c>
      <c r="O805" t="b">
        <v>0</v>
      </c>
    </row>
    <row r="806" spans="1:15" x14ac:dyDescent="0.3">
      <c r="A806" s="1" t="s">
        <v>91</v>
      </c>
      <c r="B806">
        <v>4.1761112514195897</v>
      </c>
      <c r="C806">
        <v>2.955848369173637E-2</v>
      </c>
      <c r="D806">
        <v>4.606357452772103E-2</v>
      </c>
      <c r="E806">
        <v>78.309953935841079</v>
      </c>
      <c r="F806">
        <v>0.18024008621049711</v>
      </c>
      <c r="G806">
        <v>1</v>
      </c>
      <c r="H806">
        <v>-4.2788788597911437E-2</v>
      </c>
      <c r="I806">
        <v>1.21784876785758</v>
      </c>
      <c r="J806">
        <v>0</v>
      </c>
      <c r="K806">
        <v>4.2425092044004131E-2</v>
      </c>
      <c r="L806">
        <v>0</v>
      </c>
      <c r="M806">
        <v>523050520.35149997</v>
      </c>
      <c r="N806">
        <v>0</v>
      </c>
      <c r="O806" t="b">
        <v>1</v>
      </c>
    </row>
    <row r="807" spans="1:15" x14ac:dyDescent="0.3">
      <c r="A807" s="1" t="s">
        <v>910</v>
      </c>
      <c r="B807">
        <v>37.298303082993627</v>
      </c>
      <c r="C807">
        <v>3.014491480077074E-2</v>
      </c>
      <c r="D807">
        <v>2.6549745413400071E-2</v>
      </c>
      <c r="E807">
        <v>63.154532705377093</v>
      </c>
      <c r="F807">
        <v>1.891578071858557E-2</v>
      </c>
      <c r="G807">
        <v>0.8</v>
      </c>
      <c r="H807">
        <v>0.1749277158797532</v>
      </c>
      <c r="I807">
        <v>2.3022661136002061</v>
      </c>
      <c r="J807">
        <v>0</v>
      </c>
      <c r="K807">
        <v>1.0849495923269231E-2</v>
      </c>
      <c r="L807">
        <v>0</v>
      </c>
      <c r="M807">
        <v>863210859.60500002</v>
      </c>
      <c r="N807">
        <v>0</v>
      </c>
      <c r="O807" t="b">
        <v>1</v>
      </c>
    </row>
    <row r="808" spans="1:15" x14ac:dyDescent="0.3">
      <c r="A808" s="1" t="s">
        <v>911</v>
      </c>
      <c r="B808">
        <v>1.848638987393153</v>
      </c>
      <c r="C808">
        <v>5.7500435066661047E-2</v>
      </c>
      <c r="D808">
        <v>5.9097978227060609E-2</v>
      </c>
      <c r="E808">
        <v>47.791411162798099</v>
      </c>
      <c r="F808">
        <v>-0.12397820163487749</v>
      </c>
      <c r="G808">
        <v>0.6</v>
      </c>
      <c r="H808">
        <v>-0.13994554108624979</v>
      </c>
      <c r="I808">
        <v>2.790512954721422</v>
      </c>
      <c r="J808">
        <v>-0.14608233731739709</v>
      </c>
      <c r="K808">
        <v>4.7572499185402288E-2</v>
      </c>
      <c r="O808" t="b">
        <v>0</v>
      </c>
    </row>
    <row r="809" spans="1:15" x14ac:dyDescent="0.3">
      <c r="A809" s="1" t="s">
        <v>912</v>
      </c>
      <c r="B809">
        <v>2.1575464349630318</v>
      </c>
      <c r="C809">
        <v>2.091861969132278E-2</v>
      </c>
      <c r="D809">
        <v>1.289509404692649E-2</v>
      </c>
      <c r="E809">
        <v>41.049774814709203</v>
      </c>
      <c r="F809">
        <v>1.264579978792746E-2</v>
      </c>
      <c r="G809">
        <v>0.4</v>
      </c>
      <c r="H809">
        <v>-0.16999233601251421</v>
      </c>
      <c r="I809">
        <v>-0.1384692873682983</v>
      </c>
      <c r="J809">
        <v>-4.331694647991835E-2</v>
      </c>
      <c r="K809">
        <v>2.4297793760326152E-3</v>
      </c>
      <c r="L809">
        <v>0</v>
      </c>
      <c r="M809">
        <v>286934340.41799998</v>
      </c>
      <c r="N809">
        <v>0</v>
      </c>
      <c r="O809" t="b">
        <v>1</v>
      </c>
    </row>
    <row r="810" spans="1:15" x14ac:dyDescent="0.3">
      <c r="A810" s="1" t="s">
        <v>913</v>
      </c>
      <c r="B810">
        <v>0.54038722412677387</v>
      </c>
      <c r="C810">
        <v>2.0520124708149911E-2</v>
      </c>
      <c r="D810">
        <v>3.0837874271393079E-2</v>
      </c>
      <c r="E810">
        <v>44.778847748278629</v>
      </c>
      <c r="F810">
        <v>-1.7369402985074719E-2</v>
      </c>
      <c r="G810">
        <v>0.4</v>
      </c>
      <c r="H810">
        <v>-8.0984622648154439E-2</v>
      </c>
      <c r="I810">
        <v>0.23073417983806649</v>
      </c>
      <c r="J810">
        <v>-4.4899809592891533E-2</v>
      </c>
      <c r="K810">
        <v>-2.672087221657593E-2</v>
      </c>
      <c r="L810">
        <v>0</v>
      </c>
      <c r="M810">
        <v>367691528.24650002</v>
      </c>
      <c r="N810">
        <v>0</v>
      </c>
      <c r="O810" t="b">
        <v>1</v>
      </c>
    </row>
    <row r="811" spans="1:15" x14ac:dyDescent="0.3">
      <c r="A811" s="1" t="s">
        <v>914</v>
      </c>
      <c r="B811">
        <v>11.84377577378096</v>
      </c>
      <c r="C811">
        <v>3.134103142043123E-2</v>
      </c>
      <c r="D811">
        <v>2.5482931992590621E-2</v>
      </c>
      <c r="E811">
        <v>45.941861533827591</v>
      </c>
      <c r="F811">
        <v>-3.3246694773034317E-2</v>
      </c>
      <c r="G811">
        <v>0.4</v>
      </c>
      <c r="H811">
        <v>-0.1191970331588923</v>
      </c>
      <c r="I811">
        <v>0.35204004730105593</v>
      </c>
      <c r="J811">
        <v>-4.7542235541116473E-2</v>
      </c>
      <c r="K811">
        <v>1.5832907717534539E-2</v>
      </c>
      <c r="L811">
        <v>0</v>
      </c>
      <c r="M811">
        <v>82980996.340499997</v>
      </c>
      <c r="N811">
        <v>0</v>
      </c>
      <c r="O811" t="b">
        <v>0</v>
      </c>
    </row>
    <row r="812" spans="1:15" x14ac:dyDescent="0.3">
      <c r="A812" s="1" t="s">
        <v>915</v>
      </c>
      <c r="B812">
        <v>1.652934175317222</v>
      </c>
      <c r="C812">
        <v>3.2089578243393951E-2</v>
      </c>
      <c r="D812">
        <v>4.4457386915162093E-2</v>
      </c>
      <c r="E812">
        <v>69.647587542261832</v>
      </c>
      <c r="F812">
        <v>0.128414983318035</v>
      </c>
      <c r="G812">
        <v>0.6</v>
      </c>
      <c r="H812">
        <v>9.5656904335072804E-2</v>
      </c>
      <c r="I812">
        <v>0.84254548279486485</v>
      </c>
      <c r="J812">
        <v>0</v>
      </c>
      <c r="K812">
        <v>3.4752912816392152E-2</v>
      </c>
      <c r="L812">
        <v>0</v>
      </c>
      <c r="M812">
        <v>113919151.38855</v>
      </c>
      <c r="N812">
        <v>0</v>
      </c>
      <c r="O812" t="b">
        <v>1</v>
      </c>
    </row>
    <row r="813" spans="1:15" x14ac:dyDescent="0.3">
      <c r="A813" s="1" t="s">
        <v>916</v>
      </c>
      <c r="B813">
        <v>0.95888625879581235</v>
      </c>
      <c r="C813">
        <v>1.365740291690375E-2</v>
      </c>
      <c r="D813">
        <v>1.0682238997293829E-2</v>
      </c>
      <c r="E813">
        <v>48.726334973762057</v>
      </c>
      <c r="F813">
        <v>2.5975287063335628E-3</v>
      </c>
      <c r="G813">
        <v>0.4</v>
      </c>
      <c r="H813">
        <v>7.4308376997271894E-3</v>
      </c>
      <c r="I813">
        <v>-0.17349847783948971</v>
      </c>
      <c r="J813">
        <v>-3.3053298443740609E-2</v>
      </c>
      <c r="K813">
        <v>1.71208446283333E-3</v>
      </c>
      <c r="L813">
        <v>0</v>
      </c>
      <c r="M813">
        <v>1062665068.1838</v>
      </c>
      <c r="N813">
        <v>0</v>
      </c>
      <c r="O813" t="b">
        <v>1</v>
      </c>
    </row>
    <row r="814" spans="1:15" x14ac:dyDescent="0.3">
      <c r="A814" s="1" t="s">
        <v>917</v>
      </c>
      <c r="B814">
        <v>1.628231679962705</v>
      </c>
      <c r="C814">
        <v>2.6721058711708091E-2</v>
      </c>
      <c r="D814">
        <v>2.7759360886461588E-2</v>
      </c>
      <c r="E814">
        <v>33.795892260608341</v>
      </c>
      <c r="F814">
        <v>-4.459040143747961E-2</v>
      </c>
      <c r="G814">
        <v>0.2</v>
      </c>
      <c r="H814">
        <v>-0.11348275867947891</v>
      </c>
      <c r="I814">
        <v>-0.27632886627384079</v>
      </c>
      <c r="J814">
        <v>-9.3412127731432593E-2</v>
      </c>
      <c r="K814">
        <v>-2.6390843973342459E-2</v>
      </c>
      <c r="L814">
        <v>0</v>
      </c>
      <c r="M814">
        <v>420695411.49194998</v>
      </c>
      <c r="N814">
        <v>0</v>
      </c>
      <c r="O814" t="b">
        <v>1</v>
      </c>
    </row>
    <row r="815" spans="1:15" x14ac:dyDescent="0.3">
      <c r="A815" s="1" t="s">
        <v>918</v>
      </c>
      <c r="B815">
        <v>1.2660382112972419</v>
      </c>
      <c r="C815">
        <v>1.9000111225293721E-2</v>
      </c>
      <c r="D815">
        <v>3.9522340214787788E-2</v>
      </c>
      <c r="E815">
        <v>73.29440731055638</v>
      </c>
      <c r="F815">
        <v>9.3266960575040914E-2</v>
      </c>
      <c r="G815">
        <v>0.6</v>
      </c>
      <c r="H815">
        <v>-7.1260799449374204E-3</v>
      </c>
      <c r="I815">
        <v>1.063175757402963</v>
      </c>
      <c r="J815">
        <v>0</v>
      </c>
      <c r="K815">
        <v>3.4562959673700711E-2</v>
      </c>
      <c r="L815">
        <v>0</v>
      </c>
      <c r="M815">
        <v>781455687.38179994</v>
      </c>
      <c r="N815">
        <v>0</v>
      </c>
      <c r="O815" t="b">
        <v>1</v>
      </c>
    </row>
    <row r="816" spans="1:15" x14ac:dyDescent="0.3">
      <c r="A816" s="1" t="s">
        <v>919</v>
      </c>
      <c r="B816">
        <v>3.779421197812344</v>
      </c>
      <c r="C816">
        <v>5.6182863056523619E-2</v>
      </c>
      <c r="D816">
        <v>5.6488776572023149E-2</v>
      </c>
      <c r="E816">
        <v>50.23965740268288</v>
      </c>
      <c r="F816">
        <v>-6.9699903194578972E-2</v>
      </c>
      <c r="G816">
        <v>0.6</v>
      </c>
      <c r="H816">
        <v>2.020135923186522E-2</v>
      </c>
      <c r="I816">
        <v>2.2724249398302541</v>
      </c>
      <c r="J816">
        <v>-3.0412222542519411E-2</v>
      </c>
      <c r="K816">
        <v>5.5215686274509679E-2</v>
      </c>
      <c r="L816">
        <v>0</v>
      </c>
      <c r="M816">
        <v>54154339.5</v>
      </c>
      <c r="N816">
        <v>0</v>
      </c>
      <c r="O816" t="b">
        <v>0</v>
      </c>
    </row>
    <row r="817" spans="1:15" x14ac:dyDescent="0.3">
      <c r="A817" s="1" t="s">
        <v>920</v>
      </c>
      <c r="B817">
        <v>7.8955360014765201</v>
      </c>
      <c r="C817">
        <v>3.2936492580829799E-2</v>
      </c>
      <c r="D817">
        <v>3.095277824128144E-2</v>
      </c>
      <c r="E817">
        <v>82.726349610158195</v>
      </c>
      <c r="F817">
        <v>0.2014233448604219</v>
      </c>
      <c r="G817">
        <v>0.8</v>
      </c>
      <c r="H817">
        <v>0.3788506282047841</v>
      </c>
      <c r="I817">
        <v>1.1475793368573279</v>
      </c>
      <c r="J817">
        <v>0</v>
      </c>
      <c r="K817">
        <v>2.165018752130932E-2</v>
      </c>
      <c r="L817">
        <v>0</v>
      </c>
      <c r="M817">
        <v>46507734</v>
      </c>
      <c r="N817">
        <v>0</v>
      </c>
      <c r="O817" t="b">
        <v>0</v>
      </c>
    </row>
    <row r="818" spans="1:15" x14ac:dyDescent="0.3">
      <c r="A818" s="1" t="s">
        <v>921</v>
      </c>
      <c r="B818">
        <v>2.2403337598092872</v>
      </c>
      <c r="C818">
        <v>2.974025965497527E-2</v>
      </c>
      <c r="D818">
        <v>3.3519182264701873E-2</v>
      </c>
      <c r="E818">
        <v>50.770039539936867</v>
      </c>
      <c r="F818">
        <v>2.281059063136448E-2</v>
      </c>
      <c r="G818">
        <v>0.2</v>
      </c>
      <c r="H818">
        <v>-0.1622757485922888</v>
      </c>
      <c r="I818">
        <v>1.1815624460128511</v>
      </c>
      <c r="J818">
        <v>-3.5096708082489991E-2</v>
      </c>
      <c r="K818">
        <v>2.475853625357094E-2</v>
      </c>
      <c r="L818">
        <v>0</v>
      </c>
      <c r="M818">
        <v>26563110</v>
      </c>
      <c r="N818">
        <v>0</v>
      </c>
      <c r="O818" t="b">
        <v>0</v>
      </c>
    </row>
    <row r="819" spans="1:15" x14ac:dyDescent="0.3">
      <c r="A819" s="1" t="s">
        <v>922</v>
      </c>
      <c r="B819">
        <v>0.32471012141674899</v>
      </c>
      <c r="C819">
        <v>1.742942143943902E-2</v>
      </c>
      <c r="D819">
        <v>1.556629092860972E-2</v>
      </c>
      <c r="E819">
        <v>55.964081982644693</v>
      </c>
      <c r="F819">
        <v>2.928176795580106E-2</v>
      </c>
      <c r="G819">
        <v>0.2</v>
      </c>
      <c r="H819">
        <v>-0.14646200593981551</v>
      </c>
      <c r="I819">
        <v>0.36229150644601288</v>
      </c>
      <c r="J819">
        <v>0</v>
      </c>
      <c r="K819">
        <v>1.3050570962479521E-2</v>
      </c>
      <c r="L819">
        <v>0</v>
      </c>
      <c r="M819">
        <v>24210714.847350001</v>
      </c>
      <c r="N819">
        <v>0</v>
      </c>
      <c r="O819" t="b">
        <v>0</v>
      </c>
    </row>
    <row r="820" spans="1:15" x14ac:dyDescent="0.3">
      <c r="A820" s="1" t="s">
        <v>923</v>
      </c>
      <c r="B820">
        <v>4.4116055528061073</v>
      </c>
      <c r="C820">
        <v>5.7360623492473117E-2</v>
      </c>
      <c r="D820">
        <v>6.8391626576517886E-2</v>
      </c>
      <c r="E820">
        <v>50.255693876373847</v>
      </c>
      <c r="F820">
        <v>-2.866885577165967E-2</v>
      </c>
      <c r="G820">
        <v>0.4</v>
      </c>
      <c r="H820">
        <v>5.441076422750786E-2</v>
      </c>
      <c r="I820">
        <v>2.1207735108411598</v>
      </c>
      <c r="J820">
        <v>-9.9124613800207761E-3</v>
      </c>
      <c r="K820">
        <v>-1.557834609892339E-3</v>
      </c>
      <c r="L820">
        <v>0</v>
      </c>
      <c r="M820">
        <v>124123964</v>
      </c>
      <c r="N820">
        <v>0</v>
      </c>
      <c r="O820" t="b">
        <v>1</v>
      </c>
    </row>
    <row r="821" spans="1:15" x14ac:dyDescent="0.3">
      <c r="A821" s="1" t="s">
        <v>924</v>
      </c>
      <c r="B821">
        <v>0.4348349810560182</v>
      </c>
      <c r="C821">
        <v>2.5394196307743679E-2</v>
      </c>
      <c r="D821">
        <v>2.1362579861476119E-2</v>
      </c>
      <c r="E821">
        <v>61.656375507670433</v>
      </c>
      <c r="F821">
        <v>4.5812389683203669E-2</v>
      </c>
      <c r="G821">
        <v>0.6</v>
      </c>
      <c r="H821">
        <v>-4.4469264903763357E-2</v>
      </c>
      <c r="I821">
        <v>0.34201812110785279</v>
      </c>
      <c r="J821">
        <v>-1.7256456596512759E-3</v>
      </c>
      <c r="K821">
        <v>1.7626643212019118E-2</v>
      </c>
      <c r="L821">
        <v>0</v>
      </c>
      <c r="M821">
        <v>368248794.57069999</v>
      </c>
      <c r="N821">
        <v>0</v>
      </c>
      <c r="O821" t="b">
        <v>1</v>
      </c>
    </row>
    <row r="822" spans="1:15" x14ac:dyDescent="0.3">
      <c r="A822" s="1" t="s">
        <v>925</v>
      </c>
      <c r="B822">
        <v>1.216553652531895</v>
      </c>
      <c r="C822">
        <v>4.1267084549928612E-2</v>
      </c>
      <c r="D822">
        <v>4.3758480325644472E-2</v>
      </c>
      <c r="E822">
        <v>56.594028430284517</v>
      </c>
      <c r="F822">
        <v>2.0394289598912869E-3</v>
      </c>
      <c r="G822">
        <v>0.6</v>
      </c>
      <c r="H822">
        <v>-4.5562719952220533E-2</v>
      </c>
      <c r="I822">
        <v>0.81395666210821804</v>
      </c>
      <c r="J822">
        <v>-3.1855500821018068E-2</v>
      </c>
      <c r="K822">
        <v>2.0394289598912869E-3</v>
      </c>
      <c r="L822">
        <v>0</v>
      </c>
      <c r="M822">
        <v>59250478</v>
      </c>
      <c r="N822">
        <v>0</v>
      </c>
      <c r="O822" t="b">
        <v>0</v>
      </c>
    </row>
    <row r="823" spans="1:15" x14ac:dyDescent="0.3">
      <c r="A823" s="1" t="s">
        <v>926</v>
      </c>
      <c r="B823">
        <v>0.656311053902915</v>
      </c>
      <c r="C823">
        <v>1.872264405903153E-2</v>
      </c>
      <c r="D823">
        <v>1.142795198320317E-2</v>
      </c>
      <c r="E823">
        <v>41.332686170265568</v>
      </c>
      <c r="F823">
        <v>-6.6281683838179339E-2</v>
      </c>
      <c r="G823">
        <v>0.4</v>
      </c>
      <c r="H823">
        <v>-0.16087937558764939</v>
      </c>
      <c r="I823">
        <v>1.4826473052494189</v>
      </c>
      <c r="J823">
        <v>-6.062181442039194E-2</v>
      </c>
      <c r="K823">
        <v>3.509696036276377E-3</v>
      </c>
      <c r="L823">
        <v>0</v>
      </c>
      <c r="M823">
        <v>696255748.46079993</v>
      </c>
      <c r="N823">
        <v>0</v>
      </c>
      <c r="O823" t="b">
        <v>1</v>
      </c>
    </row>
    <row r="824" spans="1:15" x14ac:dyDescent="0.3">
      <c r="A824" s="1" t="s">
        <v>927</v>
      </c>
      <c r="B824">
        <v>5.8303011066350816</v>
      </c>
      <c r="C824">
        <v>6.48603972258881E-2</v>
      </c>
      <c r="D824">
        <v>8.2879074424296234E-2</v>
      </c>
      <c r="E824">
        <v>74.604659817295968</v>
      </c>
      <c r="F824">
        <v>0.46735226901730331</v>
      </c>
      <c r="G824">
        <v>0.8</v>
      </c>
      <c r="H824">
        <v>0.1902452841935417</v>
      </c>
      <c r="I824">
        <v>0.5004440344159965</v>
      </c>
      <c r="J824">
        <v>-4.6765641569459171E-2</v>
      </c>
      <c r="K824">
        <v>3.4645488029465987E-2</v>
      </c>
      <c r="L824">
        <v>0</v>
      </c>
      <c r="M824">
        <v>25066871.5</v>
      </c>
      <c r="N824">
        <v>0</v>
      </c>
      <c r="O824" t="b">
        <v>0</v>
      </c>
    </row>
    <row r="825" spans="1:15" x14ac:dyDescent="0.3">
      <c r="A825" s="1" t="s">
        <v>928</v>
      </c>
      <c r="B825">
        <v>1.5366005734384329</v>
      </c>
      <c r="C825">
        <v>1.4975154209515959E-2</v>
      </c>
      <c r="D825">
        <v>8.5761621674300299E-3</v>
      </c>
      <c r="E825">
        <v>44.032689774914083</v>
      </c>
      <c r="F825">
        <v>-3.3993783993783171E-3</v>
      </c>
      <c r="G825">
        <v>0.4</v>
      </c>
      <c r="H825">
        <v>-8.2706284716513659E-4</v>
      </c>
      <c r="I825">
        <v>0.12407747542921931</v>
      </c>
      <c r="J825">
        <v>-5.2189174210234723E-2</v>
      </c>
      <c r="K825">
        <v>4.8751950078007589E-4</v>
      </c>
      <c r="L825">
        <v>0</v>
      </c>
      <c r="M825">
        <v>67691078.947099999</v>
      </c>
      <c r="N825">
        <v>0</v>
      </c>
      <c r="O825" t="b">
        <v>0</v>
      </c>
    </row>
    <row r="826" spans="1:15" x14ac:dyDescent="0.3">
      <c r="A826" s="1" t="s">
        <v>929</v>
      </c>
      <c r="B826">
        <v>10.22150430560329</v>
      </c>
      <c r="C826">
        <v>2.9021050809469599E-2</v>
      </c>
      <c r="D826">
        <v>5.902728485846518E-2</v>
      </c>
      <c r="E826">
        <v>73.852020976787443</v>
      </c>
      <c r="F826">
        <v>0.19689400890338821</v>
      </c>
      <c r="G826">
        <v>0.6</v>
      </c>
      <c r="H826">
        <v>-6.9968775865374222E-3</v>
      </c>
      <c r="I826">
        <v>1.0917257805300831</v>
      </c>
      <c r="J826">
        <v>0</v>
      </c>
      <c r="K826">
        <v>6.1193130460982292E-2</v>
      </c>
      <c r="L826">
        <v>0</v>
      </c>
      <c r="M826">
        <v>93238525.101999998</v>
      </c>
      <c r="N826">
        <v>0</v>
      </c>
      <c r="O826" t="b">
        <v>1</v>
      </c>
    </row>
    <row r="827" spans="1:15" x14ac:dyDescent="0.3">
      <c r="A827" s="1" t="s">
        <v>930</v>
      </c>
      <c r="B827">
        <v>2.5354965450297331</v>
      </c>
      <c r="C827">
        <v>1.9707718666431409E-2</v>
      </c>
      <c r="D827">
        <v>1.424740585286218E-2</v>
      </c>
      <c r="E827">
        <v>55.995146020868162</v>
      </c>
      <c r="F827">
        <v>4.4498027181060877E-2</v>
      </c>
      <c r="G827">
        <v>0.6</v>
      </c>
      <c r="H827">
        <v>-2.1459837870775381E-2</v>
      </c>
      <c r="I827">
        <v>0.33539232098064031</v>
      </c>
      <c r="J827">
        <v>-1.7690804141343271E-2</v>
      </c>
      <c r="K827">
        <v>6.3987734380499539E-3</v>
      </c>
      <c r="L827">
        <v>0</v>
      </c>
      <c r="M827">
        <v>58727155.300999999</v>
      </c>
      <c r="N827">
        <v>0</v>
      </c>
      <c r="O827" t="b">
        <v>0</v>
      </c>
    </row>
    <row r="828" spans="1:15" x14ac:dyDescent="0.3">
      <c r="A828" s="1" t="s">
        <v>931</v>
      </c>
      <c r="B828">
        <v>1.4661683361370359</v>
      </c>
      <c r="C828">
        <v>2.9721636653903021E-2</v>
      </c>
      <c r="D828">
        <v>4.7395094263125909E-2</v>
      </c>
      <c r="E828">
        <v>53.860130295423922</v>
      </c>
      <c r="F828">
        <v>1.7113402061855739E-2</v>
      </c>
      <c r="G828">
        <v>0.6</v>
      </c>
      <c r="H828">
        <v>-0.18903150015613759</v>
      </c>
      <c r="I828">
        <v>0.7653706511762004</v>
      </c>
      <c r="J828">
        <v>0</v>
      </c>
      <c r="K828">
        <v>4.0059034366434647E-2</v>
      </c>
      <c r="L828">
        <v>0</v>
      </c>
      <c r="M828">
        <v>8455663.5</v>
      </c>
      <c r="N828">
        <v>0</v>
      </c>
      <c r="O828" t="b">
        <v>0</v>
      </c>
    </row>
    <row r="829" spans="1:15" x14ac:dyDescent="0.3">
      <c r="A829" s="1" t="s">
        <v>932</v>
      </c>
      <c r="B829">
        <v>1.575616578633771</v>
      </c>
      <c r="C829">
        <v>3.1811358341081598E-2</v>
      </c>
      <c r="D829">
        <v>4.9868766404199447E-2</v>
      </c>
      <c r="E829">
        <v>53.959368050932817</v>
      </c>
      <c r="F829">
        <v>1.808838643371025E-2</v>
      </c>
      <c r="G829">
        <v>0.6</v>
      </c>
      <c r="H829">
        <v>-0.18940318888570259</v>
      </c>
      <c r="I829">
        <v>0.73285329789231246</v>
      </c>
      <c r="J829">
        <v>0</v>
      </c>
      <c r="K829">
        <v>4.1640378548895907E-2</v>
      </c>
      <c r="L829">
        <v>0</v>
      </c>
      <c r="M829">
        <v>71263955.432000011</v>
      </c>
      <c r="N829">
        <v>0</v>
      </c>
      <c r="O829" t="b">
        <v>0</v>
      </c>
    </row>
    <row r="830" spans="1:15" x14ac:dyDescent="0.3">
      <c r="A830" s="1" t="s">
        <v>933</v>
      </c>
      <c r="B830">
        <v>4.518369888688559</v>
      </c>
      <c r="C830">
        <v>2.4048848957535059E-2</v>
      </c>
      <c r="D830">
        <v>2.8677421586838649E-2</v>
      </c>
      <c r="E830">
        <v>48.475692736992812</v>
      </c>
      <c r="F830">
        <v>-4.3482466501038597E-2</v>
      </c>
      <c r="G830">
        <v>0.4</v>
      </c>
      <c r="H830">
        <v>-2.711791243243046E-2</v>
      </c>
      <c r="I830">
        <v>0.58953086134261157</v>
      </c>
      <c r="J830">
        <v>-5.0141303633449708E-2</v>
      </c>
      <c r="K830">
        <v>1.816496957150826E-2</v>
      </c>
      <c r="L830">
        <v>0</v>
      </c>
      <c r="M830">
        <v>161135124.83450001</v>
      </c>
      <c r="N830">
        <v>0</v>
      </c>
      <c r="O830" t="b">
        <v>1</v>
      </c>
    </row>
    <row r="831" spans="1:15" x14ac:dyDescent="0.3">
      <c r="A831" s="1" t="s">
        <v>934</v>
      </c>
      <c r="B831">
        <v>5.9790550272924996</v>
      </c>
      <c r="C831">
        <v>2.4269782297682639E-2</v>
      </c>
      <c r="D831">
        <v>3.9933754941994963E-2</v>
      </c>
      <c r="E831">
        <v>62.864251250874219</v>
      </c>
      <c r="F831">
        <v>8.6800010587519072E-2</v>
      </c>
      <c r="G831">
        <v>0.6</v>
      </c>
      <c r="H831">
        <v>-2.4316211622271079E-2</v>
      </c>
      <c r="I831">
        <v>1.023838064191303</v>
      </c>
      <c r="J831">
        <v>0</v>
      </c>
      <c r="K831">
        <v>3.713963357133232E-2</v>
      </c>
      <c r="L831">
        <v>0</v>
      </c>
      <c r="M831">
        <v>64095256.184</v>
      </c>
      <c r="N831">
        <v>0</v>
      </c>
      <c r="O831" t="b">
        <v>0</v>
      </c>
    </row>
    <row r="832" spans="1:15" x14ac:dyDescent="0.3">
      <c r="A832" s="1" t="s">
        <v>935</v>
      </c>
      <c r="B832">
        <v>3.922025781359002</v>
      </c>
      <c r="C832">
        <v>3.2821123386854917E-2</v>
      </c>
      <c r="D832">
        <v>2.6159652543578538E-2</v>
      </c>
      <c r="E832">
        <v>43.932260432910901</v>
      </c>
      <c r="F832">
        <v>-2.5810554119824251E-2</v>
      </c>
      <c r="G832">
        <v>0.2</v>
      </c>
      <c r="H832">
        <v>-0.12855846414768091</v>
      </c>
      <c r="I832">
        <v>0.4792513117422989</v>
      </c>
      <c r="J832">
        <v>-9.8394422731594045E-2</v>
      </c>
      <c r="K832">
        <v>2.423951520969592E-2</v>
      </c>
      <c r="L832">
        <v>0</v>
      </c>
      <c r="M832">
        <v>377577673.78649998</v>
      </c>
      <c r="N832">
        <v>0</v>
      </c>
      <c r="O832" t="b">
        <v>1</v>
      </c>
    </row>
    <row r="833" spans="1:15" x14ac:dyDescent="0.3">
      <c r="A833" s="1" t="s">
        <v>936</v>
      </c>
      <c r="B833">
        <v>0.58932663742043812</v>
      </c>
      <c r="C833">
        <v>2.7413091330376688E-2</v>
      </c>
      <c r="D833">
        <v>1.8485440506093642E-2</v>
      </c>
      <c r="E833">
        <v>51.658434218524157</v>
      </c>
      <c r="F833">
        <v>2.607915385937121E-2</v>
      </c>
      <c r="G833">
        <v>0.4</v>
      </c>
      <c r="H833">
        <v>-3.2046400723390628E-2</v>
      </c>
      <c r="I833">
        <v>1.7699906219315871</v>
      </c>
      <c r="J833">
        <v>-3.5648440969465289E-2</v>
      </c>
      <c r="K833">
        <v>-5.9693625127732464E-3</v>
      </c>
      <c r="L833">
        <v>0</v>
      </c>
      <c r="M833">
        <v>38491233.295200013</v>
      </c>
      <c r="N833">
        <v>0</v>
      </c>
      <c r="O833" t="b">
        <v>0</v>
      </c>
    </row>
    <row r="834" spans="1:15" x14ac:dyDescent="0.3">
      <c r="A834" s="1" t="s">
        <v>937</v>
      </c>
      <c r="B834">
        <v>7.7899005851243404</v>
      </c>
      <c r="C834">
        <v>2.9272575061718729E-2</v>
      </c>
      <c r="D834">
        <v>5.7632761652813128E-2</v>
      </c>
      <c r="E834">
        <v>65.637062087142453</v>
      </c>
      <c r="F834">
        <v>8.5385898581048281E-2</v>
      </c>
      <c r="G834">
        <v>0.6</v>
      </c>
      <c r="H834">
        <v>-6.0188680967661508E-2</v>
      </c>
      <c r="I834">
        <v>1.432082285106939</v>
      </c>
      <c r="J834">
        <v>0</v>
      </c>
      <c r="K834">
        <v>3.6531547848576373E-2</v>
      </c>
      <c r="L834">
        <v>0</v>
      </c>
      <c r="M834">
        <v>38704748.620499998</v>
      </c>
      <c r="N834">
        <v>0</v>
      </c>
      <c r="O834" t="b">
        <v>0</v>
      </c>
    </row>
    <row r="835" spans="1:15" x14ac:dyDescent="0.3">
      <c r="A835" s="1" t="s">
        <v>938</v>
      </c>
      <c r="B835">
        <v>5.4063871448182681</v>
      </c>
      <c r="C835">
        <v>2.0635853066217291E-2</v>
      </c>
      <c r="D835">
        <v>1.8741173327226111E-2</v>
      </c>
      <c r="E835">
        <v>47.48162465596095</v>
      </c>
      <c r="F835">
        <v>5.9785050281646601E-3</v>
      </c>
      <c r="G835">
        <v>0.4</v>
      </c>
      <c r="H835">
        <v>-0.10203558029141881</v>
      </c>
      <c r="I835">
        <v>0.29464653363447513</v>
      </c>
      <c r="J835">
        <v>-2.6457582401248621E-2</v>
      </c>
      <c r="K835">
        <v>1.5229016507788851E-2</v>
      </c>
      <c r="L835">
        <v>0</v>
      </c>
      <c r="M835">
        <v>154535381.69299999</v>
      </c>
      <c r="N835">
        <v>0</v>
      </c>
      <c r="O835" t="b">
        <v>1</v>
      </c>
    </row>
    <row r="836" spans="1:15" x14ac:dyDescent="0.3">
      <c r="A836" s="1" t="s">
        <v>939</v>
      </c>
      <c r="B836">
        <v>6.3186214106418737</v>
      </c>
      <c r="C836">
        <v>2.2097717740231771E-2</v>
      </c>
      <c r="D836">
        <v>4.6618171644400873E-2</v>
      </c>
      <c r="E836">
        <v>53.746013422167763</v>
      </c>
      <c r="F836">
        <v>-3.3228746855643483E-2</v>
      </c>
      <c r="G836">
        <v>0.6</v>
      </c>
      <c r="H836">
        <v>-1.929694371457466E-2</v>
      </c>
      <c r="I836">
        <v>0.53896004022873678</v>
      </c>
      <c r="J836">
        <v>-4.8227701054159189E-2</v>
      </c>
      <c r="K836">
        <v>3.089735732054644E-2</v>
      </c>
      <c r="L836">
        <v>0</v>
      </c>
      <c r="M836">
        <v>288388878.13200003</v>
      </c>
      <c r="N836">
        <v>0</v>
      </c>
      <c r="O836" t="b">
        <v>1</v>
      </c>
    </row>
    <row r="837" spans="1:15" x14ac:dyDescent="0.3">
      <c r="A837" s="1" t="s">
        <v>940</v>
      </c>
      <c r="B837">
        <v>0.58214103329287692</v>
      </c>
      <c r="C837">
        <v>3.382574278285165E-2</v>
      </c>
      <c r="D837">
        <v>1.597908192911111E-2</v>
      </c>
      <c r="E837">
        <v>29.11535275668399</v>
      </c>
      <c r="F837">
        <v>-0.14717542120911789</v>
      </c>
      <c r="G837">
        <v>0.6</v>
      </c>
      <c r="H837">
        <v>-0.30046266649922931</v>
      </c>
      <c r="I837">
        <v>0.96359882056468371</v>
      </c>
      <c r="J837">
        <v>-0.1571988246816847</v>
      </c>
      <c r="K837">
        <v>-1.035077630822312E-2</v>
      </c>
      <c r="L837">
        <v>0</v>
      </c>
      <c r="M837">
        <v>104325814</v>
      </c>
      <c r="N837">
        <v>0</v>
      </c>
      <c r="O837" t="b">
        <v>1</v>
      </c>
    </row>
    <row r="838" spans="1:15" x14ac:dyDescent="0.3">
      <c r="A838" s="1" t="s">
        <v>941</v>
      </c>
      <c r="B838">
        <v>14.47686446248025</v>
      </c>
      <c r="C838">
        <v>2.8698370821391751E-2</v>
      </c>
      <c r="D838">
        <v>2.3825996285055589E-2</v>
      </c>
      <c r="E838">
        <v>56.738037622566829</v>
      </c>
      <c r="F838">
        <v>3.3427433563052673E-2</v>
      </c>
      <c r="G838">
        <v>0.6</v>
      </c>
      <c r="H838">
        <v>-0.1179856324345728</v>
      </c>
      <c r="I838">
        <v>0.98763524214185328</v>
      </c>
      <c r="J838">
        <v>-1.143480885154147E-2</v>
      </c>
      <c r="K838">
        <v>1.056948192310081E-2</v>
      </c>
      <c r="L838">
        <v>0</v>
      </c>
      <c r="M838">
        <v>215189269.63749999</v>
      </c>
      <c r="N838">
        <v>0</v>
      </c>
      <c r="O838" t="b">
        <v>1</v>
      </c>
    </row>
    <row r="839" spans="1:15" x14ac:dyDescent="0.3">
      <c r="A839" s="1" t="s">
        <v>942</v>
      </c>
      <c r="B839">
        <v>6.8926693968434529</v>
      </c>
      <c r="C839">
        <v>1.7552891404816778E-2</v>
      </c>
      <c r="D839">
        <v>1.362432515024962E-2</v>
      </c>
      <c r="E839">
        <v>28.987898547707449</v>
      </c>
      <c r="F839">
        <v>-6.3097970538692372E-2</v>
      </c>
      <c r="G839">
        <v>0.4</v>
      </c>
      <c r="H839">
        <v>-0.34429620732743549</v>
      </c>
      <c r="I839">
        <v>0.21807940367350581</v>
      </c>
      <c r="J839">
        <v>-8.1205280472453456E-2</v>
      </c>
      <c r="K839">
        <v>5.8916952712741999E-3</v>
      </c>
      <c r="L839">
        <v>0</v>
      </c>
      <c r="M839">
        <v>870658402.48099995</v>
      </c>
      <c r="N839">
        <v>0</v>
      </c>
      <c r="O839" t="b">
        <v>1</v>
      </c>
    </row>
    <row r="840" spans="1:15" x14ac:dyDescent="0.3">
      <c r="A840" s="1" t="s">
        <v>943</v>
      </c>
      <c r="B840">
        <v>1.481383749241113</v>
      </c>
      <c r="C840">
        <v>4.0608552430429982E-2</v>
      </c>
      <c r="D840">
        <v>7.7506332306275419E-2</v>
      </c>
      <c r="E840">
        <v>56.555430778431933</v>
      </c>
      <c r="F840">
        <v>9.6537212937357175E-2</v>
      </c>
      <c r="G840">
        <v>0.2</v>
      </c>
      <c r="H840">
        <v>-0.1092280960542143</v>
      </c>
      <c r="I840">
        <v>0.9363711771133143</v>
      </c>
      <c r="J840">
        <v>0</v>
      </c>
      <c r="K840">
        <v>7.0542731205136766E-2</v>
      </c>
      <c r="L840">
        <v>0</v>
      </c>
      <c r="M840">
        <v>44158591.714699998</v>
      </c>
      <c r="N840">
        <v>0</v>
      </c>
      <c r="O840" t="b">
        <v>0</v>
      </c>
    </row>
    <row r="841" spans="1:15" x14ac:dyDescent="0.3">
      <c r="A841" s="1" t="s">
        <v>944</v>
      </c>
      <c r="B841">
        <v>23.306364128622761</v>
      </c>
      <c r="C841">
        <v>6.3678590515362732E-2</v>
      </c>
      <c r="D841">
        <v>6.2486338797814067E-2</v>
      </c>
      <c r="E841">
        <v>74.452144599264244</v>
      </c>
      <c r="F841">
        <v>0.40828812189772612</v>
      </c>
      <c r="G841">
        <v>1</v>
      </c>
      <c r="H841">
        <v>0.24804359029124171</v>
      </c>
      <c r="I841">
        <v>4.231644063326029</v>
      </c>
      <c r="J841">
        <v>0</v>
      </c>
      <c r="K841">
        <v>1.5735575722254591E-2</v>
      </c>
      <c r="L841">
        <v>0</v>
      </c>
      <c r="M841">
        <v>229466703.5</v>
      </c>
      <c r="N841">
        <v>0</v>
      </c>
      <c r="O841" t="b">
        <v>1</v>
      </c>
    </row>
    <row r="842" spans="1:15" x14ac:dyDescent="0.3">
      <c r="A842" s="1" t="s">
        <v>945</v>
      </c>
      <c r="B842">
        <v>0.88300179984699168</v>
      </c>
      <c r="C842">
        <v>2.9238470193608999E-2</v>
      </c>
      <c r="D842">
        <v>7.4503311258278151E-2</v>
      </c>
      <c r="E842">
        <v>54.101955536180157</v>
      </c>
      <c r="F842">
        <v>-1.455971702853864E-2</v>
      </c>
      <c r="G842">
        <v>0.4</v>
      </c>
      <c r="H842">
        <v>-9.7940369327076227E-2</v>
      </c>
      <c r="I842">
        <v>0.71895654951368537</v>
      </c>
      <c r="J842">
        <v>-2.682044192663768E-2</v>
      </c>
      <c r="K842">
        <v>7.2062477813276349E-2</v>
      </c>
      <c r="L842">
        <v>0</v>
      </c>
      <c r="M842">
        <v>82722025.108449996</v>
      </c>
      <c r="N842">
        <v>0</v>
      </c>
      <c r="O842" t="b">
        <v>0</v>
      </c>
    </row>
    <row r="843" spans="1:15" x14ac:dyDescent="0.3">
      <c r="A843" s="1" t="s">
        <v>946</v>
      </c>
      <c r="B843">
        <v>28.174105913616419</v>
      </c>
      <c r="C843">
        <v>2.840177453831556E-2</v>
      </c>
      <c r="D843">
        <v>2.6046791077275519E-2</v>
      </c>
      <c r="E843">
        <v>49.972915885416612</v>
      </c>
      <c r="F843">
        <v>2.9441249296917601E-2</v>
      </c>
      <c r="G843">
        <v>0.2</v>
      </c>
      <c r="H843">
        <v>0.18604728168864421</v>
      </c>
      <c r="I843">
        <v>0.54243587811748262</v>
      </c>
      <c r="J843">
        <v>-0.10478029762925389</v>
      </c>
      <c r="K843">
        <v>1.1626756735533929E-2</v>
      </c>
      <c r="L843">
        <v>0</v>
      </c>
      <c r="M843">
        <v>2777184429.2080002</v>
      </c>
      <c r="N843">
        <v>0</v>
      </c>
      <c r="O843" t="b">
        <v>1</v>
      </c>
    </row>
    <row r="844" spans="1:15" x14ac:dyDescent="0.3">
      <c r="A844" s="1" t="s">
        <v>947</v>
      </c>
      <c r="B844">
        <v>2.408377884009163</v>
      </c>
      <c r="C844">
        <v>2.9474701799157552E-2</v>
      </c>
      <c r="D844">
        <v>3.4757067678374783E-2</v>
      </c>
      <c r="E844">
        <v>54.198169228535932</v>
      </c>
      <c r="F844">
        <v>-2.552176505664883E-2</v>
      </c>
      <c r="G844">
        <v>0.6</v>
      </c>
      <c r="H844">
        <v>-0.17322599371826661</v>
      </c>
      <c r="I844">
        <v>0.20251626171534889</v>
      </c>
      <c r="J844">
        <v>-2.6798475464506869E-2</v>
      </c>
      <c r="K844">
        <v>9.1391873533406276E-3</v>
      </c>
      <c r="L844">
        <v>0</v>
      </c>
      <c r="M844">
        <v>8676269.5</v>
      </c>
      <c r="N844">
        <v>0</v>
      </c>
      <c r="O844" t="b">
        <v>0</v>
      </c>
    </row>
    <row r="845" spans="1:15" x14ac:dyDescent="0.3">
      <c r="A845" s="1" t="s">
        <v>948</v>
      </c>
      <c r="B845">
        <v>2.5596766452490041</v>
      </c>
      <c r="C845">
        <v>3.060715825958393E-2</v>
      </c>
      <c r="D845">
        <v>2.7143369604208972E-2</v>
      </c>
      <c r="E845">
        <v>52.054191725774473</v>
      </c>
      <c r="F845">
        <v>-3.906698839480649E-2</v>
      </c>
      <c r="G845">
        <v>0.6</v>
      </c>
      <c r="H845">
        <v>-0.17593991067892509</v>
      </c>
      <c r="I845">
        <v>0.15487871237101919</v>
      </c>
      <c r="J845">
        <v>-4.1929201512200809E-2</v>
      </c>
      <c r="K845">
        <v>5.0474702559788476E-3</v>
      </c>
      <c r="L845">
        <v>0</v>
      </c>
      <c r="M845">
        <v>23067408</v>
      </c>
      <c r="N845">
        <v>0</v>
      </c>
      <c r="O845" t="b">
        <v>0</v>
      </c>
    </row>
    <row r="846" spans="1:15" x14ac:dyDescent="0.3">
      <c r="A846" s="1" t="s">
        <v>949</v>
      </c>
      <c r="B846">
        <v>0.16753174697339429</v>
      </c>
      <c r="C846">
        <v>3.3734869399994422E-3</v>
      </c>
      <c r="D846">
        <v>2.5210777808877239E-3</v>
      </c>
      <c r="E846">
        <v>60.01627627247403</v>
      </c>
      <c r="F846">
        <v>4.0110870976024504E-3</v>
      </c>
      <c r="G846">
        <v>0.2</v>
      </c>
      <c r="H846">
        <v>-7.4732166773767067E-2</v>
      </c>
      <c r="I846">
        <v>7.2228424610432272E-3</v>
      </c>
      <c r="J846">
        <v>-1.397524270673411E-3</v>
      </c>
      <c r="K846">
        <v>1.20157172032398E-3</v>
      </c>
      <c r="L846">
        <v>0</v>
      </c>
      <c r="M846">
        <v>20904966.495700002</v>
      </c>
      <c r="N846">
        <v>0</v>
      </c>
      <c r="O846" t="b">
        <v>0</v>
      </c>
    </row>
    <row r="847" spans="1:15" x14ac:dyDescent="0.3">
      <c r="A847" s="1" t="s">
        <v>950</v>
      </c>
      <c r="B847">
        <v>9.3174449930974141</v>
      </c>
      <c r="C847">
        <v>1.991162327028554E-2</v>
      </c>
      <c r="D847">
        <v>3.6756849168696808E-2</v>
      </c>
      <c r="E847">
        <v>55.708938267391808</v>
      </c>
      <c r="F847">
        <v>4.2895699286594757E-2</v>
      </c>
      <c r="G847">
        <v>1</v>
      </c>
      <c r="H847">
        <v>-4.8577818498743812E-2</v>
      </c>
      <c r="I847">
        <v>4.3643646547963239E-2</v>
      </c>
      <c r="J847">
        <v>-6.7983605826680282E-3</v>
      </c>
      <c r="K847">
        <v>2.2489237293581428E-3</v>
      </c>
      <c r="L847">
        <v>0</v>
      </c>
      <c r="M847">
        <v>638252049.96099997</v>
      </c>
      <c r="N847">
        <v>0</v>
      </c>
      <c r="O847" t="b">
        <v>1</v>
      </c>
    </row>
    <row r="848" spans="1:15" x14ac:dyDescent="0.3">
      <c r="A848" s="1" t="s">
        <v>951</v>
      </c>
      <c r="B848">
        <v>1.1342740520663399</v>
      </c>
      <c r="C848">
        <v>2.5456525688637779E-2</v>
      </c>
      <c r="D848">
        <v>4.4423697127070047E-2</v>
      </c>
      <c r="E848">
        <v>75.384167705809418</v>
      </c>
      <c r="F848">
        <v>9.6177170284319713E-2</v>
      </c>
      <c r="G848">
        <v>1</v>
      </c>
      <c r="H848">
        <v>3.8281630211806181E-2</v>
      </c>
      <c r="I848">
        <v>1.0798455771648361</v>
      </c>
      <c r="J848">
        <v>0</v>
      </c>
      <c r="K848">
        <v>4.3821611883795082E-2</v>
      </c>
      <c r="L848">
        <v>0</v>
      </c>
      <c r="M848">
        <v>61098264.444799997</v>
      </c>
      <c r="N848">
        <v>0</v>
      </c>
      <c r="O848" t="b">
        <v>0</v>
      </c>
    </row>
    <row r="849" spans="1:15" x14ac:dyDescent="0.3">
      <c r="A849" s="1" t="s">
        <v>952</v>
      </c>
      <c r="B849">
        <v>4.8533809328845763</v>
      </c>
      <c r="C849">
        <v>2.5225341515296571E-2</v>
      </c>
      <c r="D849">
        <v>4.4318896471431987E-2</v>
      </c>
      <c r="E849">
        <v>22.346067676231669</v>
      </c>
      <c r="F849">
        <v>-8.8112345491772159E-2</v>
      </c>
      <c r="G849">
        <v>0</v>
      </c>
      <c r="H849">
        <v>-0.31886803194420399</v>
      </c>
      <c r="I849">
        <v>0.10876691011794321</v>
      </c>
      <c r="J849">
        <v>-0.1036232255419464</v>
      </c>
      <c r="K849">
        <v>-2.9238733375042791E-2</v>
      </c>
      <c r="L849">
        <v>0</v>
      </c>
      <c r="M849">
        <v>402753065.21149999</v>
      </c>
      <c r="N849">
        <v>0</v>
      </c>
      <c r="O849" t="b">
        <v>1</v>
      </c>
    </row>
    <row r="850" spans="1:15" x14ac:dyDescent="0.3">
      <c r="A850" s="1" t="s">
        <v>953</v>
      </c>
      <c r="B850">
        <v>0.93973601953832675</v>
      </c>
      <c r="C850">
        <v>1.461775528818797E-2</v>
      </c>
      <c r="D850">
        <v>1.481319016353143E-2</v>
      </c>
      <c r="E850">
        <v>33.682843853242993</v>
      </c>
      <c r="F850">
        <v>-3.2107847196397372E-2</v>
      </c>
      <c r="G850">
        <v>0.2</v>
      </c>
      <c r="H850">
        <v>-5.2387048101703658E-2</v>
      </c>
      <c r="I850">
        <v>9.5437206570605934E-2</v>
      </c>
      <c r="J850">
        <v>-6.7079090461865332E-2</v>
      </c>
      <c r="K850">
        <v>-1.232005418959625E-3</v>
      </c>
      <c r="L850">
        <v>0</v>
      </c>
      <c r="M850">
        <v>116392073.58295</v>
      </c>
      <c r="N850">
        <v>0</v>
      </c>
      <c r="O850" t="b">
        <v>1</v>
      </c>
    </row>
    <row r="851" spans="1:15" x14ac:dyDescent="0.3">
      <c r="A851" s="1" t="s">
        <v>954</v>
      </c>
      <c r="B851">
        <v>2.5940836733437269</v>
      </c>
      <c r="C851">
        <v>2.150090073223147E-2</v>
      </c>
      <c r="D851">
        <v>2.030667219229166E-2</v>
      </c>
      <c r="E851">
        <v>61.661046032766627</v>
      </c>
      <c r="F851">
        <v>-1.130869458329919E-2</v>
      </c>
      <c r="G851">
        <v>0.6</v>
      </c>
      <c r="H851">
        <v>7.5863605482053537E-2</v>
      </c>
      <c r="I851">
        <v>1.414299587585464</v>
      </c>
      <c r="J851">
        <v>-3.9626847188969361E-3</v>
      </c>
      <c r="K851">
        <v>1.5315997643692739E-2</v>
      </c>
      <c r="L851">
        <v>0</v>
      </c>
      <c r="M851">
        <v>51886257.979999997</v>
      </c>
      <c r="N851">
        <v>0</v>
      </c>
      <c r="O851" t="b">
        <v>0</v>
      </c>
    </row>
    <row r="852" spans="1:15" x14ac:dyDescent="0.3">
      <c r="A852" s="1" t="s">
        <v>955</v>
      </c>
      <c r="B852">
        <v>5.184045962926219</v>
      </c>
      <c r="C852">
        <v>2.1150824617506479E-2</v>
      </c>
      <c r="D852">
        <v>2.46145435109895E-2</v>
      </c>
      <c r="E852">
        <v>57.390817009561196</v>
      </c>
      <c r="F852">
        <v>5.6515854268324173E-2</v>
      </c>
      <c r="G852">
        <v>0.4</v>
      </c>
      <c r="H852">
        <v>-0.15610789618690951</v>
      </c>
      <c r="I852">
        <v>0.37178898237460439</v>
      </c>
      <c r="J852">
        <v>-9.1365181780328486E-3</v>
      </c>
      <c r="K852">
        <v>1.454560506653957E-2</v>
      </c>
      <c r="L852">
        <v>0</v>
      </c>
      <c r="M852">
        <v>613586832.44950008</v>
      </c>
      <c r="N852">
        <v>0</v>
      </c>
      <c r="O852" t="b">
        <v>1</v>
      </c>
    </row>
    <row r="853" spans="1:15" x14ac:dyDescent="0.3">
      <c r="A853" s="1" t="s">
        <v>956</v>
      </c>
      <c r="B853">
        <v>10.23975031331241</v>
      </c>
      <c r="C853">
        <v>2.645998685576478E-2</v>
      </c>
      <c r="D853">
        <v>3.8476446419804092E-2</v>
      </c>
      <c r="E853">
        <v>70.57061674965577</v>
      </c>
      <c r="F853">
        <v>3.1805492973143057E-2</v>
      </c>
      <c r="G853">
        <v>0.8</v>
      </c>
      <c r="H853">
        <v>5.7690603971154733E-2</v>
      </c>
      <c r="I853">
        <v>0.96462903706922176</v>
      </c>
      <c r="J853">
        <v>0</v>
      </c>
      <c r="K853">
        <v>3.2772010354674252E-2</v>
      </c>
      <c r="L853">
        <v>0</v>
      </c>
      <c r="M853">
        <v>220935350.5785</v>
      </c>
      <c r="N853">
        <v>0</v>
      </c>
      <c r="O853" t="b">
        <v>1</v>
      </c>
    </row>
    <row r="854" spans="1:15" x14ac:dyDescent="0.3">
      <c r="A854" s="1" t="s">
        <v>957</v>
      </c>
      <c r="B854">
        <v>0.43842773337704821</v>
      </c>
      <c r="C854">
        <v>3.9800983466664989E-3</v>
      </c>
      <c r="D854">
        <v>5.6738232490581453E-3</v>
      </c>
      <c r="E854">
        <v>53.377312136357247</v>
      </c>
      <c r="F854">
        <v>5.7888441486106954E-3</v>
      </c>
      <c r="G854">
        <v>0.2</v>
      </c>
      <c r="H854">
        <v>-0.1014810482877168</v>
      </c>
      <c r="I854">
        <v>6.4923998955098511E-2</v>
      </c>
      <c r="J854">
        <v>-5.704640436152264E-3</v>
      </c>
      <c r="K854">
        <v>4.6147251684922619E-3</v>
      </c>
      <c r="L854">
        <v>0</v>
      </c>
      <c r="M854">
        <v>2965120203.447</v>
      </c>
      <c r="N854">
        <v>0</v>
      </c>
      <c r="O854" t="b">
        <v>1</v>
      </c>
    </row>
    <row r="855" spans="1:15" x14ac:dyDescent="0.3">
      <c r="A855" s="1" t="s">
        <v>958</v>
      </c>
      <c r="B855">
        <v>6.3425678478312104</v>
      </c>
      <c r="C855">
        <v>3.769504248087014E-2</v>
      </c>
      <c r="D855">
        <v>4.2493759657672693E-2</v>
      </c>
      <c r="E855">
        <v>64.698779616990748</v>
      </c>
      <c r="F855">
        <v>1.302251094240092E-2</v>
      </c>
      <c r="G855">
        <v>0.8</v>
      </c>
      <c r="H855">
        <v>0.22996839609625461</v>
      </c>
      <c r="I855">
        <v>2.7992554477756131</v>
      </c>
      <c r="J855">
        <v>0</v>
      </c>
      <c r="K855">
        <v>1.477594837464569E-2</v>
      </c>
      <c r="L855">
        <v>0</v>
      </c>
      <c r="M855">
        <v>1082452816.37695</v>
      </c>
      <c r="N855">
        <v>0</v>
      </c>
      <c r="O855" t="b">
        <v>1</v>
      </c>
    </row>
    <row r="856" spans="1:15" x14ac:dyDescent="0.3">
      <c r="A856" s="1" t="s">
        <v>959</v>
      </c>
      <c r="B856">
        <v>3.3264372844445518</v>
      </c>
      <c r="C856">
        <v>4.2423635817428293E-2</v>
      </c>
      <c r="D856">
        <v>3.3031501084045449E-2</v>
      </c>
      <c r="E856">
        <v>67.323468877797268</v>
      </c>
      <c r="F856">
        <v>0.16925141664181331</v>
      </c>
      <c r="G856">
        <v>0.8</v>
      </c>
      <c r="H856">
        <v>8.9517942762273983E-2</v>
      </c>
      <c r="I856">
        <v>2.4200188375593661</v>
      </c>
      <c r="J856">
        <v>-5.5802155992390468E-3</v>
      </c>
      <c r="K856">
        <v>5.9012187299549712E-3</v>
      </c>
      <c r="L856">
        <v>0</v>
      </c>
      <c r="M856">
        <v>127404339.5</v>
      </c>
      <c r="N856">
        <v>0</v>
      </c>
      <c r="O856" t="b">
        <v>1</v>
      </c>
    </row>
    <row r="857" spans="1:15" x14ac:dyDescent="0.3">
      <c r="A857" s="1" t="s">
        <v>960</v>
      </c>
      <c r="B857">
        <v>1.480302146597108</v>
      </c>
      <c r="C857">
        <v>2.8412709147737188E-2</v>
      </c>
      <c r="D857">
        <v>3.3205374280230397E-2</v>
      </c>
      <c r="E857">
        <v>71.18930848772564</v>
      </c>
      <c r="F857">
        <v>0.18759972646455439</v>
      </c>
      <c r="G857">
        <v>0.6</v>
      </c>
      <c r="H857">
        <v>2.5226822216015691E-2</v>
      </c>
      <c r="I857">
        <v>0.89140519820698882</v>
      </c>
      <c r="J857">
        <v>0</v>
      </c>
      <c r="K857">
        <v>2.1969399764613758E-2</v>
      </c>
      <c r="L857">
        <v>0</v>
      </c>
      <c r="M857">
        <v>18756112.7892</v>
      </c>
      <c r="N857">
        <v>0</v>
      </c>
      <c r="O857" t="b">
        <v>0</v>
      </c>
    </row>
    <row r="858" spans="1:15" x14ac:dyDescent="0.3">
      <c r="A858" s="1" t="s">
        <v>961</v>
      </c>
      <c r="B858">
        <v>6.1219211619655782</v>
      </c>
      <c r="C858">
        <v>3.2629363404570823E-2</v>
      </c>
      <c r="D858">
        <v>3.581707707067476E-2</v>
      </c>
      <c r="E858">
        <v>62.432485978433981</v>
      </c>
      <c r="F858">
        <v>0.101379512767831</v>
      </c>
      <c r="G858">
        <v>0.6</v>
      </c>
      <c r="H858">
        <v>7.4115158000743489E-2</v>
      </c>
      <c r="I858">
        <v>1.5780201501606479</v>
      </c>
      <c r="J858">
        <v>-1.257828535340233E-2</v>
      </c>
      <c r="K858">
        <v>2.929558920342323E-2</v>
      </c>
      <c r="L858">
        <v>0</v>
      </c>
      <c r="M858">
        <v>628699669</v>
      </c>
      <c r="N858">
        <v>0</v>
      </c>
      <c r="O858" t="b">
        <v>1</v>
      </c>
    </row>
    <row r="859" spans="1:15" x14ac:dyDescent="0.3">
      <c r="A859" s="1" t="s">
        <v>962</v>
      </c>
      <c r="B859">
        <v>0.64772461844710894</v>
      </c>
      <c r="C859">
        <v>7.4536780028436014E-2</v>
      </c>
      <c r="D859">
        <v>9.3210586881473018E-2</v>
      </c>
      <c r="E859">
        <v>52.378363533624103</v>
      </c>
      <c r="F859">
        <v>-0.1715919923736893</v>
      </c>
      <c r="G859">
        <v>0.6</v>
      </c>
      <c r="H859">
        <v>0.1213618236373256</v>
      </c>
      <c r="I859">
        <v>3.0104143364116749</v>
      </c>
      <c r="J859">
        <v>-9.1954022988505857E-2</v>
      </c>
      <c r="K859">
        <v>2.2352941176470461E-2</v>
      </c>
      <c r="L859">
        <v>0</v>
      </c>
      <c r="M859">
        <v>57655189.5</v>
      </c>
      <c r="N859">
        <v>0</v>
      </c>
      <c r="O859" t="b">
        <v>0</v>
      </c>
    </row>
    <row r="860" spans="1:15" x14ac:dyDescent="0.3">
      <c r="A860" s="1" t="s">
        <v>963</v>
      </c>
      <c r="B860">
        <v>1.237406100311599</v>
      </c>
      <c r="C860">
        <v>3.1202558433565619E-2</v>
      </c>
      <c r="D860">
        <v>4.4188697134442213E-2</v>
      </c>
      <c r="E860">
        <v>79.876004177902587</v>
      </c>
      <c r="F860">
        <v>0.21953484653256769</v>
      </c>
      <c r="G860">
        <v>1</v>
      </c>
      <c r="H860">
        <v>0.14221189790842659</v>
      </c>
      <c r="I860">
        <v>1.1085461714179581</v>
      </c>
      <c r="J860">
        <v>0</v>
      </c>
      <c r="K860">
        <v>4.4036383261593759E-2</v>
      </c>
      <c r="L860">
        <v>0</v>
      </c>
      <c r="M860">
        <v>298708671.97759998</v>
      </c>
      <c r="N860">
        <v>0</v>
      </c>
      <c r="O860" t="b">
        <v>1</v>
      </c>
    </row>
    <row r="861" spans="1:15" x14ac:dyDescent="0.3">
      <c r="A861" s="1" t="s">
        <v>964</v>
      </c>
      <c r="B861">
        <v>1.6658857157573159</v>
      </c>
      <c r="C861">
        <v>2.5192978688201379E-2</v>
      </c>
      <c r="D861">
        <v>1.218601134215508E-2</v>
      </c>
      <c r="E861">
        <v>58.531408294037192</v>
      </c>
      <c r="F861">
        <v>5.1408489241002719E-3</v>
      </c>
      <c r="G861">
        <v>0.4</v>
      </c>
      <c r="H861">
        <v>0.10591555495173879</v>
      </c>
      <c r="I861">
        <v>0.9099272792389862</v>
      </c>
      <c r="J861">
        <v>-4.3459141058856399E-2</v>
      </c>
      <c r="K861">
        <v>6.0225284935211398E-4</v>
      </c>
      <c r="L861">
        <v>0</v>
      </c>
      <c r="M861">
        <v>240041706.22835001</v>
      </c>
      <c r="N861">
        <v>0</v>
      </c>
      <c r="O861" t="b">
        <v>1</v>
      </c>
    </row>
    <row r="862" spans="1:15" x14ac:dyDescent="0.3">
      <c r="A862" s="1" t="s">
        <v>965</v>
      </c>
      <c r="B862">
        <v>1.471331157070926</v>
      </c>
      <c r="C862">
        <v>2.51542708539573E-2</v>
      </c>
      <c r="D862">
        <v>1.8802474855664799E-2</v>
      </c>
      <c r="E862">
        <v>48.06980296719339</v>
      </c>
      <c r="F862">
        <v>-2.2863004064422651E-2</v>
      </c>
      <c r="G862">
        <v>0.2</v>
      </c>
      <c r="H862">
        <v>7.1660848777077568E-4</v>
      </c>
      <c r="I862">
        <v>0.68259652695370321</v>
      </c>
      <c r="J862">
        <v>-2.496420230738838E-2</v>
      </c>
      <c r="K862">
        <v>1.2878234277540869E-2</v>
      </c>
      <c r="L862">
        <v>0</v>
      </c>
      <c r="M862">
        <v>104350493.21945</v>
      </c>
      <c r="N862">
        <v>0</v>
      </c>
      <c r="O862" t="b">
        <v>1</v>
      </c>
    </row>
    <row r="863" spans="1:15" x14ac:dyDescent="0.3">
      <c r="A863" s="1" t="s">
        <v>966</v>
      </c>
      <c r="B863">
        <v>1.8557408114605041</v>
      </c>
      <c r="C863">
        <v>4.1028981018361797E-2</v>
      </c>
      <c r="D863">
        <v>5.7483970815830239E-2</v>
      </c>
      <c r="E863">
        <v>52.512408055887107</v>
      </c>
      <c r="F863">
        <v>8.7942194501838822E-2</v>
      </c>
      <c r="G863">
        <v>0.6</v>
      </c>
      <c r="H863">
        <v>-0.1359365152126335</v>
      </c>
      <c r="I863">
        <v>1.3125720268217711</v>
      </c>
      <c r="J863">
        <v>-5.6135225375626097E-2</v>
      </c>
      <c r="K863">
        <v>5.7269752220663772E-2</v>
      </c>
      <c r="L863">
        <v>0</v>
      </c>
      <c r="M863">
        <v>231453026.9307</v>
      </c>
      <c r="N863">
        <v>0</v>
      </c>
      <c r="O863" t="b">
        <v>1</v>
      </c>
    </row>
    <row r="864" spans="1:15" x14ac:dyDescent="0.3">
      <c r="A864" s="1" t="s">
        <v>967</v>
      </c>
      <c r="B864">
        <v>1.078709223898622</v>
      </c>
      <c r="C864">
        <v>5.3086083853278641E-2</v>
      </c>
      <c r="D864">
        <v>9.8425196850393692E-2</v>
      </c>
      <c r="E864">
        <v>43.082364533464691</v>
      </c>
      <c r="F864">
        <v>-0.1433389544688026</v>
      </c>
      <c r="G864">
        <v>0.4</v>
      </c>
      <c r="H864">
        <v>4.3592478570639699E-2</v>
      </c>
      <c r="I864">
        <v>1.804907008056666</v>
      </c>
      <c r="J864">
        <v>-0.17297517297517301</v>
      </c>
      <c r="K864">
        <v>-6.7033976124885264E-2</v>
      </c>
      <c r="L864">
        <v>0</v>
      </c>
      <c r="M864">
        <v>235426711.5</v>
      </c>
      <c r="N864">
        <v>0</v>
      </c>
      <c r="O864" t="b">
        <v>1</v>
      </c>
    </row>
    <row r="865" spans="1:15" x14ac:dyDescent="0.3">
      <c r="A865" s="1" t="s">
        <v>968</v>
      </c>
      <c r="B865">
        <v>0.10434460525925331</v>
      </c>
      <c r="C865">
        <v>2.0703294694296291E-2</v>
      </c>
      <c r="D865">
        <v>2.3809523809523829E-2</v>
      </c>
      <c r="E865">
        <v>57.712101690741882</v>
      </c>
      <c r="F865">
        <v>1.818181818181808E-2</v>
      </c>
      <c r="G865">
        <v>0.4</v>
      </c>
      <c r="H865">
        <v>8.0908342648135387E-2</v>
      </c>
      <c r="I865">
        <v>1.096777007553942</v>
      </c>
      <c r="J865">
        <v>-2.514506769825919E-2</v>
      </c>
      <c r="K865">
        <v>1.002004008016022E-2</v>
      </c>
      <c r="L865">
        <v>0</v>
      </c>
      <c r="M865">
        <v>44096380.320069999</v>
      </c>
      <c r="N865">
        <v>0</v>
      </c>
      <c r="O865" t="b">
        <v>0</v>
      </c>
    </row>
    <row r="866" spans="1:15" x14ac:dyDescent="0.3">
      <c r="A866" s="1" t="s">
        <v>969</v>
      </c>
      <c r="B866">
        <v>4.0628346980511161</v>
      </c>
      <c r="C866">
        <v>2.9266926221373842E-2</v>
      </c>
      <c r="D866">
        <v>3.2632185564039767E-2</v>
      </c>
      <c r="E866">
        <v>51.464617626053432</v>
      </c>
      <c r="F866">
        <v>-3.1600976630624333E-2</v>
      </c>
      <c r="G866">
        <v>0.4</v>
      </c>
      <c r="H866">
        <v>-0.19017222738527431</v>
      </c>
      <c r="I866">
        <v>0.2447888144978706</v>
      </c>
      <c r="J866">
        <v>-2.1360592174832549E-2</v>
      </c>
      <c r="K866">
        <v>-1.797655856762836E-3</v>
      </c>
      <c r="L866">
        <v>0</v>
      </c>
      <c r="M866">
        <v>323910499.5</v>
      </c>
      <c r="N866">
        <v>0</v>
      </c>
      <c r="O866" t="b">
        <v>1</v>
      </c>
    </row>
    <row r="867" spans="1:15" x14ac:dyDescent="0.3">
      <c r="A867" s="1" t="s">
        <v>970</v>
      </c>
      <c r="B867">
        <v>9.97105487528761</v>
      </c>
      <c r="C867">
        <v>1.8531768073137191E-2</v>
      </c>
      <c r="D867">
        <v>1.3825801223673689E-2</v>
      </c>
      <c r="E867">
        <v>43.886788442012353</v>
      </c>
      <c r="F867">
        <v>-2.549938329852874E-2</v>
      </c>
      <c r="G867">
        <v>0.4</v>
      </c>
      <c r="H867">
        <v>-0.1831187241393373</v>
      </c>
      <c r="I867">
        <v>0.4742689067974184</v>
      </c>
      <c r="J867">
        <v>-3.9858098317594237E-2</v>
      </c>
      <c r="K867">
        <v>2.4369159226744759E-3</v>
      </c>
      <c r="L867">
        <v>0</v>
      </c>
      <c r="M867">
        <v>1408674114.5780001</v>
      </c>
      <c r="N867">
        <v>0</v>
      </c>
      <c r="O867" t="b">
        <v>1</v>
      </c>
    </row>
    <row r="868" spans="1:15" x14ac:dyDescent="0.3">
      <c r="A868" s="1" t="s">
        <v>971</v>
      </c>
      <c r="B868">
        <v>2.037777193333226</v>
      </c>
      <c r="C868">
        <v>1.5624849088961159E-2</v>
      </c>
      <c r="D868">
        <v>1.4629770202194581E-2</v>
      </c>
      <c r="E868">
        <v>47.728162082898422</v>
      </c>
      <c r="F868">
        <v>1.8142784652016131E-2</v>
      </c>
      <c r="G868">
        <v>0.2</v>
      </c>
      <c r="H868">
        <v>-0.16659896690105691</v>
      </c>
      <c r="I868">
        <v>7.0256556459012284E-2</v>
      </c>
      <c r="J868">
        <v>-2.9360543002589942E-2</v>
      </c>
      <c r="K868">
        <v>1.0647448564454541E-2</v>
      </c>
      <c r="L868">
        <v>0</v>
      </c>
      <c r="M868">
        <v>119334485.119</v>
      </c>
      <c r="N868">
        <v>0</v>
      </c>
      <c r="O868" t="b">
        <v>1</v>
      </c>
    </row>
    <row r="869" spans="1:15" x14ac:dyDescent="0.3">
      <c r="A869" s="1" t="s">
        <v>972</v>
      </c>
      <c r="B869">
        <v>1.149545708618134</v>
      </c>
      <c r="C869">
        <v>1.7360044770645601E-2</v>
      </c>
      <c r="D869">
        <v>1.056662926489676E-2</v>
      </c>
      <c r="E869">
        <v>56.805950829370403</v>
      </c>
      <c r="F869">
        <v>-4.150756685951551E-3</v>
      </c>
      <c r="G869">
        <v>0.8</v>
      </c>
      <c r="H869">
        <v>7.6240694983094756E-2</v>
      </c>
      <c r="I869">
        <v>1.546105904419147</v>
      </c>
      <c r="J869">
        <v>-6.3593815884048777E-3</v>
      </c>
      <c r="K869">
        <v>4.4720894780492237E-4</v>
      </c>
      <c r="L869">
        <v>0</v>
      </c>
      <c r="M869">
        <v>134010623.65880001</v>
      </c>
      <c r="N869">
        <v>0</v>
      </c>
      <c r="O869" t="b">
        <v>1</v>
      </c>
    </row>
    <row r="870" spans="1:15" x14ac:dyDescent="0.3">
      <c r="A870" s="1" t="s">
        <v>973</v>
      </c>
      <c r="B870">
        <v>4.9056974592446636</v>
      </c>
      <c r="C870">
        <v>2.805339657599739E-2</v>
      </c>
      <c r="D870">
        <v>2.6133699319494601E-2</v>
      </c>
      <c r="E870">
        <v>42.359032979002038</v>
      </c>
      <c r="F870">
        <v>-8.9543780107678161E-3</v>
      </c>
      <c r="G870">
        <v>0.4</v>
      </c>
      <c r="H870">
        <v>-0.25409824072828258</v>
      </c>
      <c r="I870">
        <v>0.86943646354579829</v>
      </c>
      <c r="J870">
        <v>-2.682397462296171E-2</v>
      </c>
      <c r="K870">
        <v>3.6157024793388448E-3</v>
      </c>
      <c r="L870">
        <v>0</v>
      </c>
      <c r="M870">
        <v>112086805</v>
      </c>
      <c r="N870">
        <v>0</v>
      </c>
      <c r="O870" t="b">
        <v>1</v>
      </c>
    </row>
    <row r="871" spans="1:15" x14ac:dyDescent="0.3">
      <c r="A871" s="1" t="s">
        <v>974</v>
      </c>
      <c r="B871">
        <v>6.5359403955363096</v>
      </c>
      <c r="C871">
        <v>2.2776485905827679E-2</v>
      </c>
      <c r="D871">
        <v>2.0734597156398259E-2</v>
      </c>
      <c r="E871">
        <v>48.023174678966598</v>
      </c>
      <c r="F871">
        <v>-9.7486067256761233E-3</v>
      </c>
      <c r="G871">
        <v>0.2</v>
      </c>
      <c r="H871">
        <v>3.0102639684382031E-2</v>
      </c>
      <c r="I871">
        <v>0.60940158912411524</v>
      </c>
      <c r="J871">
        <v>-6.4210011413663781E-2</v>
      </c>
      <c r="K871">
        <v>1.099210822998864E-2</v>
      </c>
      <c r="L871">
        <v>0</v>
      </c>
      <c r="M871">
        <v>382383835.31050003</v>
      </c>
      <c r="N871">
        <v>0</v>
      </c>
      <c r="O871" t="b">
        <v>1</v>
      </c>
    </row>
    <row r="872" spans="1:15" x14ac:dyDescent="0.3">
      <c r="A872" s="1" t="s">
        <v>975</v>
      </c>
      <c r="B872">
        <v>1.6694329127401</v>
      </c>
      <c r="C872">
        <v>2.631514679602933E-2</v>
      </c>
      <c r="D872">
        <v>4.2244640605296341E-2</v>
      </c>
      <c r="E872">
        <v>49.982005416082181</v>
      </c>
      <c r="F872">
        <v>3.2048153570847449E-2</v>
      </c>
      <c r="G872">
        <v>0.2</v>
      </c>
      <c r="H872">
        <v>-0.2212509987726973</v>
      </c>
      <c r="I872">
        <v>0.73939552471687142</v>
      </c>
      <c r="J872">
        <v>-2.2044088176352838E-2</v>
      </c>
      <c r="K872">
        <v>3.8127965963017367E-2</v>
      </c>
      <c r="L872">
        <v>0</v>
      </c>
      <c r="M872">
        <v>132112423.90975</v>
      </c>
      <c r="N872">
        <v>0</v>
      </c>
      <c r="O872" t="b">
        <v>1</v>
      </c>
    </row>
    <row r="873" spans="1:15" x14ac:dyDescent="0.3">
      <c r="A873" s="1" t="s">
        <v>976</v>
      </c>
      <c r="B873">
        <v>5.0932500376396721</v>
      </c>
      <c r="C873">
        <v>3.6440223493165003E-2</v>
      </c>
      <c r="D873">
        <v>1.8101166201616951E-2</v>
      </c>
      <c r="E873">
        <v>43.773222098378277</v>
      </c>
      <c r="F873">
        <v>-3.2733564013840748E-2</v>
      </c>
      <c r="G873">
        <v>0.4</v>
      </c>
      <c r="H873">
        <v>-6.972628303568594E-2</v>
      </c>
      <c r="I873">
        <v>0.38291568160332329</v>
      </c>
      <c r="J873">
        <v>-8.3054516827396174E-2</v>
      </c>
      <c r="K873">
        <v>8.296061174433822E-3</v>
      </c>
      <c r="L873">
        <v>0</v>
      </c>
      <c r="M873">
        <v>92059076.5</v>
      </c>
      <c r="N873">
        <v>0</v>
      </c>
      <c r="O873" t="b">
        <v>0</v>
      </c>
    </row>
    <row r="874" spans="1:15" x14ac:dyDescent="0.3">
      <c r="A874" s="1" t="s">
        <v>977</v>
      </c>
      <c r="B874">
        <v>0.29370322324846471</v>
      </c>
      <c r="C874">
        <v>3.1058343282235998E-3</v>
      </c>
      <c r="D874">
        <v>4.6211600486437653E-3</v>
      </c>
      <c r="E874">
        <v>53.491615652330992</v>
      </c>
      <c r="F874">
        <v>3.0048249023935099E-3</v>
      </c>
      <c r="G874">
        <v>0.2</v>
      </c>
      <c r="H874">
        <v>-8.1576097562100089E-2</v>
      </c>
      <c r="I874">
        <v>1.03445709090247E-2</v>
      </c>
      <c r="J874">
        <v>-4.2057865895008817E-3</v>
      </c>
      <c r="K874">
        <v>4.324654994063204E-3</v>
      </c>
      <c r="L874">
        <v>0</v>
      </c>
      <c r="M874">
        <v>245858029.0537</v>
      </c>
      <c r="N874">
        <v>0</v>
      </c>
      <c r="O874" t="b">
        <v>1</v>
      </c>
    </row>
    <row r="875" spans="1:15" x14ac:dyDescent="0.3">
      <c r="A875" s="1" t="s">
        <v>978</v>
      </c>
      <c r="B875">
        <v>0.4628319481594903</v>
      </c>
      <c r="C875">
        <v>3.9189834729846773E-2</v>
      </c>
      <c r="D875">
        <v>4.4877222692633459E-2</v>
      </c>
      <c r="E875">
        <v>46.348576616501617</v>
      </c>
      <c r="F875">
        <v>-8.5205267234701787E-2</v>
      </c>
      <c r="G875">
        <v>0.4</v>
      </c>
      <c r="H875">
        <v>-0.13635104401304871</v>
      </c>
      <c r="I875">
        <v>2.201547484945185</v>
      </c>
      <c r="J875">
        <v>-6.8611987381703377E-2</v>
      </c>
      <c r="K875">
        <v>3.234265734265751E-2</v>
      </c>
      <c r="L875">
        <v>0</v>
      </c>
      <c r="M875">
        <v>64790953</v>
      </c>
      <c r="N875">
        <v>0</v>
      </c>
      <c r="O875" t="b">
        <v>0</v>
      </c>
    </row>
    <row r="876" spans="1:15" x14ac:dyDescent="0.3">
      <c r="A876" s="1" t="s">
        <v>979</v>
      </c>
      <c r="B876">
        <v>4.9942513340215218</v>
      </c>
      <c r="C876">
        <v>1.608299144695045E-2</v>
      </c>
      <c r="D876">
        <v>1.709979712105111E-2</v>
      </c>
      <c r="E876">
        <v>57.078752080279742</v>
      </c>
      <c r="F876">
        <v>4.4444294958899011E-2</v>
      </c>
      <c r="G876">
        <v>0.6</v>
      </c>
      <c r="H876">
        <v>-4.1817016500851831E-2</v>
      </c>
      <c r="I876">
        <v>5.0349761568622253E-2</v>
      </c>
      <c r="J876">
        <v>-2.2491405070206309E-3</v>
      </c>
      <c r="K876">
        <v>-8.3657775346712704E-4</v>
      </c>
      <c r="L876">
        <v>0</v>
      </c>
      <c r="M876">
        <v>931571936.16949999</v>
      </c>
      <c r="N876">
        <v>0</v>
      </c>
      <c r="O876" t="b">
        <v>1</v>
      </c>
    </row>
    <row r="877" spans="1:15" x14ac:dyDescent="0.3">
      <c r="A877" s="1" t="s">
        <v>980</v>
      </c>
      <c r="B877">
        <v>0.8573898769608771</v>
      </c>
      <c r="C877">
        <v>1.404090936122241E-2</v>
      </c>
      <c r="D877">
        <v>1.1163751950831659E-2</v>
      </c>
      <c r="E877">
        <v>44.303184772070352</v>
      </c>
      <c r="F877">
        <v>-4.4667609529590702E-2</v>
      </c>
      <c r="G877">
        <v>0.6</v>
      </c>
      <c r="H877">
        <v>-0.13168890073583481</v>
      </c>
      <c r="I877">
        <v>1.0832361329954541</v>
      </c>
      <c r="J877">
        <v>-4.2891715072993497E-2</v>
      </c>
      <c r="K877">
        <v>7.4988615589712806E-3</v>
      </c>
      <c r="L877">
        <v>0</v>
      </c>
      <c r="M877">
        <v>131697440.5774</v>
      </c>
      <c r="N877">
        <v>0</v>
      </c>
      <c r="O877" t="b">
        <v>1</v>
      </c>
    </row>
    <row r="878" spans="1:15" x14ac:dyDescent="0.3">
      <c r="A878" s="1" t="s">
        <v>981</v>
      </c>
      <c r="B878">
        <v>2.3734388299381539</v>
      </c>
      <c r="C878">
        <v>3.4954916493934521E-2</v>
      </c>
      <c r="D878">
        <v>2.9013254786450639E-2</v>
      </c>
      <c r="E878">
        <v>72.649143450679816</v>
      </c>
      <c r="F878">
        <v>0.2364630964022385</v>
      </c>
      <c r="G878">
        <v>0.8</v>
      </c>
      <c r="H878">
        <v>1.8001099565376731E-2</v>
      </c>
      <c r="I878">
        <v>2.0391470401522138</v>
      </c>
      <c r="J878">
        <v>0</v>
      </c>
      <c r="K878">
        <v>1.5706806282722589E-2</v>
      </c>
      <c r="L878">
        <v>0</v>
      </c>
      <c r="M878">
        <v>501237147.31575</v>
      </c>
      <c r="N878">
        <v>0</v>
      </c>
      <c r="O878" t="b">
        <v>1</v>
      </c>
    </row>
    <row r="879" spans="1:15" x14ac:dyDescent="0.3">
      <c r="A879" s="1" t="s">
        <v>982</v>
      </c>
      <c r="B879">
        <v>18.961408096452729</v>
      </c>
      <c r="C879">
        <v>2.3319896810297291E-2</v>
      </c>
      <c r="D879">
        <v>2.704464395523307E-2</v>
      </c>
      <c r="E879">
        <v>44.823907688881462</v>
      </c>
      <c r="F879">
        <v>-5.2960154675798177E-2</v>
      </c>
      <c r="G879">
        <v>0.4</v>
      </c>
      <c r="H879">
        <v>7.0472387762723188E-2</v>
      </c>
      <c r="I879">
        <v>-6.0571207434578243E-2</v>
      </c>
      <c r="J879">
        <v>-8.4812685434891177E-2</v>
      </c>
      <c r="K879">
        <v>2.275443076187722E-2</v>
      </c>
      <c r="L879">
        <v>0</v>
      </c>
      <c r="M879">
        <v>514852155.72399998</v>
      </c>
      <c r="N879">
        <v>0</v>
      </c>
      <c r="O879" t="b">
        <v>1</v>
      </c>
    </row>
    <row r="880" spans="1:15" x14ac:dyDescent="0.3">
      <c r="A880" s="1" t="s">
        <v>983</v>
      </c>
      <c r="B880">
        <v>8.9059543889537469</v>
      </c>
      <c r="C880">
        <v>1.8554458194866029E-2</v>
      </c>
      <c r="D880">
        <v>2.689639367486828E-2</v>
      </c>
      <c r="E880">
        <v>45.888202889118453</v>
      </c>
      <c r="F880">
        <v>-8.2216009703101056E-3</v>
      </c>
      <c r="G880">
        <v>0.2</v>
      </c>
      <c r="H880">
        <v>-0.12328435164038271</v>
      </c>
      <c r="I880">
        <v>0.3208844443469952</v>
      </c>
      <c r="J880">
        <v>-3.3252769385699883E-2</v>
      </c>
      <c r="K880">
        <v>-1.311758537738761E-2</v>
      </c>
      <c r="L880">
        <v>0</v>
      </c>
      <c r="M880">
        <v>332867752.81</v>
      </c>
      <c r="N880">
        <v>0</v>
      </c>
      <c r="O880" t="b">
        <v>1</v>
      </c>
    </row>
    <row r="881" spans="1:15" x14ac:dyDescent="0.3">
      <c r="A881" s="1" t="s">
        <v>984</v>
      </c>
      <c r="B881">
        <v>17.895978377460111</v>
      </c>
      <c r="C881">
        <v>4.187075262034138E-2</v>
      </c>
      <c r="D881">
        <v>4.1945672773215398E-2</v>
      </c>
      <c r="E881">
        <v>72.661609611193441</v>
      </c>
      <c r="F881">
        <v>0.14314370536788901</v>
      </c>
      <c r="G881">
        <v>0.6</v>
      </c>
      <c r="H881">
        <v>0.115547430695954</v>
      </c>
      <c r="I881">
        <v>1.642016148577671</v>
      </c>
      <c r="J881">
        <v>0</v>
      </c>
      <c r="K881">
        <v>3.2241704100854918E-2</v>
      </c>
      <c r="L881">
        <v>0</v>
      </c>
      <c r="M881">
        <v>446507406</v>
      </c>
      <c r="N881">
        <v>0</v>
      </c>
      <c r="O881" t="b">
        <v>1</v>
      </c>
    </row>
    <row r="882" spans="1:15" x14ac:dyDescent="0.3">
      <c r="A882" s="1" t="s">
        <v>985</v>
      </c>
      <c r="B882">
        <v>23.031600794735581</v>
      </c>
      <c r="C882">
        <v>4.1688418909145437E-2</v>
      </c>
      <c r="D882">
        <v>1.663438738755035E-2</v>
      </c>
      <c r="E882">
        <v>54.03187680752746</v>
      </c>
      <c r="F882">
        <v>0.1141203516979916</v>
      </c>
      <c r="G882">
        <v>0.2</v>
      </c>
      <c r="H882">
        <v>0.11562937370979549</v>
      </c>
      <c r="I882">
        <v>0.44776711412829412</v>
      </c>
      <c r="J882">
        <v>-8.0794635875081067E-2</v>
      </c>
      <c r="K882">
        <v>-2.6177065280184042E-3</v>
      </c>
      <c r="L882">
        <v>0</v>
      </c>
      <c r="M882">
        <v>114079476.5</v>
      </c>
      <c r="N882">
        <v>0</v>
      </c>
      <c r="O882" t="b">
        <v>1</v>
      </c>
    </row>
    <row r="883" spans="1:15" x14ac:dyDescent="0.3">
      <c r="A883" s="1" t="s">
        <v>986</v>
      </c>
      <c r="B883">
        <v>1.159648877637403</v>
      </c>
      <c r="C883">
        <v>2.171692181109176E-2</v>
      </c>
      <c r="D883">
        <v>2.0041799005213631E-2</v>
      </c>
      <c r="E883">
        <v>30.883223767741779</v>
      </c>
      <c r="F883">
        <v>-4.1956047071150297E-2</v>
      </c>
      <c r="G883">
        <v>0</v>
      </c>
      <c r="H883">
        <v>-0.19256851092334951</v>
      </c>
      <c r="I883">
        <v>6.4647754417592893E-2</v>
      </c>
      <c r="J883">
        <v>-6.3921689619386823E-2</v>
      </c>
      <c r="K883">
        <v>-4.0659201289157121E-3</v>
      </c>
      <c r="L883">
        <v>0</v>
      </c>
      <c r="M883">
        <v>495503940.14064997</v>
      </c>
      <c r="N883">
        <v>0</v>
      </c>
      <c r="O883" t="b">
        <v>1</v>
      </c>
    </row>
    <row r="884" spans="1:15" x14ac:dyDescent="0.3">
      <c r="A884" s="1" t="s">
        <v>987</v>
      </c>
      <c r="B884">
        <v>1.8417866644458261</v>
      </c>
      <c r="C884">
        <v>1.8277132722495051E-2</v>
      </c>
      <c r="D884">
        <v>1.567926962389599E-2</v>
      </c>
      <c r="E884">
        <v>55.119244799674782</v>
      </c>
      <c r="F884">
        <v>8.7524282322469338E-2</v>
      </c>
      <c r="G884">
        <v>0.4</v>
      </c>
      <c r="H884">
        <v>3.6049208268638291E-2</v>
      </c>
      <c r="I884">
        <v>0.2578355352735443</v>
      </c>
      <c r="J884">
        <v>-4.3474133839582318E-2</v>
      </c>
      <c r="K884">
        <v>1.1543866693434881E-2</v>
      </c>
      <c r="L884">
        <v>0</v>
      </c>
      <c r="M884">
        <v>614676661.81805003</v>
      </c>
      <c r="N884">
        <v>0</v>
      </c>
      <c r="O884" t="b">
        <v>1</v>
      </c>
    </row>
    <row r="885" spans="1:15" x14ac:dyDescent="0.3">
      <c r="A885" s="1" t="s">
        <v>988</v>
      </c>
      <c r="B885">
        <v>8.2589051890025686</v>
      </c>
      <c r="C885">
        <v>1.346941285961669E-2</v>
      </c>
      <c r="D885">
        <v>2.1547393828690701E-2</v>
      </c>
      <c r="E885">
        <v>64.662981680222856</v>
      </c>
      <c r="F885">
        <v>3.1531736138098232E-2</v>
      </c>
      <c r="G885">
        <v>0.6</v>
      </c>
      <c r="H885">
        <v>-8.1144242116757734E-2</v>
      </c>
      <c r="I885">
        <v>1.028800040024882</v>
      </c>
      <c r="J885">
        <v>0</v>
      </c>
      <c r="K885">
        <v>1.8993536979148521E-2</v>
      </c>
      <c r="L885">
        <v>0</v>
      </c>
      <c r="M885">
        <v>463979291.671</v>
      </c>
      <c r="N885">
        <v>0</v>
      </c>
      <c r="O885" t="b">
        <v>1</v>
      </c>
    </row>
    <row r="886" spans="1:15" x14ac:dyDescent="0.3">
      <c r="A886" s="1" t="s">
        <v>989</v>
      </c>
      <c r="B886">
        <v>17.739762451740582</v>
      </c>
      <c r="C886">
        <v>3.1635777889862833E-2</v>
      </c>
      <c r="D886">
        <v>3.418635755684344E-2</v>
      </c>
      <c r="E886">
        <v>44.3168912643524</v>
      </c>
      <c r="F886">
        <v>-6.6101525547931583E-2</v>
      </c>
      <c r="G886">
        <v>0.6</v>
      </c>
      <c r="H886">
        <v>6.798117555697869E-2</v>
      </c>
      <c r="I886">
        <v>1.2351297806324519</v>
      </c>
      <c r="J886">
        <v>-9.3356400265161898E-2</v>
      </c>
      <c r="K886">
        <v>3.0638876635788789E-2</v>
      </c>
      <c r="L886">
        <v>0</v>
      </c>
      <c r="M886">
        <v>124379433</v>
      </c>
      <c r="N886">
        <v>0</v>
      </c>
      <c r="O886" t="b">
        <v>1</v>
      </c>
    </row>
    <row r="887" spans="1:15" x14ac:dyDescent="0.3">
      <c r="A887" s="1" t="s">
        <v>990</v>
      </c>
      <c r="B887">
        <v>77.605020685530135</v>
      </c>
      <c r="C887">
        <v>3.9378819364159552E-2</v>
      </c>
      <c r="D887">
        <v>5.961242788205387E-2</v>
      </c>
      <c r="E887">
        <v>38.766543025119383</v>
      </c>
      <c r="F887">
        <v>-5.7986462973939279E-2</v>
      </c>
      <c r="G887">
        <v>0.4</v>
      </c>
      <c r="H887">
        <v>-0.1157658460177737</v>
      </c>
      <c r="I887">
        <v>1.4542254112924791</v>
      </c>
      <c r="J887">
        <v>-7.8908747592962958E-2</v>
      </c>
      <c r="K887">
        <v>-5.0012533261347469E-2</v>
      </c>
      <c r="L887">
        <v>0</v>
      </c>
      <c r="M887">
        <v>811784584</v>
      </c>
      <c r="N887">
        <v>1</v>
      </c>
      <c r="O887" t="b">
        <v>1</v>
      </c>
    </row>
    <row r="888" spans="1:15" x14ac:dyDescent="0.3">
      <c r="A888" s="1" t="s">
        <v>991</v>
      </c>
      <c r="B888">
        <v>1.4627068899119751</v>
      </c>
      <c r="C888">
        <v>1.8456380208372709E-2</v>
      </c>
      <c r="D888">
        <v>2.843836314747494E-2</v>
      </c>
      <c r="E888">
        <v>61.306146892581843</v>
      </c>
      <c r="F888">
        <v>3.4205522837393199E-2</v>
      </c>
      <c r="G888">
        <v>0.6</v>
      </c>
      <c r="H888">
        <v>-5.3905250405340208E-2</v>
      </c>
      <c r="I888">
        <v>0.87395374145485527</v>
      </c>
      <c r="J888">
        <v>-4.8619211871526744E-3</v>
      </c>
      <c r="K888">
        <v>2.5700725930968501E-2</v>
      </c>
      <c r="L888">
        <v>0</v>
      </c>
      <c r="M888">
        <v>250114196.178</v>
      </c>
      <c r="N888">
        <v>0</v>
      </c>
      <c r="O888" t="b">
        <v>1</v>
      </c>
    </row>
    <row r="889" spans="1:15" x14ac:dyDescent="0.3">
      <c r="A889" s="1" t="s">
        <v>992</v>
      </c>
      <c r="B889">
        <v>17.023581265417999</v>
      </c>
      <c r="C889">
        <v>2.6206251947995689E-2</v>
      </c>
      <c r="D889">
        <v>2.0857450738916219E-2</v>
      </c>
      <c r="E889">
        <v>50.501994688767986</v>
      </c>
      <c r="F889">
        <v>2.9077458039271638E-2</v>
      </c>
      <c r="G889">
        <v>0.4</v>
      </c>
      <c r="H889">
        <v>-0.15247683226730721</v>
      </c>
      <c r="I889">
        <v>1.391664526115695</v>
      </c>
      <c r="J889">
        <v>-3.4584638065840223E-2</v>
      </c>
      <c r="K889">
        <v>-1.0397227406025E-2</v>
      </c>
      <c r="L889">
        <v>0</v>
      </c>
      <c r="M889">
        <v>8730558389.4155006</v>
      </c>
      <c r="N889">
        <v>0</v>
      </c>
      <c r="O889" t="b">
        <v>1</v>
      </c>
    </row>
    <row r="890" spans="1:15" x14ac:dyDescent="0.3">
      <c r="A890" s="1" t="s">
        <v>993</v>
      </c>
      <c r="B890">
        <v>0.57798874682206214</v>
      </c>
      <c r="C890">
        <v>1.628596074449316E-2</v>
      </c>
      <c r="D890">
        <v>1.408847562693716E-2</v>
      </c>
      <c r="E890">
        <v>65.904891747181779</v>
      </c>
      <c r="F890">
        <v>6.2256809338521617E-2</v>
      </c>
      <c r="G890">
        <v>0.8</v>
      </c>
      <c r="H890">
        <v>0.1059638596626922</v>
      </c>
      <c r="I890">
        <v>0.68887231202063703</v>
      </c>
      <c r="J890">
        <v>0</v>
      </c>
      <c r="K890">
        <v>7.6660988074959144E-3</v>
      </c>
      <c r="L890">
        <v>0</v>
      </c>
      <c r="M890">
        <v>56054393.076250002</v>
      </c>
      <c r="N890">
        <v>0</v>
      </c>
      <c r="O890" t="b">
        <v>0</v>
      </c>
    </row>
    <row r="891" spans="1:15" x14ac:dyDescent="0.3">
      <c r="A891" s="1" t="s">
        <v>994</v>
      </c>
      <c r="B891">
        <v>0.13481244119196689</v>
      </c>
      <c r="C891">
        <v>1.8467457697529721E-2</v>
      </c>
      <c r="D891">
        <v>1.232876712328765E-2</v>
      </c>
      <c r="E891">
        <v>65.457041276087182</v>
      </c>
      <c r="F891">
        <v>8.7928464977645282E-2</v>
      </c>
      <c r="G891">
        <v>0.6</v>
      </c>
      <c r="H891">
        <v>6.2643398335368985E-2</v>
      </c>
      <c r="I891">
        <v>1.203480661735177</v>
      </c>
      <c r="J891">
        <v>-6.8027210884353817E-3</v>
      </c>
      <c r="K891">
        <v>5.5096418732782926E-3</v>
      </c>
      <c r="L891">
        <v>0</v>
      </c>
      <c r="M891">
        <v>12583184.082450001</v>
      </c>
      <c r="N891">
        <v>0</v>
      </c>
      <c r="O891" t="b">
        <v>0</v>
      </c>
    </row>
    <row r="892" spans="1:15" x14ac:dyDescent="0.3">
      <c r="A892" s="1" t="s">
        <v>995</v>
      </c>
      <c r="B892">
        <v>1.1434842143381281</v>
      </c>
      <c r="C892">
        <v>2.2377381885286259E-2</v>
      </c>
      <c r="D892">
        <v>4.1487279843444178E-2</v>
      </c>
      <c r="E892">
        <v>65.380974849651679</v>
      </c>
      <c r="F892">
        <v>3.8829030290709499E-2</v>
      </c>
      <c r="G892">
        <v>0.6</v>
      </c>
      <c r="H892">
        <v>4.513143020205368E-2</v>
      </c>
      <c r="I892">
        <v>0.97172827343082357</v>
      </c>
      <c r="J892">
        <v>0</v>
      </c>
      <c r="K892">
        <v>3.6721444512071377E-2</v>
      </c>
      <c r="L892">
        <v>0</v>
      </c>
      <c r="M892">
        <v>60171095.366049998</v>
      </c>
      <c r="N892">
        <v>0</v>
      </c>
      <c r="O892" t="b">
        <v>0</v>
      </c>
    </row>
    <row r="893" spans="1:15" x14ac:dyDescent="0.3">
      <c r="A893" s="1" t="s">
        <v>996</v>
      </c>
      <c r="B893">
        <v>2.7141162732783721</v>
      </c>
      <c r="C893">
        <v>1.076227367391935E-2</v>
      </c>
      <c r="D893">
        <v>9.8497945976811305E-3</v>
      </c>
      <c r="E893">
        <v>59.954747163728513</v>
      </c>
      <c r="F893">
        <v>6.8108686452519329E-3</v>
      </c>
      <c r="G893">
        <v>0.6</v>
      </c>
      <c r="H893">
        <v>0.1065131449375392</v>
      </c>
      <c r="I893">
        <v>1.0383546768845699</v>
      </c>
      <c r="J893">
        <v>0</v>
      </c>
      <c r="K893">
        <v>5.0493980177028766E-3</v>
      </c>
      <c r="L893">
        <v>0</v>
      </c>
      <c r="M893">
        <v>20488296.925500002</v>
      </c>
      <c r="N893">
        <v>0</v>
      </c>
      <c r="O893" t="b">
        <v>0</v>
      </c>
    </row>
    <row r="894" spans="1:15" x14ac:dyDescent="0.3">
      <c r="A894" s="1" t="s">
        <v>997</v>
      </c>
      <c r="B894">
        <v>5.8547651505091522</v>
      </c>
      <c r="C894">
        <v>1.404953686383797E-2</v>
      </c>
      <c r="D894">
        <v>1.0021045154695049E-2</v>
      </c>
      <c r="E894">
        <v>57.849299471809282</v>
      </c>
      <c r="F894">
        <v>-1.8897660426526739E-3</v>
      </c>
      <c r="G894">
        <v>0.8</v>
      </c>
      <c r="H894">
        <v>6.2376999600173011E-2</v>
      </c>
      <c r="I894">
        <v>1.2864461705789789</v>
      </c>
      <c r="J894">
        <v>-1.294147815646185E-3</v>
      </c>
      <c r="K894">
        <v>7.4445322312222117E-4</v>
      </c>
      <c r="L894">
        <v>0</v>
      </c>
      <c r="M894">
        <v>118806971.76199999</v>
      </c>
      <c r="N894">
        <v>0</v>
      </c>
      <c r="O894" t="b">
        <v>1</v>
      </c>
    </row>
    <row r="895" spans="1:15" x14ac:dyDescent="0.3">
      <c r="A895" s="1" t="s">
        <v>998</v>
      </c>
      <c r="B895">
        <v>1.094022755962816</v>
      </c>
      <c r="C895">
        <v>2.940921386996817E-2</v>
      </c>
      <c r="D895">
        <v>4.7043010752688172E-2</v>
      </c>
      <c r="E895">
        <v>70.422926644383054</v>
      </c>
      <c r="F895">
        <v>0.13242009132420091</v>
      </c>
      <c r="G895">
        <v>0.6</v>
      </c>
      <c r="H895">
        <v>1.3228166662800019E-2</v>
      </c>
      <c r="I895">
        <v>1.1145522861286841</v>
      </c>
      <c r="J895">
        <v>0</v>
      </c>
      <c r="K895">
        <v>3.6500417943716952E-2</v>
      </c>
      <c r="L895">
        <v>0</v>
      </c>
      <c r="M895">
        <v>157001568</v>
      </c>
      <c r="N895">
        <v>0</v>
      </c>
      <c r="O895" t="b">
        <v>1</v>
      </c>
    </row>
    <row r="896" spans="1:15" x14ac:dyDescent="0.3">
      <c r="A896" s="1" t="s">
        <v>999</v>
      </c>
      <c r="B896">
        <v>1.3196231454948619</v>
      </c>
      <c r="C896">
        <v>9.3954785265879838E-3</v>
      </c>
      <c r="D896">
        <v>1.4652588410358059E-2</v>
      </c>
      <c r="E896">
        <v>61.078002029973511</v>
      </c>
      <c r="F896">
        <v>2.3322064523649821E-2</v>
      </c>
      <c r="G896">
        <v>0.2</v>
      </c>
      <c r="H896">
        <v>-4.1595037835006558E-2</v>
      </c>
      <c r="I896">
        <v>0.54402073786576199</v>
      </c>
      <c r="J896">
        <v>0</v>
      </c>
      <c r="K896">
        <v>1.312087943794471E-2</v>
      </c>
      <c r="L896">
        <v>0</v>
      </c>
      <c r="M896">
        <v>30917678.622499999</v>
      </c>
      <c r="N896">
        <v>0</v>
      </c>
      <c r="O896" t="b">
        <v>0</v>
      </c>
    </row>
    <row r="897" spans="1:15" x14ac:dyDescent="0.3">
      <c r="A897" s="1" t="s">
        <v>1000</v>
      </c>
      <c r="B897">
        <v>3.2658264106624841</v>
      </c>
      <c r="C897">
        <v>2.9237479056960461E-2</v>
      </c>
      <c r="D897">
        <v>5.0223813786929271E-2</v>
      </c>
      <c r="E897">
        <v>48.806825137729241</v>
      </c>
      <c r="F897">
        <v>3.3493708364174653E-2</v>
      </c>
      <c r="G897">
        <v>0.2</v>
      </c>
      <c r="H897">
        <v>-0.2017137729810862</v>
      </c>
      <c r="I897">
        <v>0.92764324790575592</v>
      </c>
      <c r="J897">
        <v>-3.6238136324417643E-2</v>
      </c>
      <c r="K897">
        <v>4.8235735735735703E-2</v>
      </c>
      <c r="L897">
        <v>0</v>
      </c>
      <c r="M897">
        <v>83289839</v>
      </c>
      <c r="N897">
        <v>0</v>
      </c>
      <c r="O897" t="b">
        <v>0</v>
      </c>
    </row>
    <row r="898" spans="1:15" x14ac:dyDescent="0.3">
      <c r="A898" s="1" t="s">
        <v>1001</v>
      </c>
      <c r="B898">
        <v>0.48428571428571487</v>
      </c>
      <c r="C898">
        <v>3.2307252454016999E-2</v>
      </c>
      <c r="D898">
        <v>4.4696464309539691E-2</v>
      </c>
      <c r="E898">
        <v>8.2616179001721264</v>
      </c>
      <c r="H898">
        <v>0</v>
      </c>
      <c r="I898">
        <v>1</v>
      </c>
      <c r="J898">
        <v>0</v>
      </c>
      <c r="K898">
        <v>3.308063404548589E-2</v>
      </c>
      <c r="O898" t="b">
        <v>0</v>
      </c>
    </row>
    <row r="899" spans="1:15" x14ac:dyDescent="0.3">
      <c r="A899" s="1" t="s">
        <v>1002</v>
      </c>
      <c r="B899">
        <v>4.4468290315613821</v>
      </c>
      <c r="C899">
        <v>3.154674398099732E-2</v>
      </c>
      <c r="D899">
        <v>9.151532349602727E-2</v>
      </c>
      <c r="E899">
        <v>76.31969358232692</v>
      </c>
      <c r="F899">
        <v>0.1445274439753168</v>
      </c>
      <c r="G899">
        <v>1</v>
      </c>
      <c r="H899">
        <v>-1.6652401423438861E-2</v>
      </c>
      <c r="I899">
        <v>1.022970025761303</v>
      </c>
      <c r="J899">
        <v>0</v>
      </c>
      <c r="K899">
        <v>9.2713178294573595E-2</v>
      </c>
      <c r="L899">
        <v>0</v>
      </c>
      <c r="M899">
        <v>103204692</v>
      </c>
      <c r="N899">
        <v>0</v>
      </c>
      <c r="O899" t="b">
        <v>1</v>
      </c>
    </row>
    <row r="900" spans="1:15" x14ac:dyDescent="0.3">
      <c r="A900" s="1" t="s">
        <v>1003</v>
      </c>
      <c r="B900">
        <v>2.5875852878076151E-2</v>
      </c>
      <c r="C900">
        <v>2.595288102897013E-4</v>
      </c>
      <c r="D900">
        <v>3.9818180359302708E-4</v>
      </c>
      <c r="E900">
        <v>94.692012060380819</v>
      </c>
      <c r="F900">
        <v>3.390485506655772E-3</v>
      </c>
      <c r="G900">
        <v>0.8</v>
      </c>
      <c r="H900">
        <v>-7.9867323479341973E-2</v>
      </c>
      <c r="I900">
        <v>4.6968035391855654E-3</v>
      </c>
      <c r="J900">
        <v>0</v>
      </c>
      <c r="K900">
        <v>2.9897645710885712E-4</v>
      </c>
      <c r="L900">
        <v>0</v>
      </c>
      <c r="M900">
        <v>118622075.12905</v>
      </c>
      <c r="N900">
        <v>0</v>
      </c>
      <c r="O900" t="b">
        <v>1</v>
      </c>
    </row>
    <row r="901" spans="1:15" x14ac:dyDescent="0.3">
      <c r="A901" s="1" t="s">
        <v>1004</v>
      </c>
      <c r="B901">
        <v>1.290921845002271</v>
      </c>
      <c r="C901">
        <v>2.021417747904505E-2</v>
      </c>
      <c r="D901">
        <v>1.6172321028714871E-2</v>
      </c>
      <c r="E901">
        <v>44.135690591130427</v>
      </c>
      <c r="F901">
        <v>0</v>
      </c>
      <c r="G901">
        <v>0.4</v>
      </c>
      <c r="H901">
        <v>-0.1065197583765157</v>
      </c>
      <c r="I901">
        <v>-0.31858576969393509</v>
      </c>
      <c r="J901">
        <v>-5.6484854931787343E-2</v>
      </c>
      <c r="K901">
        <v>1.307626047187482E-2</v>
      </c>
      <c r="L901">
        <v>0</v>
      </c>
      <c r="M901">
        <v>154926583.55540001</v>
      </c>
      <c r="N901">
        <v>0</v>
      </c>
      <c r="O901" t="b">
        <v>1</v>
      </c>
    </row>
    <row r="902" spans="1:15" x14ac:dyDescent="0.3">
      <c r="A902" s="1" t="s">
        <v>1005</v>
      </c>
      <c r="B902">
        <v>33.960954435430942</v>
      </c>
      <c r="C902">
        <v>1.6297842101302421E-2</v>
      </c>
      <c r="D902">
        <v>2.233451868488363E-2</v>
      </c>
      <c r="E902">
        <v>63.095481103391577</v>
      </c>
      <c r="F902">
        <v>1.132773256067909E-2</v>
      </c>
      <c r="G902">
        <v>0.8</v>
      </c>
      <c r="H902">
        <v>1.6379032599674409E-2</v>
      </c>
      <c r="I902">
        <v>5.6608945332940502E-2</v>
      </c>
      <c r="J902">
        <v>-3.891180786936288E-3</v>
      </c>
      <c r="K902">
        <v>7.4990571784978588E-3</v>
      </c>
      <c r="L902">
        <v>0</v>
      </c>
      <c r="M902">
        <v>88200832</v>
      </c>
      <c r="N902">
        <v>1</v>
      </c>
      <c r="O902" t="b">
        <v>0</v>
      </c>
    </row>
    <row r="903" spans="1:15" x14ac:dyDescent="0.3">
      <c r="A903" s="1" t="s">
        <v>1006</v>
      </c>
      <c r="B903">
        <v>6.1212286444284638</v>
      </c>
      <c r="C903">
        <v>3.6461929023281298E-2</v>
      </c>
      <c r="D903">
        <v>3.2999761734572267E-2</v>
      </c>
      <c r="E903">
        <v>70.021461727521341</v>
      </c>
      <c r="F903">
        <v>5.8131692897256171E-2</v>
      </c>
      <c r="G903">
        <v>0.6</v>
      </c>
      <c r="H903">
        <v>0.1811470714687112</v>
      </c>
      <c r="I903">
        <v>2.66228267342006</v>
      </c>
      <c r="J903">
        <v>0</v>
      </c>
      <c r="K903">
        <v>1.6284278709364889E-2</v>
      </c>
      <c r="L903">
        <v>0</v>
      </c>
      <c r="M903">
        <v>105329342.6815</v>
      </c>
      <c r="N903">
        <v>0</v>
      </c>
      <c r="O903" t="b">
        <v>1</v>
      </c>
    </row>
    <row r="904" spans="1:15" x14ac:dyDescent="0.3">
      <c r="A904" s="1" t="s">
        <v>1007</v>
      </c>
      <c r="B904">
        <v>4.5588753570355394</v>
      </c>
      <c r="C904">
        <v>2.6134196416183919E-2</v>
      </c>
      <c r="D904">
        <v>2.5630442384531181E-2</v>
      </c>
      <c r="E904">
        <v>63.003199669573632</v>
      </c>
      <c r="F904">
        <v>4.0153362709964391E-2</v>
      </c>
      <c r="G904">
        <v>0.6</v>
      </c>
      <c r="H904">
        <v>-8.8705111548772364E-2</v>
      </c>
      <c r="I904">
        <v>-0.4563325918271316</v>
      </c>
      <c r="J904">
        <v>0</v>
      </c>
      <c r="K904">
        <v>1.1838747099768071E-2</v>
      </c>
      <c r="L904">
        <v>0</v>
      </c>
      <c r="M904">
        <v>105349277.575</v>
      </c>
      <c r="N904">
        <v>0</v>
      </c>
      <c r="O904" t="b">
        <v>1</v>
      </c>
    </row>
    <row r="905" spans="1:15" x14ac:dyDescent="0.3">
      <c r="A905" s="1" t="s">
        <v>1008</v>
      </c>
      <c r="B905">
        <v>2.5080290022655869</v>
      </c>
      <c r="C905">
        <v>2.22283878601931E-2</v>
      </c>
      <c r="D905">
        <v>3.1995036780997958E-2</v>
      </c>
      <c r="E905">
        <v>63.076129544789147</v>
      </c>
      <c r="F905">
        <v>4.9757168642191152E-2</v>
      </c>
      <c r="G905">
        <v>0.6</v>
      </c>
      <c r="H905">
        <v>0.12904858598083671</v>
      </c>
      <c r="I905">
        <v>0.79356957373669768</v>
      </c>
      <c r="J905">
        <v>-5.8154903515728051E-3</v>
      </c>
      <c r="K905">
        <v>2.6100400145507411E-2</v>
      </c>
      <c r="L905">
        <v>0</v>
      </c>
      <c r="M905">
        <v>66899746.085899986</v>
      </c>
      <c r="N905">
        <v>0</v>
      </c>
      <c r="O905" t="b">
        <v>0</v>
      </c>
    </row>
    <row r="906" spans="1:15" x14ac:dyDescent="0.3">
      <c r="A906" s="1" t="s">
        <v>1009</v>
      </c>
      <c r="B906">
        <v>13.5175372861053</v>
      </c>
      <c r="C906">
        <v>2.1683221773961439E-2</v>
      </c>
      <c r="D906">
        <v>3.0557738887730501E-2</v>
      </c>
      <c r="E906">
        <v>55.887363024031863</v>
      </c>
      <c r="F906">
        <v>1.211301585033819E-2</v>
      </c>
      <c r="G906">
        <v>0.6</v>
      </c>
      <c r="H906">
        <v>-7.4832731814487033E-2</v>
      </c>
      <c r="I906">
        <v>0.48695201901311602</v>
      </c>
      <c r="J906">
        <v>-1.5375498502491201E-3</v>
      </c>
      <c r="K906">
        <v>1.8627146615251441E-2</v>
      </c>
      <c r="L906">
        <v>0</v>
      </c>
      <c r="M906">
        <v>218037233.82699999</v>
      </c>
      <c r="N906">
        <v>0</v>
      </c>
      <c r="O906" t="b">
        <v>1</v>
      </c>
    </row>
    <row r="907" spans="1:15" x14ac:dyDescent="0.3">
      <c r="A907" s="1" t="s">
        <v>1010</v>
      </c>
      <c r="B907">
        <v>2.8541550957113211</v>
      </c>
      <c r="C907">
        <v>1.5855007864363838E-2</v>
      </c>
      <c r="D907">
        <v>1.111012354457382E-2</v>
      </c>
      <c r="E907">
        <v>43.662206619342427</v>
      </c>
      <c r="F907">
        <v>1.5777000338562219E-2</v>
      </c>
      <c r="G907">
        <v>0</v>
      </c>
      <c r="H907">
        <v>-0.15092848413665391</v>
      </c>
      <c r="I907">
        <v>-5.8666197110314872E-3</v>
      </c>
      <c r="J907">
        <v>-1.6687514680096879E-2</v>
      </c>
      <c r="K907">
        <v>-1.818746395776949E-3</v>
      </c>
      <c r="L907">
        <v>0</v>
      </c>
      <c r="M907">
        <v>475485291.8355</v>
      </c>
      <c r="N907">
        <v>0</v>
      </c>
      <c r="O907" t="b">
        <v>1</v>
      </c>
    </row>
    <row r="908" spans="1:15" x14ac:dyDescent="0.3">
      <c r="A908" s="1" t="s">
        <v>1011</v>
      </c>
      <c r="B908">
        <v>3.504021834284456</v>
      </c>
      <c r="C908">
        <v>2.124679744290842E-2</v>
      </c>
      <c r="D908">
        <v>2.0040019403347119E-2</v>
      </c>
      <c r="E908">
        <v>47.671845881026599</v>
      </c>
      <c r="F908">
        <v>-7.7433561763343706E-3</v>
      </c>
      <c r="G908">
        <v>0.4</v>
      </c>
      <c r="H908">
        <v>9.3973204670318449E-4</v>
      </c>
      <c r="I908">
        <v>0.69624684898905886</v>
      </c>
      <c r="J908">
        <v>-4.2926699048846162E-2</v>
      </c>
      <c r="K908">
        <v>3.4498913923077801E-3</v>
      </c>
      <c r="L908">
        <v>0</v>
      </c>
      <c r="M908">
        <v>468746921.73450011</v>
      </c>
      <c r="N908">
        <v>0</v>
      </c>
      <c r="O908" t="b">
        <v>1</v>
      </c>
    </row>
    <row r="909" spans="1:15" x14ac:dyDescent="0.3">
      <c r="A909" s="1" t="s">
        <v>1012</v>
      </c>
      <c r="B909">
        <v>2.9182703517936979</v>
      </c>
      <c r="C909">
        <v>3.8327690462223507E-2</v>
      </c>
      <c r="D909">
        <v>6.5931179406356663E-2</v>
      </c>
      <c r="E909">
        <v>50.708517660507617</v>
      </c>
      <c r="F909">
        <v>-6.7831985390033323E-3</v>
      </c>
      <c r="G909">
        <v>0.6</v>
      </c>
      <c r="H909">
        <v>-0.20532079096021549</v>
      </c>
      <c r="I909">
        <v>0.60063592384703501</v>
      </c>
      <c r="J909">
        <v>-2.8206764518187492E-2</v>
      </c>
      <c r="K909">
        <v>6.1776600195230902E-2</v>
      </c>
      <c r="L909">
        <v>0</v>
      </c>
      <c r="M909">
        <v>74961129</v>
      </c>
      <c r="N909">
        <v>0</v>
      </c>
      <c r="O909" t="b">
        <v>0</v>
      </c>
    </row>
    <row r="910" spans="1:15" x14ac:dyDescent="0.3">
      <c r="A910" s="1" t="s">
        <v>1013</v>
      </c>
      <c r="B910">
        <v>7.3156772969880617</v>
      </c>
      <c r="C910">
        <v>4.5895089692522352E-2</v>
      </c>
      <c r="D910">
        <v>2.9548306148055078E-2</v>
      </c>
      <c r="E910">
        <v>47.599026758560903</v>
      </c>
      <c r="F910">
        <v>-4.0972264003369292E-2</v>
      </c>
      <c r="G910">
        <v>0.8</v>
      </c>
      <c r="H910">
        <v>-9.2556223662524958E-2</v>
      </c>
      <c r="I910">
        <v>0.53369923375591188</v>
      </c>
      <c r="J910">
        <v>-3.4992129797796312E-2</v>
      </c>
      <c r="K910">
        <v>-1.9137283859454679E-2</v>
      </c>
      <c r="L910">
        <v>0</v>
      </c>
      <c r="M910">
        <v>184715623.25</v>
      </c>
      <c r="N910">
        <v>0</v>
      </c>
      <c r="O910" t="b">
        <v>1</v>
      </c>
    </row>
    <row r="911" spans="1:15" x14ac:dyDescent="0.3">
      <c r="A911" s="1" t="s">
        <v>1014</v>
      </c>
      <c r="B911">
        <v>1.310144833647138</v>
      </c>
      <c r="C911">
        <v>1.7738218706297559E-2</v>
      </c>
      <c r="D911">
        <v>1.5028432168968309E-2</v>
      </c>
      <c r="E911">
        <v>58.500452472976669</v>
      </c>
      <c r="F911">
        <v>5.4690846779951403E-2</v>
      </c>
      <c r="G911">
        <v>0.6</v>
      </c>
      <c r="H911">
        <v>9.4001960594873327E-2</v>
      </c>
      <c r="I911">
        <v>-0.27566769961120208</v>
      </c>
      <c r="J911">
        <v>-2.7518104015799901E-2</v>
      </c>
      <c r="K911">
        <v>3.9418241130897416E-3</v>
      </c>
      <c r="L911">
        <v>0</v>
      </c>
      <c r="M911">
        <v>317022013</v>
      </c>
      <c r="N911">
        <v>0</v>
      </c>
      <c r="O911" t="b">
        <v>1</v>
      </c>
    </row>
    <row r="912" spans="1:15" x14ac:dyDescent="0.3">
      <c r="A912" s="1" t="s">
        <v>1015</v>
      </c>
      <c r="B912">
        <v>0.83106727005206427</v>
      </c>
      <c r="C912">
        <v>1.4419439336587091E-2</v>
      </c>
      <c r="D912">
        <v>1.3460524124146301E-2</v>
      </c>
      <c r="E912">
        <v>47.221615849488558</v>
      </c>
      <c r="F912">
        <v>1.9808654940131509E-2</v>
      </c>
      <c r="G912">
        <v>0.6</v>
      </c>
      <c r="H912">
        <v>-0.1408655421478234</v>
      </c>
      <c r="I912">
        <v>-0.18525623240937361</v>
      </c>
      <c r="J912">
        <v>-7.6088509929043147E-3</v>
      </c>
      <c r="K912">
        <v>8.7652972639951088E-3</v>
      </c>
      <c r="L912">
        <v>0</v>
      </c>
      <c r="M912">
        <v>463597615.14050001</v>
      </c>
      <c r="N912">
        <v>0</v>
      </c>
      <c r="O912" t="b">
        <v>1</v>
      </c>
    </row>
    <row r="913" spans="1:15" x14ac:dyDescent="0.3">
      <c r="A913" s="1" t="s">
        <v>1016</v>
      </c>
      <c r="B913">
        <v>1.228774155712629</v>
      </c>
      <c r="C913">
        <v>1.1774829963898861E-2</v>
      </c>
      <c r="D913">
        <v>1.9941354593890171E-2</v>
      </c>
      <c r="E913">
        <v>66.553820250555162</v>
      </c>
      <c r="F913">
        <v>5.1500935061585151E-2</v>
      </c>
      <c r="G913">
        <v>0.6</v>
      </c>
      <c r="H913">
        <v>5.5634622056038287E-2</v>
      </c>
      <c r="I913">
        <v>0.84122517124369456</v>
      </c>
      <c r="J913">
        <v>0</v>
      </c>
      <c r="K913">
        <v>1.731331643595246E-2</v>
      </c>
      <c r="L913">
        <v>0</v>
      </c>
      <c r="M913">
        <v>72090446.762699991</v>
      </c>
      <c r="N913">
        <v>0</v>
      </c>
      <c r="O913" t="b">
        <v>0</v>
      </c>
    </row>
    <row r="914" spans="1:15" x14ac:dyDescent="0.3">
      <c r="A914" s="1" t="s">
        <v>1017</v>
      </c>
      <c r="B914">
        <v>10.383850004038409</v>
      </c>
      <c r="C914">
        <v>6.3837759769079142E-2</v>
      </c>
      <c r="D914">
        <v>0.1024837083487027</v>
      </c>
      <c r="E914">
        <v>57.907338595123321</v>
      </c>
      <c r="F914">
        <v>1.827970451984462E-2</v>
      </c>
      <c r="G914">
        <v>0.6</v>
      </c>
      <c r="H914">
        <v>4.6517181443449802E-2</v>
      </c>
      <c r="I914">
        <v>2.79676394713089</v>
      </c>
      <c r="J914">
        <v>-1.289371891692759E-3</v>
      </c>
      <c r="K914">
        <v>6.3484798953906463E-2</v>
      </c>
      <c r="L914">
        <v>0</v>
      </c>
      <c r="M914">
        <v>105438053</v>
      </c>
      <c r="N914">
        <v>1</v>
      </c>
      <c r="O914" t="b">
        <v>1</v>
      </c>
    </row>
    <row r="915" spans="1:15" x14ac:dyDescent="0.3">
      <c r="A915" s="1" t="s">
        <v>1018</v>
      </c>
      <c r="B915">
        <v>6.1199606171554137</v>
      </c>
      <c r="C915">
        <v>2.5608779922735529E-2</v>
      </c>
      <c r="D915">
        <v>3.399043430594316E-2</v>
      </c>
      <c r="E915">
        <v>74.335939728881073</v>
      </c>
      <c r="F915">
        <v>0.1714542014293978</v>
      </c>
      <c r="G915">
        <v>0.6</v>
      </c>
      <c r="H915">
        <v>0.1407173225146392</v>
      </c>
      <c r="I915">
        <v>1.2672276060596319</v>
      </c>
      <c r="J915">
        <v>0</v>
      </c>
      <c r="K915">
        <v>2.034899856113892E-2</v>
      </c>
      <c r="L915">
        <v>0</v>
      </c>
      <c r="M915">
        <v>27610051.227000002</v>
      </c>
      <c r="N915">
        <v>1</v>
      </c>
      <c r="O915" t="b">
        <v>0</v>
      </c>
    </row>
    <row r="916" spans="1:15" x14ac:dyDescent="0.3">
      <c r="A916" s="1" t="s">
        <v>1019</v>
      </c>
      <c r="B916">
        <v>5.3781826280917864</v>
      </c>
      <c r="C916">
        <v>3.3504750984872829E-2</v>
      </c>
      <c r="D916">
        <v>3.2083229504111493E-2</v>
      </c>
      <c r="E916">
        <v>60.665284871161539</v>
      </c>
      <c r="F916">
        <v>0.1392476933995741</v>
      </c>
      <c r="G916">
        <v>1</v>
      </c>
      <c r="H916">
        <v>-8.509014928700126E-2</v>
      </c>
      <c r="I916">
        <v>0.4018151037070718</v>
      </c>
      <c r="J916">
        <v>0</v>
      </c>
      <c r="K916">
        <v>2.320244773074975E-2</v>
      </c>
      <c r="L916">
        <v>0</v>
      </c>
      <c r="M916">
        <v>221493234</v>
      </c>
      <c r="N916">
        <v>0</v>
      </c>
      <c r="O916" t="b">
        <v>1</v>
      </c>
    </row>
    <row r="917" spans="1:15" x14ac:dyDescent="0.3">
      <c r="A917" s="1" t="s">
        <v>1020</v>
      </c>
      <c r="B917">
        <v>4.8564425525360324</v>
      </c>
      <c r="C917">
        <v>2.2491652321375458E-2</v>
      </c>
      <c r="D917">
        <v>2.7079223052769091E-2</v>
      </c>
      <c r="E917">
        <v>51.103996578580791</v>
      </c>
      <c r="F917">
        <v>6.2775253407900689E-3</v>
      </c>
      <c r="G917">
        <v>0.4</v>
      </c>
      <c r="H917">
        <v>-0.1989359038469497</v>
      </c>
      <c r="I917">
        <v>0.18166742717754711</v>
      </c>
      <c r="J917">
        <v>-8.2036489242471866E-3</v>
      </c>
      <c r="K917">
        <v>6.1837414664833723E-3</v>
      </c>
      <c r="L917">
        <v>0</v>
      </c>
      <c r="M917">
        <v>62484964.593000002</v>
      </c>
      <c r="N917">
        <v>0</v>
      </c>
      <c r="O917" t="b">
        <v>0</v>
      </c>
    </row>
    <row r="918" spans="1:15" x14ac:dyDescent="0.3">
      <c r="A918" s="1" t="s">
        <v>1021</v>
      </c>
      <c r="B918">
        <v>0.73409310313727238</v>
      </c>
      <c r="C918">
        <v>3.090918328999042E-2</v>
      </c>
      <c r="D918">
        <v>2.0631578947368358E-2</v>
      </c>
      <c r="E918">
        <v>35.501331219355308</v>
      </c>
      <c r="F918">
        <v>-7.424370583167994E-2</v>
      </c>
      <c r="G918">
        <v>0.6</v>
      </c>
      <c r="H918">
        <v>-0.28658491503050981</v>
      </c>
      <c r="I918">
        <v>1.343819937819386</v>
      </c>
      <c r="J918">
        <v>-7.9931663134895636E-2</v>
      </c>
      <c r="K918">
        <v>-2.5199496010078759E-3</v>
      </c>
      <c r="L918">
        <v>0</v>
      </c>
      <c r="M918">
        <v>147487260.06330001</v>
      </c>
      <c r="N918">
        <v>0</v>
      </c>
      <c r="O918" t="b">
        <v>1</v>
      </c>
    </row>
    <row r="919" spans="1:15" x14ac:dyDescent="0.3">
      <c r="A919" s="1" t="s">
        <v>1022</v>
      </c>
      <c r="B919">
        <v>4.1464141680908444</v>
      </c>
      <c r="C919">
        <v>7.1452941032066938E-2</v>
      </c>
      <c r="D919">
        <v>4.4718249181457968E-2</v>
      </c>
      <c r="E919">
        <v>45.112594228980107</v>
      </c>
      <c r="F919">
        <v>-9.5824244312870177E-2</v>
      </c>
      <c r="G919">
        <v>0.4</v>
      </c>
      <c r="H919">
        <v>-8.0786970004585006E-3</v>
      </c>
      <c r="I919">
        <v>1.726466621307081</v>
      </c>
      <c r="J919">
        <v>-8.6860739575137624E-2</v>
      </c>
      <c r="K919">
        <v>-2.9923102641257079E-2</v>
      </c>
      <c r="L919">
        <v>0</v>
      </c>
      <c r="M919">
        <v>286004437.5</v>
      </c>
      <c r="N919">
        <v>0</v>
      </c>
      <c r="O919" t="b">
        <v>1</v>
      </c>
    </row>
    <row r="920" spans="1:15" x14ac:dyDescent="0.3">
      <c r="A920" s="1" t="s">
        <v>1023</v>
      </c>
      <c r="B920">
        <v>5.2229551279243234</v>
      </c>
      <c r="C920">
        <v>2.743926916207497E-2</v>
      </c>
      <c r="D920">
        <v>2.5611255292992761E-2</v>
      </c>
      <c r="E920">
        <v>49.648356474466212</v>
      </c>
      <c r="F920">
        <v>-2.0863982880834461E-2</v>
      </c>
      <c r="G920">
        <v>0.8</v>
      </c>
      <c r="H920">
        <v>1.298851320577455E-2</v>
      </c>
      <c r="I920">
        <v>0.7557663476921419</v>
      </c>
      <c r="J920">
        <v>-3.9306731807766337E-2</v>
      </c>
      <c r="K920">
        <v>2.9876856764974309E-3</v>
      </c>
      <c r="L920">
        <v>0</v>
      </c>
      <c r="M920">
        <v>356361156</v>
      </c>
      <c r="N920">
        <v>0</v>
      </c>
      <c r="O920" t="b">
        <v>1</v>
      </c>
    </row>
    <row r="921" spans="1:15" x14ac:dyDescent="0.3">
      <c r="A921" s="1" t="s">
        <v>1024</v>
      </c>
      <c r="B921">
        <v>0.85586025430141599</v>
      </c>
      <c r="C921">
        <v>1.5823097254011719E-2</v>
      </c>
      <c r="D921">
        <v>1.196724675675215E-2</v>
      </c>
      <c r="E921">
        <v>65.163689703930004</v>
      </c>
      <c r="F921">
        <v>6.5081265432949786E-2</v>
      </c>
      <c r="G921">
        <v>0.2</v>
      </c>
      <c r="H921">
        <v>7.8256960227855388E-2</v>
      </c>
      <c r="I921">
        <v>0.21004641458764839</v>
      </c>
      <c r="J921">
        <v>-1.306442990002799E-2</v>
      </c>
      <c r="K921">
        <v>-9.0693481890846694E-4</v>
      </c>
      <c r="L921">
        <v>0</v>
      </c>
      <c r="M921">
        <v>74184109.610750005</v>
      </c>
      <c r="N921">
        <v>0</v>
      </c>
      <c r="O921" t="b">
        <v>0</v>
      </c>
    </row>
    <row r="922" spans="1:15" x14ac:dyDescent="0.3">
      <c r="A922" s="1" t="s">
        <v>1025</v>
      </c>
      <c r="B922">
        <v>37.382494661396571</v>
      </c>
      <c r="C922">
        <v>3.8248165388637609E-2</v>
      </c>
      <c r="D922">
        <v>2.6864013211004761E-2</v>
      </c>
      <c r="E922">
        <v>56.588481573749092</v>
      </c>
      <c r="F922">
        <v>2.7763499308990358E-3</v>
      </c>
      <c r="G922">
        <v>0.6</v>
      </c>
      <c r="H922">
        <v>8.3217119036421899E-2</v>
      </c>
      <c r="I922">
        <v>2.5985358127329978</v>
      </c>
      <c r="J922">
        <v>-4.63582026623377E-3</v>
      </c>
      <c r="K922">
        <v>1.6688442190146091E-2</v>
      </c>
      <c r="L922">
        <v>0</v>
      </c>
      <c r="M922">
        <v>458234208.00999999</v>
      </c>
      <c r="N922">
        <v>0</v>
      </c>
      <c r="O922" t="b">
        <v>1</v>
      </c>
    </row>
    <row r="923" spans="1:15" x14ac:dyDescent="0.3">
      <c r="A923" s="1" t="s">
        <v>1026</v>
      </c>
      <c r="B923">
        <v>2.648819199096661</v>
      </c>
      <c r="C923">
        <v>2.736589845201819E-2</v>
      </c>
      <c r="D923">
        <v>1.741453642681725E-2</v>
      </c>
      <c r="E923">
        <v>53.871354809612413</v>
      </c>
      <c r="F923">
        <v>0.12530285485753609</v>
      </c>
      <c r="G923">
        <v>0.2</v>
      </c>
      <c r="H923">
        <v>8.4173690962677877E-2</v>
      </c>
      <c r="I923">
        <v>0.45330028946219952</v>
      </c>
      <c r="J923">
        <v>-7.6096978952894578E-2</v>
      </c>
      <c r="K923">
        <v>7.5341759924387741E-3</v>
      </c>
      <c r="L923">
        <v>0</v>
      </c>
      <c r="M923">
        <v>1108181324.85675</v>
      </c>
      <c r="N923">
        <v>0</v>
      </c>
      <c r="O923" t="b">
        <v>1</v>
      </c>
    </row>
    <row r="924" spans="1:15" x14ac:dyDescent="0.3">
      <c r="A924" s="1" t="s">
        <v>1027</v>
      </c>
      <c r="B924">
        <v>1.3851304615260589</v>
      </c>
      <c r="C924">
        <v>4.7713760300587632E-2</v>
      </c>
      <c r="D924">
        <v>3.9441956596624167E-2</v>
      </c>
      <c r="E924">
        <v>65.028673965513917</v>
      </c>
      <c r="F924">
        <v>0.1724555735056543</v>
      </c>
      <c r="G924">
        <v>1</v>
      </c>
      <c r="H924">
        <v>5.477117819459966E-2</v>
      </c>
      <c r="I924">
        <v>1.4502655546750221</v>
      </c>
      <c r="J924">
        <v>0</v>
      </c>
      <c r="K924">
        <v>2.7974504249291821E-2</v>
      </c>
      <c r="L924">
        <v>0</v>
      </c>
      <c r="M924">
        <v>259618007</v>
      </c>
      <c r="N924">
        <v>0</v>
      </c>
      <c r="O924" t="b">
        <v>1</v>
      </c>
    </row>
    <row r="925" spans="1:15" x14ac:dyDescent="0.3">
      <c r="A925" s="1" t="s">
        <v>1028</v>
      </c>
      <c r="B925">
        <v>5.2763965306643827</v>
      </c>
      <c r="C925">
        <v>5.7101695613958163E-2</v>
      </c>
      <c r="D925">
        <v>4.2715914440470237E-2</v>
      </c>
      <c r="E925">
        <v>54.054347046454183</v>
      </c>
      <c r="F925">
        <v>-8.152378090014345E-3</v>
      </c>
      <c r="G925">
        <v>0.4</v>
      </c>
      <c r="H925">
        <v>0.15937294040503219</v>
      </c>
      <c r="I925">
        <v>2.5332605789832412</v>
      </c>
      <c r="J925">
        <v>-7.7146252796420622E-2</v>
      </c>
      <c r="K925">
        <v>4.0157098296750959E-2</v>
      </c>
      <c r="L925">
        <v>0</v>
      </c>
      <c r="M925">
        <v>1293234677.4235001</v>
      </c>
      <c r="N925">
        <v>0</v>
      </c>
      <c r="O925" t="b">
        <v>1</v>
      </c>
    </row>
    <row r="926" spans="1:15" x14ac:dyDescent="0.3">
      <c r="A926" s="1" t="s">
        <v>1029</v>
      </c>
      <c r="B926">
        <v>3.8176309296115658</v>
      </c>
      <c r="C926">
        <v>2.1360363293392449E-2</v>
      </c>
      <c r="D926">
        <v>1.980696600923202E-2</v>
      </c>
      <c r="E926">
        <v>72.914237897311637</v>
      </c>
      <c r="F926">
        <v>8.8823905693137029E-2</v>
      </c>
      <c r="G926">
        <v>1</v>
      </c>
      <c r="H926">
        <v>0.1432742009827303</v>
      </c>
      <c r="I926">
        <v>1.179689724938555</v>
      </c>
      <c r="J926">
        <v>0</v>
      </c>
      <c r="K926">
        <v>4.9198763002529233E-3</v>
      </c>
      <c r="L926">
        <v>0</v>
      </c>
      <c r="M926">
        <v>793435806.74699998</v>
      </c>
      <c r="N926">
        <v>0</v>
      </c>
      <c r="O926" t="b">
        <v>1</v>
      </c>
    </row>
    <row r="927" spans="1:15" x14ac:dyDescent="0.3">
      <c r="A927" s="1" t="s">
        <v>1030</v>
      </c>
      <c r="B927">
        <v>10.86544846481082</v>
      </c>
      <c r="C927">
        <v>2.026844737754244E-2</v>
      </c>
      <c r="D927">
        <v>2.1032426311891721E-2</v>
      </c>
      <c r="E927">
        <v>35.784835448442493</v>
      </c>
      <c r="F927">
        <v>-6.4243708553783363E-2</v>
      </c>
      <c r="G927">
        <v>0.4</v>
      </c>
      <c r="H927">
        <v>-0.1083506949882206</v>
      </c>
      <c r="I927">
        <v>0.26888079478910021</v>
      </c>
      <c r="J927">
        <v>-7.6156189898460735E-2</v>
      </c>
      <c r="K927">
        <v>1.8052329329802941E-3</v>
      </c>
      <c r="L927">
        <v>0</v>
      </c>
      <c r="M927">
        <v>317275301.21799988</v>
      </c>
      <c r="N927">
        <v>0</v>
      </c>
      <c r="O927" t="b">
        <v>1</v>
      </c>
    </row>
    <row r="928" spans="1:15" x14ac:dyDescent="0.3">
      <c r="A928" s="1" t="s">
        <v>1031</v>
      </c>
      <c r="B928">
        <v>9.9702655127575568</v>
      </c>
      <c r="C928">
        <v>2.0881449122997369E-2</v>
      </c>
      <c r="D928">
        <v>3.5399082664879442E-2</v>
      </c>
      <c r="E928">
        <v>40.8004931771682</v>
      </c>
      <c r="F928">
        <v>-5.2460285172800318E-2</v>
      </c>
      <c r="G928">
        <v>0.8</v>
      </c>
      <c r="H928">
        <v>-0.1299929947075896</v>
      </c>
      <c r="I928">
        <v>0.81498325120261805</v>
      </c>
      <c r="J928">
        <v>-6.1987375816023982E-2</v>
      </c>
      <c r="K928">
        <v>-2.735791403544496E-2</v>
      </c>
      <c r="L928">
        <v>0</v>
      </c>
      <c r="M928">
        <v>9254856327.3360004</v>
      </c>
      <c r="N928">
        <v>0</v>
      </c>
      <c r="O928" t="b">
        <v>1</v>
      </c>
    </row>
    <row r="929" spans="1:15" x14ac:dyDescent="0.3">
      <c r="A929" s="1" t="s">
        <v>1032</v>
      </c>
      <c r="B929">
        <v>6.7661894886597436</v>
      </c>
      <c r="C929">
        <v>1.8311744218294301E-2</v>
      </c>
      <c r="D929">
        <v>1.7477672530446471E-2</v>
      </c>
      <c r="E929">
        <v>31.481496251787831</v>
      </c>
      <c r="F929">
        <v>-5.9061404201246281E-2</v>
      </c>
      <c r="G929">
        <v>0.2</v>
      </c>
      <c r="H929">
        <v>-0.35243381578409771</v>
      </c>
      <c r="I929">
        <v>0.31034478051225362</v>
      </c>
      <c r="J929">
        <v>-5.4188957432103828E-2</v>
      </c>
      <c r="K929">
        <v>-1.61578825067954E-3</v>
      </c>
      <c r="L929">
        <v>0</v>
      </c>
      <c r="M929">
        <v>378470184.60799998</v>
      </c>
      <c r="N929">
        <v>0</v>
      </c>
      <c r="O929" t="b">
        <v>1</v>
      </c>
    </row>
    <row r="930" spans="1:15" x14ac:dyDescent="0.3">
      <c r="A930" s="1" t="s">
        <v>1033</v>
      </c>
      <c r="B930">
        <v>14.279560480818621</v>
      </c>
      <c r="C930">
        <v>7.7337307630083493E-2</v>
      </c>
      <c r="D930">
        <v>4.8039428076256517E-2</v>
      </c>
      <c r="E930">
        <v>39.041975310401511</v>
      </c>
      <c r="F930">
        <v>-0.22705961152042881</v>
      </c>
      <c r="G930">
        <v>0.4</v>
      </c>
      <c r="H930">
        <v>-0.23756746399431339</v>
      </c>
      <c r="I930">
        <v>2.509470078127463</v>
      </c>
      <c r="J930">
        <v>-0.2019018802679923</v>
      </c>
      <c r="K930">
        <v>-2.3017090851367938E-2</v>
      </c>
      <c r="L930">
        <v>0</v>
      </c>
      <c r="M930">
        <v>4505172623.5</v>
      </c>
      <c r="N930">
        <v>0</v>
      </c>
      <c r="O930" t="b">
        <v>1</v>
      </c>
    </row>
    <row r="931" spans="1:15" x14ac:dyDescent="0.3">
      <c r="A931" s="1" t="s">
        <v>1034</v>
      </c>
      <c r="B931">
        <v>0.97799569894246685</v>
      </c>
      <c r="C931">
        <v>2.1733237754277039E-2</v>
      </c>
      <c r="D931">
        <v>4.022222222222227E-2</v>
      </c>
      <c r="E931">
        <v>71.091420655662461</v>
      </c>
      <c r="F931">
        <v>0.14495659342336939</v>
      </c>
      <c r="G931">
        <v>0.4</v>
      </c>
      <c r="H931">
        <v>0.20142699767719949</v>
      </c>
      <c r="I931">
        <v>1.4696360912782871</v>
      </c>
      <c r="J931">
        <v>0</v>
      </c>
      <c r="K931">
        <v>3.9741219963031371E-2</v>
      </c>
      <c r="L931">
        <v>0</v>
      </c>
      <c r="M931">
        <v>46496446.186100014</v>
      </c>
      <c r="N931">
        <v>0</v>
      </c>
      <c r="O931" t="b">
        <v>0</v>
      </c>
    </row>
    <row r="932" spans="1:15" x14ac:dyDescent="0.3">
      <c r="A932" s="1" t="s">
        <v>1035</v>
      </c>
      <c r="B932">
        <v>3.9168713785816949</v>
      </c>
      <c r="C932">
        <v>1.9144043883585999E-2</v>
      </c>
      <c r="D932">
        <v>4.4819159335288308E-2</v>
      </c>
      <c r="E932">
        <v>77.262161756779619</v>
      </c>
      <c r="F932">
        <v>9.5488472205861985E-2</v>
      </c>
      <c r="G932">
        <v>0.6</v>
      </c>
      <c r="H932">
        <v>-1.9277824995328539E-3</v>
      </c>
      <c r="I932">
        <v>0.70131845076560406</v>
      </c>
      <c r="J932">
        <v>0</v>
      </c>
      <c r="K932">
        <v>3.5110796316907722E-2</v>
      </c>
      <c r="L932">
        <v>0</v>
      </c>
      <c r="M932">
        <v>196592487.028</v>
      </c>
      <c r="N932">
        <v>0</v>
      </c>
      <c r="O932" t="b">
        <v>1</v>
      </c>
    </row>
    <row r="933" spans="1:15" x14ac:dyDescent="0.3">
      <c r="A933" s="1" t="s">
        <v>1036</v>
      </c>
      <c r="B933">
        <v>0.75479971456313788</v>
      </c>
      <c r="C933">
        <v>2.2456190317270801E-2</v>
      </c>
      <c r="D933">
        <v>2.040634176382921E-2</v>
      </c>
      <c r="E933">
        <v>55.946613351650107</v>
      </c>
      <c r="F933">
        <v>1.501132417333517E-2</v>
      </c>
      <c r="G933">
        <v>0.4</v>
      </c>
      <c r="H933">
        <v>-0.15755932604686901</v>
      </c>
      <c r="I933">
        <v>0.95394935371395706</v>
      </c>
      <c r="J933">
        <v>-2.0566526506575419E-2</v>
      </c>
      <c r="K933">
        <v>-6.1736973291663944E-3</v>
      </c>
      <c r="L933">
        <v>0</v>
      </c>
      <c r="M933">
        <v>125658039.273</v>
      </c>
      <c r="N933">
        <v>0</v>
      </c>
      <c r="O933" t="b">
        <v>1</v>
      </c>
    </row>
    <row r="934" spans="1:15" x14ac:dyDescent="0.3">
      <c r="A934" s="1" t="s">
        <v>1037</v>
      </c>
      <c r="B934">
        <v>38.818795518847921</v>
      </c>
      <c r="C934">
        <v>2.7612330987550539E-2</v>
      </c>
      <c r="D934">
        <v>4.2059963723014633E-2</v>
      </c>
      <c r="E934">
        <v>47.622937910199738</v>
      </c>
      <c r="F934">
        <v>-1.865179362963065E-2</v>
      </c>
      <c r="G934">
        <v>0.2</v>
      </c>
      <c r="H934">
        <v>4.988892074859208E-2</v>
      </c>
      <c r="I934">
        <v>0.74625566302622426</v>
      </c>
      <c r="J934">
        <v>-6.6513060915525779E-2</v>
      </c>
      <c r="K934">
        <v>2.5105365241866021E-2</v>
      </c>
      <c r="L934">
        <v>0</v>
      </c>
      <c r="M934">
        <v>184519057</v>
      </c>
      <c r="N934">
        <v>0</v>
      </c>
      <c r="O934" t="b">
        <v>1</v>
      </c>
    </row>
    <row r="935" spans="1:15" x14ac:dyDescent="0.3">
      <c r="A935" s="1" t="s">
        <v>1038</v>
      </c>
      <c r="B935">
        <v>7.0003649801480039</v>
      </c>
      <c r="C935">
        <v>3.7589888740525178E-2</v>
      </c>
      <c r="D935">
        <v>2.4754336036084339E-2</v>
      </c>
      <c r="E935">
        <v>67.769803935401939</v>
      </c>
      <c r="F935">
        <v>4.3773119605425397E-2</v>
      </c>
      <c r="G935">
        <v>0.6</v>
      </c>
      <c r="H935">
        <v>0.19087827589697279</v>
      </c>
      <c r="I935">
        <v>2.2557271551187461</v>
      </c>
      <c r="J935">
        <v>-9.8362398979159327E-3</v>
      </c>
      <c r="K935">
        <v>-9.8362398979159327E-3</v>
      </c>
      <c r="L935">
        <v>0</v>
      </c>
      <c r="M935">
        <v>91858434</v>
      </c>
      <c r="N935">
        <v>0</v>
      </c>
      <c r="O935" t="b">
        <v>0</v>
      </c>
    </row>
    <row r="936" spans="1:15" x14ac:dyDescent="0.3">
      <c r="A936" s="1" t="s">
        <v>1039</v>
      </c>
      <c r="B936">
        <v>3.7446753315632342</v>
      </c>
      <c r="C936">
        <v>1.4671825425650041E-2</v>
      </c>
      <c r="D936">
        <v>1.547237970606782E-2</v>
      </c>
      <c r="E936">
        <v>63.194023949074648</v>
      </c>
      <c r="F936">
        <v>1.3066758753180309E-2</v>
      </c>
      <c r="G936">
        <v>1</v>
      </c>
      <c r="H936">
        <v>-0.15637928165148371</v>
      </c>
      <c r="I936">
        <v>1.079609209268634</v>
      </c>
      <c r="J936">
        <v>0</v>
      </c>
      <c r="K936">
        <v>9.5484840693789153E-3</v>
      </c>
      <c r="L936">
        <v>0</v>
      </c>
      <c r="M936">
        <v>193028861.91499999</v>
      </c>
      <c r="N936">
        <v>0</v>
      </c>
      <c r="O936" t="b">
        <v>1</v>
      </c>
    </row>
    <row r="937" spans="1:15" x14ac:dyDescent="0.3">
      <c r="A937" s="1" t="s">
        <v>1040</v>
      </c>
      <c r="B937">
        <v>8.4907021864439667</v>
      </c>
      <c r="C937">
        <v>3.7109712353339007E-2</v>
      </c>
      <c r="D937">
        <v>5.0699300699300669E-2</v>
      </c>
      <c r="E937">
        <v>72.139989796795803</v>
      </c>
      <c r="F937">
        <v>0.13819520445726791</v>
      </c>
      <c r="G937">
        <v>0.8</v>
      </c>
      <c r="H937">
        <v>0.1312651698911092</v>
      </c>
      <c r="I937">
        <v>2.1618326900792422</v>
      </c>
      <c r="J937">
        <v>0</v>
      </c>
      <c r="K937">
        <v>3.8206733823396011E-2</v>
      </c>
      <c r="L937">
        <v>0</v>
      </c>
      <c r="M937">
        <v>139698288.5</v>
      </c>
      <c r="N937">
        <v>0</v>
      </c>
      <c r="O937" t="b">
        <v>1</v>
      </c>
    </row>
    <row r="938" spans="1:15" x14ac:dyDescent="0.3">
      <c r="A938" s="1" t="s">
        <v>1041</v>
      </c>
      <c r="B938">
        <v>13.51235600540984</v>
      </c>
      <c r="C938">
        <v>5.1260251231624233E-2</v>
      </c>
      <c r="D938">
        <v>5.3732317158757523E-2</v>
      </c>
      <c r="E938">
        <v>66.099185479251716</v>
      </c>
      <c r="F938">
        <v>4.1094321440137797E-2</v>
      </c>
      <c r="G938">
        <v>0.8</v>
      </c>
      <c r="H938">
        <v>0.25574358465050351</v>
      </c>
      <c r="I938">
        <v>3.091504870892253</v>
      </c>
      <c r="J938">
        <v>0</v>
      </c>
      <c r="K938">
        <v>4.4725306953923287E-2</v>
      </c>
      <c r="L938">
        <v>0</v>
      </c>
      <c r="M938">
        <v>2356986962.5409498</v>
      </c>
      <c r="N938">
        <v>0</v>
      </c>
      <c r="O938" t="b">
        <v>1</v>
      </c>
    </row>
    <row r="939" spans="1:15" x14ac:dyDescent="0.3">
      <c r="A939" s="1" t="s">
        <v>1042</v>
      </c>
      <c r="B939">
        <v>0.19899884912116839</v>
      </c>
      <c r="C939">
        <v>1.870131747513541E-3</v>
      </c>
      <c r="D939">
        <v>2.058096589574268E-3</v>
      </c>
      <c r="E939">
        <v>55.212762492373393</v>
      </c>
      <c r="F939">
        <v>-1.2215519347491541E-4</v>
      </c>
      <c r="G939">
        <v>0.4</v>
      </c>
      <c r="H939">
        <v>-7.4434677774311786E-2</v>
      </c>
      <c r="I939">
        <v>-8.1340260757252324E-3</v>
      </c>
      <c r="J939">
        <v>-2.6244505056752798E-3</v>
      </c>
      <c r="K939">
        <v>1.6850230631648699E-3</v>
      </c>
      <c r="L939">
        <v>0</v>
      </c>
      <c r="M939">
        <v>487957882.51499999</v>
      </c>
      <c r="N939">
        <v>0</v>
      </c>
      <c r="O939" t="b">
        <v>1</v>
      </c>
    </row>
    <row r="940" spans="1:15" x14ac:dyDescent="0.3">
      <c r="A940" s="1" t="s">
        <v>1043</v>
      </c>
      <c r="B940">
        <v>0.34185705940742539</v>
      </c>
      <c r="C940">
        <v>2.1568268732329681E-2</v>
      </c>
      <c r="D940">
        <v>2.0189274447949549E-2</v>
      </c>
      <c r="E940">
        <v>54.877879963469127</v>
      </c>
      <c r="F940">
        <v>4.2077580539118919E-2</v>
      </c>
      <c r="G940">
        <v>0.6</v>
      </c>
      <c r="H940">
        <v>-4.0829559041120553E-2</v>
      </c>
      <c r="I940">
        <v>1.066174296298984</v>
      </c>
      <c r="J940">
        <v>-2.641277641277651E-2</v>
      </c>
      <c r="K940">
        <v>1.5374759769378519E-2</v>
      </c>
      <c r="L940">
        <v>0</v>
      </c>
      <c r="M940">
        <v>50056394.5</v>
      </c>
      <c r="N940">
        <v>0</v>
      </c>
      <c r="O940" t="b">
        <v>0</v>
      </c>
    </row>
    <row r="941" spans="1:15" x14ac:dyDescent="0.3">
      <c r="A941" s="1" t="s">
        <v>1044</v>
      </c>
      <c r="B941">
        <v>11.702107646738179</v>
      </c>
      <c r="C941">
        <v>3.0318697429173709E-2</v>
      </c>
      <c r="D941">
        <v>2.4846490659895928E-2</v>
      </c>
      <c r="E941">
        <v>54.149152180916033</v>
      </c>
      <c r="F941">
        <v>7.8670840087194716E-2</v>
      </c>
      <c r="G941">
        <v>0.2</v>
      </c>
      <c r="H941">
        <v>-3.9640829563253897E-2</v>
      </c>
      <c r="I941">
        <v>-0.18216907976206029</v>
      </c>
      <c r="J941">
        <v>-3.0226130653266289E-2</v>
      </c>
      <c r="K941">
        <v>-2.4552879148144191E-3</v>
      </c>
      <c r="L941">
        <v>0</v>
      </c>
      <c r="M941">
        <v>108031006.589</v>
      </c>
      <c r="N941">
        <v>0</v>
      </c>
      <c r="O941" t="b">
        <v>1</v>
      </c>
    </row>
    <row r="942" spans="1:15" x14ac:dyDescent="0.3">
      <c r="A942" s="1" t="s">
        <v>1045</v>
      </c>
      <c r="B942">
        <v>8.1576796549199369</v>
      </c>
      <c r="C942">
        <v>8.7164009562132022E-2</v>
      </c>
      <c r="D942">
        <v>5.2249171920076942E-2</v>
      </c>
      <c r="E942">
        <v>45.295852932788989</v>
      </c>
      <c r="F942">
        <v>-0.1487949067758072</v>
      </c>
      <c r="G942">
        <v>0.4</v>
      </c>
      <c r="H942">
        <v>2.648790920761324E-2</v>
      </c>
      <c r="I942">
        <v>2.387485698439304</v>
      </c>
      <c r="J942">
        <v>-8.9591439688715857E-2</v>
      </c>
      <c r="K942">
        <v>-2.925007779276001E-2</v>
      </c>
      <c r="L942">
        <v>0</v>
      </c>
      <c r="M942">
        <v>534089527.5</v>
      </c>
      <c r="N942">
        <v>0</v>
      </c>
      <c r="O942" t="b">
        <v>1</v>
      </c>
    </row>
    <row r="943" spans="1:15" x14ac:dyDescent="0.3">
      <c r="A943" s="1" t="s">
        <v>1046</v>
      </c>
      <c r="B943">
        <v>4.5279321437546303</v>
      </c>
      <c r="C943">
        <v>2.909421155146585E-2</v>
      </c>
      <c r="D943">
        <v>3.2834286448628063E-2</v>
      </c>
      <c r="E943">
        <v>65.183758867839686</v>
      </c>
      <c r="F943">
        <v>3.7395013998133393E-2</v>
      </c>
      <c r="G943">
        <v>0.8</v>
      </c>
      <c r="H943">
        <v>3.6266077100311718E-2</v>
      </c>
      <c r="I943">
        <v>0.75941070701825164</v>
      </c>
      <c r="J943">
        <v>0</v>
      </c>
      <c r="K943">
        <v>3.9349761321119106E-3</v>
      </c>
      <c r="L943">
        <v>0</v>
      </c>
      <c r="M943">
        <v>128119450</v>
      </c>
      <c r="N943">
        <v>0</v>
      </c>
      <c r="O943" t="b">
        <v>1</v>
      </c>
    </row>
    <row r="944" spans="1:15" x14ac:dyDescent="0.3">
      <c r="A944" s="1" t="s">
        <v>1047</v>
      </c>
      <c r="B944">
        <v>0.66009255643755593</v>
      </c>
      <c r="C944">
        <v>3.4308344929186899E-2</v>
      </c>
      <c r="D944">
        <v>4.3659043659043648E-2</v>
      </c>
      <c r="E944">
        <v>49.629039064493377</v>
      </c>
      <c r="F944">
        <v>1.050420168067223E-2</v>
      </c>
      <c r="G944">
        <v>0.6</v>
      </c>
      <c r="H944">
        <v>-0.23585231921038799</v>
      </c>
      <c r="I944">
        <v>1.4074552753502809</v>
      </c>
      <c r="J944">
        <v>0</v>
      </c>
      <c r="K944">
        <v>2.7777777777777679E-2</v>
      </c>
      <c r="L944">
        <v>0</v>
      </c>
      <c r="M944">
        <v>278955720</v>
      </c>
      <c r="N944">
        <v>0</v>
      </c>
      <c r="O944" t="b">
        <v>1</v>
      </c>
    </row>
    <row r="945" spans="1:15" x14ac:dyDescent="0.3">
      <c r="A945" s="1" t="s">
        <v>1048</v>
      </c>
      <c r="B945">
        <v>1.537606189810637</v>
      </c>
      <c r="C945">
        <v>1.6727656547113109E-2</v>
      </c>
      <c r="D945">
        <v>2.0452567449956591E-2</v>
      </c>
      <c r="E945">
        <v>64.738832123209974</v>
      </c>
      <c r="F945">
        <v>4.982560012060655E-2</v>
      </c>
      <c r="G945">
        <v>0.8</v>
      </c>
      <c r="H945">
        <v>-0.1000393362015609</v>
      </c>
      <c r="I945">
        <v>0.61727044231793771</v>
      </c>
      <c r="J945">
        <v>0</v>
      </c>
      <c r="K945">
        <v>1.3227513227513249E-2</v>
      </c>
      <c r="L945">
        <v>0</v>
      </c>
      <c r="M945">
        <v>243085110.17750001</v>
      </c>
      <c r="N945">
        <v>0</v>
      </c>
      <c r="O945" t="b">
        <v>1</v>
      </c>
    </row>
    <row r="946" spans="1:15" x14ac:dyDescent="0.3">
      <c r="A946" s="1" t="s">
        <v>1049</v>
      </c>
      <c r="B946">
        <v>4.3376363736810832</v>
      </c>
      <c r="C946">
        <v>1.8418838104802899E-2</v>
      </c>
      <c r="D946">
        <v>1.7180467091295209E-2</v>
      </c>
      <c r="E946">
        <v>53.854490768037493</v>
      </c>
      <c r="F946">
        <v>6.5995315358444717E-3</v>
      </c>
      <c r="G946">
        <v>0.4</v>
      </c>
      <c r="H946">
        <v>-1.6621864219855509E-2</v>
      </c>
      <c r="I946">
        <v>0.81100963093714928</v>
      </c>
      <c r="J946">
        <v>-1.0923935640757439E-2</v>
      </c>
      <c r="K946">
        <v>1.2337187808967091E-2</v>
      </c>
      <c r="L946">
        <v>0</v>
      </c>
      <c r="M946">
        <v>67035142.780000001</v>
      </c>
      <c r="N946">
        <v>1</v>
      </c>
      <c r="O946" t="b">
        <v>0</v>
      </c>
    </row>
    <row r="947" spans="1:15" x14ac:dyDescent="0.3">
      <c r="A947" s="1" t="s">
        <v>1050</v>
      </c>
      <c r="B947">
        <v>1.789015108210914</v>
      </c>
      <c r="C947">
        <v>2.2013228844726389E-2</v>
      </c>
      <c r="D947">
        <v>2.8054632705795508E-2</v>
      </c>
      <c r="E947">
        <v>43.091383498937049</v>
      </c>
      <c r="F947">
        <v>-3.4795807115931443E-2</v>
      </c>
      <c r="G947">
        <v>0.2</v>
      </c>
      <c r="H947">
        <v>0.10994302108183</v>
      </c>
      <c r="I947">
        <v>0.58227778519637685</v>
      </c>
      <c r="J947">
        <v>-5.817591841464842E-2</v>
      </c>
      <c r="K947">
        <v>2.0467101958814519E-2</v>
      </c>
      <c r="L947">
        <v>0</v>
      </c>
      <c r="M947">
        <v>744475054.39864993</v>
      </c>
      <c r="N947">
        <v>0</v>
      </c>
      <c r="O947" t="b">
        <v>1</v>
      </c>
    </row>
    <row r="948" spans="1:15" x14ac:dyDescent="0.3">
      <c r="A948" s="1" t="s">
        <v>1051</v>
      </c>
      <c r="B948">
        <v>3.3503207326539548</v>
      </c>
      <c r="C948">
        <v>3.549068572726647E-2</v>
      </c>
      <c r="D948">
        <v>3.8029661016949177E-2</v>
      </c>
      <c r="E948">
        <v>62.302120779930831</v>
      </c>
      <c r="F948">
        <v>7.2676076823606328E-2</v>
      </c>
      <c r="G948">
        <v>0.6</v>
      </c>
      <c r="H948">
        <v>8.2084022476849997E-2</v>
      </c>
      <c r="I948">
        <v>1.0555333063913801</v>
      </c>
      <c r="J948">
        <v>0</v>
      </c>
      <c r="K948">
        <v>3.29471782336066E-3</v>
      </c>
      <c r="L948">
        <v>0</v>
      </c>
      <c r="M948">
        <v>639075187.97970009</v>
      </c>
      <c r="N948">
        <v>0</v>
      </c>
      <c r="O948" t="b">
        <v>1</v>
      </c>
    </row>
    <row r="949" spans="1:15" x14ac:dyDescent="0.3">
      <c r="A949" s="1" t="s">
        <v>1052</v>
      </c>
      <c r="B949">
        <v>8.5473532378944075</v>
      </c>
      <c r="C949">
        <v>4.0041943398737033E-2</v>
      </c>
      <c r="D949">
        <v>4.8510259533402128E-2</v>
      </c>
      <c r="E949">
        <v>54.668485428046182</v>
      </c>
      <c r="F949">
        <v>-0.1125431339126096</v>
      </c>
      <c r="G949">
        <v>0.6</v>
      </c>
      <c r="H949">
        <v>-4.3528152955724271E-2</v>
      </c>
      <c r="I949">
        <v>2.1849825414350859</v>
      </c>
      <c r="J949">
        <v>-9.1466269419025248E-2</v>
      </c>
      <c r="K949">
        <v>2.1681903029722841E-2</v>
      </c>
      <c r="L949">
        <v>0</v>
      </c>
      <c r="M949">
        <v>471253740</v>
      </c>
      <c r="N949">
        <v>0</v>
      </c>
      <c r="O949" t="b">
        <v>1</v>
      </c>
    </row>
    <row r="950" spans="1:15" x14ac:dyDescent="0.3">
      <c r="A950" s="1" t="s">
        <v>1053</v>
      </c>
      <c r="B950">
        <v>19.13624536546719</v>
      </c>
      <c r="C950">
        <v>2.493913262228592E-2</v>
      </c>
      <c r="D950">
        <v>2.9842907373474881E-2</v>
      </c>
      <c r="E950">
        <v>52.90123582288706</v>
      </c>
      <c r="F950">
        <v>-1.0925580759840851E-2</v>
      </c>
      <c r="G950">
        <v>0.6</v>
      </c>
      <c r="H950">
        <v>-0.1079001813095351</v>
      </c>
      <c r="I950">
        <v>0.5076832775902631</v>
      </c>
      <c r="J950">
        <v>-2.0832190168227131E-2</v>
      </c>
      <c r="K950">
        <v>2.7789721272323709E-2</v>
      </c>
      <c r="L950">
        <v>0</v>
      </c>
      <c r="M950">
        <v>35919569.800999999</v>
      </c>
      <c r="N950">
        <v>0</v>
      </c>
      <c r="O950" t="b">
        <v>0</v>
      </c>
    </row>
    <row r="951" spans="1:15" x14ac:dyDescent="0.3">
      <c r="A951" s="1" t="s">
        <v>1054</v>
      </c>
      <c r="B951">
        <v>1.395254857703436</v>
      </c>
      <c r="C951">
        <v>1.7123956736505359E-2</v>
      </c>
      <c r="D951">
        <v>1.0851782713976519E-2</v>
      </c>
      <c r="E951">
        <v>52.331551463188703</v>
      </c>
      <c r="F951">
        <v>3.2736393952107028E-2</v>
      </c>
      <c r="G951">
        <v>0.4</v>
      </c>
      <c r="H951">
        <v>-0.11311875632745889</v>
      </c>
      <c r="I951">
        <v>2.272380129376185E-2</v>
      </c>
      <c r="J951">
        <v>-6.5413906033199298E-3</v>
      </c>
      <c r="K951">
        <v>1.58695817855059E-3</v>
      </c>
      <c r="L951">
        <v>0</v>
      </c>
      <c r="M951">
        <v>44904711.278200001</v>
      </c>
      <c r="N951">
        <v>0</v>
      </c>
      <c r="O951" t="b">
        <v>0</v>
      </c>
    </row>
    <row r="952" spans="1:15" x14ac:dyDescent="0.3">
      <c r="A952" s="1" t="s">
        <v>1055</v>
      </c>
      <c r="B952">
        <v>3.7094926463673028</v>
      </c>
      <c r="C952">
        <v>4.0011785636579693E-2</v>
      </c>
      <c r="D952">
        <v>4.9832811994391157E-2</v>
      </c>
      <c r="E952">
        <v>26.172790153673631</v>
      </c>
      <c r="F952">
        <v>-0.17228387511494819</v>
      </c>
      <c r="G952">
        <v>0</v>
      </c>
      <c r="H952">
        <v>-0.2110990453957681</v>
      </c>
      <c r="I952">
        <v>0.52914948568157327</v>
      </c>
      <c r="J952">
        <v>-0.19904967602591789</v>
      </c>
      <c r="K952">
        <v>-4.1360769310309187E-2</v>
      </c>
      <c r="L952">
        <v>0</v>
      </c>
      <c r="M952">
        <v>3761425312</v>
      </c>
      <c r="N952">
        <v>0</v>
      </c>
      <c r="O952" t="b">
        <v>1</v>
      </c>
    </row>
    <row r="953" spans="1:15" x14ac:dyDescent="0.3">
      <c r="A953" s="1" t="s">
        <v>1056</v>
      </c>
      <c r="B953">
        <v>0.94227292831806342</v>
      </c>
      <c r="C953">
        <v>1.262423537403622E-2</v>
      </c>
      <c r="D953">
        <v>1.138799571275448E-2</v>
      </c>
      <c r="E953">
        <v>46.046451479780814</v>
      </c>
      <c r="F953">
        <v>-2.1023596951322721E-2</v>
      </c>
      <c r="G953">
        <v>0</v>
      </c>
      <c r="H953">
        <v>1.995016909176944E-2</v>
      </c>
      <c r="I953">
        <v>-0.27716545959679278</v>
      </c>
      <c r="J953">
        <v>-3.0551146739539851E-2</v>
      </c>
      <c r="K953">
        <v>-3.3382294031245601E-3</v>
      </c>
      <c r="L953">
        <v>0</v>
      </c>
      <c r="M953">
        <v>47257786.336599998</v>
      </c>
      <c r="N953">
        <v>0</v>
      </c>
      <c r="O953" t="b">
        <v>0</v>
      </c>
    </row>
    <row r="954" spans="1:15" x14ac:dyDescent="0.3">
      <c r="A954" s="1" t="s">
        <v>1057</v>
      </c>
      <c r="B954">
        <v>0.76941765908229975</v>
      </c>
      <c r="C954">
        <v>1.8744157118969311E-2</v>
      </c>
      <c r="D954">
        <v>7.0161078141899973E-3</v>
      </c>
      <c r="E954">
        <v>37.529388295525301</v>
      </c>
      <c r="F954">
        <v>-5.466571169980261E-2</v>
      </c>
      <c r="G954">
        <v>0.6</v>
      </c>
      <c r="H954">
        <v>-4.4379354030244553E-2</v>
      </c>
      <c r="I954">
        <v>0.41334244479942239</v>
      </c>
      <c r="J954">
        <v>-6.3448423771312878E-2</v>
      </c>
      <c r="K954">
        <v>-2.65321593095813E-3</v>
      </c>
      <c r="L954">
        <v>0</v>
      </c>
      <c r="M954">
        <v>161258081.4249</v>
      </c>
      <c r="N954">
        <v>1</v>
      </c>
      <c r="O954" t="b">
        <v>1</v>
      </c>
    </row>
    <row r="955" spans="1:15" x14ac:dyDescent="0.3">
      <c r="A955" s="1" t="s">
        <v>1058</v>
      </c>
      <c r="B955">
        <v>4.353247383610543</v>
      </c>
      <c r="C955">
        <v>4.0285465330469582E-2</v>
      </c>
      <c r="D955">
        <v>2.8410142513418411E-2</v>
      </c>
      <c r="E955">
        <v>40.660455327290279</v>
      </c>
      <c r="F955">
        <v>-0.15564932020628219</v>
      </c>
      <c r="G955">
        <v>0.6</v>
      </c>
      <c r="H955">
        <v>-0.17766915104863429</v>
      </c>
      <c r="I955">
        <v>1.0877915835442831</v>
      </c>
      <c r="J955">
        <v>-0.18983355825461079</v>
      </c>
      <c r="K955">
        <v>1.1703024061417541E-2</v>
      </c>
      <c r="L955">
        <v>0</v>
      </c>
      <c r="M955">
        <v>74381243</v>
      </c>
      <c r="N955">
        <v>0</v>
      </c>
      <c r="O955" t="b">
        <v>0</v>
      </c>
    </row>
    <row r="956" spans="1:15" x14ac:dyDescent="0.3">
      <c r="A956" s="1" t="s">
        <v>1059</v>
      </c>
      <c r="B956">
        <v>0.27896931625071691</v>
      </c>
      <c r="C956">
        <v>5.5461096670122653E-2</v>
      </c>
      <c r="D956">
        <v>2.783300198807168E-2</v>
      </c>
      <c r="E956">
        <v>32.032827510026237</v>
      </c>
      <c r="F956">
        <v>-0.25037257824143072</v>
      </c>
      <c r="G956">
        <v>0.6</v>
      </c>
      <c r="H956">
        <v>-9.1074213021475656E-2</v>
      </c>
      <c r="I956">
        <v>1.950075701432642</v>
      </c>
      <c r="J956">
        <v>-0.24132730015082951</v>
      </c>
      <c r="K956">
        <v>0</v>
      </c>
      <c r="L956">
        <v>0</v>
      </c>
      <c r="M956">
        <v>237199780.5</v>
      </c>
      <c r="N956">
        <v>0</v>
      </c>
      <c r="O956" t="b">
        <v>1</v>
      </c>
    </row>
    <row r="957" spans="1:15" x14ac:dyDescent="0.3">
      <c r="A957" s="1" t="s">
        <v>1060</v>
      </c>
      <c r="B957">
        <v>1.7493935985329141</v>
      </c>
      <c r="C957">
        <v>2.65905699731405E-2</v>
      </c>
      <c r="D957">
        <v>4.2863657090743378E-2</v>
      </c>
      <c r="E957">
        <v>55.18829414572852</v>
      </c>
      <c r="F957">
        <v>8.8980589032729096E-2</v>
      </c>
      <c r="G957">
        <v>0.6</v>
      </c>
      <c r="H957">
        <v>-0.13108726529464859</v>
      </c>
      <c r="I957">
        <v>0.94250909281691253</v>
      </c>
      <c r="J957">
        <v>-1.062860613422312E-3</v>
      </c>
      <c r="K957">
        <v>3.8844149692089269E-2</v>
      </c>
      <c r="L957">
        <v>0</v>
      </c>
      <c r="M957">
        <v>893419873.56424999</v>
      </c>
      <c r="N957">
        <v>0</v>
      </c>
      <c r="O957" t="b">
        <v>1</v>
      </c>
    </row>
    <row r="958" spans="1:15" x14ac:dyDescent="0.3">
      <c r="A958" s="1" t="s">
        <v>1061</v>
      </c>
      <c r="B958">
        <v>0.30493053748251081</v>
      </c>
      <c r="C958">
        <v>1.404594935316386E-2</v>
      </c>
      <c r="D958">
        <v>1.116561873834036E-2</v>
      </c>
      <c r="E958">
        <v>56.377446981574998</v>
      </c>
      <c r="F958">
        <v>3.1800726221934861E-2</v>
      </c>
      <c r="G958">
        <v>0.4</v>
      </c>
      <c r="H958">
        <v>-1.059422332940158E-3</v>
      </c>
      <c r="I958">
        <v>0.36554197261398058</v>
      </c>
      <c r="J958">
        <v>-2.1415756876391741E-2</v>
      </c>
      <c r="K958">
        <v>4.4881434355117378E-3</v>
      </c>
      <c r="L958">
        <v>0</v>
      </c>
      <c r="M958">
        <v>145369013.58970001</v>
      </c>
      <c r="N958">
        <v>0</v>
      </c>
      <c r="O958" t="b">
        <v>1</v>
      </c>
    </row>
    <row r="959" spans="1:15" x14ac:dyDescent="0.3">
      <c r="A959" s="1" t="s">
        <v>1062</v>
      </c>
      <c r="B959">
        <v>0.15766645894304851</v>
      </c>
      <c r="C959">
        <v>1.9417051593971502E-2</v>
      </c>
      <c r="D959">
        <v>4.5566502463054208E-2</v>
      </c>
      <c r="E959">
        <v>73.149272157034972</v>
      </c>
      <c r="F959">
        <v>0.12777777777777749</v>
      </c>
      <c r="G959">
        <v>0.4</v>
      </c>
      <c r="H959">
        <v>3.5580434328913828E-2</v>
      </c>
      <c r="I959">
        <v>1.2893497172467621</v>
      </c>
      <c r="J959">
        <v>0</v>
      </c>
      <c r="K959">
        <v>4.3701799485861059E-2</v>
      </c>
      <c r="L959">
        <v>0</v>
      </c>
      <c r="M959">
        <v>3372374</v>
      </c>
      <c r="N959">
        <v>0</v>
      </c>
      <c r="O959" t="b">
        <v>0</v>
      </c>
    </row>
    <row r="960" spans="1:15" x14ac:dyDescent="0.3">
      <c r="A960" s="1" t="s">
        <v>1063</v>
      </c>
      <c r="B960">
        <v>0.60971090259329641</v>
      </c>
      <c r="C960">
        <v>1.5589363079497331E-2</v>
      </c>
      <c r="D960">
        <v>1.6632277100640001E-2</v>
      </c>
      <c r="E960">
        <v>39.925553942858492</v>
      </c>
      <c r="F960">
        <v>-2.0731771439731261E-2</v>
      </c>
      <c r="G960">
        <v>0.2</v>
      </c>
      <c r="H960">
        <v>-0.18368413982612969</v>
      </c>
      <c r="I960">
        <v>0.35309645143407031</v>
      </c>
      <c r="J960">
        <v>-4.177783657839218E-2</v>
      </c>
      <c r="K960">
        <v>9.9260709130486457E-3</v>
      </c>
      <c r="L960">
        <v>0</v>
      </c>
      <c r="M960">
        <v>48849529.311250001</v>
      </c>
      <c r="N960">
        <v>0</v>
      </c>
      <c r="O960" t="b">
        <v>0</v>
      </c>
    </row>
    <row r="961" spans="1:15" x14ac:dyDescent="0.3">
      <c r="A961" s="1" t="s">
        <v>1064</v>
      </c>
      <c r="B961">
        <v>1.0581283220088009</v>
      </c>
      <c r="C961">
        <v>1.020138369141955E-2</v>
      </c>
      <c r="D961">
        <v>1.466391577648375E-2</v>
      </c>
      <c r="E961">
        <v>55.760513454418707</v>
      </c>
      <c r="F961">
        <v>2.1026105445525189E-2</v>
      </c>
      <c r="G961">
        <v>0.4</v>
      </c>
      <c r="H961">
        <v>-9.4082214524884619E-2</v>
      </c>
      <c r="I961">
        <v>0.30393644745359299</v>
      </c>
      <c r="J961">
        <v>-6.9506941120153209E-3</v>
      </c>
      <c r="K961">
        <v>1.241557021824868E-2</v>
      </c>
      <c r="L961">
        <v>0</v>
      </c>
      <c r="M961">
        <v>65456963.549199998</v>
      </c>
      <c r="N961">
        <v>0</v>
      </c>
      <c r="O961" t="b">
        <v>0</v>
      </c>
    </row>
    <row r="962" spans="1:15" x14ac:dyDescent="0.3">
      <c r="A962" s="1" t="s">
        <v>1065</v>
      </c>
      <c r="B962">
        <v>10.133079572411649</v>
      </c>
      <c r="C962">
        <v>1.824596581030619E-2</v>
      </c>
      <c r="D962">
        <v>2.1769662921348371E-2</v>
      </c>
      <c r="E962">
        <v>43.893581767515727</v>
      </c>
      <c r="F962">
        <v>-9.5361748649472888E-3</v>
      </c>
      <c r="G962">
        <v>0.4</v>
      </c>
      <c r="H962">
        <v>-0.10673347020397771</v>
      </c>
      <c r="I962">
        <v>0.1763283794180795</v>
      </c>
      <c r="J962">
        <v>-2.5581640172649859E-2</v>
      </c>
      <c r="K962">
        <v>8.5901603617675182E-3</v>
      </c>
      <c r="L962">
        <v>0</v>
      </c>
      <c r="M962">
        <v>416410805.52899998</v>
      </c>
      <c r="N962">
        <v>0</v>
      </c>
      <c r="O962" t="b">
        <v>1</v>
      </c>
    </row>
    <row r="963" spans="1:15" x14ac:dyDescent="0.3">
      <c r="A963" s="1" t="s">
        <v>1066</v>
      </c>
      <c r="B963">
        <v>0.18421242019182821</v>
      </c>
      <c r="C963">
        <v>2.961614472537431E-2</v>
      </c>
      <c r="D963">
        <v>2.0900321543408339E-2</v>
      </c>
      <c r="E963">
        <v>49.830358271571562</v>
      </c>
      <c r="F963">
        <v>-0.1076040172166428</v>
      </c>
      <c r="G963">
        <v>0.6</v>
      </c>
      <c r="H963">
        <v>0.1223917325631682</v>
      </c>
      <c r="I963">
        <v>0.80566856880041049</v>
      </c>
      <c r="J963">
        <v>-0.113960113960114</v>
      </c>
      <c r="K963">
        <v>6.4724919093850364E-3</v>
      </c>
      <c r="L963">
        <v>0</v>
      </c>
      <c r="M963">
        <v>96132610.713455006</v>
      </c>
      <c r="N963">
        <v>0</v>
      </c>
      <c r="O963" t="b">
        <v>1</v>
      </c>
    </row>
    <row r="964" spans="1:15" x14ac:dyDescent="0.3">
      <c r="A964" s="1" t="s">
        <v>1067</v>
      </c>
      <c r="B964">
        <v>4.2233725328032898</v>
      </c>
      <c r="C964">
        <v>2.4739751937785801E-2</v>
      </c>
      <c r="D964">
        <v>1.88738928722057E-2</v>
      </c>
      <c r="E964">
        <v>51.531971546641962</v>
      </c>
      <c r="F964">
        <v>-1.470622186309589E-2</v>
      </c>
      <c r="G964">
        <v>0.6</v>
      </c>
      <c r="H964">
        <v>-0.16517036388102491</v>
      </c>
      <c r="I964">
        <v>1.0254177612748749</v>
      </c>
      <c r="J964">
        <v>-1.2129068098699181E-2</v>
      </c>
      <c r="K964">
        <v>-1.5791135909043459E-3</v>
      </c>
      <c r="L964">
        <v>0</v>
      </c>
      <c r="M964">
        <v>1340145644</v>
      </c>
      <c r="N964">
        <v>0</v>
      </c>
      <c r="O964" t="b">
        <v>1</v>
      </c>
    </row>
    <row r="965" spans="1:15" x14ac:dyDescent="0.3">
      <c r="A965" s="1" t="s">
        <v>1068</v>
      </c>
      <c r="B965">
        <v>6.8484586400367586</v>
      </c>
      <c r="C965">
        <v>4.0852906220206507E-2</v>
      </c>
      <c r="D965">
        <v>4.0498219366846312E-2</v>
      </c>
      <c r="E965">
        <v>52.161756791366372</v>
      </c>
      <c r="F965">
        <v>8.6401405527043451E-3</v>
      </c>
      <c r="G965">
        <v>0.8</v>
      </c>
      <c r="H965">
        <v>2.55574975565196E-2</v>
      </c>
      <c r="I965">
        <v>1.6138687025228271</v>
      </c>
      <c r="J965">
        <v>-7.8478720193178031E-3</v>
      </c>
      <c r="K965">
        <v>8.4581094982283389E-3</v>
      </c>
      <c r="L965">
        <v>0</v>
      </c>
      <c r="M965">
        <v>339240922.93349999</v>
      </c>
      <c r="N965">
        <v>0</v>
      </c>
      <c r="O965" t="b">
        <v>1</v>
      </c>
    </row>
    <row r="966" spans="1:15" x14ac:dyDescent="0.3">
      <c r="A966" s="1" t="s">
        <v>1069</v>
      </c>
      <c r="B966">
        <v>4.0871759185866736</v>
      </c>
      <c r="C966">
        <v>1.3951024755728221E-2</v>
      </c>
      <c r="D966">
        <v>2.1309640026487889E-2</v>
      </c>
      <c r="E966">
        <v>59.558436681707093</v>
      </c>
      <c r="F966">
        <v>2.558303985885213E-2</v>
      </c>
      <c r="G966">
        <v>0.4</v>
      </c>
      <c r="H966">
        <v>5.1401198319521259E-2</v>
      </c>
      <c r="I966">
        <v>0.47101877620842447</v>
      </c>
      <c r="J966">
        <v>-2.947262381224558E-3</v>
      </c>
      <c r="K966">
        <v>1.6339642539964672E-2</v>
      </c>
      <c r="L966">
        <v>0</v>
      </c>
      <c r="M966">
        <v>334817881.41500002</v>
      </c>
      <c r="N966">
        <v>0</v>
      </c>
      <c r="O966" t="b">
        <v>1</v>
      </c>
    </row>
    <row r="967" spans="1:15" x14ac:dyDescent="0.3">
      <c r="A967" s="1" t="s">
        <v>1070</v>
      </c>
      <c r="B967">
        <v>3.1363164525334448</v>
      </c>
      <c r="C967">
        <v>2.6397748106501511E-2</v>
      </c>
      <c r="D967">
        <v>2.0856830233145308E-2</v>
      </c>
      <c r="E967">
        <v>63.286065719101387</v>
      </c>
      <c r="F967">
        <v>6.1239437626168007E-2</v>
      </c>
      <c r="G967">
        <v>0.8</v>
      </c>
      <c r="H967">
        <v>-8.970834290743479E-2</v>
      </c>
      <c r="I967">
        <v>1.380239318379848</v>
      </c>
      <c r="J967">
        <v>0</v>
      </c>
      <c r="K967">
        <v>1.7818898312344619E-2</v>
      </c>
      <c r="L967">
        <v>0</v>
      </c>
      <c r="M967">
        <v>197012211.30700001</v>
      </c>
      <c r="N967">
        <v>0</v>
      </c>
      <c r="O967" t="b">
        <v>1</v>
      </c>
    </row>
    <row r="968" spans="1:15" x14ac:dyDescent="0.3">
      <c r="A968" s="1" t="s">
        <v>1071</v>
      </c>
      <c r="B968">
        <v>3.3878575254750669</v>
      </c>
      <c r="C968">
        <v>2.489790200246246E-2</v>
      </c>
      <c r="D968">
        <v>7.3491585213493046E-3</v>
      </c>
      <c r="E968">
        <v>42.976282326799343</v>
      </c>
      <c r="F968">
        <v>-2.624912335942986E-2</v>
      </c>
      <c r="G968">
        <v>0.2</v>
      </c>
      <c r="H968">
        <v>-0.1185581562687528</v>
      </c>
      <c r="I968">
        <v>0.8048832663238763</v>
      </c>
      <c r="J968">
        <v>-5.7419350369564907E-2</v>
      </c>
      <c r="K968">
        <v>-5.0453348932436581E-3</v>
      </c>
      <c r="L968">
        <v>0</v>
      </c>
      <c r="M968">
        <v>101879635.0165</v>
      </c>
      <c r="N968">
        <v>1</v>
      </c>
      <c r="O968" t="b">
        <v>1</v>
      </c>
    </row>
    <row r="969" spans="1:15" x14ac:dyDescent="0.3">
      <c r="A969" s="1" t="s">
        <v>1072</v>
      </c>
      <c r="B969">
        <v>2.0553359834944929</v>
      </c>
      <c r="C969">
        <v>4.2917853069419358E-2</v>
      </c>
      <c r="D969">
        <v>2.171643349342256E-2</v>
      </c>
      <c r="E969">
        <v>23.09054247890424</v>
      </c>
      <c r="F969">
        <v>-0.33853591160221003</v>
      </c>
      <c r="G969">
        <v>0.6</v>
      </c>
      <c r="H969">
        <v>-0.29892339692843101</v>
      </c>
      <c r="I969">
        <v>0.44290740961270247</v>
      </c>
      <c r="J969">
        <v>-0.30138584974471178</v>
      </c>
      <c r="K969">
        <v>1.3974168960406709E-2</v>
      </c>
      <c r="L969">
        <v>0</v>
      </c>
      <c r="M969">
        <v>169648455.5</v>
      </c>
      <c r="N969">
        <v>1</v>
      </c>
      <c r="O969" t="b">
        <v>1</v>
      </c>
    </row>
    <row r="970" spans="1:15" x14ac:dyDescent="0.3">
      <c r="A970" s="1" t="s">
        <v>1073</v>
      </c>
      <c r="B970">
        <v>1.323186610043116</v>
      </c>
      <c r="C970">
        <v>2.2426891695646031E-2</v>
      </c>
      <c r="D970">
        <v>1.9830508474576299E-2</v>
      </c>
      <c r="E970">
        <v>53.910822184764939</v>
      </c>
      <c r="F970">
        <v>1.0179843909059461E-3</v>
      </c>
      <c r="G970">
        <v>0.4</v>
      </c>
      <c r="H970">
        <v>-4.5121217292757726E-3</v>
      </c>
      <c r="I970">
        <v>0.86357911193060022</v>
      </c>
      <c r="J970">
        <v>-2.2207490884985189E-2</v>
      </c>
      <c r="K970">
        <v>5.7961131946813182E-3</v>
      </c>
      <c r="L970">
        <v>0</v>
      </c>
      <c r="M970">
        <v>115930804.1648</v>
      </c>
      <c r="N970">
        <v>0</v>
      </c>
      <c r="O970" t="b">
        <v>1</v>
      </c>
    </row>
    <row r="971" spans="1:15" x14ac:dyDescent="0.3">
      <c r="A971" s="1" t="s">
        <v>1074</v>
      </c>
      <c r="B971">
        <v>7.3922824490373591</v>
      </c>
      <c r="C971">
        <v>3.1708842487184648E-2</v>
      </c>
      <c r="D971">
        <v>3.2321022605413273E-2</v>
      </c>
      <c r="E971">
        <v>61.493206113819149</v>
      </c>
      <c r="F971">
        <v>0.12824856022842759</v>
      </c>
      <c r="G971">
        <v>0.4</v>
      </c>
      <c r="H971">
        <v>0.21688678233102551</v>
      </c>
      <c r="I971">
        <v>1.038867668312103</v>
      </c>
      <c r="J971">
        <v>-4.6698016765487682E-2</v>
      </c>
      <c r="K971">
        <v>-1.0189784740797349E-2</v>
      </c>
      <c r="L971">
        <v>0</v>
      </c>
      <c r="M971">
        <v>201652424</v>
      </c>
      <c r="N971">
        <v>0</v>
      </c>
      <c r="O971" t="b">
        <v>1</v>
      </c>
    </row>
    <row r="972" spans="1:15" x14ac:dyDescent="0.3">
      <c r="A972" s="1" t="s">
        <v>1075</v>
      </c>
      <c r="B972">
        <v>2.7862418227328951</v>
      </c>
      <c r="C972">
        <v>2.0251794030621419E-2</v>
      </c>
      <c r="D972">
        <v>4.0776275621456498E-2</v>
      </c>
      <c r="E972">
        <v>72.425795012477991</v>
      </c>
      <c r="F972">
        <v>6.3963065215878467E-2</v>
      </c>
      <c r="G972">
        <v>0.8</v>
      </c>
      <c r="H972">
        <v>3.1884941639847453E-2</v>
      </c>
      <c r="I972">
        <v>1.0647364316058481</v>
      </c>
      <c r="J972">
        <v>0</v>
      </c>
      <c r="K972">
        <v>3.1488978857399992E-2</v>
      </c>
      <c r="L972">
        <v>0</v>
      </c>
      <c r="M972">
        <v>135766620.45500001</v>
      </c>
      <c r="N972">
        <v>0</v>
      </c>
      <c r="O972" t="b">
        <v>1</v>
      </c>
    </row>
    <row r="973" spans="1:15" x14ac:dyDescent="0.3">
      <c r="A973" s="1" t="s">
        <v>1076</v>
      </c>
      <c r="B973">
        <v>1.286730181330515</v>
      </c>
      <c r="C973">
        <v>5.7188008059134023E-2</v>
      </c>
      <c r="D973">
        <v>4.2222222222222189E-2</v>
      </c>
      <c r="E973">
        <v>62.902048487344253</v>
      </c>
      <c r="F973">
        <v>0</v>
      </c>
      <c r="G973">
        <v>0.8</v>
      </c>
      <c r="H973">
        <v>0</v>
      </c>
      <c r="I973">
        <v>1</v>
      </c>
      <c r="J973">
        <v>-1.6608391608391559E-2</v>
      </c>
      <c r="K973">
        <v>-1.6608391608391559E-2</v>
      </c>
      <c r="O973" t="b">
        <v>0</v>
      </c>
    </row>
    <row r="974" spans="1:15" x14ac:dyDescent="0.3">
      <c r="A974" s="1" t="s">
        <v>1077</v>
      </c>
      <c r="B974">
        <v>0.53776617738844312</v>
      </c>
      <c r="C974">
        <v>3.2220861437294371E-2</v>
      </c>
      <c r="D974">
        <v>2.3067705212702311E-2</v>
      </c>
      <c r="E974">
        <v>53.352578047555753</v>
      </c>
      <c r="F974">
        <v>4.182272159800271E-2</v>
      </c>
      <c r="G974">
        <v>0.6</v>
      </c>
      <c r="H974">
        <v>2.8281663485848901E-2</v>
      </c>
      <c r="I974">
        <v>1.4867859531776151</v>
      </c>
      <c r="J974">
        <v>-5.439093484419244E-2</v>
      </c>
      <c r="K974">
        <v>5.9952038369304184E-4</v>
      </c>
      <c r="L974">
        <v>0</v>
      </c>
      <c r="M974">
        <v>597651815.5</v>
      </c>
      <c r="N974">
        <v>0</v>
      </c>
      <c r="O974" t="b">
        <v>1</v>
      </c>
    </row>
    <row r="975" spans="1:15" x14ac:dyDescent="0.3">
      <c r="A975" s="1" t="s">
        <v>1078</v>
      </c>
      <c r="B975">
        <v>4.1229723404775269</v>
      </c>
      <c r="C975">
        <v>2.517507474096627E-2</v>
      </c>
      <c r="D975">
        <v>4.2717924920010628E-2</v>
      </c>
      <c r="E975">
        <v>67.789731867150493</v>
      </c>
      <c r="F975">
        <v>0.15190434323896601</v>
      </c>
      <c r="G975">
        <v>0.2</v>
      </c>
      <c r="H975">
        <v>8.9561468015135662E-2</v>
      </c>
      <c r="I975">
        <v>1.1971118439327699</v>
      </c>
      <c r="J975">
        <v>-2.3027718550107101E-3</v>
      </c>
      <c r="K975">
        <v>3.9142655913910078E-2</v>
      </c>
      <c r="L975">
        <v>0</v>
      </c>
      <c r="M975">
        <v>241360089.56600001</v>
      </c>
      <c r="N975">
        <v>0</v>
      </c>
      <c r="O975" t="b">
        <v>1</v>
      </c>
    </row>
    <row r="976" spans="1:15" x14ac:dyDescent="0.3">
      <c r="A976" s="1" t="s">
        <v>1079</v>
      </c>
      <c r="B976">
        <v>4.4026278387976729</v>
      </c>
      <c r="C976">
        <v>4.1636351794946777E-2</v>
      </c>
      <c r="D976">
        <v>2.2035180631738208E-2</v>
      </c>
      <c r="E976">
        <v>54.628210506237089</v>
      </c>
      <c r="F976">
        <v>0.13723381372338131</v>
      </c>
      <c r="G976">
        <v>0.4</v>
      </c>
      <c r="H976">
        <v>0.11643719419005601</v>
      </c>
      <c r="I976">
        <v>0.84658979763115561</v>
      </c>
      <c r="J976">
        <v>-3.7502275623520931E-2</v>
      </c>
      <c r="K976">
        <v>6.1851746122369988E-3</v>
      </c>
      <c r="L976">
        <v>0</v>
      </c>
      <c r="M976">
        <v>36916494</v>
      </c>
      <c r="N976">
        <v>0</v>
      </c>
      <c r="O976" t="b">
        <v>0</v>
      </c>
    </row>
    <row r="977" spans="1:15" x14ac:dyDescent="0.3">
      <c r="A977" s="1" t="s">
        <v>1080</v>
      </c>
      <c r="B977">
        <v>6.3633371383196744</v>
      </c>
      <c r="C977">
        <v>3.4624753174010633E-2</v>
      </c>
      <c r="D977">
        <v>1.8718032430079429E-2</v>
      </c>
      <c r="E977">
        <v>49.002130093080957</v>
      </c>
      <c r="F977">
        <v>-7.6663367480744871E-2</v>
      </c>
      <c r="G977">
        <v>0.4</v>
      </c>
      <c r="H977">
        <v>3.2367748245636569E-3</v>
      </c>
      <c r="I977">
        <v>1.8020660389199969</v>
      </c>
      <c r="J977">
        <v>-5.1648958403211709E-2</v>
      </c>
      <c r="K977">
        <v>-6.433475698761959E-3</v>
      </c>
      <c r="L977">
        <v>0</v>
      </c>
      <c r="M977">
        <v>29915350482.949001</v>
      </c>
      <c r="N977">
        <v>0</v>
      </c>
      <c r="O977" t="b">
        <v>1</v>
      </c>
    </row>
    <row r="978" spans="1:15" x14ac:dyDescent="0.3">
      <c r="A978" s="1" t="s">
        <v>1081</v>
      </c>
      <c r="B978">
        <v>6.089711803977691</v>
      </c>
      <c r="C978">
        <v>7.0376884363546638E-2</v>
      </c>
      <c r="D978">
        <v>3.7443661157979827E-2</v>
      </c>
      <c r="E978">
        <v>47.558403503617903</v>
      </c>
      <c r="F978">
        <v>-0.1625048393341075</v>
      </c>
      <c r="G978">
        <v>0.4</v>
      </c>
      <c r="H978">
        <v>1.1259917548643431E-2</v>
      </c>
      <c r="I978">
        <v>3.5719795812513588</v>
      </c>
      <c r="J978">
        <v>-0.11451084731887019</v>
      </c>
      <c r="K978">
        <v>-1.334093500570133E-2</v>
      </c>
      <c r="L978">
        <v>0</v>
      </c>
      <c r="M978">
        <v>1039758817.5</v>
      </c>
      <c r="N978">
        <v>0</v>
      </c>
      <c r="O978" t="b">
        <v>1</v>
      </c>
    </row>
    <row r="979" spans="1:15" x14ac:dyDescent="0.3">
      <c r="A979" s="1" t="s">
        <v>1082</v>
      </c>
      <c r="B979">
        <v>13.402195213174441</v>
      </c>
      <c r="C979">
        <v>4.0026865015603257E-2</v>
      </c>
      <c r="D979">
        <v>2.792461846310075E-2</v>
      </c>
      <c r="E979">
        <v>60.580976628325431</v>
      </c>
      <c r="F979">
        <v>5.2560435069629818E-2</v>
      </c>
      <c r="G979">
        <v>0.6</v>
      </c>
      <c r="H979">
        <v>8.2414175369173073E-2</v>
      </c>
      <c r="I979">
        <v>2.953177401589119</v>
      </c>
      <c r="J979">
        <v>-5.3766634980988437E-3</v>
      </c>
      <c r="K979">
        <v>-5.3766634980988437E-3</v>
      </c>
      <c r="L979">
        <v>0</v>
      </c>
      <c r="M979">
        <v>64673543.5</v>
      </c>
      <c r="N979">
        <v>0</v>
      </c>
      <c r="O979" t="b">
        <v>0</v>
      </c>
    </row>
    <row r="980" spans="1:15" x14ac:dyDescent="0.3">
      <c r="A980" s="1" t="s">
        <v>1083</v>
      </c>
      <c r="B980">
        <v>1.6487893095617869</v>
      </c>
      <c r="C980">
        <v>3.3614460949271903E-2</v>
      </c>
      <c r="D980">
        <v>6.4016309887869535E-2</v>
      </c>
      <c r="E980">
        <v>51.220772920441348</v>
      </c>
      <c r="F980">
        <v>6.7696996081845873E-2</v>
      </c>
      <c r="G980">
        <v>0.4</v>
      </c>
      <c r="H980">
        <v>-8.7647377273472063E-2</v>
      </c>
      <c r="I980">
        <v>1.3064764620774301</v>
      </c>
      <c r="J980">
        <v>-2.4074810982888991E-2</v>
      </c>
      <c r="K980">
        <v>5.8024158757549633E-2</v>
      </c>
      <c r="L980">
        <v>0</v>
      </c>
      <c r="M980">
        <v>655323088.18935001</v>
      </c>
      <c r="N980">
        <v>0</v>
      </c>
      <c r="O980" t="b">
        <v>1</v>
      </c>
    </row>
    <row r="981" spans="1:15" x14ac:dyDescent="0.3">
      <c r="A981" s="1" t="s">
        <v>1084</v>
      </c>
      <c r="B981">
        <v>154.34631513477609</v>
      </c>
      <c r="C981">
        <v>2.0567524673593671E-2</v>
      </c>
      <c r="D981">
        <v>2.7545283614747149E-2</v>
      </c>
      <c r="E981">
        <v>52.657978456417908</v>
      </c>
      <c r="F981">
        <v>2.283826349598805E-2</v>
      </c>
      <c r="G981">
        <v>0.4</v>
      </c>
      <c r="H981">
        <v>-0.19625590027453421</v>
      </c>
      <c r="I981">
        <v>0.4586072121962016</v>
      </c>
      <c r="J981">
        <v>-2.2794690224001268E-2</v>
      </c>
      <c r="K981">
        <v>2.5426704872313129E-2</v>
      </c>
      <c r="L981">
        <v>0</v>
      </c>
      <c r="M981">
        <v>155670268.5</v>
      </c>
      <c r="N981">
        <v>2</v>
      </c>
      <c r="O981" t="b">
        <v>1</v>
      </c>
    </row>
    <row r="982" spans="1:15" x14ac:dyDescent="0.3">
      <c r="A982" s="1" t="s">
        <v>1085</v>
      </c>
      <c r="B982">
        <v>2.2707795566962758</v>
      </c>
      <c r="C982">
        <v>1.7309090301823891E-2</v>
      </c>
      <c r="D982">
        <v>8.9183626800822275E-3</v>
      </c>
      <c r="E982">
        <v>54.214994212137611</v>
      </c>
      <c r="F982">
        <v>3.1367924528301838E-2</v>
      </c>
      <c r="G982">
        <v>0.4</v>
      </c>
      <c r="H982">
        <v>-1.8879956286018809E-2</v>
      </c>
      <c r="I982">
        <v>0.36802275610024121</v>
      </c>
      <c r="J982">
        <v>-1.8920131618306971E-2</v>
      </c>
      <c r="K982">
        <v>1.37394092054044E-3</v>
      </c>
      <c r="L982">
        <v>0</v>
      </c>
      <c r="M982">
        <v>182140737.5</v>
      </c>
      <c r="N982">
        <v>0</v>
      </c>
      <c r="O982" t="b">
        <v>1</v>
      </c>
    </row>
    <row r="983" spans="1:15" x14ac:dyDescent="0.3">
      <c r="A983" s="1" t="s">
        <v>1086</v>
      </c>
      <c r="B983">
        <v>3.6309063840597058</v>
      </c>
      <c r="C983">
        <v>3.3413761414068058E-2</v>
      </c>
      <c r="D983">
        <v>2.922744213868312E-2</v>
      </c>
      <c r="E983">
        <v>57.167963577224967</v>
      </c>
      <c r="F983">
        <v>-3.080655375092534E-2</v>
      </c>
      <c r="G983">
        <v>0.6</v>
      </c>
      <c r="H983">
        <v>8.4111730583568758E-2</v>
      </c>
      <c r="I983">
        <v>1.7688823886177509</v>
      </c>
      <c r="J983">
        <v>-2.3235955056179699E-2</v>
      </c>
      <c r="K983">
        <v>1.3495868231080619E-2</v>
      </c>
      <c r="L983">
        <v>0</v>
      </c>
      <c r="M983">
        <v>135331861.16534999</v>
      </c>
      <c r="N983">
        <v>0</v>
      </c>
      <c r="O983" t="b">
        <v>1</v>
      </c>
    </row>
    <row r="984" spans="1:15" x14ac:dyDescent="0.3">
      <c r="A984" s="1" t="s">
        <v>1087</v>
      </c>
      <c r="B984">
        <v>0.30856447012666482</v>
      </c>
      <c r="C984">
        <v>1.855468852234906E-2</v>
      </c>
      <c r="D984">
        <v>2.2248947684906858E-2</v>
      </c>
      <c r="E984">
        <v>60.899768686160442</v>
      </c>
      <c r="F984">
        <v>2.7812113720642628E-2</v>
      </c>
      <c r="G984">
        <v>0.6</v>
      </c>
      <c r="H984">
        <v>0.1032670840357542</v>
      </c>
      <c r="I984">
        <v>0.96186314343912627</v>
      </c>
      <c r="J984">
        <v>-1.6558249556475561E-2</v>
      </c>
      <c r="K984">
        <v>1.837109614206978E-2</v>
      </c>
      <c r="L984">
        <v>0</v>
      </c>
      <c r="M984">
        <v>45946136.007400014</v>
      </c>
      <c r="N984">
        <v>0</v>
      </c>
      <c r="O984" t="b">
        <v>0</v>
      </c>
    </row>
    <row r="985" spans="1:15" x14ac:dyDescent="0.3">
      <c r="A985" s="1" t="s">
        <v>1088</v>
      </c>
      <c r="B985">
        <v>0.60341046622329475</v>
      </c>
      <c r="C985">
        <v>2.0440733950653621E-2</v>
      </c>
      <c r="D985">
        <v>1.1856368563685561E-2</v>
      </c>
      <c r="E985">
        <v>50.565163266506808</v>
      </c>
      <c r="F985">
        <v>-2.6385224274406371E-2</v>
      </c>
      <c r="G985">
        <v>0.8</v>
      </c>
      <c r="H985">
        <v>-0.12832787228752279</v>
      </c>
      <c r="I985">
        <v>0.96652924625176639</v>
      </c>
      <c r="J985">
        <v>-2.6706231454005861E-2</v>
      </c>
      <c r="K985">
        <v>2.7173913043476721E-3</v>
      </c>
      <c r="L985">
        <v>0</v>
      </c>
      <c r="M985">
        <v>21289998.362</v>
      </c>
      <c r="N985">
        <v>0</v>
      </c>
      <c r="O985" t="b">
        <v>0</v>
      </c>
    </row>
    <row r="986" spans="1:15" x14ac:dyDescent="0.3">
      <c r="A986" s="1" t="s">
        <v>1089</v>
      </c>
      <c r="B986">
        <v>0.53074486727023529</v>
      </c>
      <c r="C986">
        <v>2.0319481901616969E-2</v>
      </c>
      <c r="D986">
        <v>1.493108728943341E-2</v>
      </c>
      <c r="E986">
        <v>52.549111054081777</v>
      </c>
      <c r="F986">
        <v>-2.537313432835819E-2</v>
      </c>
      <c r="G986">
        <v>0.8</v>
      </c>
      <c r="H986">
        <v>-0.15804846638033321</v>
      </c>
      <c r="I986">
        <v>0.80975552423534058</v>
      </c>
      <c r="J986">
        <v>-2.646291464778228E-2</v>
      </c>
      <c r="K986">
        <v>6.5510597302504969E-3</v>
      </c>
      <c r="L986">
        <v>0</v>
      </c>
      <c r="M986">
        <v>83648445.393649995</v>
      </c>
      <c r="N986">
        <v>0</v>
      </c>
      <c r="O986" t="b">
        <v>0</v>
      </c>
    </row>
    <row r="987" spans="1:15" x14ac:dyDescent="0.3">
      <c r="A987" s="1" t="s">
        <v>1090</v>
      </c>
      <c r="B987">
        <v>6.8055164990852948</v>
      </c>
      <c r="C987">
        <v>2.9489195333587379E-2</v>
      </c>
      <c r="D987">
        <v>3.0895224889505139E-2</v>
      </c>
      <c r="E987">
        <v>70.327848105125952</v>
      </c>
      <c r="F987">
        <v>0.1300668893045667</v>
      </c>
      <c r="G987">
        <v>0.6</v>
      </c>
      <c r="H987">
        <v>8.6254526888706936E-3</v>
      </c>
      <c r="I987">
        <v>1.722403135895944</v>
      </c>
      <c r="J987">
        <v>0</v>
      </c>
      <c r="K987">
        <v>1.6490776793107731E-2</v>
      </c>
      <c r="L987">
        <v>0</v>
      </c>
      <c r="M987">
        <v>530825260.80500001</v>
      </c>
      <c r="N987">
        <v>0</v>
      </c>
      <c r="O987" t="b">
        <v>1</v>
      </c>
    </row>
    <row r="988" spans="1:15" x14ac:dyDescent="0.3">
      <c r="A988" s="1" t="s">
        <v>1091</v>
      </c>
      <c r="B988">
        <v>5.2590276799503446</v>
      </c>
      <c r="C988">
        <v>5.8832393779509412E-2</v>
      </c>
      <c r="D988">
        <v>7.3162546146101418E-2</v>
      </c>
      <c r="E988">
        <v>47.96601076574396</v>
      </c>
      <c r="F988">
        <v>-0.16792329889230209</v>
      </c>
      <c r="G988">
        <v>0.4</v>
      </c>
      <c r="H988">
        <v>0.12537581714684759</v>
      </c>
      <c r="I988">
        <v>2.3323334152884621</v>
      </c>
      <c r="J988">
        <v>-0.15534347538505139</v>
      </c>
      <c r="K988">
        <v>9.1442763603521993E-3</v>
      </c>
      <c r="L988">
        <v>0</v>
      </c>
      <c r="M988">
        <v>119132520</v>
      </c>
      <c r="N988">
        <v>0</v>
      </c>
      <c r="O988" t="b">
        <v>1</v>
      </c>
    </row>
    <row r="989" spans="1:15" x14ac:dyDescent="0.3">
      <c r="A989" s="1" t="s">
        <v>1092</v>
      </c>
      <c r="B989">
        <v>1.2177167190341001</v>
      </c>
      <c r="C989">
        <v>1.8033248117532159E-2</v>
      </c>
      <c r="D989">
        <v>3.7370679825016052E-2</v>
      </c>
      <c r="E989">
        <v>77.504200832840738</v>
      </c>
      <c r="F989">
        <v>8.1642754283645758E-2</v>
      </c>
      <c r="G989">
        <v>0.8</v>
      </c>
      <c r="H989">
        <v>0.1160090042410859</v>
      </c>
      <c r="I989">
        <v>-4.6152575311971387E-2</v>
      </c>
      <c r="J989">
        <v>0</v>
      </c>
      <c r="K989">
        <v>3.4377010508256589E-2</v>
      </c>
      <c r="L989">
        <v>0</v>
      </c>
      <c r="M989">
        <v>83226123.598049998</v>
      </c>
      <c r="N989">
        <v>0</v>
      </c>
      <c r="O989" t="b">
        <v>0</v>
      </c>
    </row>
    <row r="990" spans="1:15" x14ac:dyDescent="0.3">
      <c r="A990" s="1" t="s">
        <v>1093</v>
      </c>
      <c r="B990">
        <v>0.79152245467033544</v>
      </c>
      <c r="C990">
        <v>1.4096269619711339E-2</v>
      </c>
      <c r="D990">
        <v>1.6411047315106259E-2</v>
      </c>
      <c r="E990">
        <v>44.053231777608751</v>
      </c>
      <c r="F990">
        <v>9.917301860798089E-3</v>
      </c>
      <c r="G990">
        <v>0.4</v>
      </c>
      <c r="H990">
        <v>-0.14810947568590721</v>
      </c>
      <c r="I990">
        <v>0.32845917963310989</v>
      </c>
      <c r="J990">
        <v>-3.095025248254368E-2</v>
      </c>
      <c r="K990">
        <v>-6.6604514246997324E-3</v>
      </c>
      <c r="L990">
        <v>0</v>
      </c>
      <c r="M990">
        <v>289473925.26370001</v>
      </c>
      <c r="N990">
        <v>0</v>
      </c>
      <c r="O990" t="b">
        <v>1</v>
      </c>
    </row>
    <row r="991" spans="1:15" x14ac:dyDescent="0.3">
      <c r="A991" s="1" t="s">
        <v>1094</v>
      </c>
      <c r="B991">
        <v>0.23724150136555711</v>
      </c>
      <c r="C991">
        <v>1.8260583541068132E-2</v>
      </c>
      <c r="D991">
        <v>8.9670566502463248E-3</v>
      </c>
      <c r="E991">
        <v>65.16206237677379</v>
      </c>
      <c r="F991">
        <v>0.1076157105467319</v>
      </c>
      <c r="G991">
        <v>0.8</v>
      </c>
      <c r="H991">
        <v>-9.1630388807304008E-2</v>
      </c>
      <c r="I991">
        <v>0.83669389756612733</v>
      </c>
      <c r="J991">
        <v>-7.4183862908832046E-3</v>
      </c>
      <c r="K991">
        <v>2.9953988203688109E-3</v>
      </c>
      <c r="L991">
        <v>0</v>
      </c>
      <c r="M991">
        <v>43296039.363849998</v>
      </c>
      <c r="N991">
        <v>0</v>
      </c>
      <c r="O991" t="b">
        <v>0</v>
      </c>
    </row>
    <row r="992" spans="1:15" x14ac:dyDescent="0.3">
      <c r="A992" s="1" t="s">
        <v>1095</v>
      </c>
      <c r="B992">
        <v>3.8489430024701812</v>
      </c>
      <c r="C992">
        <v>3.3539064155369287E-2</v>
      </c>
      <c r="D992">
        <v>4.8370512373649373E-2</v>
      </c>
      <c r="E992">
        <v>56.025319866865303</v>
      </c>
      <c r="F992">
        <v>0.117919244069943</v>
      </c>
      <c r="G992">
        <v>0.4</v>
      </c>
      <c r="H992">
        <v>-0.25652546390432168</v>
      </c>
      <c r="I992">
        <v>1.034108510674423</v>
      </c>
      <c r="J992">
        <v>0</v>
      </c>
      <c r="K992">
        <v>3.7247263623134692E-2</v>
      </c>
      <c r="L992">
        <v>0</v>
      </c>
      <c r="M992">
        <v>134050886.704</v>
      </c>
      <c r="N992">
        <v>0</v>
      </c>
      <c r="O992" t="b">
        <v>1</v>
      </c>
    </row>
    <row r="993" spans="1:15" x14ac:dyDescent="0.3">
      <c r="A993" s="1" t="s">
        <v>92</v>
      </c>
      <c r="B993">
        <v>5.1651819507918564</v>
      </c>
      <c r="C993">
        <v>3.2832328698143003E-2</v>
      </c>
      <c r="D993">
        <v>6.5471650139842255E-2</v>
      </c>
      <c r="E993">
        <v>68.480120881039397</v>
      </c>
      <c r="F993">
        <v>0.14425363852582421</v>
      </c>
      <c r="G993">
        <v>0.6</v>
      </c>
      <c r="H993">
        <v>1.473949099260506E-2</v>
      </c>
      <c r="I993">
        <v>0.84858656164115231</v>
      </c>
      <c r="J993">
        <v>0</v>
      </c>
      <c r="K993">
        <v>5.6618980455369838E-2</v>
      </c>
      <c r="L993">
        <v>0</v>
      </c>
      <c r="M993">
        <v>270388728.722</v>
      </c>
      <c r="N993">
        <v>0</v>
      </c>
      <c r="O993" t="b">
        <v>1</v>
      </c>
    </row>
    <row r="994" spans="1:15" x14ac:dyDescent="0.3">
      <c r="A994" s="1" t="s">
        <v>1096</v>
      </c>
      <c r="B994">
        <v>3.9270953943352889</v>
      </c>
      <c r="C994">
        <v>1.1398942842193029E-2</v>
      </c>
      <c r="D994">
        <v>9.9328329182557708E-3</v>
      </c>
      <c r="E994">
        <v>59.193421905369199</v>
      </c>
      <c r="F994">
        <v>4.5955828750388061E-3</v>
      </c>
      <c r="G994">
        <v>0.6</v>
      </c>
      <c r="H994">
        <v>9.0628566792692267E-2</v>
      </c>
      <c r="I994">
        <v>1.0625465934221949</v>
      </c>
      <c r="J994">
        <v>0</v>
      </c>
      <c r="K994">
        <v>4.2149078316835453E-3</v>
      </c>
      <c r="L994">
        <v>0</v>
      </c>
      <c r="M994">
        <v>88168705.898999989</v>
      </c>
      <c r="N994">
        <v>0</v>
      </c>
      <c r="O994" t="b">
        <v>0</v>
      </c>
    </row>
    <row r="995" spans="1:15" x14ac:dyDescent="0.3">
      <c r="A995" s="1" t="s">
        <v>1097</v>
      </c>
      <c r="B995">
        <v>0.68016426671029129</v>
      </c>
      <c r="C995">
        <v>1.601709333379547E-2</v>
      </c>
      <c r="D995">
        <v>1.072415100471223E-2</v>
      </c>
      <c r="E995">
        <v>33.976142197306828</v>
      </c>
      <c r="F995">
        <v>-4.0063566410170608E-2</v>
      </c>
      <c r="G995">
        <v>0.2</v>
      </c>
      <c r="H995">
        <v>-9.7123661852045032E-2</v>
      </c>
      <c r="I995">
        <v>0.2313012496146267</v>
      </c>
      <c r="J995">
        <v>-6.3128911912068819E-2</v>
      </c>
      <c r="K995">
        <v>-4.1788706730983014E-3</v>
      </c>
      <c r="L995">
        <v>0</v>
      </c>
      <c r="M995">
        <v>46109450.305799998</v>
      </c>
      <c r="N995">
        <v>0</v>
      </c>
      <c r="O995" t="b">
        <v>0</v>
      </c>
    </row>
    <row r="996" spans="1:15" x14ac:dyDescent="0.3">
      <c r="A996" s="1" t="s">
        <v>1098</v>
      </c>
      <c r="B996">
        <v>0.79505321221383307</v>
      </c>
      <c r="C996">
        <v>1.8146928061121E-2</v>
      </c>
      <c r="D996">
        <v>2.631014333972418E-2</v>
      </c>
      <c r="E996">
        <v>50.924700460990692</v>
      </c>
      <c r="F996">
        <v>1.252365952470647E-2</v>
      </c>
      <c r="G996">
        <v>0.2</v>
      </c>
      <c r="H996">
        <v>1.8746517208361461E-2</v>
      </c>
      <c r="I996">
        <v>4.5527716383890283E-2</v>
      </c>
      <c r="J996">
        <v>-3.3681744895686212E-2</v>
      </c>
      <c r="K996">
        <v>-1.70201881958062E-2</v>
      </c>
      <c r="L996">
        <v>0</v>
      </c>
      <c r="M996">
        <v>78875527.435499996</v>
      </c>
      <c r="N996">
        <v>0</v>
      </c>
      <c r="O996" t="b">
        <v>0</v>
      </c>
    </row>
    <row r="997" spans="1:15" x14ac:dyDescent="0.3">
      <c r="A997" s="1" t="s">
        <v>1099</v>
      </c>
      <c r="B997">
        <v>1.4910015121547151</v>
      </c>
      <c r="C997">
        <v>2.0485545575205159E-2</v>
      </c>
      <c r="D997">
        <v>2.507450218526008E-2</v>
      </c>
      <c r="E997">
        <v>59.254451383460598</v>
      </c>
      <c r="F997">
        <v>8.6597116266015295E-2</v>
      </c>
      <c r="G997">
        <v>0.6</v>
      </c>
      <c r="H997">
        <v>-2.544474183312561E-2</v>
      </c>
      <c r="I997">
        <v>0.34872954341099438</v>
      </c>
      <c r="J997">
        <v>-3.3534063219955113E-2</v>
      </c>
      <c r="K997">
        <v>-1.5742313434450431E-2</v>
      </c>
      <c r="L997">
        <v>0</v>
      </c>
      <c r="M997">
        <v>286211702.04170001</v>
      </c>
      <c r="N997">
        <v>0</v>
      </c>
      <c r="O997" t="b">
        <v>1</v>
      </c>
    </row>
    <row r="998" spans="1:15" x14ac:dyDescent="0.3">
      <c r="A998" s="1" t="s">
        <v>1100</v>
      </c>
      <c r="B998">
        <v>10.389871758186271</v>
      </c>
      <c r="C998">
        <v>0.10327904332193109</v>
      </c>
      <c r="D998">
        <v>6.2157057654075552E-2</v>
      </c>
      <c r="E998">
        <v>47.531549984792498</v>
      </c>
      <c r="F998">
        <v>-9.7919655667144889E-2</v>
      </c>
      <c r="G998">
        <v>0.2</v>
      </c>
      <c r="H998">
        <v>7.6318835923769118E-2</v>
      </c>
      <c r="I998">
        <v>3.699098997535426</v>
      </c>
      <c r="J998">
        <v>-9.8969995521719811E-2</v>
      </c>
      <c r="K998">
        <v>-3.2040796690079983E-2</v>
      </c>
      <c r="L998">
        <v>0</v>
      </c>
      <c r="M998">
        <v>850956112</v>
      </c>
      <c r="N998">
        <v>0</v>
      </c>
      <c r="O998" t="b">
        <v>1</v>
      </c>
    </row>
    <row r="999" spans="1:15" x14ac:dyDescent="0.3">
      <c r="A999" s="1" t="s">
        <v>1101</v>
      </c>
      <c r="B999">
        <v>2.807525532532964</v>
      </c>
      <c r="C999">
        <v>3.1250284200055253E-2</v>
      </c>
      <c r="D999">
        <v>3.4951024042742661E-2</v>
      </c>
      <c r="E999">
        <v>66.338978627540058</v>
      </c>
      <c r="F999">
        <v>4.7880095643552778E-2</v>
      </c>
      <c r="G999">
        <v>0.6</v>
      </c>
      <c r="H999">
        <v>-5.8478705431823957E-2</v>
      </c>
      <c r="I999">
        <v>1.2700961093799641</v>
      </c>
      <c r="J999">
        <v>0</v>
      </c>
      <c r="K999">
        <v>2.335117894976646E-2</v>
      </c>
      <c r="L999">
        <v>0</v>
      </c>
      <c r="M999">
        <v>245681020.5</v>
      </c>
      <c r="N999">
        <v>0</v>
      </c>
      <c r="O999" t="b">
        <v>1</v>
      </c>
    </row>
    <row r="1000" spans="1:15" x14ac:dyDescent="0.3">
      <c r="A1000" s="1" t="s">
        <v>1102</v>
      </c>
      <c r="B1000">
        <v>5.2985294808889796</v>
      </c>
      <c r="C1000">
        <v>4.7114791756081978E-2</v>
      </c>
      <c r="D1000">
        <v>3.9791926018139738E-2</v>
      </c>
      <c r="E1000">
        <v>34.270222187368432</v>
      </c>
      <c r="F1000">
        <v>-0.11119892515608951</v>
      </c>
      <c r="G1000">
        <v>0.2</v>
      </c>
      <c r="H1000">
        <v>-0.1453453792454753</v>
      </c>
      <c r="I1000">
        <v>0.89601648052057847</v>
      </c>
      <c r="J1000">
        <v>-0.12564142435080081</v>
      </c>
      <c r="K1000">
        <v>-1.4114140440080639E-2</v>
      </c>
      <c r="L1000">
        <v>0</v>
      </c>
      <c r="M1000">
        <v>124940627.5</v>
      </c>
      <c r="N1000">
        <v>0</v>
      </c>
      <c r="O1000" t="b">
        <v>1</v>
      </c>
    </row>
    <row r="1001" spans="1:15" x14ac:dyDescent="0.3">
      <c r="A1001" s="1" t="s">
        <v>1103</v>
      </c>
      <c r="B1001">
        <v>2.1558616851030772</v>
      </c>
      <c r="C1001">
        <v>2.8121830189900759E-2</v>
      </c>
      <c r="D1001">
        <v>5.5670708243381717E-2</v>
      </c>
      <c r="E1001">
        <v>61.650986800004162</v>
      </c>
      <c r="F1001">
        <v>6.4338015810649907E-2</v>
      </c>
      <c r="G1001">
        <v>0.6</v>
      </c>
      <c r="H1001">
        <v>-3.2993793197937049E-2</v>
      </c>
      <c r="I1001">
        <v>0.11503184632730989</v>
      </c>
      <c r="J1001">
        <v>0</v>
      </c>
      <c r="K1001">
        <v>5.7071943190044612E-2</v>
      </c>
      <c r="L1001">
        <v>0</v>
      </c>
      <c r="M1001">
        <v>251436567.127</v>
      </c>
      <c r="N1001">
        <v>0</v>
      </c>
      <c r="O1001" t="b">
        <v>1</v>
      </c>
    </row>
    <row r="1002" spans="1:15" x14ac:dyDescent="0.3">
      <c r="A1002" s="1" t="s">
        <v>1104</v>
      </c>
      <c r="B1002">
        <v>1.6003334368803219</v>
      </c>
      <c r="C1002">
        <v>2.423326680992088E-2</v>
      </c>
      <c r="D1002">
        <v>5.3953212283100703E-2</v>
      </c>
      <c r="E1002">
        <v>75.484419866163989</v>
      </c>
      <c r="F1002">
        <v>0.1222692581559008</v>
      </c>
      <c r="G1002">
        <v>0.6</v>
      </c>
      <c r="H1002">
        <v>6.0899226374624818E-2</v>
      </c>
      <c r="I1002">
        <v>1.46447643068105</v>
      </c>
      <c r="J1002">
        <v>0</v>
      </c>
      <c r="K1002">
        <v>4.3586886955697228E-2</v>
      </c>
      <c r="L1002">
        <v>0</v>
      </c>
      <c r="M1002">
        <v>53402276.329350002</v>
      </c>
      <c r="N1002">
        <v>0</v>
      </c>
      <c r="O1002" t="b">
        <v>0</v>
      </c>
    </row>
    <row r="1003" spans="1:15" x14ac:dyDescent="0.3">
      <c r="A1003" s="1" t="s">
        <v>1105</v>
      </c>
      <c r="B1003">
        <v>0.70569874255395826</v>
      </c>
      <c r="C1003">
        <v>1.1431540912807139E-2</v>
      </c>
      <c r="D1003">
        <v>1.494672182930909E-2</v>
      </c>
      <c r="E1003">
        <v>66.216469201703219</v>
      </c>
      <c r="F1003">
        <v>2.061310257944848E-2</v>
      </c>
      <c r="G1003">
        <v>0.6</v>
      </c>
      <c r="H1003">
        <v>-6.7672279692434126E-2</v>
      </c>
      <c r="I1003">
        <v>0.88998769703916303</v>
      </c>
      <c r="J1003">
        <v>0</v>
      </c>
      <c r="K1003">
        <v>1.210109108198276E-2</v>
      </c>
      <c r="L1003">
        <v>0</v>
      </c>
      <c r="M1003">
        <v>12263245.630999999</v>
      </c>
      <c r="N1003">
        <v>0</v>
      </c>
      <c r="O1003" t="b">
        <v>0</v>
      </c>
    </row>
    <row r="1004" spans="1:15" x14ac:dyDescent="0.3">
      <c r="A1004" s="1" t="s">
        <v>1106</v>
      </c>
      <c r="B1004">
        <v>2.2174579048256748</v>
      </c>
      <c r="C1004">
        <v>4.0244245096654717E-2</v>
      </c>
      <c r="D1004">
        <v>2.9401088929219679E-2</v>
      </c>
      <c r="E1004">
        <v>61.88316454808156</v>
      </c>
      <c r="F1004">
        <v>0.1351462711166049</v>
      </c>
      <c r="G1004">
        <v>0.2</v>
      </c>
      <c r="H1004">
        <v>5.5609997915825313E-2</v>
      </c>
      <c r="I1004">
        <v>2.4341734500817629</v>
      </c>
      <c r="J1004">
        <v>-3.5870516185476757E-2</v>
      </c>
      <c r="K1004">
        <v>-2.353793228317858E-3</v>
      </c>
      <c r="L1004">
        <v>0</v>
      </c>
      <c r="M1004">
        <v>424285322.5</v>
      </c>
      <c r="N1004">
        <v>0</v>
      </c>
      <c r="O1004" t="b">
        <v>1</v>
      </c>
    </row>
    <row r="1005" spans="1:15" x14ac:dyDescent="0.3">
      <c r="A1005" s="1" t="s">
        <v>1107</v>
      </c>
      <c r="B1005">
        <v>0.56780410135650294</v>
      </c>
      <c r="C1005">
        <v>2.4411182345507439E-2</v>
      </c>
      <c r="D1005">
        <v>4.9011177987962187E-2</v>
      </c>
      <c r="E1005">
        <v>71.305728930847522</v>
      </c>
      <c r="F1005">
        <v>0.1129932148564978</v>
      </c>
      <c r="G1005">
        <v>0.8</v>
      </c>
      <c r="H1005">
        <v>7.4302823738157074E-3</v>
      </c>
      <c r="I1005">
        <v>1.218809136085188</v>
      </c>
      <c r="J1005">
        <v>0</v>
      </c>
      <c r="K1005">
        <v>4.7747747747747933E-2</v>
      </c>
      <c r="L1005">
        <v>0</v>
      </c>
      <c r="M1005">
        <v>61024885.002199993</v>
      </c>
      <c r="N1005">
        <v>0</v>
      </c>
      <c r="O1005" t="b">
        <v>0</v>
      </c>
    </row>
    <row r="1006" spans="1:15" x14ac:dyDescent="0.3">
      <c r="A1006" s="1" t="s">
        <v>1108</v>
      </c>
      <c r="B1006">
        <v>13.09699252348743</v>
      </c>
      <c r="C1006">
        <v>4.0588175664706308E-2</v>
      </c>
      <c r="D1006">
        <v>2.3103384157679381E-2</v>
      </c>
      <c r="E1006">
        <v>43.621417155932583</v>
      </c>
      <c r="F1006">
        <v>-1.9805589307411831E-2</v>
      </c>
      <c r="G1006">
        <v>0.4</v>
      </c>
      <c r="H1006">
        <v>-4.5434430458846417E-2</v>
      </c>
      <c r="I1006">
        <v>0.92584840773149235</v>
      </c>
      <c r="J1006">
        <v>-0.14515060799533741</v>
      </c>
      <c r="K1006">
        <v>1.252000376541473E-2</v>
      </c>
      <c r="L1006">
        <v>0</v>
      </c>
      <c r="M1006">
        <v>88111203.5</v>
      </c>
      <c r="N1006">
        <v>0</v>
      </c>
      <c r="O1006" t="b">
        <v>0</v>
      </c>
    </row>
    <row r="1007" spans="1:15" x14ac:dyDescent="0.3">
      <c r="A1007" s="1" t="s">
        <v>1109</v>
      </c>
      <c r="B1007">
        <v>1.3465292458695139</v>
      </c>
      <c r="C1007">
        <v>1.4500778554492919E-2</v>
      </c>
      <c r="D1007">
        <v>1.182651996411759E-2</v>
      </c>
      <c r="E1007">
        <v>60.453023825672773</v>
      </c>
      <c r="F1007">
        <v>4.1025219588732842E-3</v>
      </c>
      <c r="G1007">
        <v>0.8</v>
      </c>
      <c r="H1007">
        <v>9.4745473745740855E-2</v>
      </c>
      <c r="I1007">
        <v>1.3655027367101851</v>
      </c>
      <c r="J1007">
        <v>0</v>
      </c>
      <c r="K1007">
        <v>2.1552049765052321E-3</v>
      </c>
      <c r="L1007">
        <v>0</v>
      </c>
      <c r="M1007">
        <v>20413416.254700001</v>
      </c>
      <c r="N1007">
        <v>0</v>
      </c>
      <c r="O1007" t="b">
        <v>0</v>
      </c>
    </row>
    <row r="1008" spans="1:15" x14ac:dyDescent="0.3">
      <c r="A1008" s="1" t="s">
        <v>1110</v>
      </c>
      <c r="B1008">
        <v>1.893926764511642</v>
      </c>
      <c r="C1008">
        <v>3.8873702063046828E-2</v>
      </c>
      <c r="D1008">
        <v>4.5361247947454858E-2</v>
      </c>
      <c r="E1008">
        <v>69.335141898058538</v>
      </c>
      <c r="F1008">
        <v>0.3935926773455376</v>
      </c>
      <c r="G1008">
        <v>0.6</v>
      </c>
      <c r="H1008">
        <v>4.9894796611174567E-2</v>
      </c>
      <c r="I1008">
        <v>0.90441325158445907</v>
      </c>
      <c r="J1008">
        <v>0</v>
      </c>
      <c r="K1008">
        <v>2.9803424223208589E-2</v>
      </c>
      <c r="L1008">
        <v>0</v>
      </c>
      <c r="M1008">
        <v>228318080</v>
      </c>
      <c r="N1008">
        <v>0</v>
      </c>
      <c r="O1008" t="b">
        <v>1</v>
      </c>
    </row>
    <row r="1009" spans="1:15" x14ac:dyDescent="0.3">
      <c r="A1009" s="1" t="s">
        <v>1111</v>
      </c>
      <c r="B1009">
        <v>7.01930646011263</v>
      </c>
      <c r="C1009">
        <v>4.1689769318243329E-2</v>
      </c>
      <c r="D1009">
        <v>5.2444022094197212E-2</v>
      </c>
      <c r="E1009">
        <v>74.254029822907881</v>
      </c>
      <c r="F1009">
        <v>0.1935209470475652</v>
      </c>
      <c r="G1009">
        <v>0.8</v>
      </c>
      <c r="H1009">
        <v>0.2105790808174918</v>
      </c>
      <c r="I1009">
        <v>2.8061829885515701</v>
      </c>
      <c r="J1009">
        <v>0</v>
      </c>
      <c r="K1009">
        <v>3.5422175757948482E-2</v>
      </c>
      <c r="L1009">
        <v>0</v>
      </c>
      <c r="M1009">
        <v>127490820.5</v>
      </c>
      <c r="N1009">
        <v>0</v>
      </c>
      <c r="O1009" t="b">
        <v>1</v>
      </c>
    </row>
    <row r="1010" spans="1:15" x14ac:dyDescent="0.3">
      <c r="A1010" s="1" t="s">
        <v>1112</v>
      </c>
      <c r="B1010">
        <v>0.72545485122239173</v>
      </c>
      <c r="C1010">
        <v>0.1036364073174845</v>
      </c>
      <c r="D1010">
        <v>0.1128571428571427</v>
      </c>
      <c r="E1010">
        <v>46.409253401985751</v>
      </c>
      <c r="F1010">
        <v>-0.1217063989962358</v>
      </c>
      <c r="G1010">
        <v>0.4</v>
      </c>
      <c r="H1010">
        <v>-5.9162986495297012E-2</v>
      </c>
      <c r="I1010">
        <v>3.973999598194609</v>
      </c>
      <c r="J1010">
        <v>-0.25293489861259327</v>
      </c>
      <c r="K1010">
        <v>-5.5330634278002673E-2</v>
      </c>
      <c r="L1010">
        <v>0</v>
      </c>
      <c r="M1010">
        <v>79822251.599999994</v>
      </c>
      <c r="N1010">
        <v>0</v>
      </c>
      <c r="O1010" t="b">
        <v>0</v>
      </c>
    </row>
    <row r="1011" spans="1:15" x14ac:dyDescent="0.3">
      <c r="A1011" s="1" t="s">
        <v>1113</v>
      </c>
      <c r="B1011">
        <v>1.1372968175928291</v>
      </c>
      <c r="C1011">
        <v>3.2272894937367451E-2</v>
      </c>
      <c r="D1011">
        <v>4.0720771850170118E-2</v>
      </c>
      <c r="E1011">
        <v>59.709859862041149</v>
      </c>
      <c r="F1011">
        <v>8.9672232529375284E-2</v>
      </c>
      <c r="G1011">
        <v>0.6</v>
      </c>
      <c r="H1011">
        <v>-2.7742255681832549E-2</v>
      </c>
      <c r="I1011">
        <v>0.54895942957895805</v>
      </c>
      <c r="J1011">
        <v>0</v>
      </c>
      <c r="K1011">
        <v>1.556195965417873E-2</v>
      </c>
      <c r="L1011">
        <v>0</v>
      </c>
      <c r="M1011">
        <v>21985722.855799999</v>
      </c>
      <c r="N1011">
        <v>0</v>
      </c>
      <c r="O1011" t="b">
        <v>0</v>
      </c>
    </row>
    <row r="1012" spans="1:15" x14ac:dyDescent="0.3">
      <c r="A1012" s="1" t="s">
        <v>1114</v>
      </c>
      <c r="B1012">
        <v>2.6993298462438058</v>
      </c>
      <c r="C1012">
        <v>2.3864643676454831E-2</v>
      </c>
      <c r="D1012">
        <v>2.3958977986031239E-2</v>
      </c>
      <c r="E1012">
        <v>58.451395220291971</v>
      </c>
      <c r="F1012">
        <v>-1.0791996081998099E-2</v>
      </c>
      <c r="G1012">
        <v>0.8</v>
      </c>
      <c r="H1012">
        <v>0.19084174641077159</v>
      </c>
      <c r="I1012">
        <v>1.0920380863269401</v>
      </c>
      <c r="J1012">
        <v>-1.0597898083547501E-3</v>
      </c>
      <c r="K1012">
        <v>1.7725391398236479E-2</v>
      </c>
      <c r="L1012">
        <v>0</v>
      </c>
      <c r="M1012">
        <v>40602534.515000001</v>
      </c>
      <c r="N1012">
        <v>0</v>
      </c>
      <c r="O1012" t="b">
        <v>0</v>
      </c>
    </row>
    <row r="1013" spans="1:15" x14ac:dyDescent="0.3">
      <c r="A1013" s="1" t="s">
        <v>1115</v>
      </c>
      <c r="B1013">
        <v>10.03324435793343</v>
      </c>
      <c r="C1013">
        <v>4.5109046577826953E-2</v>
      </c>
      <c r="D1013">
        <v>3.4708796791684267E-2</v>
      </c>
      <c r="E1013">
        <v>48.491021572375352</v>
      </c>
      <c r="F1013">
        <v>-7.3994046503882194E-2</v>
      </c>
      <c r="G1013">
        <v>1</v>
      </c>
      <c r="H1013">
        <v>-0.19046234898589839</v>
      </c>
      <c r="I1013">
        <v>1.392369304109907</v>
      </c>
      <c r="J1013">
        <v>-5.5641179142943198E-2</v>
      </c>
      <c r="K1013">
        <v>6.6803653381368733E-3</v>
      </c>
      <c r="L1013">
        <v>0</v>
      </c>
      <c r="M1013">
        <v>2287384236.4889998</v>
      </c>
      <c r="N1013">
        <v>0</v>
      </c>
      <c r="O1013" t="b">
        <v>1</v>
      </c>
    </row>
    <row r="1014" spans="1:15" x14ac:dyDescent="0.3">
      <c r="A1014" s="1" t="s">
        <v>1116</v>
      </c>
      <c r="B1014">
        <v>0.77698416750371668</v>
      </c>
      <c r="C1014">
        <v>1.885348499342945E-2</v>
      </c>
      <c r="D1014">
        <v>1.5138904728511539E-2</v>
      </c>
      <c r="E1014">
        <v>51.921671354179978</v>
      </c>
      <c r="F1014">
        <v>6.0438104207354508E-2</v>
      </c>
      <c r="G1014">
        <v>0.4</v>
      </c>
      <c r="H1014">
        <v>3.4723340338111447E-2</v>
      </c>
      <c r="I1014">
        <v>-8.4771028147798397E-2</v>
      </c>
      <c r="J1014">
        <v>-5.4265611661358022E-2</v>
      </c>
      <c r="K1014">
        <v>7.8575900455852832E-3</v>
      </c>
      <c r="L1014">
        <v>0</v>
      </c>
      <c r="M1014">
        <v>49135707.559249997</v>
      </c>
      <c r="N1014">
        <v>0</v>
      </c>
      <c r="O1014" t="b">
        <v>0</v>
      </c>
    </row>
    <row r="1015" spans="1:15" x14ac:dyDescent="0.3">
      <c r="A1015" s="1" t="s">
        <v>1117</v>
      </c>
      <c r="B1015">
        <v>2.1094452117998008</v>
      </c>
      <c r="C1015">
        <v>2.2529586796964662E-2</v>
      </c>
      <c r="D1015">
        <v>2.104026487236996E-2</v>
      </c>
      <c r="E1015">
        <v>33.147818471637848</v>
      </c>
      <c r="F1015">
        <v>-4.5565749235473962E-2</v>
      </c>
      <c r="G1015">
        <v>0.2</v>
      </c>
      <c r="H1015">
        <v>-0.18410286576539411</v>
      </c>
      <c r="I1015">
        <v>-0.30426189768340312</v>
      </c>
      <c r="J1015">
        <v>-7.9351032448377601E-2</v>
      </c>
      <c r="K1015">
        <v>-6.5782493368701234E-3</v>
      </c>
      <c r="L1015">
        <v>0</v>
      </c>
      <c r="M1015">
        <v>459052832.47500002</v>
      </c>
      <c r="N1015">
        <v>0</v>
      </c>
      <c r="O1015" t="b">
        <v>1</v>
      </c>
    </row>
    <row r="1016" spans="1:15" x14ac:dyDescent="0.3">
      <c r="A1016" s="1" t="s">
        <v>1118</v>
      </c>
      <c r="B1016">
        <v>4.1159407496524612</v>
      </c>
      <c r="C1016">
        <v>3.117452036789237E-2</v>
      </c>
      <c r="D1016">
        <v>5.4881882010770329E-2</v>
      </c>
      <c r="E1016">
        <v>58.704297815906394</v>
      </c>
      <c r="F1016">
        <v>8.6193563248650795E-2</v>
      </c>
      <c r="G1016">
        <v>0.4</v>
      </c>
      <c r="H1016">
        <v>-5.4373214322247322E-2</v>
      </c>
      <c r="I1016">
        <v>1.5358421241902529</v>
      </c>
      <c r="J1016">
        <v>0</v>
      </c>
      <c r="K1016">
        <v>5.0851639605221211E-2</v>
      </c>
      <c r="L1016">
        <v>0</v>
      </c>
      <c r="M1016">
        <v>75776376.098499998</v>
      </c>
      <c r="N1016">
        <v>0</v>
      </c>
      <c r="O1016" t="b">
        <v>0</v>
      </c>
    </row>
    <row r="1017" spans="1:15" x14ac:dyDescent="0.3">
      <c r="A1017" s="1" t="s">
        <v>1119</v>
      </c>
      <c r="B1017">
        <v>0.71017119991578592</v>
      </c>
      <c r="C1017">
        <v>2.1180172976909811E-2</v>
      </c>
      <c r="D1017">
        <v>1.8192663286608991E-2</v>
      </c>
      <c r="E1017">
        <v>42.340473850645509</v>
      </c>
      <c r="F1017">
        <v>-2.7185423738648521E-2</v>
      </c>
      <c r="G1017">
        <v>0.8</v>
      </c>
      <c r="H1017">
        <v>-8.5109030102869701E-2</v>
      </c>
      <c r="I1017">
        <v>1.090566132423838</v>
      </c>
      <c r="J1017">
        <v>-3.2476807433163613E-2</v>
      </c>
      <c r="K1017">
        <v>6.6046232362653168E-3</v>
      </c>
      <c r="L1017">
        <v>0</v>
      </c>
      <c r="M1017">
        <v>31256142.401000001</v>
      </c>
      <c r="N1017">
        <v>0</v>
      </c>
      <c r="O1017" t="b">
        <v>0</v>
      </c>
    </row>
    <row r="1018" spans="1:15" x14ac:dyDescent="0.3">
      <c r="A1018" s="1" t="s">
        <v>1120</v>
      </c>
      <c r="B1018">
        <v>0.34777307887637388</v>
      </c>
      <c r="C1018">
        <v>2.4625112682162321E-2</v>
      </c>
      <c r="D1018">
        <v>2.9335750246057699E-2</v>
      </c>
      <c r="E1018">
        <v>60.981249656979287</v>
      </c>
      <c r="F1018">
        <v>7.8752186499843502E-2</v>
      </c>
      <c r="G1018">
        <v>0.4</v>
      </c>
      <c r="H1018">
        <v>-2.0878644501275301E-2</v>
      </c>
      <c r="I1018">
        <v>0.75626841048107962</v>
      </c>
      <c r="J1018">
        <v>-8.8776913791651646E-3</v>
      </c>
      <c r="K1018">
        <v>-8.8776913791651646E-3</v>
      </c>
      <c r="L1018">
        <v>0</v>
      </c>
      <c r="M1018">
        <v>4162214.5923000001</v>
      </c>
      <c r="N1018">
        <v>0</v>
      </c>
      <c r="O1018" t="b">
        <v>0</v>
      </c>
    </row>
    <row r="1019" spans="1:15" x14ac:dyDescent="0.3">
      <c r="A1019" s="1" t="s">
        <v>1121</v>
      </c>
      <c r="B1019">
        <v>1.2688160742027661</v>
      </c>
      <c r="C1019">
        <v>1.450939444175064E-2</v>
      </c>
      <c r="D1019">
        <v>1.6619038307380721E-2</v>
      </c>
      <c r="E1019">
        <v>47.68392094981823</v>
      </c>
      <c r="F1019">
        <v>-2.2166983673318711E-2</v>
      </c>
      <c r="G1019">
        <v>0.4</v>
      </c>
      <c r="H1019">
        <v>-8.1660499918790291E-2</v>
      </c>
      <c r="I1019">
        <v>0.18237079158331099</v>
      </c>
      <c r="J1019">
        <v>-2.9905584084078951E-2</v>
      </c>
      <c r="K1019">
        <v>8.7275193704559051E-3</v>
      </c>
      <c r="L1019">
        <v>0</v>
      </c>
      <c r="M1019">
        <v>213781598.59784999</v>
      </c>
      <c r="N1019">
        <v>0</v>
      </c>
      <c r="O1019" t="b">
        <v>1</v>
      </c>
    </row>
    <row r="1020" spans="1:15" x14ac:dyDescent="0.3">
      <c r="A1020" s="1" t="s">
        <v>1122</v>
      </c>
      <c r="B1020">
        <v>1.2135977865083321</v>
      </c>
      <c r="C1020">
        <v>2.9349260378627728E-2</v>
      </c>
      <c r="D1020">
        <v>2.4483557516045858E-2</v>
      </c>
      <c r="E1020">
        <v>60.201540648242002</v>
      </c>
      <c r="F1020">
        <v>7.2329368197483923E-2</v>
      </c>
      <c r="G1020">
        <v>0.2</v>
      </c>
      <c r="H1020">
        <v>-3.5799331405370442E-2</v>
      </c>
      <c r="I1020">
        <v>0.64836875644239</v>
      </c>
      <c r="J1020">
        <v>-1.559565102498961E-2</v>
      </c>
      <c r="K1020">
        <v>5.5517862744669522E-3</v>
      </c>
      <c r="L1020">
        <v>0</v>
      </c>
      <c r="M1020">
        <v>120708875.42730001</v>
      </c>
      <c r="N1020">
        <v>0</v>
      </c>
      <c r="O1020" t="b">
        <v>1</v>
      </c>
    </row>
    <row r="1021" spans="1:15" x14ac:dyDescent="0.3">
      <c r="A1021" s="1" t="s">
        <v>1123</v>
      </c>
      <c r="B1021">
        <v>0.62433319788586228</v>
      </c>
      <c r="C1021">
        <v>3.7701280065571399E-2</v>
      </c>
      <c r="D1021">
        <v>5.1871980676328623E-2</v>
      </c>
      <c r="E1021">
        <v>63.983060671404402</v>
      </c>
      <c r="F1021">
        <v>0.1106639839034205</v>
      </c>
      <c r="G1021">
        <v>0.6</v>
      </c>
      <c r="H1021">
        <v>-8.4595430159034896E-2</v>
      </c>
      <c r="I1021">
        <v>1.6799783910001971</v>
      </c>
      <c r="J1021">
        <v>-6.5986802639473874E-3</v>
      </c>
      <c r="K1021">
        <v>-6.5986802639473874E-3</v>
      </c>
      <c r="L1021">
        <v>0</v>
      </c>
      <c r="M1021">
        <v>151321183.89805001</v>
      </c>
      <c r="N1021">
        <v>0</v>
      </c>
      <c r="O1021" t="b">
        <v>1</v>
      </c>
    </row>
    <row r="1022" spans="1:15" x14ac:dyDescent="0.3">
      <c r="A1022" s="1" t="s">
        <v>1124</v>
      </c>
      <c r="B1022">
        <v>0.94981193619248472</v>
      </c>
      <c r="C1022">
        <v>2.2749986495628371E-2</v>
      </c>
      <c r="D1022">
        <v>1.4610778443113761E-2</v>
      </c>
      <c r="E1022">
        <v>50.371790005400847</v>
      </c>
      <c r="F1022">
        <v>4.6055449413600069E-3</v>
      </c>
      <c r="G1022">
        <v>0.6</v>
      </c>
      <c r="H1022">
        <v>-0.1112464624603446</v>
      </c>
      <c r="I1022">
        <v>0.48651725970105908</v>
      </c>
      <c r="J1022">
        <v>-1.7947451367816839E-2</v>
      </c>
      <c r="K1022">
        <v>1.0651174049866711E-2</v>
      </c>
      <c r="L1022">
        <v>0</v>
      </c>
      <c r="M1022">
        <v>434534908.99730003</v>
      </c>
      <c r="N1022">
        <v>0</v>
      </c>
      <c r="O1022" t="b">
        <v>1</v>
      </c>
    </row>
    <row r="1023" spans="1:15" x14ac:dyDescent="0.3">
      <c r="A1023" s="1" t="s">
        <v>1125</v>
      </c>
      <c r="B1023">
        <v>0.28090539014900801</v>
      </c>
      <c r="C1023">
        <v>1.630667987211536E-2</v>
      </c>
      <c r="D1023">
        <v>1.6474713230854931E-2</v>
      </c>
      <c r="E1023">
        <v>63.08087305109742</v>
      </c>
      <c r="F1023">
        <v>5.5791518806577838E-2</v>
      </c>
      <c r="G1023">
        <v>0.4</v>
      </c>
      <c r="H1023">
        <v>-1.041708163988341E-2</v>
      </c>
      <c r="I1023">
        <v>0.19426803023884609</v>
      </c>
      <c r="J1023">
        <v>-9.5671772227587937E-3</v>
      </c>
      <c r="K1023">
        <v>1.266239492093368E-2</v>
      </c>
      <c r="L1023">
        <v>0</v>
      </c>
      <c r="M1023">
        <v>52000885.417999998</v>
      </c>
      <c r="N1023">
        <v>0</v>
      </c>
      <c r="O1023" t="b">
        <v>0</v>
      </c>
    </row>
    <row r="1024" spans="1:15" x14ac:dyDescent="0.3">
      <c r="A1024" s="1" t="s">
        <v>1126</v>
      </c>
      <c r="B1024">
        <v>2.6442834924403431E-2</v>
      </c>
      <c r="C1024">
        <v>5.1951580432628203E-4</v>
      </c>
      <c r="D1024">
        <v>5.8547319200773305E-4</v>
      </c>
      <c r="E1024">
        <v>85.869321036189618</v>
      </c>
      <c r="F1024">
        <v>3.608328732549904E-3</v>
      </c>
      <c r="G1024">
        <v>0.4</v>
      </c>
      <c r="H1024">
        <v>-7.9645728063580556E-2</v>
      </c>
      <c r="I1024">
        <v>9.0109286770901076E-3</v>
      </c>
      <c r="J1024">
        <v>0</v>
      </c>
      <c r="K1024">
        <v>0</v>
      </c>
      <c r="L1024">
        <v>0</v>
      </c>
      <c r="M1024">
        <v>38882541.968549997</v>
      </c>
      <c r="N1024">
        <v>0</v>
      </c>
      <c r="O1024" t="b">
        <v>0</v>
      </c>
    </row>
    <row r="1025" spans="1:15" x14ac:dyDescent="0.3">
      <c r="A1025" s="1" t="s">
        <v>1127</v>
      </c>
      <c r="B1025">
        <v>2.0918766466946601</v>
      </c>
      <c r="C1025">
        <v>4.2989655706836417E-2</v>
      </c>
      <c r="D1025">
        <v>4.7472256473489571E-2</v>
      </c>
      <c r="E1025">
        <v>72.300633769917553</v>
      </c>
      <c r="F1025">
        <v>0.3010695187165775</v>
      </c>
      <c r="G1025">
        <v>0.6</v>
      </c>
      <c r="H1025">
        <v>0.12553254473127551</v>
      </c>
      <c r="I1025">
        <v>1.5181493770709491</v>
      </c>
      <c r="J1025">
        <v>0</v>
      </c>
      <c r="K1025">
        <v>5.1642222681265171E-3</v>
      </c>
      <c r="L1025">
        <v>0</v>
      </c>
      <c r="M1025">
        <v>125979245.2013</v>
      </c>
      <c r="N1025">
        <v>0</v>
      </c>
      <c r="O1025" t="b">
        <v>1</v>
      </c>
    </row>
    <row r="1026" spans="1:15" x14ac:dyDescent="0.3">
      <c r="A1026" s="1" t="s">
        <v>1128</v>
      </c>
      <c r="B1026">
        <v>6.4654071780642646</v>
      </c>
      <c r="C1026">
        <v>2.664718780886232E-2</v>
      </c>
      <c r="D1026">
        <v>3.7876602233854133E-2</v>
      </c>
      <c r="E1026">
        <v>67.714394169890681</v>
      </c>
      <c r="F1026">
        <v>0.13835976353570431</v>
      </c>
      <c r="G1026">
        <v>0.6</v>
      </c>
      <c r="H1026">
        <v>-9.1960755058040355E-2</v>
      </c>
      <c r="I1026">
        <v>0.25470054351167137</v>
      </c>
      <c r="J1026">
        <v>0</v>
      </c>
      <c r="K1026">
        <v>9.822283264660614E-3</v>
      </c>
      <c r="L1026">
        <v>0</v>
      </c>
      <c r="M1026">
        <v>16765016.588</v>
      </c>
      <c r="N1026">
        <v>1</v>
      </c>
      <c r="O1026" t="b">
        <v>0</v>
      </c>
    </row>
    <row r="1027" spans="1:15" x14ac:dyDescent="0.3">
      <c r="A1027" s="1" t="s">
        <v>1129</v>
      </c>
      <c r="B1027">
        <v>3.4500008877439621</v>
      </c>
      <c r="C1027">
        <v>2.028815576444553E-2</v>
      </c>
      <c r="D1027">
        <v>3.0696853866509839E-2</v>
      </c>
      <c r="E1027">
        <v>66.246941971954584</v>
      </c>
      <c r="F1027">
        <v>8.0100864461791765E-2</v>
      </c>
      <c r="G1027">
        <v>0.8</v>
      </c>
      <c r="H1027">
        <v>-0.1414267621508899</v>
      </c>
      <c r="I1027">
        <v>0.50375525227606466</v>
      </c>
      <c r="J1027">
        <v>0</v>
      </c>
      <c r="K1027">
        <v>2.7678733305130931E-2</v>
      </c>
      <c r="L1027">
        <v>0</v>
      </c>
      <c r="M1027">
        <v>37247418.457999997</v>
      </c>
      <c r="N1027">
        <v>1</v>
      </c>
      <c r="O1027" t="b">
        <v>0</v>
      </c>
    </row>
    <row r="1028" spans="1:15" x14ac:dyDescent="0.3">
      <c r="A1028" s="1" t="s">
        <v>1130</v>
      </c>
      <c r="B1028">
        <v>0.27485080695380948</v>
      </c>
      <c r="C1028">
        <v>1.49909899944263E-2</v>
      </c>
      <c r="D1028">
        <v>1.282834453268168E-2</v>
      </c>
      <c r="E1028">
        <v>65.33978679612315</v>
      </c>
      <c r="F1028">
        <v>6.126418152350066E-2</v>
      </c>
      <c r="G1028">
        <v>0.4</v>
      </c>
      <c r="H1028">
        <v>-2.648862581015355E-2</v>
      </c>
      <c r="I1028">
        <v>0.2021108977862455</v>
      </c>
      <c r="J1028">
        <v>-1.004832482924323E-2</v>
      </c>
      <c r="K1028">
        <v>8.6260012322856294E-3</v>
      </c>
      <c r="L1028">
        <v>0</v>
      </c>
      <c r="M1028">
        <v>25738490.753199998</v>
      </c>
      <c r="N1028">
        <v>0</v>
      </c>
      <c r="O1028" t="b">
        <v>0</v>
      </c>
    </row>
    <row r="1029" spans="1:15" x14ac:dyDescent="0.3">
      <c r="A1029" s="1" t="s">
        <v>1131</v>
      </c>
      <c r="B1029">
        <v>5.1845773520373291</v>
      </c>
      <c r="C1029">
        <v>2.6868663723244861E-2</v>
      </c>
      <c r="D1029">
        <v>1.497719734660026E-2</v>
      </c>
      <c r="E1029">
        <v>43.242863183784337</v>
      </c>
      <c r="F1029">
        <v>-0.1088944305901911</v>
      </c>
      <c r="G1029">
        <v>0.4</v>
      </c>
      <c r="H1029">
        <v>-7.4364557736508463E-2</v>
      </c>
      <c r="I1029">
        <v>1.4849226818760499</v>
      </c>
      <c r="J1029">
        <v>-0.1159573005910112</v>
      </c>
      <c r="K1029">
        <v>-1.0461538461538409E-2</v>
      </c>
      <c r="L1029">
        <v>0</v>
      </c>
      <c r="M1029">
        <v>998643387</v>
      </c>
      <c r="N1029">
        <v>0</v>
      </c>
      <c r="O1029" t="b">
        <v>1</v>
      </c>
    </row>
    <row r="1030" spans="1:15" x14ac:dyDescent="0.3">
      <c r="A1030" s="1" t="s">
        <v>1132</v>
      </c>
      <c r="B1030">
        <v>0.96005830246537138</v>
      </c>
      <c r="C1030">
        <v>5.1367485418157909E-2</v>
      </c>
      <c r="D1030">
        <v>4.0395933654360568E-2</v>
      </c>
      <c r="E1030">
        <v>72.20886284073039</v>
      </c>
      <c r="F1030">
        <v>0.31619718309859168</v>
      </c>
      <c r="G1030">
        <v>0.6</v>
      </c>
      <c r="H1030">
        <v>0.15359300489936559</v>
      </c>
      <c r="I1030">
        <v>2.5141737656019449</v>
      </c>
      <c r="J1030">
        <v>-3.1104199066873891E-2</v>
      </c>
      <c r="K1030">
        <v>-1.527924130663849E-2</v>
      </c>
      <c r="L1030">
        <v>0</v>
      </c>
      <c r="M1030">
        <v>130997605.5</v>
      </c>
      <c r="N1030">
        <v>0</v>
      </c>
      <c r="O1030" t="b">
        <v>1</v>
      </c>
    </row>
    <row r="1031" spans="1:15" x14ac:dyDescent="0.3">
      <c r="A1031" s="1" t="s">
        <v>1133</v>
      </c>
      <c r="B1031">
        <v>0.7379754277384899</v>
      </c>
      <c r="C1031">
        <v>1.5159195914244779E-2</v>
      </c>
      <c r="D1031">
        <v>2.438287898738125E-2</v>
      </c>
      <c r="E1031">
        <v>60.331845755828027</v>
      </c>
      <c r="F1031">
        <v>1.828370384625044E-2</v>
      </c>
      <c r="G1031">
        <v>0.4</v>
      </c>
      <c r="H1031">
        <v>-1.647913735723339E-2</v>
      </c>
      <c r="I1031">
        <v>1.0996999070884379</v>
      </c>
      <c r="J1031">
        <v>0</v>
      </c>
      <c r="K1031">
        <v>1.997770709978575E-2</v>
      </c>
      <c r="L1031">
        <v>0</v>
      </c>
      <c r="M1031">
        <v>39881475.011749998</v>
      </c>
      <c r="N1031">
        <v>0</v>
      </c>
      <c r="O1031" t="b">
        <v>0</v>
      </c>
    </row>
    <row r="1032" spans="1:15" x14ac:dyDescent="0.3">
      <c r="A1032" s="1" t="s">
        <v>1134</v>
      </c>
      <c r="B1032">
        <v>4.2579342444385668</v>
      </c>
      <c r="C1032">
        <v>2.5994714557012001E-2</v>
      </c>
      <c r="D1032">
        <v>1.7277167277167181E-2</v>
      </c>
      <c r="E1032">
        <v>40.518515247467278</v>
      </c>
      <c r="F1032">
        <v>-1.5707813044575469E-2</v>
      </c>
      <c r="G1032">
        <v>0.4</v>
      </c>
      <c r="H1032">
        <v>-0.28254228163418321</v>
      </c>
      <c r="I1032">
        <v>0.93053067406583501</v>
      </c>
      <c r="J1032">
        <v>-3.6164428700881317E-2</v>
      </c>
      <c r="K1032">
        <v>6.760909649662139E-3</v>
      </c>
      <c r="L1032">
        <v>0</v>
      </c>
      <c r="M1032">
        <v>127384999.1875</v>
      </c>
      <c r="N1032">
        <v>2</v>
      </c>
      <c r="O1032" t="b">
        <v>1</v>
      </c>
    </row>
    <row r="1033" spans="1:15" x14ac:dyDescent="0.3">
      <c r="A1033" s="1" t="s">
        <v>1135</v>
      </c>
      <c r="B1033">
        <v>2.0731234514666128</v>
      </c>
      <c r="C1033">
        <v>1.8556754072455769E-2</v>
      </c>
      <c r="D1033">
        <v>1.1779659499812051E-2</v>
      </c>
      <c r="E1033">
        <v>47.846764399391468</v>
      </c>
      <c r="F1033">
        <v>1.255290801482789E-2</v>
      </c>
      <c r="G1033">
        <v>0.8</v>
      </c>
      <c r="H1033">
        <v>-0.248361115357044</v>
      </c>
      <c r="I1033">
        <v>0.24180317083688291</v>
      </c>
      <c r="J1033">
        <v>-4.4999688120973547E-3</v>
      </c>
      <c r="K1033">
        <v>1.236780785087044E-3</v>
      </c>
      <c r="L1033">
        <v>0</v>
      </c>
      <c r="M1033">
        <v>285145043.77950001</v>
      </c>
      <c r="N1033">
        <v>0</v>
      </c>
      <c r="O1033" t="b">
        <v>1</v>
      </c>
    </row>
    <row r="1034" spans="1:15" x14ac:dyDescent="0.3">
      <c r="A1034" s="1" t="s">
        <v>1136</v>
      </c>
      <c r="B1034">
        <v>1.4971627264336711</v>
      </c>
      <c r="C1034">
        <v>2.0690788920694911E-2</v>
      </c>
      <c r="D1034">
        <v>4.3448698086897421E-2</v>
      </c>
      <c r="E1034">
        <v>72.518704043510255</v>
      </c>
      <c r="F1034">
        <v>8.9931238090934507E-2</v>
      </c>
      <c r="G1034">
        <v>0.8</v>
      </c>
      <c r="H1034">
        <v>4.584411678168069E-2</v>
      </c>
      <c r="I1034">
        <v>0.80077623963711375</v>
      </c>
      <c r="J1034">
        <v>0</v>
      </c>
      <c r="K1034">
        <v>3.8724514185064063E-2</v>
      </c>
      <c r="L1034">
        <v>0</v>
      </c>
      <c r="M1034">
        <v>51990152.251100004</v>
      </c>
      <c r="N1034">
        <v>0</v>
      </c>
      <c r="O1034" t="b">
        <v>0</v>
      </c>
    </row>
    <row r="1035" spans="1:15" x14ac:dyDescent="0.3">
      <c r="A1035" s="1" t="s">
        <v>1137</v>
      </c>
      <c r="B1035">
        <v>0.63977649473031661</v>
      </c>
      <c r="C1035">
        <v>1.635002542116833E-2</v>
      </c>
      <c r="D1035">
        <v>1.8144646051622821E-2</v>
      </c>
      <c r="E1035">
        <v>55.390169123486679</v>
      </c>
      <c r="F1035">
        <v>4.2632560618172111E-2</v>
      </c>
      <c r="G1035">
        <v>0.6</v>
      </c>
      <c r="H1035">
        <v>-4.3489603024027483E-2</v>
      </c>
      <c r="I1035">
        <v>0.13095602332713641</v>
      </c>
      <c r="J1035">
        <v>-1.136937847397668E-2</v>
      </c>
      <c r="K1035">
        <v>-5.0851767098906153E-3</v>
      </c>
      <c r="L1035">
        <v>0</v>
      </c>
      <c r="M1035">
        <v>42304843.612000003</v>
      </c>
      <c r="N1035">
        <v>0</v>
      </c>
      <c r="O1035" t="b">
        <v>0</v>
      </c>
    </row>
    <row r="1036" spans="1:15" x14ac:dyDescent="0.3">
      <c r="A1036" s="1" t="s">
        <v>1138</v>
      </c>
      <c r="B1036">
        <v>0.31099567405442319</v>
      </c>
      <c r="C1036">
        <v>2.5428918565365759E-2</v>
      </c>
      <c r="D1036">
        <v>1.7988552739166039E-2</v>
      </c>
      <c r="E1036">
        <v>42.873583089268479</v>
      </c>
      <c r="F1036">
        <v>-5.9953881629515759E-2</v>
      </c>
      <c r="G1036">
        <v>0.6</v>
      </c>
      <c r="H1036">
        <v>-6.725913205497297E-2</v>
      </c>
      <c r="I1036">
        <v>0.40368200067272331</v>
      </c>
      <c r="J1036">
        <v>-9.205642167780248E-2</v>
      </c>
      <c r="K1036">
        <v>-7.3051948051947591E-3</v>
      </c>
      <c r="L1036">
        <v>0</v>
      </c>
      <c r="M1036">
        <v>231308083.9675</v>
      </c>
      <c r="N1036">
        <v>0</v>
      </c>
      <c r="O1036" t="b">
        <v>1</v>
      </c>
    </row>
    <row r="1037" spans="1:15" x14ac:dyDescent="0.3">
      <c r="A1037" s="1" t="s">
        <v>1139</v>
      </c>
      <c r="B1037">
        <v>0.28008999396978113</v>
      </c>
      <c r="C1037">
        <v>2.4021440306156189E-2</v>
      </c>
      <c r="D1037">
        <v>2.0583190394511171E-2</v>
      </c>
      <c r="E1037">
        <v>45.56268189140394</v>
      </c>
      <c r="F1037">
        <v>-4.5826513911620292E-2</v>
      </c>
      <c r="G1037">
        <v>0.6</v>
      </c>
      <c r="H1037">
        <v>-3.8809130660804048E-2</v>
      </c>
      <c r="I1037">
        <v>0.43781757186411557</v>
      </c>
      <c r="J1037">
        <v>-7.8988941548183256E-2</v>
      </c>
      <c r="K1037">
        <v>-6.8143100511073307E-3</v>
      </c>
      <c r="L1037">
        <v>0</v>
      </c>
      <c r="M1037">
        <v>67062739</v>
      </c>
      <c r="N1037">
        <v>0</v>
      </c>
      <c r="O1037" t="b">
        <v>0</v>
      </c>
    </row>
    <row r="1038" spans="1:15" x14ac:dyDescent="0.3">
      <c r="A1038" s="1" t="s">
        <v>1140</v>
      </c>
      <c r="B1038">
        <v>0.69963793794099893</v>
      </c>
      <c r="C1038">
        <v>1.015930686298311E-2</v>
      </c>
      <c r="D1038">
        <v>1.070328620363706E-2</v>
      </c>
      <c r="E1038">
        <v>60.488056155283168</v>
      </c>
      <c r="F1038">
        <v>8.176177969848375E-3</v>
      </c>
      <c r="G1038">
        <v>0.6</v>
      </c>
      <c r="H1038">
        <v>-5.1926961591404829E-2</v>
      </c>
      <c r="I1038">
        <v>1.001818566751248</v>
      </c>
      <c r="J1038">
        <v>0</v>
      </c>
      <c r="K1038">
        <v>6.5596868655715124E-3</v>
      </c>
      <c r="L1038">
        <v>0</v>
      </c>
      <c r="M1038">
        <v>5748757.9286000002</v>
      </c>
      <c r="N1038">
        <v>0</v>
      </c>
      <c r="O1038" t="b">
        <v>0</v>
      </c>
    </row>
    <row r="1039" spans="1:15" x14ac:dyDescent="0.3">
      <c r="A1039" s="1" t="s">
        <v>1141</v>
      </c>
      <c r="B1039">
        <v>2.665381171477176</v>
      </c>
      <c r="C1039">
        <v>2.3848297944572279E-2</v>
      </c>
      <c r="D1039">
        <v>4.9962420815289392E-2</v>
      </c>
      <c r="E1039">
        <v>73.988617446258402</v>
      </c>
      <c r="F1039">
        <v>0.15036560060604079</v>
      </c>
      <c r="G1039">
        <v>0.4</v>
      </c>
      <c r="H1039">
        <v>6.8371136269837748E-2</v>
      </c>
      <c r="I1039">
        <v>0.74833764070669084</v>
      </c>
      <c r="J1039">
        <v>0</v>
      </c>
      <c r="K1039">
        <v>4.1962279630441079E-2</v>
      </c>
      <c r="L1039">
        <v>0</v>
      </c>
      <c r="M1039">
        <v>247656183.35429999</v>
      </c>
      <c r="N1039">
        <v>0</v>
      </c>
      <c r="O1039" t="b">
        <v>1</v>
      </c>
    </row>
    <row r="1040" spans="1:15" x14ac:dyDescent="0.3">
      <c r="A1040" s="1" t="s">
        <v>1142</v>
      </c>
      <c r="B1040">
        <v>0.35965332874097411</v>
      </c>
      <c r="C1040">
        <v>2.3924096077387502E-2</v>
      </c>
      <c r="D1040">
        <v>2.1885040344306939E-2</v>
      </c>
      <c r="E1040">
        <v>37.128513352610661</v>
      </c>
      <c r="F1040">
        <v>-8.9372141624011969E-2</v>
      </c>
      <c r="G1040">
        <v>0.6</v>
      </c>
      <c r="H1040">
        <v>-8.3214181389225261E-2</v>
      </c>
      <c r="I1040">
        <v>0.46636826944424181</v>
      </c>
      <c r="J1040">
        <v>-0.102913884363606</v>
      </c>
      <c r="K1040">
        <v>6.0026499993306448E-3</v>
      </c>
      <c r="L1040">
        <v>0</v>
      </c>
      <c r="M1040">
        <v>338281905.41530001</v>
      </c>
      <c r="N1040">
        <v>0</v>
      </c>
      <c r="O1040" t="b">
        <v>1</v>
      </c>
    </row>
    <row r="1041" spans="1:15" x14ac:dyDescent="0.3">
      <c r="A1041" s="1" t="s">
        <v>1143</v>
      </c>
      <c r="B1041">
        <v>2.5593801886138712</v>
      </c>
      <c r="C1041">
        <v>3.3264624234648703E-2</v>
      </c>
      <c r="D1041">
        <v>2.378476735118272E-2</v>
      </c>
      <c r="E1041">
        <v>57.651136618839978</v>
      </c>
      <c r="F1041">
        <v>-2.8044466902475969E-2</v>
      </c>
      <c r="G1041">
        <v>0.6</v>
      </c>
      <c r="H1041">
        <v>3.798938118330665E-2</v>
      </c>
      <c r="I1041">
        <v>1.257795309188072</v>
      </c>
      <c r="J1041">
        <v>-2.4223208623969539E-2</v>
      </c>
      <c r="K1041">
        <v>-8.6329081303956334E-3</v>
      </c>
      <c r="L1041">
        <v>0</v>
      </c>
      <c r="M1041">
        <v>87869407.5</v>
      </c>
      <c r="N1041">
        <v>0</v>
      </c>
      <c r="O1041" t="b">
        <v>0</v>
      </c>
    </row>
    <row r="1042" spans="1:15" x14ac:dyDescent="0.3">
      <c r="A1042" s="1" t="s">
        <v>1144</v>
      </c>
      <c r="B1042">
        <v>3.5185617756815182</v>
      </c>
      <c r="C1042">
        <v>2.422751343167058E-2</v>
      </c>
      <c r="D1042">
        <v>2.592439578599473E-2</v>
      </c>
      <c r="E1042">
        <v>45.214842356004709</v>
      </c>
      <c r="F1042">
        <v>2.059030217849589E-2</v>
      </c>
      <c r="G1042">
        <v>0.6</v>
      </c>
      <c r="H1042">
        <v>-0.19660829470476771</v>
      </c>
      <c r="I1042">
        <v>0.59139618191761689</v>
      </c>
      <c r="J1042">
        <v>-2.517116391461938E-2</v>
      </c>
      <c r="K1042">
        <v>-1.1435572799673331E-2</v>
      </c>
      <c r="L1042">
        <v>0</v>
      </c>
      <c r="M1042">
        <v>85851537</v>
      </c>
      <c r="N1042">
        <v>0</v>
      </c>
      <c r="O1042" t="b">
        <v>0</v>
      </c>
    </row>
    <row r="1043" spans="1:15" x14ac:dyDescent="0.3">
      <c r="A1043" s="1" t="s">
        <v>1145</v>
      </c>
      <c r="B1043">
        <v>0.13027577719633471</v>
      </c>
      <c r="C1043">
        <v>9.8210159967082322E-3</v>
      </c>
      <c r="D1043">
        <v>1.015454202789285E-2</v>
      </c>
      <c r="E1043">
        <v>55.806019018571178</v>
      </c>
      <c r="F1043">
        <v>0</v>
      </c>
      <c r="G1043">
        <v>0.6</v>
      </c>
      <c r="H1043">
        <v>-1.274794091110466E-2</v>
      </c>
      <c r="I1043">
        <v>0.36013848478544302</v>
      </c>
      <c r="J1043">
        <v>-7.9201848791031759E-3</v>
      </c>
      <c r="K1043">
        <v>7.3051454954136119E-3</v>
      </c>
      <c r="L1043">
        <v>0</v>
      </c>
      <c r="M1043">
        <v>59316746.340499997</v>
      </c>
      <c r="N1043">
        <v>0</v>
      </c>
      <c r="O1043" t="b">
        <v>0</v>
      </c>
    </row>
    <row r="1044" spans="1:15" x14ac:dyDescent="0.3">
      <c r="A1044" s="1" t="s">
        <v>1146</v>
      </c>
      <c r="B1044">
        <v>3.1350347384198232</v>
      </c>
      <c r="C1044">
        <v>2.7194957828069251E-2</v>
      </c>
      <c r="D1044">
        <v>3.7040249826509331E-2</v>
      </c>
      <c r="E1044">
        <v>32.806430305553377</v>
      </c>
      <c r="F1044">
        <v>-0.1654238760587852</v>
      </c>
      <c r="G1044">
        <v>0.2</v>
      </c>
      <c r="H1044">
        <v>-0.12620195441928289</v>
      </c>
      <c r="I1044">
        <v>1.3057011319541929</v>
      </c>
      <c r="J1044">
        <v>-0.15921522864853041</v>
      </c>
      <c r="K1044">
        <v>-1.5878436059416079E-2</v>
      </c>
      <c r="L1044">
        <v>0</v>
      </c>
      <c r="M1044">
        <v>852596771</v>
      </c>
      <c r="N1044">
        <v>0</v>
      </c>
      <c r="O1044" t="b">
        <v>1</v>
      </c>
    </row>
    <row r="1045" spans="1:15" x14ac:dyDescent="0.3">
      <c r="A1045" s="1" t="s">
        <v>1147</v>
      </c>
      <c r="B1045">
        <v>0.15682841490705079</v>
      </c>
      <c r="C1045">
        <v>9.044418903738841E-3</v>
      </c>
      <c r="D1045">
        <v>6.6725106402611544E-3</v>
      </c>
      <c r="E1045">
        <v>46.157809865667829</v>
      </c>
      <c r="F1045">
        <v>-1.299514460869422E-2</v>
      </c>
      <c r="G1045">
        <v>0.2</v>
      </c>
      <c r="H1045">
        <v>-0.1625773533698566</v>
      </c>
      <c r="I1045">
        <v>0.1005917649112008</v>
      </c>
      <c r="J1045">
        <v>-1.459932828314392E-2</v>
      </c>
      <c r="K1045">
        <v>-5.5333325648143639E-4</v>
      </c>
      <c r="L1045">
        <v>0</v>
      </c>
      <c r="M1045">
        <v>39173678.376200013</v>
      </c>
      <c r="N1045">
        <v>0</v>
      </c>
      <c r="O1045" t="b">
        <v>0</v>
      </c>
    </row>
    <row r="1046" spans="1:15" x14ac:dyDescent="0.3">
      <c r="A1046" s="1" t="s">
        <v>1148</v>
      </c>
      <c r="B1046">
        <v>1.4454505218172919</v>
      </c>
      <c r="C1046">
        <v>1.8368922630795419E-2</v>
      </c>
      <c r="D1046">
        <v>1.4995552166730109E-2</v>
      </c>
      <c r="E1046">
        <v>39.066231613884277</v>
      </c>
      <c r="F1046">
        <v>-4.709314364807482E-2</v>
      </c>
      <c r="G1046">
        <v>0.4</v>
      </c>
      <c r="H1046">
        <v>-9.7313705126577429E-2</v>
      </c>
      <c r="I1046">
        <v>0.3182875545457079</v>
      </c>
      <c r="J1046">
        <v>-5.2896495030986479E-2</v>
      </c>
      <c r="K1046">
        <v>-1.2706480304958129E-4</v>
      </c>
      <c r="L1046">
        <v>0</v>
      </c>
      <c r="M1046">
        <v>210846214.07385001</v>
      </c>
      <c r="N1046">
        <v>0</v>
      </c>
      <c r="O1046" t="b">
        <v>1</v>
      </c>
    </row>
    <row r="1047" spans="1:15" x14ac:dyDescent="0.3">
      <c r="A1047" s="1" t="s">
        <v>1149</v>
      </c>
      <c r="B1047">
        <v>2.03591801530039</v>
      </c>
      <c r="C1047">
        <v>3.3299661842716391E-2</v>
      </c>
      <c r="D1047">
        <v>3.2532266479989212E-2</v>
      </c>
      <c r="E1047">
        <v>63.709506480496081</v>
      </c>
      <c r="F1047">
        <v>2.2738374038139719E-2</v>
      </c>
      <c r="G1047">
        <v>0.8</v>
      </c>
      <c r="H1047">
        <v>1.5718280274847E-2</v>
      </c>
      <c r="I1047">
        <v>1.1023261825903781</v>
      </c>
      <c r="J1047">
        <v>-2.6085169137607389E-3</v>
      </c>
      <c r="K1047">
        <v>-2.6085169137607389E-3</v>
      </c>
      <c r="L1047">
        <v>0</v>
      </c>
      <c r="M1047">
        <v>69193898.425349995</v>
      </c>
      <c r="N1047">
        <v>0</v>
      </c>
      <c r="O1047" t="b">
        <v>0</v>
      </c>
    </row>
    <row r="1048" spans="1:15" x14ac:dyDescent="0.3">
      <c r="A1048" s="1" t="s">
        <v>1150</v>
      </c>
      <c r="B1048">
        <v>9.6577711371664652</v>
      </c>
      <c r="C1048">
        <v>3.1866470245047233E-2</v>
      </c>
      <c r="D1048">
        <v>5.2991058171379557E-2</v>
      </c>
      <c r="E1048">
        <v>64.032567434139111</v>
      </c>
      <c r="F1048">
        <v>0.1201995934208093</v>
      </c>
      <c r="G1048">
        <v>0.6</v>
      </c>
      <c r="H1048">
        <v>3.487791424054356E-2</v>
      </c>
      <c r="I1048">
        <v>-0.37649773008047138</v>
      </c>
      <c r="J1048">
        <v>0</v>
      </c>
      <c r="K1048">
        <v>5.5478163961830473E-2</v>
      </c>
      <c r="L1048">
        <v>0</v>
      </c>
      <c r="M1048">
        <v>111683362</v>
      </c>
      <c r="N1048">
        <v>0</v>
      </c>
      <c r="O1048" t="b">
        <v>1</v>
      </c>
    </row>
    <row r="1049" spans="1:15" x14ac:dyDescent="0.3">
      <c r="A1049" s="1" t="s">
        <v>1151</v>
      </c>
      <c r="B1049">
        <v>2.5531308710265459</v>
      </c>
      <c r="C1049">
        <v>1.705498243838708E-2</v>
      </c>
      <c r="D1049">
        <v>3.433533734134947E-2</v>
      </c>
      <c r="E1049">
        <v>61.839822276470983</v>
      </c>
      <c r="F1049">
        <v>5.9905550166738493E-2</v>
      </c>
      <c r="G1049">
        <v>0.4</v>
      </c>
      <c r="H1049">
        <v>2.6248237263970199E-3</v>
      </c>
      <c r="I1049">
        <v>-0.41175352927709402</v>
      </c>
      <c r="J1049">
        <v>0</v>
      </c>
      <c r="K1049">
        <v>3.4983407079645978E-2</v>
      </c>
      <c r="L1049">
        <v>0</v>
      </c>
      <c r="M1049">
        <v>1075711940.6515</v>
      </c>
      <c r="N1049">
        <v>0</v>
      </c>
      <c r="O1049" t="b">
        <v>1</v>
      </c>
    </row>
    <row r="1050" spans="1:15" x14ac:dyDescent="0.3">
      <c r="A1050" s="1" t="s">
        <v>1152</v>
      </c>
      <c r="B1050">
        <v>0.57894033871638073</v>
      </c>
      <c r="C1050">
        <v>2.283310939789238E-2</v>
      </c>
      <c r="D1050">
        <v>2.2109775865400961E-2</v>
      </c>
      <c r="E1050">
        <v>56.5923412929939</v>
      </c>
      <c r="F1050">
        <v>5.6990520339166739E-2</v>
      </c>
      <c r="G1050">
        <v>0.6</v>
      </c>
      <c r="H1050">
        <v>1.3401400073850919E-2</v>
      </c>
      <c r="I1050">
        <v>0.64052473707909019</v>
      </c>
      <c r="J1050">
        <v>-9.6050185147570355E-3</v>
      </c>
      <c r="K1050">
        <v>1.7766039008216609E-2</v>
      </c>
      <c r="L1050">
        <v>0</v>
      </c>
      <c r="M1050">
        <v>1030234928.0519</v>
      </c>
      <c r="N1050">
        <v>0</v>
      </c>
      <c r="O1050" t="b">
        <v>1</v>
      </c>
    </row>
    <row r="1051" spans="1:15" x14ac:dyDescent="0.3">
      <c r="A1051" s="1" t="s">
        <v>1153</v>
      </c>
      <c r="B1051">
        <v>0.18693140389806981</v>
      </c>
      <c r="C1051">
        <v>6.0630989555340341E-3</v>
      </c>
      <c r="D1051">
        <v>8.6925497064642959E-3</v>
      </c>
      <c r="E1051">
        <v>59.797821978029887</v>
      </c>
      <c r="F1051">
        <v>2.171355016545196E-3</v>
      </c>
      <c r="G1051">
        <v>0.4</v>
      </c>
      <c r="H1051">
        <v>-0.1957787257677267</v>
      </c>
      <c r="I1051">
        <v>0.43822333206493358</v>
      </c>
      <c r="J1051">
        <v>0</v>
      </c>
      <c r="K1051">
        <v>6.4800457030931291E-3</v>
      </c>
      <c r="L1051">
        <v>0</v>
      </c>
      <c r="M1051">
        <v>101445012.31015</v>
      </c>
      <c r="N1051">
        <v>0</v>
      </c>
      <c r="O1051" t="b">
        <v>1</v>
      </c>
    </row>
    <row r="1052" spans="1:15" x14ac:dyDescent="0.3">
      <c r="A1052" s="1" t="s">
        <v>1154</v>
      </c>
      <c r="B1052">
        <v>1.833924798466513</v>
      </c>
      <c r="C1052">
        <v>2.032500053714411E-2</v>
      </c>
      <c r="D1052">
        <v>2.9036905685470359E-2</v>
      </c>
      <c r="E1052">
        <v>74.140278651614295</v>
      </c>
      <c r="F1052">
        <v>8.9775100275493624E-2</v>
      </c>
      <c r="G1052">
        <v>0.6</v>
      </c>
      <c r="H1052">
        <v>7.4489518245714412E-2</v>
      </c>
      <c r="I1052">
        <v>0.77263242993037906</v>
      </c>
      <c r="J1052">
        <v>0</v>
      </c>
      <c r="K1052">
        <v>2.2899897970751759E-2</v>
      </c>
      <c r="L1052">
        <v>0</v>
      </c>
      <c r="M1052">
        <v>94681290.711999997</v>
      </c>
      <c r="N1052">
        <v>0</v>
      </c>
      <c r="O1052" t="b">
        <v>1</v>
      </c>
    </row>
    <row r="1053" spans="1:15" x14ac:dyDescent="0.3">
      <c r="A1053" s="1" t="s">
        <v>1155</v>
      </c>
      <c r="B1053">
        <v>2.3448084984516688</v>
      </c>
      <c r="C1053">
        <v>2.4944771260124139E-2</v>
      </c>
      <c r="D1053">
        <v>1.7659574468085221E-2</v>
      </c>
      <c r="E1053">
        <v>45.169382289490059</v>
      </c>
      <c r="F1053">
        <v>-3.5798543440352833E-2</v>
      </c>
      <c r="G1053">
        <v>0.8</v>
      </c>
      <c r="H1053">
        <v>-0.17168993806583929</v>
      </c>
      <c r="I1053">
        <v>0.1155851234151478</v>
      </c>
      <c r="J1053">
        <v>-3.1626661172349801E-2</v>
      </c>
      <c r="K1053">
        <v>2.666666666666595E-3</v>
      </c>
      <c r="L1053">
        <v>0</v>
      </c>
      <c r="M1053">
        <v>102311976</v>
      </c>
      <c r="N1053">
        <v>0</v>
      </c>
      <c r="O1053" t="b">
        <v>1</v>
      </c>
    </row>
    <row r="1054" spans="1:15" x14ac:dyDescent="0.3">
      <c r="A1054" s="1" t="s">
        <v>1156</v>
      </c>
      <c r="B1054">
        <v>3.3308074082523289</v>
      </c>
      <c r="C1054">
        <v>2.5511698898991492E-2</v>
      </c>
      <c r="D1054">
        <v>3.1073835784313629E-2</v>
      </c>
      <c r="E1054">
        <v>54.635407176832587</v>
      </c>
      <c r="F1054">
        <v>3.174415020981014E-2</v>
      </c>
      <c r="G1054">
        <v>0.2</v>
      </c>
      <c r="H1054">
        <v>1.258126541524282E-2</v>
      </c>
      <c r="I1054">
        <v>0.29906534242799981</v>
      </c>
      <c r="J1054">
        <v>-3.726753874968658E-2</v>
      </c>
      <c r="K1054">
        <v>1.9609680669118831E-2</v>
      </c>
      <c r="L1054">
        <v>0</v>
      </c>
      <c r="M1054">
        <v>33655646.111249998</v>
      </c>
      <c r="N1054">
        <v>0</v>
      </c>
      <c r="O1054" t="b">
        <v>0</v>
      </c>
    </row>
    <row r="1055" spans="1:15" x14ac:dyDescent="0.3">
      <c r="A1055" s="1" t="s">
        <v>1157</v>
      </c>
      <c r="B1055">
        <v>2.5831223814262789</v>
      </c>
      <c r="C1055">
        <v>1.8605834171933958E-2</v>
      </c>
      <c r="D1055">
        <v>1.244651886425501E-2</v>
      </c>
      <c r="E1055">
        <v>33.245512498681293</v>
      </c>
      <c r="F1055">
        <v>-3.9038166036795441E-2</v>
      </c>
      <c r="G1055">
        <v>0.4</v>
      </c>
      <c r="H1055">
        <v>-0.18699428521505279</v>
      </c>
      <c r="I1055">
        <v>-0.19687020016276999</v>
      </c>
      <c r="J1055">
        <v>-7.3550608584240784E-2</v>
      </c>
      <c r="K1055">
        <v>1.3559713226491969E-3</v>
      </c>
      <c r="L1055">
        <v>0</v>
      </c>
      <c r="M1055">
        <v>1170561507.967</v>
      </c>
      <c r="N1055">
        <v>0</v>
      </c>
      <c r="O1055" t="b">
        <v>1</v>
      </c>
    </row>
    <row r="1056" spans="1:15" x14ac:dyDescent="0.3">
      <c r="A1056" s="1" t="s">
        <v>1158</v>
      </c>
      <c r="B1056">
        <v>4.0989127669973433</v>
      </c>
      <c r="C1056">
        <v>1.956493590543975E-2</v>
      </c>
      <c r="D1056">
        <v>2.4954296597184809E-2</v>
      </c>
      <c r="E1056">
        <v>46.646577151506868</v>
      </c>
      <c r="F1056">
        <v>2.4269210272857441E-2</v>
      </c>
      <c r="G1056">
        <v>0.4</v>
      </c>
      <c r="H1056">
        <v>-0.13995539977742749</v>
      </c>
      <c r="I1056">
        <v>-0.40437491518378432</v>
      </c>
      <c r="J1056">
        <v>-2.767038730188209E-2</v>
      </c>
      <c r="K1056">
        <v>-1.5641444895504449E-2</v>
      </c>
      <c r="L1056">
        <v>0</v>
      </c>
      <c r="M1056">
        <v>721586221.88050008</v>
      </c>
      <c r="N1056">
        <v>0</v>
      </c>
      <c r="O1056" t="b">
        <v>1</v>
      </c>
    </row>
    <row r="1057" spans="1:15" x14ac:dyDescent="0.3">
      <c r="A1057" s="1" t="s">
        <v>1159</v>
      </c>
      <c r="B1057">
        <v>18.182482141947521</v>
      </c>
      <c r="C1057">
        <v>2.0485087970143531E-2</v>
      </c>
      <c r="D1057">
        <v>3.4826655370236048E-2</v>
      </c>
      <c r="E1057">
        <v>70.091298604173076</v>
      </c>
      <c r="F1057">
        <v>5.7838120004862548E-2</v>
      </c>
      <c r="G1057">
        <v>0.6</v>
      </c>
      <c r="H1057">
        <v>0.109255412664399</v>
      </c>
      <c r="I1057">
        <v>0.69066336646360815</v>
      </c>
      <c r="J1057">
        <v>0</v>
      </c>
      <c r="K1057">
        <v>3.0500682088642431E-2</v>
      </c>
      <c r="L1057">
        <v>0</v>
      </c>
      <c r="M1057">
        <v>429499753.583</v>
      </c>
      <c r="N1057">
        <v>0</v>
      </c>
      <c r="O1057" t="b">
        <v>1</v>
      </c>
    </row>
    <row r="1058" spans="1:15" x14ac:dyDescent="0.3">
      <c r="A1058" s="1" t="s">
        <v>1160</v>
      </c>
      <c r="B1058">
        <v>0.54690306541875267</v>
      </c>
      <c r="C1058">
        <v>2.0255669089583431E-2</v>
      </c>
      <c r="D1058">
        <v>1.2592592592592589E-2</v>
      </c>
      <c r="E1058">
        <v>42.598992263727077</v>
      </c>
      <c r="F1058">
        <v>-4.4247787610619427E-2</v>
      </c>
      <c r="G1058">
        <v>0.4</v>
      </c>
      <c r="H1058">
        <v>-0.103429848473019</v>
      </c>
      <c r="I1058">
        <v>0.66827108400928958</v>
      </c>
      <c r="J1058">
        <v>-8.1007488087134094E-2</v>
      </c>
      <c r="K1058">
        <v>7.0869078701978339E-3</v>
      </c>
      <c r="L1058">
        <v>0</v>
      </c>
      <c r="M1058">
        <v>18848700.212450001</v>
      </c>
      <c r="N1058">
        <v>0</v>
      </c>
      <c r="O1058" t="b">
        <v>0</v>
      </c>
    </row>
    <row r="1059" spans="1:15" x14ac:dyDescent="0.3">
      <c r="A1059" s="1" t="s">
        <v>1161</v>
      </c>
      <c r="B1059">
        <v>3.2398200319629158</v>
      </c>
      <c r="C1059">
        <v>2.5383078824815029E-2</v>
      </c>
      <c r="D1059">
        <v>4.0497661336446313E-2</v>
      </c>
      <c r="E1059">
        <v>58.397436667762882</v>
      </c>
      <c r="F1059">
        <v>6.4324608290319718E-2</v>
      </c>
      <c r="G1059">
        <v>0.2</v>
      </c>
      <c r="H1059">
        <v>-0.102797261268645</v>
      </c>
      <c r="I1059">
        <v>0.6950157752632603</v>
      </c>
      <c r="J1059">
        <v>-1.8644953945041731E-2</v>
      </c>
      <c r="K1059">
        <v>3.9499295528028222E-2</v>
      </c>
      <c r="L1059">
        <v>0</v>
      </c>
      <c r="M1059">
        <v>220863670.38749999</v>
      </c>
      <c r="N1059">
        <v>0</v>
      </c>
      <c r="O1059" t="b">
        <v>1</v>
      </c>
    </row>
    <row r="1060" spans="1:15" x14ac:dyDescent="0.3">
      <c r="A1060" s="1" t="s">
        <v>1162</v>
      </c>
      <c r="B1060">
        <v>0.47080181966374901</v>
      </c>
      <c r="C1060">
        <v>1.453989560419237E-2</v>
      </c>
      <c r="D1060">
        <v>1.4823965410747391E-2</v>
      </c>
      <c r="E1060">
        <v>63.308547870219563</v>
      </c>
      <c r="F1060">
        <v>3.5497281739686803E-2</v>
      </c>
      <c r="G1060">
        <v>0.6</v>
      </c>
      <c r="H1060">
        <v>0.1035316860571483</v>
      </c>
      <c r="I1060">
        <v>0.3087374847231148</v>
      </c>
      <c r="J1060">
        <v>-1.8495684340319449E-3</v>
      </c>
      <c r="K1060">
        <v>7.4673304293715326E-3</v>
      </c>
      <c r="L1060">
        <v>0</v>
      </c>
      <c r="M1060">
        <v>82146820</v>
      </c>
      <c r="N1060">
        <v>0</v>
      </c>
      <c r="O1060" t="b">
        <v>0</v>
      </c>
    </row>
    <row r="1061" spans="1:15" x14ac:dyDescent="0.3">
      <c r="A1061" s="1" t="s">
        <v>1163</v>
      </c>
      <c r="B1061">
        <v>0.97969342510973445</v>
      </c>
      <c r="C1061">
        <v>3.5253451785164973E-2</v>
      </c>
      <c r="D1061">
        <v>3.5984166966534732E-2</v>
      </c>
      <c r="E1061">
        <v>51.228409762018117</v>
      </c>
      <c r="F1061">
        <v>2.8878193261754781E-2</v>
      </c>
      <c r="G1061">
        <v>0.6</v>
      </c>
      <c r="H1061">
        <v>-0.1085128017689638</v>
      </c>
      <c r="I1061">
        <v>1.180033920806242</v>
      </c>
      <c r="J1061">
        <v>0</v>
      </c>
      <c r="K1061">
        <v>2.244297277409868E-2</v>
      </c>
      <c r="L1061">
        <v>0</v>
      </c>
      <c r="M1061">
        <v>324581922.5</v>
      </c>
      <c r="N1061">
        <v>0</v>
      </c>
      <c r="O1061" t="b">
        <v>1</v>
      </c>
    </row>
    <row r="1062" spans="1:15" x14ac:dyDescent="0.3">
      <c r="A1062" s="1" t="s">
        <v>1164</v>
      </c>
      <c r="B1062">
        <v>5.0207230141514154</v>
      </c>
      <c r="C1062">
        <v>2.8364064257112111E-2</v>
      </c>
      <c r="D1062">
        <v>3.0986949889836649E-2</v>
      </c>
      <c r="E1062">
        <v>60.164884158769652</v>
      </c>
      <c r="F1062">
        <v>5.9324823306223129E-2</v>
      </c>
      <c r="G1062">
        <v>0.8</v>
      </c>
      <c r="H1062">
        <v>-7.5787816908042246E-2</v>
      </c>
      <c r="I1062">
        <v>0.59750292414749784</v>
      </c>
      <c r="J1062">
        <v>0</v>
      </c>
      <c r="K1062">
        <v>1.223766226339551E-2</v>
      </c>
      <c r="L1062">
        <v>0</v>
      </c>
      <c r="M1062">
        <v>36520128.796999998</v>
      </c>
      <c r="N1062">
        <v>0</v>
      </c>
      <c r="O1062" t="b">
        <v>0</v>
      </c>
    </row>
    <row r="1063" spans="1:15" x14ac:dyDescent="0.3">
      <c r="A1063" s="1" t="s">
        <v>1165</v>
      </c>
      <c r="B1063">
        <v>4.9797976019840791</v>
      </c>
      <c r="C1063">
        <v>2.472774835257879E-2</v>
      </c>
      <c r="D1063">
        <v>5.3107232415522468E-2</v>
      </c>
      <c r="E1063">
        <v>53.970614044553201</v>
      </c>
      <c r="F1063">
        <v>9.4638014606733822E-3</v>
      </c>
      <c r="G1063">
        <v>0.4</v>
      </c>
      <c r="H1063">
        <v>-0.1048178749188253</v>
      </c>
      <c r="I1063">
        <v>0.61047259023564193</v>
      </c>
      <c r="J1063">
        <v>-7.1046118347746212E-3</v>
      </c>
      <c r="K1063">
        <v>4.7674291570640071E-2</v>
      </c>
      <c r="L1063">
        <v>0</v>
      </c>
      <c r="M1063">
        <v>151971777.53999999</v>
      </c>
      <c r="N1063">
        <v>0</v>
      </c>
      <c r="O1063" t="b">
        <v>1</v>
      </c>
    </row>
    <row r="1064" spans="1:15" x14ac:dyDescent="0.3">
      <c r="A1064" s="1" t="s">
        <v>1166</v>
      </c>
      <c r="B1064">
        <v>1.335285355086703</v>
      </c>
      <c r="C1064">
        <v>2.4523147017202991E-2</v>
      </c>
      <c r="D1064">
        <v>2.075298438934807E-2</v>
      </c>
      <c r="E1064">
        <v>55.653980048130713</v>
      </c>
      <c r="F1064">
        <v>2.6003391746749701E-2</v>
      </c>
      <c r="G1064">
        <v>0.6</v>
      </c>
      <c r="H1064">
        <v>2.2177342503732919E-2</v>
      </c>
      <c r="I1064">
        <v>1.171116132194709</v>
      </c>
      <c r="J1064">
        <v>-1.19760479041916E-2</v>
      </c>
      <c r="K1064">
        <v>9.2678405931418961E-3</v>
      </c>
      <c r="L1064">
        <v>0</v>
      </c>
      <c r="M1064">
        <v>8625146.2357000001</v>
      </c>
      <c r="N1064">
        <v>0</v>
      </c>
      <c r="O1064" t="b">
        <v>0</v>
      </c>
    </row>
    <row r="1065" spans="1:15" x14ac:dyDescent="0.3">
      <c r="A1065" s="1" t="s">
        <v>1167</v>
      </c>
      <c r="B1065">
        <v>2.1748342998046639</v>
      </c>
      <c r="C1065">
        <v>1.689756034873522E-2</v>
      </c>
      <c r="D1065">
        <v>2.4979216359638481E-2</v>
      </c>
      <c r="E1065">
        <v>64.807213386746469</v>
      </c>
      <c r="F1065">
        <v>3.8504054544721063E-2</v>
      </c>
      <c r="G1065">
        <v>0.4</v>
      </c>
      <c r="H1065">
        <v>0.1088692018035714</v>
      </c>
      <c r="I1065">
        <v>0.58704182070587541</v>
      </c>
      <c r="J1065">
        <v>0</v>
      </c>
      <c r="K1065">
        <v>1.7728225200648321E-2</v>
      </c>
      <c r="L1065">
        <v>0</v>
      </c>
      <c r="M1065">
        <v>407941099.94599998</v>
      </c>
      <c r="N1065">
        <v>0</v>
      </c>
      <c r="O1065" t="b">
        <v>1</v>
      </c>
    </row>
    <row r="1066" spans="1:15" x14ac:dyDescent="0.3">
      <c r="A1066" s="1" t="s">
        <v>1168</v>
      </c>
      <c r="B1066">
        <v>2.8754852900858392</v>
      </c>
      <c r="C1066">
        <v>2.6738751070167741E-2</v>
      </c>
      <c r="D1066">
        <v>2.1805839687558101E-2</v>
      </c>
      <c r="E1066">
        <v>53.854770256642951</v>
      </c>
      <c r="F1066">
        <v>2.204904010644371E-2</v>
      </c>
      <c r="G1066">
        <v>0.4</v>
      </c>
      <c r="H1066">
        <v>3.9919349789565234E-3</v>
      </c>
      <c r="I1066">
        <v>-0.18306892520863069</v>
      </c>
      <c r="J1066">
        <v>-3.9564168973832192E-2</v>
      </c>
      <c r="K1066">
        <v>-2.5969207939157139E-3</v>
      </c>
      <c r="L1066">
        <v>0</v>
      </c>
      <c r="M1066">
        <v>129550522.5</v>
      </c>
      <c r="N1066">
        <v>0</v>
      </c>
      <c r="O1066" t="b">
        <v>1</v>
      </c>
    </row>
    <row r="1067" spans="1:15" x14ac:dyDescent="0.3">
      <c r="A1067" s="1" t="s">
        <v>1169</v>
      </c>
      <c r="B1067">
        <v>7.7465446837289971</v>
      </c>
      <c r="C1067">
        <v>4.122476017098077E-2</v>
      </c>
      <c r="D1067">
        <v>4.5500505561172813E-2</v>
      </c>
      <c r="E1067">
        <v>61.533982244437063</v>
      </c>
      <c r="F1067">
        <v>-2.94406280667322E-2</v>
      </c>
      <c r="G1067">
        <v>0.8</v>
      </c>
      <c r="H1067">
        <v>6.8465838669181323E-2</v>
      </c>
      <c r="I1067">
        <v>2.7716222521928251</v>
      </c>
      <c r="J1067">
        <v>-1.5971931294512021E-2</v>
      </c>
      <c r="K1067">
        <v>3.3380994280686187E-2</v>
      </c>
      <c r="L1067">
        <v>0</v>
      </c>
      <c r="M1067">
        <v>9214894263</v>
      </c>
      <c r="N1067">
        <v>0</v>
      </c>
      <c r="O1067" t="b">
        <v>1</v>
      </c>
    </row>
    <row r="1068" spans="1:15" x14ac:dyDescent="0.3">
      <c r="A1068" s="1" t="s">
        <v>1170</v>
      </c>
      <c r="B1068">
        <v>3.3132786487169801</v>
      </c>
      <c r="C1068">
        <v>2.2324268601208629E-2</v>
      </c>
      <c r="D1068">
        <v>1.5894512721000491E-2</v>
      </c>
      <c r="E1068">
        <v>43.18612314957435</v>
      </c>
      <c r="F1068">
        <v>-3.4177577634901257E-2</v>
      </c>
      <c r="G1068">
        <v>0.4</v>
      </c>
      <c r="H1068">
        <v>-0.1245680992909478</v>
      </c>
      <c r="I1068">
        <v>-0.47736535943480551</v>
      </c>
      <c r="J1068">
        <v>-4.8962878948076598E-2</v>
      </c>
      <c r="K1068">
        <v>-3.9929938058264058E-3</v>
      </c>
      <c r="L1068">
        <v>0</v>
      </c>
      <c r="M1068">
        <v>880006000.87950003</v>
      </c>
      <c r="N1068">
        <v>0</v>
      </c>
      <c r="O1068" t="b">
        <v>1</v>
      </c>
    </row>
    <row r="1069" spans="1:15" x14ac:dyDescent="0.3">
      <c r="A1069" s="1" t="s">
        <v>1171</v>
      </c>
      <c r="B1069">
        <v>3.9064083838709731</v>
      </c>
      <c r="C1069">
        <v>1.9019189475157249E-2</v>
      </c>
      <c r="D1069">
        <v>2.8073011251600551E-2</v>
      </c>
      <c r="E1069">
        <v>77.631897430483775</v>
      </c>
      <c r="F1069">
        <v>0.1182110191637631</v>
      </c>
      <c r="G1069">
        <v>0.6</v>
      </c>
      <c r="H1069">
        <v>-1.6847423154307071E-2</v>
      </c>
      <c r="I1069">
        <v>0.67479524897393484</v>
      </c>
      <c r="J1069">
        <v>0</v>
      </c>
      <c r="K1069">
        <v>2.384228104281938E-2</v>
      </c>
      <c r="L1069">
        <v>0</v>
      </c>
      <c r="M1069">
        <v>357534263.94550002</v>
      </c>
      <c r="N1069">
        <v>0</v>
      </c>
      <c r="O1069" t="b">
        <v>1</v>
      </c>
    </row>
    <row r="1070" spans="1:15" x14ac:dyDescent="0.3">
      <c r="A1070" s="1" t="s">
        <v>1172</v>
      </c>
      <c r="B1070">
        <v>2.3116951667053378</v>
      </c>
      <c r="C1070">
        <v>2.3246247294505421E-2</v>
      </c>
      <c r="D1070">
        <v>4.0027633698631847E-2</v>
      </c>
      <c r="E1070">
        <v>74.754228921167623</v>
      </c>
      <c r="F1070">
        <v>0.1529769413423365</v>
      </c>
      <c r="G1070">
        <v>0.8</v>
      </c>
      <c r="H1070">
        <v>-1.2670475372300059E-2</v>
      </c>
      <c r="I1070">
        <v>0.98436918567454279</v>
      </c>
      <c r="J1070">
        <v>0</v>
      </c>
      <c r="K1070">
        <v>3.265125987154649E-2</v>
      </c>
      <c r="L1070">
        <v>0</v>
      </c>
      <c r="M1070">
        <v>66998497.238000013</v>
      </c>
      <c r="N1070">
        <v>0</v>
      </c>
      <c r="O1070" t="b">
        <v>0</v>
      </c>
    </row>
    <row r="1071" spans="1:15" x14ac:dyDescent="0.3">
      <c r="A1071" s="1" t="s">
        <v>1173</v>
      </c>
      <c r="B1071">
        <v>2.4389176226576792</v>
      </c>
      <c r="C1071">
        <v>2.32306630597853E-2</v>
      </c>
      <c r="D1071">
        <v>3.6290207359006378E-2</v>
      </c>
      <c r="E1071">
        <v>49.507922763476387</v>
      </c>
      <c r="F1071">
        <v>-3.165496822512659E-2</v>
      </c>
      <c r="G1071">
        <v>0.2</v>
      </c>
      <c r="H1071">
        <v>-0.16362629811985749</v>
      </c>
      <c r="I1071">
        <v>0.8274358869294911</v>
      </c>
      <c r="J1071">
        <v>-3.1565644918779889E-2</v>
      </c>
      <c r="K1071">
        <v>3.327559396098656E-2</v>
      </c>
      <c r="L1071">
        <v>0</v>
      </c>
      <c r="M1071">
        <v>124285784.65350001</v>
      </c>
      <c r="N1071">
        <v>0</v>
      </c>
      <c r="O1071" t="b">
        <v>1</v>
      </c>
    </row>
    <row r="1072" spans="1:15" x14ac:dyDescent="0.3">
      <c r="A1072" s="1" t="s">
        <v>1174</v>
      </c>
      <c r="B1072">
        <v>1.237598353891876</v>
      </c>
      <c r="C1072">
        <v>1.443967267883208E-2</v>
      </c>
      <c r="D1072">
        <v>1.525058279137808E-2</v>
      </c>
      <c r="E1072">
        <v>34.880362269793679</v>
      </c>
      <c r="F1072">
        <v>-1.3225201452043421E-2</v>
      </c>
      <c r="G1072">
        <v>0.2</v>
      </c>
      <c r="H1072">
        <v>-7.2267608040277986E-2</v>
      </c>
      <c r="I1072">
        <v>-9.5770741106552842E-2</v>
      </c>
      <c r="J1072">
        <v>-4.743582476718855E-2</v>
      </c>
      <c r="K1072">
        <v>-5.1721456279351097E-3</v>
      </c>
      <c r="L1072">
        <v>0</v>
      </c>
      <c r="M1072">
        <v>98097067.775299996</v>
      </c>
      <c r="N1072">
        <v>0</v>
      </c>
      <c r="O1072" t="b">
        <v>1</v>
      </c>
    </row>
    <row r="1073" spans="1:15" x14ac:dyDescent="0.3">
      <c r="A1073" s="1" t="s">
        <v>1175</v>
      </c>
      <c r="B1073">
        <v>11.85523244961465</v>
      </c>
      <c r="C1073">
        <v>4.0161362002827522E-2</v>
      </c>
      <c r="D1073">
        <v>2.862563094955807E-2</v>
      </c>
      <c r="E1073">
        <v>37.606218469853758</v>
      </c>
      <c r="F1073">
        <v>-7.8539097861713869E-2</v>
      </c>
      <c r="G1073">
        <v>0.4</v>
      </c>
      <c r="H1073">
        <v>-0.1217177323712194</v>
      </c>
      <c r="I1073">
        <v>0.94655062249704447</v>
      </c>
      <c r="J1073">
        <v>-0.14773645917542441</v>
      </c>
      <c r="K1073">
        <v>3.365057783820458E-3</v>
      </c>
      <c r="L1073">
        <v>0</v>
      </c>
      <c r="M1073">
        <v>188017037</v>
      </c>
      <c r="N1073">
        <v>0</v>
      </c>
      <c r="O1073" t="b">
        <v>1</v>
      </c>
    </row>
    <row r="1074" spans="1:15" x14ac:dyDescent="0.3">
      <c r="A1074" s="1" t="s">
        <v>1176</v>
      </c>
      <c r="B1074">
        <v>7.0213901604061943</v>
      </c>
      <c r="C1074">
        <v>2.9185261286915759E-2</v>
      </c>
      <c r="D1074">
        <v>3.4499958433785068E-2</v>
      </c>
      <c r="E1074">
        <v>41.54187278673043</v>
      </c>
      <c r="F1074">
        <v>-2.8497357018539171E-2</v>
      </c>
      <c r="G1074">
        <v>0.2</v>
      </c>
      <c r="H1074">
        <v>-0.36112763619167071</v>
      </c>
      <c r="I1074">
        <v>0.65425656837940427</v>
      </c>
      <c r="J1074">
        <v>-4.9316367659843492E-2</v>
      </c>
      <c r="K1074">
        <v>3.1160258883031311E-2</v>
      </c>
      <c r="L1074">
        <v>0</v>
      </c>
      <c r="M1074">
        <v>149170474.15650001</v>
      </c>
      <c r="N1074">
        <v>0</v>
      </c>
      <c r="O1074" t="b">
        <v>1</v>
      </c>
    </row>
    <row r="1075" spans="1:15" x14ac:dyDescent="0.3">
      <c r="A1075" s="1" t="s">
        <v>1177</v>
      </c>
      <c r="B1075">
        <v>2.4289690181347749</v>
      </c>
      <c r="C1075">
        <v>1.5941254959209651E-2</v>
      </c>
      <c r="D1075">
        <v>2.1001509483494048E-2</v>
      </c>
      <c r="E1075">
        <v>53.026042644346042</v>
      </c>
      <c r="F1075">
        <v>-1.614257118873896E-2</v>
      </c>
      <c r="G1075">
        <v>0.6</v>
      </c>
      <c r="H1075">
        <v>-5.1946659446300551E-2</v>
      </c>
      <c r="I1075">
        <v>0.99853529480607173</v>
      </c>
      <c r="J1075">
        <v>-1.576125573283382E-2</v>
      </c>
      <c r="K1075">
        <v>1.0076234670202361E-2</v>
      </c>
      <c r="L1075">
        <v>0</v>
      </c>
      <c r="M1075">
        <v>24603171.0645</v>
      </c>
      <c r="N1075">
        <v>0</v>
      </c>
      <c r="O1075" t="b">
        <v>0</v>
      </c>
    </row>
    <row r="1076" spans="1:15" x14ac:dyDescent="0.3">
      <c r="A1076" s="1" t="s">
        <v>1178</v>
      </c>
      <c r="B1076">
        <v>0.9275390487396562</v>
      </c>
      <c r="C1076">
        <v>2.4148374088509669E-2</v>
      </c>
      <c r="D1076">
        <v>1.9526165061181981E-2</v>
      </c>
      <c r="E1076">
        <v>50.701655524686338</v>
      </c>
      <c r="F1076">
        <v>2.3720682302771579E-2</v>
      </c>
      <c r="G1076">
        <v>0.6</v>
      </c>
      <c r="H1076">
        <v>-0.16677387213066491</v>
      </c>
      <c r="I1076">
        <v>-0.1468528281598839</v>
      </c>
      <c r="J1076">
        <v>-3.3467539003523061E-2</v>
      </c>
      <c r="K1076">
        <v>8.66596638655448E-3</v>
      </c>
      <c r="L1076">
        <v>0</v>
      </c>
      <c r="M1076">
        <v>57865774.636050001</v>
      </c>
      <c r="N1076">
        <v>0</v>
      </c>
      <c r="O1076" t="b">
        <v>0</v>
      </c>
    </row>
    <row r="1077" spans="1:15" x14ac:dyDescent="0.3">
      <c r="A1077" s="1" t="s">
        <v>1179</v>
      </c>
      <c r="B1077">
        <v>2.0147363315400599</v>
      </c>
      <c r="C1077">
        <v>2.005910326105197E-2</v>
      </c>
      <c r="D1077">
        <v>2.618478693747521E-2</v>
      </c>
      <c r="E1077">
        <v>54.809350400958593</v>
      </c>
      <c r="F1077">
        <v>4.701344730532675E-2</v>
      </c>
      <c r="G1077">
        <v>0.4</v>
      </c>
      <c r="H1077">
        <v>-0.15704900016648421</v>
      </c>
      <c r="I1077">
        <v>0.55428691212004999</v>
      </c>
      <c r="J1077">
        <v>-8.8809946714032417E-3</v>
      </c>
      <c r="K1077">
        <v>1.015790003017192E-2</v>
      </c>
      <c r="L1077">
        <v>0</v>
      </c>
      <c r="M1077">
        <v>195472994.36700001</v>
      </c>
      <c r="N1077">
        <v>0</v>
      </c>
      <c r="O1077" t="b">
        <v>1</v>
      </c>
    </row>
    <row r="1078" spans="1:15" x14ac:dyDescent="0.3">
      <c r="A1078" s="1" t="s">
        <v>1180</v>
      </c>
      <c r="B1078">
        <v>0.59349180400791535</v>
      </c>
      <c r="C1078">
        <v>1.784401094431495E-2</v>
      </c>
      <c r="D1078">
        <v>1.8340348767288021E-2</v>
      </c>
      <c r="E1078">
        <v>25.723674959309701</v>
      </c>
      <c r="F1078">
        <v>-8.982442313586414E-2</v>
      </c>
      <c r="G1078">
        <v>0.2</v>
      </c>
      <c r="H1078">
        <v>-0.15600768760498401</v>
      </c>
      <c r="I1078">
        <v>0.1370315691016776</v>
      </c>
      <c r="J1078">
        <v>-9.130648598437241E-2</v>
      </c>
      <c r="K1078">
        <v>-7.9637307244907474E-3</v>
      </c>
      <c r="L1078">
        <v>0</v>
      </c>
      <c r="M1078">
        <v>169673768.8432</v>
      </c>
      <c r="N1078">
        <v>0</v>
      </c>
      <c r="O1078" t="b">
        <v>1</v>
      </c>
    </row>
    <row r="1079" spans="1:15" x14ac:dyDescent="0.3">
      <c r="A1079" s="1" t="s">
        <v>1181</v>
      </c>
      <c r="B1079">
        <v>0.40354356023281968</v>
      </c>
      <c r="C1079">
        <v>2.7176114553835871E-2</v>
      </c>
      <c r="D1079">
        <v>2.8648007973493511E-2</v>
      </c>
      <c r="E1079">
        <v>70.764580186557197</v>
      </c>
      <c r="F1079">
        <v>0.13454867743463561</v>
      </c>
      <c r="G1079">
        <v>0.8</v>
      </c>
      <c r="H1079">
        <v>3.8059906933754772E-2</v>
      </c>
      <c r="I1079">
        <v>0.51754198834531351</v>
      </c>
      <c r="J1079">
        <v>0</v>
      </c>
      <c r="K1079">
        <v>1.4878857260021141E-2</v>
      </c>
      <c r="L1079">
        <v>0</v>
      </c>
      <c r="M1079">
        <v>126523574.21484999</v>
      </c>
      <c r="N1079">
        <v>0</v>
      </c>
      <c r="O1079" t="b">
        <v>1</v>
      </c>
    </row>
    <row r="1080" spans="1:15" x14ac:dyDescent="0.3">
      <c r="A1080" s="1" t="s">
        <v>1182</v>
      </c>
      <c r="B1080">
        <v>20.794894407713159</v>
      </c>
      <c r="C1080">
        <v>7.9497264346330615E-2</v>
      </c>
      <c r="D1080">
        <v>5.3520911384662438E-2</v>
      </c>
      <c r="E1080">
        <v>70.505132980651751</v>
      </c>
      <c r="F1080">
        <v>0.5580439573530287</v>
      </c>
      <c r="G1080">
        <v>0.8</v>
      </c>
      <c r="H1080">
        <v>0.18383116128480589</v>
      </c>
      <c r="I1080">
        <v>-1.791022646174157</v>
      </c>
      <c r="J1080">
        <v>-3.4688906930400942E-2</v>
      </c>
      <c r="K1080">
        <v>1.336535854027043E-2</v>
      </c>
      <c r="L1080">
        <v>0</v>
      </c>
      <c r="M1080">
        <v>21131959.5</v>
      </c>
      <c r="N1080">
        <v>0</v>
      </c>
      <c r="O1080" t="b">
        <v>0</v>
      </c>
    </row>
    <row r="1081" spans="1:15" x14ac:dyDescent="0.3">
      <c r="A1081" s="1" t="s">
        <v>1183</v>
      </c>
      <c r="B1081">
        <v>0.47178759808010068</v>
      </c>
      <c r="C1081">
        <v>1.000822227577643E-2</v>
      </c>
      <c r="D1081">
        <v>1.584641493423844E-2</v>
      </c>
      <c r="E1081">
        <v>65.740518734052131</v>
      </c>
      <c r="F1081">
        <v>3.0930089643242061E-2</v>
      </c>
      <c r="G1081">
        <v>0.4</v>
      </c>
      <c r="H1081">
        <v>2.6238961425576812E-2</v>
      </c>
      <c r="I1081">
        <v>0.7894923602578563</v>
      </c>
      <c r="J1081">
        <v>0</v>
      </c>
      <c r="K1081">
        <v>1.262233526091028E-2</v>
      </c>
      <c r="L1081">
        <v>0</v>
      </c>
      <c r="M1081">
        <v>11543224.413000001</v>
      </c>
      <c r="N1081">
        <v>0</v>
      </c>
      <c r="O1081" t="b">
        <v>0</v>
      </c>
    </row>
    <row r="1082" spans="1:15" x14ac:dyDescent="0.3">
      <c r="A1082" s="1" t="s">
        <v>1184</v>
      </c>
      <c r="B1082">
        <v>5.5699438757898507</v>
      </c>
      <c r="C1082">
        <v>2.1886690541042281E-2</v>
      </c>
      <c r="D1082">
        <v>1.8350426342881899E-2</v>
      </c>
      <c r="E1082">
        <v>46.358104506182002</v>
      </c>
      <c r="F1082">
        <v>2.8095532692089531E-3</v>
      </c>
      <c r="G1082">
        <v>0.6</v>
      </c>
      <c r="H1082">
        <v>-0.1179866187416799</v>
      </c>
      <c r="I1082">
        <v>0.10173885074286421</v>
      </c>
      <c r="J1082">
        <v>-3.2725199543899741E-2</v>
      </c>
      <c r="K1082">
        <v>6.5258661604177259E-3</v>
      </c>
      <c r="L1082">
        <v>0</v>
      </c>
      <c r="M1082">
        <v>41738921.626999997</v>
      </c>
      <c r="N1082">
        <v>0</v>
      </c>
      <c r="O1082" t="b">
        <v>0</v>
      </c>
    </row>
    <row r="1083" spans="1:15" x14ac:dyDescent="0.3">
      <c r="A1083" s="1" t="s">
        <v>1185</v>
      </c>
      <c r="B1083">
        <v>5.8079967099168286</v>
      </c>
      <c r="C1083">
        <v>4.3779419665449279E-2</v>
      </c>
      <c r="D1083">
        <v>3.336976595183351E-2</v>
      </c>
      <c r="E1083">
        <v>57.932354860244097</v>
      </c>
      <c r="F1083">
        <v>2.9152800080678221E-2</v>
      </c>
      <c r="G1083">
        <v>0.6</v>
      </c>
      <c r="H1083">
        <v>3.5883252923532713E-2</v>
      </c>
      <c r="I1083">
        <v>2.258689896192474</v>
      </c>
      <c r="J1083">
        <v>-1.2784355163971811E-2</v>
      </c>
      <c r="K1083">
        <v>5.9905213270141644E-3</v>
      </c>
      <c r="L1083">
        <v>0</v>
      </c>
      <c r="M1083">
        <v>71768911.004199997</v>
      </c>
      <c r="N1083">
        <v>0</v>
      </c>
      <c r="O1083" t="b">
        <v>0</v>
      </c>
    </row>
    <row r="1084" spans="1:15" x14ac:dyDescent="0.3">
      <c r="A1084" s="1" t="s">
        <v>1186</v>
      </c>
      <c r="B1084">
        <v>1.9515784747916041</v>
      </c>
      <c r="C1084">
        <v>1.723643816497919E-2</v>
      </c>
      <c r="D1084">
        <v>3.4939588779764032E-2</v>
      </c>
      <c r="E1084">
        <v>78.31069277387823</v>
      </c>
      <c r="F1084">
        <v>8.6696547686460512E-2</v>
      </c>
      <c r="G1084">
        <v>0.8</v>
      </c>
      <c r="H1084">
        <v>5.0279340272717792E-2</v>
      </c>
      <c r="I1084">
        <v>0.57094985037343482</v>
      </c>
      <c r="J1084">
        <v>0</v>
      </c>
      <c r="K1084">
        <v>2.7580886690565801E-2</v>
      </c>
      <c r="L1084">
        <v>0</v>
      </c>
      <c r="M1084">
        <v>168300592.028</v>
      </c>
      <c r="N1084">
        <v>0</v>
      </c>
      <c r="O1084" t="b">
        <v>1</v>
      </c>
    </row>
    <row r="1085" spans="1:15" x14ac:dyDescent="0.3">
      <c r="A1085" s="1" t="s">
        <v>1187</v>
      </c>
      <c r="B1085">
        <v>5.102529029784816</v>
      </c>
      <c r="C1085">
        <v>1.9276649149168181E-2</v>
      </c>
      <c r="D1085">
        <v>1.3898753305628909E-2</v>
      </c>
      <c r="E1085">
        <v>40.603460012015617</v>
      </c>
      <c r="F1085">
        <v>-1.8917436361210349E-2</v>
      </c>
      <c r="G1085">
        <v>0.2</v>
      </c>
      <c r="H1085">
        <v>-0.1580071877435589</v>
      </c>
      <c r="I1085">
        <v>0.2358825862049822</v>
      </c>
      <c r="J1085">
        <v>-3.8202998393977117E-2</v>
      </c>
      <c r="K1085">
        <v>1.0992200808182639E-2</v>
      </c>
      <c r="L1085">
        <v>0</v>
      </c>
      <c r="M1085">
        <v>230189475.55199999</v>
      </c>
      <c r="N1085">
        <v>0</v>
      </c>
      <c r="O1085" t="b">
        <v>1</v>
      </c>
    </row>
    <row r="1086" spans="1:15" x14ac:dyDescent="0.3">
      <c r="A1086" s="1" t="s">
        <v>1188</v>
      </c>
      <c r="B1086">
        <v>0.81321911633837318</v>
      </c>
      <c r="C1086">
        <v>5.5457597371648078E-2</v>
      </c>
      <c r="D1086">
        <v>5.0948594498015497E-2</v>
      </c>
      <c r="E1086">
        <v>44.549261132864338</v>
      </c>
      <c r="F1086">
        <v>-3.4755591832435928E-2</v>
      </c>
      <c r="G1086">
        <v>0.8</v>
      </c>
      <c r="H1086">
        <v>-8.0766403255814564E-2</v>
      </c>
      <c r="I1086">
        <v>0.63797061328552573</v>
      </c>
      <c r="J1086">
        <v>-0.1206697009492628</v>
      </c>
      <c r="K1086">
        <v>5.464855561879034E-3</v>
      </c>
      <c r="L1086">
        <v>0</v>
      </c>
      <c r="M1086">
        <v>97333939.1514</v>
      </c>
      <c r="N1086">
        <v>0</v>
      </c>
      <c r="O1086" t="b">
        <v>1</v>
      </c>
    </row>
    <row r="1087" spans="1:15" x14ac:dyDescent="0.3">
      <c r="A1087" s="1" t="s">
        <v>1189</v>
      </c>
      <c r="B1087">
        <v>0.58013059333690631</v>
      </c>
      <c r="C1087">
        <v>2.825770060092091E-2</v>
      </c>
      <c r="D1087">
        <v>3.3609352167559559E-2</v>
      </c>
      <c r="E1087">
        <v>74.627155213300426</v>
      </c>
      <c r="F1087">
        <v>0.22713687985654521</v>
      </c>
      <c r="G1087">
        <v>0.6</v>
      </c>
      <c r="H1087">
        <v>0.2298159184089999</v>
      </c>
      <c r="I1087">
        <v>0.66915851405455673</v>
      </c>
      <c r="J1087">
        <v>0</v>
      </c>
      <c r="K1087">
        <v>2.291978076731449E-2</v>
      </c>
      <c r="L1087">
        <v>0</v>
      </c>
      <c r="M1087">
        <v>320695186</v>
      </c>
      <c r="N1087">
        <v>0</v>
      </c>
      <c r="O1087" t="b">
        <v>1</v>
      </c>
    </row>
    <row r="1088" spans="1:15" x14ac:dyDescent="0.3">
      <c r="A1088" s="1" t="s">
        <v>1190</v>
      </c>
      <c r="B1088">
        <v>3.8528938002392601</v>
      </c>
      <c r="C1088">
        <v>5.7488716804524907E-2</v>
      </c>
      <c r="D1088">
        <v>3.4019695613249787E-2</v>
      </c>
      <c r="E1088">
        <v>29.857161627336779</v>
      </c>
      <c r="F1088">
        <v>-0.21951787585885649</v>
      </c>
      <c r="G1088">
        <v>0.6</v>
      </c>
      <c r="H1088">
        <v>-6.2272950712494612E-2</v>
      </c>
      <c r="I1088">
        <v>0.74970878281846332</v>
      </c>
      <c r="J1088">
        <v>-0.2261863526151715</v>
      </c>
      <c r="K1088">
        <v>2.854511970534079E-2</v>
      </c>
      <c r="L1088">
        <v>0</v>
      </c>
      <c r="M1088">
        <v>77258838</v>
      </c>
      <c r="N1088">
        <v>0</v>
      </c>
      <c r="O1088" t="b">
        <v>0</v>
      </c>
    </row>
    <row r="1089" spans="1:15" x14ac:dyDescent="0.3">
      <c r="A1089" s="1" t="s">
        <v>1191</v>
      </c>
      <c r="B1089">
        <v>1.984770139063958</v>
      </c>
      <c r="C1089">
        <v>0.1406640778925555</v>
      </c>
      <c r="D1089">
        <v>0.41176470588235292</v>
      </c>
      <c r="E1089">
        <v>34.199810000661827</v>
      </c>
      <c r="F1089">
        <v>-0.385987815491732</v>
      </c>
      <c r="G1089">
        <v>0.4</v>
      </c>
      <c r="H1089">
        <v>-0.18038848940140159</v>
      </c>
      <c r="I1089">
        <v>1.019037268395107</v>
      </c>
      <c r="J1089">
        <v>-0.4091289782244556</v>
      </c>
      <c r="K1089">
        <v>-0.2285401858939311</v>
      </c>
      <c r="L1089">
        <v>0</v>
      </c>
      <c r="M1089">
        <v>3587823.45</v>
      </c>
      <c r="N1089">
        <v>0</v>
      </c>
      <c r="O1089" t="b">
        <v>0</v>
      </c>
    </row>
    <row r="1090" spans="1:15" x14ac:dyDescent="0.3">
      <c r="A1090" s="1" t="s">
        <v>1192</v>
      </c>
      <c r="B1090">
        <v>0.21247795300132341</v>
      </c>
      <c r="C1090">
        <v>1.5509339635133091E-2</v>
      </c>
      <c r="D1090">
        <v>3.1386861313868593E-2</v>
      </c>
      <c r="E1090">
        <v>59.158954493866993</v>
      </c>
      <c r="F1090">
        <v>4.6600458365164243E-2</v>
      </c>
      <c r="G1090">
        <v>0.6</v>
      </c>
      <c r="H1090">
        <v>-0.1090393162325257</v>
      </c>
      <c r="I1090">
        <v>0.34006323120520809</v>
      </c>
      <c r="J1090">
        <v>0</v>
      </c>
      <c r="K1090">
        <v>3.007518796992481E-2</v>
      </c>
      <c r="L1090">
        <v>0</v>
      </c>
      <c r="M1090">
        <v>8603236.5</v>
      </c>
      <c r="N1090">
        <v>0</v>
      </c>
      <c r="O1090" t="b">
        <v>0</v>
      </c>
    </row>
    <row r="1091" spans="1:15" x14ac:dyDescent="0.3">
      <c r="A1091" s="1" t="s">
        <v>1193</v>
      </c>
      <c r="B1091">
        <v>5.0501449931700284</v>
      </c>
      <c r="C1091">
        <v>6.8569517897760043E-2</v>
      </c>
      <c r="D1091">
        <v>5.7569585879158301E-2</v>
      </c>
      <c r="E1091">
        <v>40.946650496159471</v>
      </c>
      <c r="F1091">
        <v>-0.20352546771926031</v>
      </c>
      <c r="G1091">
        <v>0.6</v>
      </c>
      <c r="H1091">
        <v>-3.3573376536830013E-2</v>
      </c>
      <c r="I1091">
        <v>2.172290680625065</v>
      </c>
      <c r="J1091">
        <v>-0.22244510135135129</v>
      </c>
      <c r="K1091">
        <v>4.9893086243763429E-2</v>
      </c>
      <c r="L1091">
        <v>0</v>
      </c>
      <c r="M1091">
        <v>160024432.5</v>
      </c>
      <c r="N1091">
        <v>0</v>
      </c>
      <c r="O1091" t="b">
        <v>1</v>
      </c>
    </row>
    <row r="1092" spans="1:15" x14ac:dyDescent="0.3">
      <c r="A1092" s="1" t="s">
        <v>1194</v>
      </c>
      <c r="B1092">
        <v>3.6043954703134879</v>
      </c>
      <c r="C1092">
        <v>2.5063594119417901E-2</v>
      </c>
      <c r="D1092">
        <v>3.4420415826437581E-2</v>
      </c>
      <c r="E1092">
        <v>64.904824456467622</v>
      </c>
      <c r="F1092">
        <v>4.6035452171572899E-2</v>
      </c>
      <c r="G1092">
        <v>0.4</v>
      </c>
      <c r="H1092">
        <v>4.9102515974459693E-2</v>
      </c>
      <c r="I1092">
        <v>0.43355145246247578</v>
      </c>
      <c r="J1092">
        <v>0</v>
      </c>
      <c r="K1092">
        <v>2.8095510437518009E-2</v>
      </c>
      <c r="L1092">
        <v>0</v>
      </c>
      <c r="M1092">
        <v>316069372.73650002</v>
      </c>
      <c r="N1092">
        <v>0</v>
      </c>
      <c r="O1092" t="b">
        <v>1</v>
      </c>
    </row>
    <row r="1093" spans="1:15" x14ac:dyDescent="0.3">
      <c r="A1093" s="1" t="s">
        <v>1195</v>
      </c>
      <c r="B1093">
        <v>3.933465261084927</v>
      </c>
      <c r="C1093">
        <v>2.2392492662444079E-2</v>
      </c>
      <c r="D1093">
        <v>2.060799271319581E-2</v>
      </c>
      <c r="E1093">
        <v>43.554474319306202</v>
      </c>
      <c r="F1093">
        <v>-1.03104400247902E-2</v>
      </c>
      <c r="G1093">
        <v>0.6</v>
      </c>
      <c r="H1093">
        <v>-0.2465439307591564</v>
      </c>
      <c r="I1093">
        <v>1.100383144015932</v>
      </c>
      <c r="J1093">
        <v>-2.1992093981404229E-2</v>
      </c>
      <c r="K1093">
        <v>1.437893399549584E-2</v>
      </c>
      <c r="L1093">
        <v>0</v>
      </c>
      <c r="M1093">
        <v>151279269</v>
      </c>
      <c r="N1093">
        <v>0</v>
      </c>
      <c r="O1093" t="b">
        <v>1</v>
      </c>
    </row>
    <row r="1094" spans="1:15" x14ac:dyDescent="0.3">
      <c r="A1094" s="1" t="s">
        <v>1196</v>
      </c>
      <c r="B1094">
        <v>0.48837925316280018</v>
      </c>
      <c r="C1094">
        <v>1.670815098059528E-2</v>
      </c>
      <c r="D1094">
        <v>1.402668491276087E-2</v>
      </c>
      <c r="E1094">
        <v>58.463329757290971</v>
      </c>
      <c r="F1094">
        <v>1.7049408489909549E-2</v>
      </c>
      <c r="G1094">
        <v>0.4</v>
      </c>
      <c r="H1094">
        <v>-2.691576096986312E-3</v>
      </c>
      <c r="I1094">
        <v>0.67268579523697458</v>
      </c>
      <c r="J1094">
        <v>-1.9127516778523531E-2</v>
      </c>
      <c r="K1094">
        <v>1.027397260274121E-3</v>
      </c>
      <c r="L1094">
        <v>0</v>
      </c>
      <c r="M1094">
        <v>19449485.061250001</v>
      </c>
      <c r="N1094">
        <v>0</v>
      </c>
      <c r="O1094" t="b">
        <v>0</v>
      </c>
    </row>
    <row r="1095" spans="1:15" x14ac:dyDescent="0.3">
      <c r="A1095" s="1" t="s">
        <v>1197</v>
      </c>
      <c r="B1095">
        <v>1.7514552027363489E-2</v>
      </c>
      <c r="C1095">
        <v>3.5553951486571748E-4</v>
      </c>
      <c r="D1095">
        <v>5.0343165813740529E-4</v>
      </c>
      <c r="E1095">
        <v>94.67792214626931</v>
      </c>
      <c r="F1095">
        <v>3.4056629330658779E-3</v>
      </c>
      <c r="G1095">
        <v>0.6</v>
      </c>
      <c r="H1095">
        <v>-7.997917970172376E-2</v>
      </c>
      <c r="I1095">
        <v>6.5581687364065196E-3</v>
      </c>
      <c r="J1095">
        <v>0</v>
      </c>
      <c r="K1095">
        <v>2.0100706570280741E-4</v>
      </c>
      <c r="L1095">
        <v>0</v>
      </c>
      <c r="M1095">
        <v>99026333.71949999</v>
      </c>
      <c r="N1095">
        <v>0</v>
      </c>
      <c r="O1095" t="b">
        <v>1</v>
      </c>
    </row>
    <row r="1096" spans="1:15" x14ac:dyDescent="0.3">
      <c r="A1096" s="1" t="s">
        <v>1198</v>
      </c>
      <c r="B1096">
        <v>0.44898740219243849</v>
      </c>
      <c r="C1096">
        <v>9.9250494540503408E-3</v>
      </c>
      <c r="D1096">
        <v>1.775064216208579E-2</v>
      </c>
      <c r="E1096">
        <v>69.903946233610085</v>
      </c>
      <c r="F1096">
        <v>3.4441913856341877E-2</v>
      </c>
      <c r="G1096">
        <v>0.6</v>
      </c>
      <c r="H1096">
        <v>6.7201592658282558E-2</v>
      </c>
      <c r="I1096">
        <v>0.66317844021265582</v>
      </c>
      <c r="J1096">
        <v>0</v>
      </c>
      <c r="K1096">
        <v>1.6586628673901149E-2</v>
      </c>
      <c r="L1096">
        <v>0</v>
      </c>
      <c r="M1096">
        <v>24954402.707199998</v>
      </c>
      <c r="N1096">
        <v>0</v>
      </c>
      <c r="O1096" t="b">
        <v>0</v>
      </c>
    </row>
    <row r="1097" spans="1:15" x14ac:dyDescent="0.3">
      <c r="A1097" s="1" t="s">
        <v>1199</v>
      </c>
      <c r="B1097">
        <v>15.49293981362135</v>
      </c>
      <c r="C1097">
        <v>3.3527970338292003E-2</v>
      </c>
      <c r="D1097">
        <v>3.7581423532212437E-2</v>
      </c>
      <c r="E1097">
        <v>57.952529805494223</v>
      </c>
      <c r="F1097">
        <v>2.626687069557132E-2</v>
      </c>
      <c r="G1097">
        <v>0.6</v>
      </c>
      <c r="H1097">
        <v>0.1224620051679442</v>
      </c>
      <c r="I1097">
        <v>1.678924263980369</v>
      </c>
      <c r="J1097">
        <v>-5.7427613020942792E-3</v>
      </c>
      <c r="K1097">
        <v>9.2805144143925933E-3</v>
      </c>
      <c r="L1097">
        <v>0</v>
      </c>
      <c r="M1097">
        <v>387251782.4885</v>
      </c>
      <c r="N1097">
        <v>0</v>
      </c>
      <c r="O1097" t="b">
        <v>1</v>
      </c>
    </row>
    <row r="1098" spans="1:15" x14ac:dyDescent="0.3">
      <c r="A1098" s="1" t="s">
        <v>1200</v>
      </c>
      <c r="B1098">
        <v>5.83468936039339E-2</v>
      </c>
      <c r="C1098">
        <v>2.207417226108076E-3</v>
      </c>
      <c r="D1098">
        <v>3.7492149726469971E-3</v>
      </c>
      <c r="E1098">
        <v>59.798760828874507</v>
      </c>
      <c r="F1098">
        <v>5.8756821347298871E-3</v>
      </c>
      <c r="G1098">
        <v>0.2</v>
      </c>
      <c r="H1098">
        <v>-7.6735480968205941E-2</v>
      </c>
      <c r="I1098">
        <v>6.5299141306460903E-2</v>
      </c>
      <c r="J1098">
        <v>-1.216728888620122E-3</v>
      </c>
      <c r="K1098">
        <v>3.2718439231762542E-3</v>
      </c>
      <c r="L1098">
        <v>0</v>
      </c>
      <c r="M1098">
        <v>54595475.395450003</v>
      </c>
      <c r="N1098">
        <v>0</v>
      </c>
      <c r="O1098" t="b">
        <v>0</v>
      </c>
    </row>
    <row r="1099" spans="1:15" x14ac:dyDescent="0.3">
      <c r="A1099" s="1" t="s">
        <v>1201</v>
      </c>
      <c r="B1099">
        <v>1.8487793272702739</v>
      </c>
      <c r="C1099">
        <v>3.022856977224124E-2</v>
      </c>
      <c r="D1099">
        <v>2.1517331589274082E-2</v>
      </c>
      <c r="E1099">
        <v>41.945659827580982</v>
      </c>
      <c r="F1099">
        <v>-7.4696053690625375E-2</v>
      </c>
      <c r="G1099">
        <v>0.6</v>
      </c>
      <c r="H1099">
        <v>-9.7996943979654957E-2</v>
      </c>
      <c r="I1099">
        <v>1.691795787858795</v>
      </c>
      <c r="J1099">
        <v>-9.0484589097117207E-2</v>
      </c>
      <c r="K1099">
        <v>6.2520565975650033E-3</v>
      </c>
      <c r="L1099">
        <v>0</v>
      </c>
      <c r="M1099">
        <v>711335133.70899999</v>
      </c>
      <c r="N1099">
        <v>0</v>
      </c>
      <c r="O1099" t="b">
        <v>1</v>
      </c>
    </row>
    <row r="1100" spans="1:15" x14ac:dyDescent="0.3">
      <c r="A1100" s="1" t="s">
        <v>1202</v>
      </c>
      <c r="B1100">
        <v>4.8844902048937184</v>
      </c>
      <c r="C1100">
        <v>5.6664619546330827E-2</v>
      </c>
      <c r="D1100">
        <v>6.0556844547563791E-2</v>
      </c>
      <c r="E1100">
        <v>51.631682065329848</v>
      </c>
      <c r="F1100">
        <v>-0.1069837599506043</v>
      </c>
      <c r="G1100">
        <v>0.8</v>
      </c>
      <c r="H1100">
        <v>0</v>
      </c>
      <c r="I1100">
        <v>1</v>
      </c>
      <c r="J1100">
        <v>-0.1063366125181299</v>
      </c>
      <c r="K1100">
        <v>1.304501116464918E-2</v>
      </c>
      <c r="O1100" t="b">
        <v>0</v>
      </c>
    </row>
    <row r="1101" spans="1:15" x14ac:dyDescent="0.3">
      <c r="A1101" s="1" t="s">
        <v>1203</v>
      </c>
      <c r="B1101">
        <v>2.6034991031271741</v>
      </c>
      <c r="C1101">
        <v>9.7145488922655732E-2</v>
      </c>
      <c r="D1101">
        <v>6.9328358208955249E-2</v>
      </c>
      <c r="E1101">
        <v>51.243292900422638</v>
      </c>
      <c r="F1101">
        <v>-8.7504256043581918E-2</v>
      </c>
      <c r="G1101">
        <v>0.4</v>
      </c>
      <c r="H1101">
        <v>0.12894328991409679</v>
      </c>
      <c r="I1101">
        <v>4.016233644028655</v>
      </c>
      <c r="J1101">
        <v>-7.5543290789927497E-2</v>
      </c>
      <c r="K1101">
        <v>-5.4006353688669129E-2</v>
      </c>
      <c r="L1101">
        <v>0</v>
      </c>
      <c r="M1101">
        <v>684787882.5</v>
      </c>
      <c r="N1101">
        <v>0</v>
      </c>
      <c r="O1101" t="b">
        <v>1</v>
      </c>
    </row>
    <row r="1102" spans="1:15" x14ac:dyDescent="0.3">
      <c r="A1102" s="1" t="s">
        <v>1204</v>
      </c>
      <c r="B1102">
        <v>4.8625419570016462</v>
      </c>
      <c r="C1102">
        <v>2.6686471417604111E-2</v>
      </c>
      <c r="D1102">
        <v>4.4948136765270832E-2</v>
      </c>
      <c r="E1102">
        <v>66.687265703611388</v>
      </c>
      <c r="F1102">
        <v>6.7440743301034667E-2</v>
      </c>
      <c r="G1102">
        <v>1</v>
      </c>
      <c r="H1102">
        <v>7.2793693425894535E-2</v>
      </c>
      <c r="I1102">
        <v>2.12129165674218</v>
      </c>
      <c r="J1102">
        <v>0</v>
      </c>
      <c r="K1102">
        <v>3.5284090909091008E-2</v>
      </c>
      <c r="L1102">
        <v>0</v>
      </c>
      <c r="M1102">
        <v>1221791024.1954999</v>
      </c>
      <c r="N1102">
        <v>0</v>
      </c>
      <c r="O1102" t="b">
        <v>1</v>
      </c>
    </row>
    <row r="1103" spans="1:15" x14ac:dyDescent="0.3">
      <c r="A1103" s="1" t="s">
        <v>1205</v>
      </c>
      <c r="B1103">
        <v>0.85034821416626682</v>
      </c>
      <c r="C1103">
        <v>1.8623482570439481E-2</v>
      </c>
      <c r="D1103">
        <v>1.051248357424435E-2</v>
      </c>
      <c r="E1103">
        <v>45.021947057969307</v>
      </c>
      <c r="F1103">
        <v>5.7678943710910202E-2</v>
      </c>
      <c r="G1103">
        <v>0.4</v>
      </c>
      <c r="H1103">
        <v>-5.7985374012085783E-2</v>
      </c>
      <c r="I1103">
        <v>0.42483292680774121</v>
      </c>
      <c r="J1103">
        <v>-5.9719934102141832E-2</v>
      </c>
      <c r="K1103">
        <v>2.19490781387166E-3</v>
      </c>
      <c r="L1103">
        <v>0</v>
      </c>
      <c r="M1103">
        <v>53467187.338799998</v>
      </c>
      <c r="N1103">
        <v>0</v>
      </c>
      <c r="O1103" t="b">
        <v>0</v>
      </c>
    </row>
    <row r="1104" spans="1:15" x14ac:dyDescent="0.3">
      <c r="A1104" s="1" t="s">
        <v>1206</v>
      </c>
      <c r="B1104">
        <v>2.1190035857816349</v>
      </c>
      <c r="C1104">
        <v>2.877649953666566E-2</v>
      </c>
      <c r="D1104">
        <v>2.6065842257790229E-2</v>
      </c>
      <c r="E1104">
        <v>59.509438579625517</v>
      </c>
      <c r="F1104">
        <v>7.3158253285146024E-3</v>
      </c>
      <c r="G1104">
        <v>0.6</v>
      </c>
      <c r="H1104">
        <v>0.1011770079095631</v>
      </c>
      <c r="I1104">
        <v>2.681606951231565</v>
      </c>
      <c r="J1104">
        <v>0</v>
      </c>
      <c r="K1104">
        <v>7.660433954415069E-3</v>
      </c>
      <c r="L1104">
        <v>0</v>
      </c>
      <c r="M1104">
        <v>336686418.90114999</v>
      </c>
      <c r="N1104">
        <v>0</v>
      </c>
      <c r="O1104" t="b">
        <v>1</v>
      </c>
    </row>
    <row r="1105" spans="1:15" x14ac:dyDescent="0.3">
      <c r="A1105" s="1" t="s">
        <v>1207</v>
      </c>
      <c r="B1105">
        <v>9.297142524031317</v>
      </c>
      <c r="C1105">
        <v>1.483266250591306E-2</v>
      </c>
      <c r="D1105">
        <v>1.309663976822018E-2</v>
      </c>
      <c r="E1105">
        <v>60.566209364986037</v>
      </c>
      <c r="F1105">
        <v>7.0273188224181382E-3</v>
      </c>
      <c r="G1105">
        <v>0.6</v>
      </c>
      <c r="H1105">
        <v>0.1111699676410354</v>
      </c>
      <c r="I1105">
        <v>1.339702132999619</v>
      </c>
      <c r="J1105">
        <v>0</v>
      </c>
      <c r="K1105">
        <v>4.0945396526370637E-3</v>
      </c>
      <c r="L1105">
        <v>0</v>
      </c>
      <c r="M1105">
        <v>24335550310.4925</v>
      </c>
      <c r="N1105">
        <v>0</v>
      </c>
      <c r="O1105" t="b">
        <v>1</v>
      </c>
    </row>
    <row r="1106" spans="1:15" x14ac:dyDescent="0.3">
      <c r="A1106" s="1" t="s">
        <v>1208</v>
      </c>
      <c r="B1106">
        <v>0.67085500658995734</v>
      </c>
      <c r="C1106">
        <v>1.261477519955693E-2</v>
      </c>
      <c r="D1106">
        <v>1.0635557285525911E-2</v>
      </c>
      <c r="E1106">
        <v>61.77708625511589</v>
      </c>
      <c r="F1106">
        <v>1.029672423586714E-2</v>
      </c>
      <c r="G1106">
        <v>0.6</v>
      </c>
      <c r="H1106">
        <v>7.7257673166745491E-2</v>
      </c>
      <c r="I1106">
        <v>1.1156755551173669</v>
      </c>
      <c r="J1106">
        <v>0</v>
      </c>
      <c r="K1106">
        <v>3.6423959793987488E-3</v>
      </c>
      <c r="L1106">
        <v>0</v>
      </c>
      <c r="M1106">
        <v>95178931.822349995</v>
      </c>
      <c r="N1106">
        <v>0</v>
      </c>
      <c r="O1106" t="b">
        <v>1</v>
      </c>
    </row>
    <row r="1107" spans="1:15" x14ac:dyDescent="0.3">
      <c r="A1107" s="1" t="s">
        <v>1209</v>
      </c>
      <c r="B1107">
        <v>3.7962842721829491</v>
      </c>
      <c r="C1107">
        <v>1.4710744984472531E-2</v>
      </c>
      <c r="D1107">
        <v>1.300462679511134E-2</v>
      </c>
      <c r="E1107">
        <v>60.616798692605073</v>
      </c>
      <c r="F1107">
        <v>7.0554996214693411E-3</v>
      </c>
      <c r="G1107">
        <v>0.6</v>
      </c>
      <c r="H1107">
        <v>0.11162067614138001</v>
      </c>
      <c r="I1107">
        <v>1.3390579462210761</v>
      </c>
      <c r="J1107">
        <v>0</v>
      </c>
      <c r="K1107">
        <v>4.0424397816536386E-3</v>
      </c>
      <c r="L1107">
        <v>0</v>
      </c>
      <c r="M1107">
        <v>658109458.375</v>
      </c>
      <c r="N1107">
        <v>0</v>
      </c>
      <c r="O1107" t="b">
        <v>1</v>
      </c>
    </row>
    <row r="1108" spans="1:15" x14ac:dyDescent="0.3">
      <c r="A1108" s="1" t="s">
        <v>1210</v>
      </c>
      <c r="B1108">
        <v>2.484927643260741</v>
      </c>
      <c r="C1108">
        <v>2.7721191915001581E-2</v>
      </c>
      <c r="D1108">
        <v>1.9634091923248449E-2</v>
      </c>
      <c r="E1108">
        <v>56.615610134051487</v>
      </c>
      <c r="F1108">
        <v>3.176795580110503E-2</v>
      </c>
      <c r="G1108">
        <v>0.4</v>
      </c>
      <c r="H1108">
        <v>-7.2069125038512066E-3</v>
      </c>
      <c r="I1108">
        <v>2.1050117222392442</v>
      </c>
      <c r="J1108">
        <v>-3.5571365051133559E-3</v>
      </c>
      <c r="K1108">
        <v>6.0606060606060996E-3</v>
      </c>
      <c r="L1108">
        <v>0</v>
      </c>
      <c r="M1108">
        <v>136608389</v>
      </c>
      <c r="N1108">
        <v>0</v>
      </c>
      <c r="O1108" t="b">
        <v>1</v>
      </c>
    </row>
    <row r="1109" spans="1:15" x14ac:dyDescent="0.3">
      <c r="A1109" s="1" t="s">
        <v>1211</v>
      </c>
      <c r="B1109">
        <v>0.96915633360496378</v>
      </c>
      <c r="C1109">
        <v>7.7719032366075677E-2</v>
      </c>
      <c r="D1109">
        <v>5.372894947874899E-2</v>
      </c>
      <c r="E1109">
        <v>44.47325203546928</v>
      </c>
      <c r="F1109">
        <v>-0.23402948402948409</v>
      </c>
      <c r="G1109">
        <v>0.6</v>
      </c>
      <c r="H1109">
        <v>0.104196639836499</v>
      </c>
      <c r="I1109">
        <v>3.6073856522266068</v>
      </c>
      <c r="J1109">
        <v>-0.2162162162162162</v>
      </c>
      <c r="K1109">
        <v>-2.196078431372539E-2</v>
      </c>
      <c r="L1109">
        <v>0</v>
      </c>
      <c r="M1109">
        <v>103760869.5</v>
      </c>
      <c r="N1109">
        <v>0</v>
      </c>
      <c r="O1109" t="b">
        <v>1</v>
      </c>
    </row>
    <row r="1110" spans="1:15" x14ac:dyDescent="0.3">
      <c r="A1110" s="1" t="s">
        <v>1212</v>
      </c>
      <c r="B1110">
        <v>1.3813482099405709</v>
      </c>
      <c r="C1110">
        <v>1.969522457647507E-2</v>
      </c>
      <c r="D1110">
        <v>1.2154921424314289E-2</v>
      </c>
      <c r="E1110">
        <v>53.28621050873295</v>
      </c>
      <c r="F1110">
        <v>2.2839400846724759E-2</v>
      </c>
      <c r="G1110">
        <v>0.2</v>
      </c>
      <c r="H1110">
        <v>7.9092163414400229E-2</v>
      </c>
      <c r="I1110">
        <v>0.22769797628113109</v>
      </c>
      <c r="J1110">
        <v>-3.7802657915784632E-2</v>
      </c>
      <c r="K1110">
        <v>-2.5371686676735061E-3</v>
      </c>
      <c r="L1110">
        <v>0</v>
      </c>
      <c r="M1110">
        <v>146028579.77415001</v>
      </c>
      <c r="N1110">
        <v>0</v>
      </c>
      <c r="O1110" t="b">
        <v>1</v>
      </c>
    </row>
    <row r="1111" spans="1:15" x14ac:dyDescent="0.3">
      <c r="A1111" s="1" t="s">
        <v>1213</v>
      </c>
      <c r="B1111">
        <v>1.9397209745155171</v>
      </c>
      <c r="C1111">
        <v>9.7605845846903683E-3</v>
      </c>
      <c r="D1111">
        <v>9.6311578523624389E-3</v>
      </c>
      <c r="E1111">
        <v>60.694308679496842</v>
      </c>
      <c r="F1111">
        <v>1.7505414441582708E-2</v>
      </c>
      <c r="G1111">
        <v>0.6</v>
      </c>
      <c r="H1111">
        <v>-3.4617763767972702E-2</v>
      </c>
      <c r="I1111">
        <v>0.8612217603616944</v>
      </c>
      <c r="J1111">
        <v>-2.1039523171093588E-3</v>
      </c>
      <c r="K1111">
        <v>4.6864809937159357E-3</v>
      </c>
      <c r="L1111">
        <v>0</v>
      </c>
      <c r="M1111">
        <v>224733589.428</v>
      </c>
      <c r="N1111">
        <v>0</v>
      </c>
      <c r="O1111" t="b">
        <v>1</v>
      </c>
    </row>
    <row r="1112" spans="1:15" x14ac:dyDescent="0.3">
      <c r="A1112" s="1" t="s">
        <v>1214</v>
      </c>
      <c r="B1112">
        <v>0.88097949622076566</v>
      </c>
      <c r="C1112">
        <v>4.0579433266732641E-2</v>
      </c>
      <c r="D1112">
        <v>4.836480884385079E-2</v>
      </c>
      <c r="E1112">
        <v>70.062242549695938</v>
      </c>
      <c r="F1112">
        <v>0.1798913043478263</v>
      </c>
      <c r="G1112">
        <v>0.8</v>
      </c>
      <c r="H1112">
        <v>5.8354138746129214E-4</v>
      </c>
      <c r="I1112">
        <v>2.0732827010821779</v>
      </c>
      <c r="J1112">
        <v>0</v>
      </c>
      <c r="K1112">
        <v>3.6276849642004949E-2</v>
      </c>
      <c r="L1112">
        <v>0</v>
      </c>
      <c r="M1112">
        <v>106549930.5</v>
      </c>
      <c r="N1112">
        <v>0</v>
      </c>
      <c r="O1112" t="b">
        <v>1</v>
      </c>
    </row>
    <row r="1113" spans="1:15" x14ac:dyDescent="0.3">
      <c r="A1113" s="1" t="s">
        <v>1215</v>
      </c>
      <c r="B1113">
        <v>8.6907036167156143E-2</v>
      </c>
      <c r="C1113">
        <v>5.0526759088357198E-3</v>
      </c>
      <c r="D1113">
        <v>1.1395216334694079E-3</v>
      </c>
      <c r="E1113">
        <v>66.694596244294416</v>
      </c>
      <c r="F1113">
        <v>1.2980129330145029E-2</v>
      </c>
      <c r="G1113">
        <v>0.8</v>
      </c>
      <c r="H1113">
        <v>6.358830616684813E-2</v>
      </c>
      <c r="I1113">
        <v>0.54722287682528115</v>
      </c>
      <c r="J1113">
        <v>0</v>
      </c>
      <c r="K1113">
        <v>5.7008562918836603E-4</v>
      </c>
      <c r="L1113">
        <v>0</v>
      </c>
      <c r="M1113">
        <v>89673016.715449989</v>
      </c>
      <c r="N1113">
        <v>0</v>
      </c>
      <c r="O1113" t="b">
        <v>0</v>
      </c>
    </row>
    <row r="1114" spans="1:15" x14ac:dyDescent="0.3">
      <c r="A1114" s="1" t="s">
        <v>1216</v>
      </c>
      <c r="B1114">
        <v>4.9306565920171908</v>
      </c>
      <c r="C1114">
        <v>2.5515185941178981E-2</v>
      </c>
      <c r="D1114">
        <v>4.8384425907143272E-2</v>
      </c>
      <c r="E1114">
        <v>75.210639990974983</v>
      </c>
      <c r="F1114">
        <v>0.1510978210367053</v>
      </c>
      <c r="G1114">
        <v>0.8</v>
      </c>
      <c r="H1114">
        <v>-2.488920347770358E-3</v>
      </c>
      <c r="I1114">
        <v>1.1285852859391039</v>
      </c>
      <c r="J1114">
        <v>0</v>
      </c>
      <c r="K1114">
        <v>4.1426623625085528E-2</v>
      </c>
      <c r="L1114">
        <v>0</v>
      </c>
      <c r="M1114">
        <v>53338573.43</v>
      </c>
      <c r="N1114">
        <v>0</v>
      </c>
      <c r="O1114" t="b">
        <v>0</v>
      </c>
    </row>
    <row r="1115" spans="1:15" x14ac:dyDescent="0.3">
      <c r="A1115" s="1" t="s">
        <v>1217</v>
      </c>
      <c r="B1115">
        <v>9.601469444678127</v>
      </c>
      <c r="C1115">
        <v>2.6374764983732899E-2</v>
      </c>
      <c r="D1115">
        <v>5.0598835292825002E-2</v>
      </c>
      <c r="E1115">
        <v>30.910975638685539</v>
      </c>
      <c r="F1115">
        <v>-0.115119105493437</v>
      </c>
      <c r="G1115">
        <v>0</v>
      </c>
      <c r="H1115">
        <v>-0.18838270812585051</v>
      </c>
      <c r="I1115">
        <v>0.45892965632613192</v>
      </c>
      <c r="J1115">
        <v>-0.13828528144676411</v>
      </c>
      <c r="K1115">
        <v>-3.01318769148794E-2</v>
      </c>
      <c r="L1115">
        <v>0</v>
      </c>
      <c r="M1115">
        <v>168525806.5</v>
      </c>
      <c r="N1115">
        <v>0</v>
      </c>
      <c r="O1115" t="b">
        <v>1</v>
      </c>
    </row>
    <row r="1116" spans="1:15" x14ac:dyDescent="0.3">
      <c r="A1116" s="1" t="s">
        <v>1218</v>
      </c>
      <c r="B1116">
        <v>1.8903804672463469</v>
      </c>
      <c r="C1116">
        <v>1.8431946833525229E-2</v>
      </c>
      <c r="D1116">
        <v>3.6173946957878247E-2</v>
      </c>
      <c r="E1116">
        <v>61.241973304795749</v>
      </c>
      <c r="F1116">
        <v>1.8167378139581029E-2</v>
      </c>
      <c r="G1116">
        <v>0.6</v>
      </c>
      <c r="H1116">
        <v>-0.19773421125380999</v>
      </c>
      <c r="I1116">
        <v>0.48820941632696591</v>
      </c>
      <c r="J1116">
        <v>0</v>
      </c>
      <c r="K1116">
        <v>3.5854964145035861E-2</v>
      </c>
      <c r="L1116">
        <v>0</v>
      </c>
      <c r="M1116">
        <v>96514387.5</v>
      </c>
      <c r="N1116">
        <v>0</v>
      </c>
      <c r="O1116" t="b">
        <v>1</v>
      </c>
    </row>
    <row r="1117" spans="1:15" x14ac:dyDescent="0.3">
      <c r="A1117" s="1" t="s">
        <v>1219</v>
      </c>
      <c r="B1117">
        <v>11.6927730935545</v>
      </c>
      <c r="C1117">
        <v>2.612443159559073E-2</v>
      </c>
      <c r="D1117">
        <v>6.1441530005809021E-2</v>
      </c>
      <c r="E1117">
        <v>63.377637782486246</v>
      </c>
      <c r="F1117">
        <v>1.4828586976237901E-2</v>
      </c>
      <c r="G1117">
        <v>0.8</v>
      </c>
      <c r="H1117">
        <v>0.12797908771892569</v>
      </c>
      <c r="I1117">
        <v>1.114026049299726</v>
      </c>
      <c r="J1117">
        <v>0</v>
      </c>
      <c r="K1117">
        <v>2.538373424971363E-2</v>
      </c>
      <c r="L1117">
        <v>0</v>
      </c>
      <c r="M1117">
        <v>59790498.5</v>
      </c>
      <c r="N1117">
        <v>0</v>
      </c>
      <c r="O1117" t="b">
        <v>0</v>
      </c>
    </row>
    <row r="1118" spans="1:15" x14ac:dyDescent="0.3">
      <c r="A1118" s="1" t="s">
        <v>1220</v>
      </c>
      <c r="B1118">
        <v>4.3574470915203563</v>
      </c>
      <c r="C1118">
        <v>4.6178964513780799E-2</v>
      </c>
      <c r="D1118">
        <v>5.9665112335735578E-2</v>
      </c>
      <c r="E1118">
        <v>39.090474259017647</v>
      </c>
      <c r="F1118">
        <v>-0.1044039483675019</v>
      </c>
      <c r="G1118">
        <v>0.8</v>
      </c>
      <c r="H1118">
        <v>-0.1850126634818024</v>
      </c>
      <c r="I1118">
        <v>1.3295957096150821</v>
      </c>
      <c r="J1118">
        <v>-9.8586167367214483E-2</v>
      </c>
      <c r="K1118">
        <v>-4.6868686868686837E-2</v>
      </c>
      <c r="L1118">
        <v>0</v>
      </c>
      <c r="M1118">
        <v>659283202.5</v>
      </c>
      <c r="N1118">
        <v>0</v>
      </c>
      <c r="O1118" t="b">
        <v>1</v>
      </c>
    </row>
    <row r="1119" spans="1:15" x14ac:dyDescent="0.3">
      <c r="A1119" s="1" t="s">
        <v>1221</v>
      </c>
      <c r="B1119">
        <v>4.1770884534666806</v>
      </c>
      <c r="C1119">
        <v>4.6458552479887449E-2</v>
      </c>
      <c r="D1119">
        <v>3.5969302635969397E-2</v>
      </c>
      <c r="E1119">
        <v>72.034815169398627</v>
      </c>
      <c r="F1119">
        <v>0.18193768897068499</v>
      </c>
      <c r="G1119">
        <v>0.6</v>
      </c>
      <c r="H1119">
        <v>5.9438959628783303E-2</v>
      </c>
      <c r="I1119">
        <v>1.7812888437640011</v>
      </c>
      <c r="J1119">
        <v>-1.5332384185740899E-2</v>
      </c>
      <c r="K1119">
        <v>-1.5332384185740899E-2</v>
      </c>
      <c r="L1119">
        <v>0</v>
      </c>
      <c r="M1119">
        <v>191000772</v>
      </c>
      <c r="N1119">
        <v>0</v>
      </c>
      <c r="O1119" t="b">
        <v>1</v>
      </c>
    </row>
    <row r="1120" spans="1:15" x14ac:dyDescent="0.3">
      <c r="A1120" s="1" t="s">
        <v>1222</v>
      </c>
      <c r="B1120">
        <v>0.71184970614351961</v>
      </c>
      <c r="C1120">
        <v>1.983973539976364E-2</v>
      </c>
      <c r="D1120">
        <v>2.5641025641025689E-2</v>
      </c>
      <c r="E1120">
        <v>31.022509508991391</v>
      </c>
      <c r="F1120">
        <v>-4.9032600053008017E-2</v>
      </c>
      <c r="G1120">
        <v>0.2</v>
      </c>
      <c r="H1120">
        <v>-5.0075155494890229E-2</v>
      </c>
      <c r="I1120">
        <v>5.3727708966293829E-2</v>
      </c>
      <c r="J1120">
        <v>-8.352490421455927E-2</v>
      </c>
      <c r="K1120">
        <v>-1.9136139967195102E-2</v>
      </c>
      <c r="L1120">
        <v>0</v>
      </c>
      <c r="M1120">
        <v>32547621.5</v>
      </c>
      <c r="N1120">
        <v>0</v>
      </c>
      <c r="O1120" t="b">
        <v>0</v>
      </c>
    </row>
    <row r="1121" spans="1:15" x14ac:dyDescent="0.3">
      <c r="A1121" s="1" t="s">
        <v>1223</v>
      </c>
      <c r="B1121">
        <v>9.6893140162703819</v>
      </c>
      <c r="C1121">
        <v>3.7339116423323687E-2</v>
      </c>
      <c r="D1121">
        <v>6.9477253896992219E-2</v>
      </c>
      <c r="E1121">
        <v>45.844801095735917</v>
      </c>
      <c r="F1121">
        <v>-1.7358441981376819E-2</v>
      </c>
      <c r="G1121">
        <v>0.2</v>
      </c>
      <c r="H1121">
        <v>-0.22101083997271151</v>
      </c>
      <c r="I1121">
        <v>0.96684064277640891</v>
      </c>
      <c r="J1121">
        <v>-2.3331351103148771E-2</v>
      </c>
      <c r="K1121">
        <v>4.8566325623494722E-2</v>
      </c>
      <c r="L1121">
        <v>0</v>
      </c>
      <c r="M1121">
        <v>546587023.02250004</v>
      </c>
      <c r="N1121">
        <v>0</v>
      </c>
      <c r="O1121" t="b">
        <v>1</v>
      </c>
    </row>
    <row r="1122" spans="1:15" x14ac:dyDescent="0.3">
      <c r="A1122" s="1" t="s">
        <v>1224</v>
      </c>
      <c r="B1122">
        <v>12.297347655354709</v>
      </c>
      <c r="C1122">
        <v>5.1645658121686262E-2</v>
      </c>
      <c r="D1122">
        <v>3.6579732056612517E-2</v>
      </c>
      <c r="E1122">
        <v>64.907049379537597</v>
      </c>
      <c r="F1122">
        <v>0.16611979039130231</v>
      </c>
      <c r="G1122">
        <v>0.8</v>
      </c>
      <c r="H1122">
        <v>-3.3042093931188177E-2</v>
      </c>
      <c r="I1122">
        <v>3.0867329135526491</v>
      </c>
      <c r="J1122">
        <v>0</v>
      </c>
      <c r="K1122">
        <v>8.4706280970734404E-3</v>
      </c>
      <c r="L1122">
        <v>0</v>
      </c>
      <c r="M1122">
        <v>971287065</v>
      </c>
      <c r="N1122">
        <v>0</v>
      </c>
      <c r="O1122" t="b">
        <v>1</v>
      </c>
    </row>
    <row r="1123" spans="1:15" x14ac:dyDescent="0.3">
      <c r="A1123" s="1" t="s">
        <v>1225</v>
      </c>
      <c r="B1123">
        <v>0.78327062061068742</v>
      </c>
      <c r="C1123">
        <v>1.1202126676315869E-2</v>
      </c>
      <c r="D1123">
        <v>1.8510732019862142E-2</v>
      </c>
      <c r="E1123">
        <v>68.411756920032872</v>
      </c>
      <c r="F1123">
        <v>3.360927152317883E-2</v>
      </c>
      <c r="G1123">
        <v>0.6</v>
      </c>
      <c r="H1123">
        <v>1.821779676509128E-2</v>
      </c>
      <c r="I1123">
        <v>0.91417773413822112</v>
      </c>
      <c r="J1123">
        <v>0</v>
      </c>
      <c r="K1123">
        <v>1.608522597642659E-2</v>
      </c>
      <c r="L1123">
        <v>0</v>
      </c>
      <c r="M1123">
        <v>64831613.593500003</v>
      </c>
      <c r="N1123">
        <v>0</v>
      </c>
      <c r="O1123" t="b">
        <v>0</v>
      </c>
    </row>
    <row r="1124" spans="1:15" x14ac:dyDescent="0.3">
      <c r="A1124" s="1" t="s">
        <v>1226</v>
      </c>
      <c r="B1124">
        <v>0.2111525810499523</v>
      </c>
      <c r="C1124">
        <v>1.5234673957428019E-2</v>
      </c>
      <c r="D1124">
        <v>9.3795093795094354E-3</v>
      </c>
      <c r="E1124">
        <v>46.577767957675952</v>
      </c>
      <c r="F1124">
        <v>2.5147928994082799E-2</v>
      </c>
      <c r="G1124">
        <v>0.6</v>
      </c>
      <c r="H1124">
        <v>-9.9577416581809769E-2</v>
      </c>
      <c r="I1124">
        <v>-2.2099114227819971E-2</v>
      </c>
      <c r="J1124">
        <v>-2.325581395348841E-2</v>
      </c>
      <c r="K1124">
        <v>2.8943560057885791E-3</v>
      </c>
      <c r="L1124">
        <v>0</v>
      </c>
      <c r="M1124">
        <v>20003721.831599999</v>
      </c>
      <c r="N1124">
        <v>0</v>
      </c>
      <c r="O1124" t="b">
        <v>0</v>
      </c>
    </row>
    <row r="1125" spans="1:15" x14ac:dyDescent="0.3">
      <c r="A1125" s="1" t="s">
        <v>1227</v>
      </c>
      <c r="B1125">
        <v>0.42502715011450071</v>
      </c>
      <c r="C1125">
        <v>1.0361991962399361E-2</v>
      </c>
      <c r="D1125">
        <v>1.132920017845869E-2</v>
      </c>
      <c r="E1125">
        <v>62.062596852290049</v>
      </c>
      <c r="F1125">
        <v>1.2202826021508351E-2</v>
      </c>
      <c r="G1125">
        <v>0.6</v>
      </c>
      <c r="H1125">
        <v>-4.1451861974151454E-3</v>
      </c>
      <c r="I1125">
        <v>0.93670295830738393</v>
      </c>
      <c r="J1125">
        <v>0</v>
      </c>
      <c r="K1125">
        <v>7.77614529229953E-3</v>
      </c>
      <c r="L1125">
        <v>0</v>
      </c>
      <c r="M1125">
        <v>18436228.425999999</v>
      </c>
      <c r="N1125">
        <v>0</v>
      </c>
      <c r="O1125" t="b">
        <v>0</v>
      </c>
    </row>
    <row r="1126" spans="1:15" x14ac:dyDescent="0.3">
      <c r="A1126" s="1" t="s">
        <v>1228</v>
      </c>
      <c r="B1126">
        <v>0.23624630350383929</v>
      </c>
      <c r="C1126">
        <v>9.5751331827162341E-3</v>
      </c>
      <c r="D1126">
        <v>8.9815141308884922E-3</v>
      </c>
      <c r="E1126">
        <v>43.564716075612758</v>
      </c>
      <c r="F1126">
        <v>-1.649087560689777E-2</v>
      </c>
      <c r="G1126">
        <v>0.2</v>
      </c>
      <c r="H1126">
        <v>-0.1469583514651327</v>
      </c>
      <c r="I1126">
        <v>0.3687514078195433</v>
      </c>
      <c r="J1126">
        <v>-2.4913746428331551E-2</v>
      </c>
      <c r="K1126">
        <v>4.0082362132951577E-3</v>
      </c>
      <c r="L1126">
        <v>0</v>
      </c>
      <c r="M1126">
        <v>20592453.909249999</v>
      </c>
      <c r="N1126">
        <v>0</v>
      </c>
      <c r="O1126" t="b">
        <v>0</v>
      </c>
    </row>
    <row r="1127" spans="1:15" x14ac:dyDescent="0.3">
      <c r="A1127" s="1" t="s">
        <v>1229</v>
      </c>
      <c r="B1127">
        <v>1.10244389780638</v>
      </c>
      <c r="C1127">
        <v>1.6590278246388031E-2</v>
      </c>
      <c r="D1127">
        <v>1.696432871039185E-2</v>
      </c>
      <c r="E1127">
        <v>30.28245270157635</v>
      </c>
      <c r="F1127">
        <v>-4.1232740336752727E-2</v>
      </c>
      <c r="G1127">
        <v>0</v>
      </c>
      <c r="H1127">
        <v>-0.1823286908526873</v>
      </c>
      <c r="I1127">
        <v>0.3248235618674078</v>
      </c>
      <c r="J1127">
        <v>-5.6974995033065468E-2</v>
      </c>
      <c r="K1127">
        <v>-8.7044470997856838E-3</v>
      </c>
      <c r="L1127">
        <v>0</v>
      </c>
      <c r="M1127">
        <v>73652864.390049994</v>
      </c>
      <c r="N1127">
        <v>0</v>
      </c>
      <c r="O1127" t="b">
        <v>0</v>
      </c>
    </row>
    <row r="1128" spans="1:15" x14ac:dyDescent="0.3">
      <c r="A1128" s="1" t="s">
        <v>1230</v>
      </c>
      <c r="B1128">
        <v>22.567374467002931</v>
      </c>
      <c r="C1128">
        <v>3.1075549038161041E-2</v>
      </c>
      <c r="D1128">
        <v>4.8883931645116417E-2</v>
      </c>
      <c r="E1128">
        <v>56.114257774231532</v>
      </c>
      <c r="F1128">
        <v>0.1105486909713729</v>
      </c>
      <c r="G1128">
        <v>0.2</v>
      </c>
      <c r="H1128">
        <v>0.12999351120534841</v>
      </c>
      <c r="I1128">
        <v>0.18579164552169439</v>
      </c>
      <c r="J1128">
        <v>-7.7617741197988144E-2</v>
      </c>
      <c r="K1128">
        <v>4.8557567356839693E-2</v>
      </c>
      <c r="L1128">
        <v>0</v>
      </c>
      <c r="M1128">
        <v>604634769.54299998</v>
      </c>
      <c r="N1128">
        <v>0</v>
      </c>
      <c r="O1128" t="b">
        <v>1</v>
      </c>
    </row>
    <row r="1129" spans="1:15" x14ac:dyDescent="0.3">
      <c r="A1129" s="1" t="s">
        <v>1231</v>
      </c>
      <c r="B1129">
        <v>0.64698815805729226</v>
      </c>
      <c r="C1129">
        <v>1.6142419113205891E-2</v>
      </c>
      <c r="D1129">
        <v>1.5718562874251558E-2</v>
      </c>
      <c r="E1129">
        <v>38.9803334462162</v>
      </c>
      <c r="F1129">
        <v>-4.6395431834404088E-2</v>
      </c>
      <c r="G1129">
        <v>0.6</v>
      </c>
      <c r="H1129">
        <v>-0.24714563512390561</v>
      </c>
      <c r="I1129">
        <v>0.46857122441701038</v>
      </c>
      <c r="J1129">
        <v>-5.6497175141242861E-2</v>
      </c>
      <c r="K1129">
        <v>1.365705614567525E-2</v>
      </c>
      <c r="L1129">
        <v>0</v>
      </c>
      <c r="M1129">
        <v>45469378.140500002</v>
      </c>
      <c r="N1129">
        <v>0</v>
      </c>
      <c r="O1129" t="b">
        <v>0</v>
      </c>
    </row>
    <row r="1130" spans="1:15" x14ac:dyDescent="0.3">
      <c r="A1130" s="1" t="s">
        <v>1232</v>
      </c>
      <c r="B1130">
        <v>0.83371214055658061</v>
      </c>
      <c r="C1130">
        <v>2.0657710428475369E-2</v>
      </c>
      <c r="D1130">
        <v>3.2843224706628732E-2</v>
      </c>
      <c r="E1130">
        <v>47.812737188857312</v>
      </c>
      <c r="F1130">
        <v>-1.899615701545199E-2</v>
      </c>
      <c r="G1130">
        <v>0.2</v>
      </c>
      <c r="H1130">
        <v>-0.1240482559442217</v>
      </c>
      <c r="I1130">
        <v>0.76799377585432937</v>
      </c>
      <c r="J1130">
        <v>-3.3634955259547288E-2</v>
      </c>
      <c r="K1130">
        <v>2.900239413170036E-2</v>
      </c>
      <c r="L1130">
        <v>0</v>
      </c>
      <c r="M1130">
        <v>84316087.642499998</v>
      </c>
      <c r="N1130">
        <v>0</v>
      </c>
      <c r="O1130" t="b">
        <v>0</v>
      </c>
    </row>
    <row r="1131" spans="1:15" x14ac:dyDescent="0.3">
      <c r="A1131" s="1" t="s">
        <v>1233</v>
      </c>
      <c r="B1131">
        <v>0.57219045580260364</v>
      </c>
      <c r="C1131">
        <v>2.0898117450789028E-2</v>
      </c>
      <c r="D1131">
        <v>3.8349159970781491E-2</v>
      </c>
      <c r="E1131">
        <v>77.82883844547483</v>
      </c>
      <c r="F1131">
        <v>0.10495453866735539</v>
      </c>
      <c r="G1131">
        <v>0.8</v>
      </c>
      <c r="H1131">
        <v>-2.0034410158364921E-2</v>
      </c>
      <c r="I1131">
        <v>0.93949336101124548</v>
      </c>
      <c r="J1131">
        <v>0</v>
      </c>
      <c r="K1131">
        <v>3.5552193645990833E-2</v>
      </c>
      <c r="L1131">
        <v>0</v>
      </c>
      <c r="M1131">
        <v>243248621.65560001</v>
      </c>
      <c r="N1131">
        <v>0</v>
      </c>
      <c r="O1131" t="b">
        <v>1</v>
      </c>
    </row>
    <row r="1132" spans="1:15" x14ac:dyDescent="0.3">
      <c r="A1132" s="1" t="s">
        <v>1234</v>
      </c>
      <c r="B1132">
        <v>4.533744636220602</v>
      </c>
      <c r="C1132">
        <v>2.3033457988348511E-2</v>
      </c>
      <c r="D1132">
        <v>2.9039845960788992E-2</v>
      </c>
      <c r="E1132">
        <v>61.903556655299667</v>
      </c>
      <c r="F1132">
        <v>5.9039061659313267E-2</v>
      </c>
      <c r="G1132">
        <v>0.8</v>
      </c>
      <c r="H1132">
        <v>-2.4375806389355409E-2</v>
      </c>
      <c r="I1132">
        <v>0.17099597682410719</v>
      </c>
      <c r="J1132">
        <v>0</v>
      </c>
      <c r="K1132">
        <v>2.408911411372339E-2</v>
      </c>
      <c r="L1132">
        <v>0</v>
      </c>
      <c r="M1132">
        <v>77302611.066500008</v>
      </c>
      <c r="N1132">
        <v>0</v>
      </c>
      <c r="O1132" t="b">
        <v>0</v>
      </c>
    </row>
    <row r="1133" spans="1:15" x14ac:dyDescent="0.3">
      <c r="A1133" s="1" t="s">
        <v>1235</v>
      </c>
      <c r="B1133">
        <v>1.483175785014297</v>
      </c>
      <c r="C1133">
        <v>9.0658666565666096E-2</v>
      </c>
      <c r="D1133">
        <v>5.4400977995109838E-2</v>
      </c>
      <c r="E1133">
        <v>63.22315709231227</v>
      </c>
      <c r="F1133">
        <v>0.1829356471438901</v>
      </c>
      <c r="G1133">
        <v>0.6</v>
      </c>
      <c r="H1133">
        <v>6.856716647291447E-2</v>
      </c>
      <c r="I1133">
        <v>1.1555001755962599</v>
      </c>
      <c r="J1133">
        <v>-3.6513545347467653E-2</v>
      </c>
      <c r="K1133">
        <v>-1.445783132530132E-2</v>
      </c>
      <c r="L1133">
        <v>3.968253968253968E-3</v>
      </c>
      <c r="M1133">
        <v>2576115</v>
      </c>
      <c r="N1133">
        <v>0</v>
      </c>
      <c r="O1133" t="b">
        <v>0</v>
      </c>
    </row>
    <row r="1134" spans="1:15" x14ac:dyDescent="0.3">
      <c r="A1134" s="1" t="s">
        <v>1236</v>
      </c>
      <c r="B1134">
        <v>5.7956279114775713</v>
      </c>
      <c r="C1134">
        <v>3.5382343781914349E-2</v>
      </c>
      <c r="D1134">
        <v>2.7289377289377279E-2</v>
      </c>
      <c r="E1134">
        <v>56.210009919458031</v>
      </c>
      <c r="F1134">
        <v>0.12453659206371</v>
      </c>
      <c r="G1134">
        <v>0.2</v>
      </c>
      <c r="H1134">
        <v>0.17236132060365211</v>
      </c>
      <c r="I1134">
        <v>1.5017405943154609</v>
      </c>
      <c r="J1134">
        <v>-4.6343735444806633E-2</v>
      </c>
      <c r="K1134">
        <v>1.9480923632289929E-2</v>
      </c>
      <c r="L1134">
        <v>0</v>
      </c>
      <c r="M1134">
        <v>95298123</v>
      </c>
      <c r="N1134">
        <v>0</v>
      </c>
      <c r="O1134" t="b">
        <v>1</v>
      </c>
    </row>
    <row r="1135" spans="1:15" x14ac:dyDescent="0.3">
      <c r="A1135" s="1" t="s">
        <v>1237</v>
      </c>
      <c r="B1135">
        <v>6.0471744227306639</v>
      </c>
      <c r="C1135">
        <v>2.893758726118046E-2</v>
      </c>
      <c r="D1135">
        <v>3.5621826743167717E-2</v>
      </c>
      <c r="E1135">
        <v>66.54606700290816</v>
      </c>
      <c r="F1135">
        <v>0.13365882767786921</v>
      </c>
      <c r="G1135">
        <v>0.6</v>
      </c>
      <c r="H1135">
        <v>5.2245296445620301E-2</v>
      </c>
      <c r="I1135">
        <v>1.0621411033301269</v>
      </c>
      <c r="J1135">
        <v>0</v>
      </c>
      <c r="K1135">
        <v>3.0916697088394059E-2</v>
      </c>
      <c r="L1135">
        <v>0</v>
      </c>
      <c r="M1135">
        <v>109620605.15350001</v>
      </c>
      <c r="N1135">
        <v>0</v>
      </c>
      <c r="O1135" t="b">
        <v>1</v>
      </c>
    </row>
    <row r="1136" spans="1:15" x14ac:dyDescent="0.3">
      <c r="A1136" s="1" t="s">
        <v>1238</v>
      </c>
      <c r="B1136">
        <v>2.8501465754651991</v>
      </c>
      <c r="C1136">
        <v>0.1091174033485911</v>
      </c>
      <c r="D1136">
        <v>8.1546707503828447E-2</v>
      </c>
      <c r="E1136">
        <v>43.799050568447022</v>
      </c>
      <c r="F1136">
        <v>-0.21039903264812571</v>
      </c>
      <c r="G1136">
        <v>0.4</v>
      </c>
      <c r="H1136">
        <v>0.119422534507683</v>
      </c>
      <c r="I1136">
        <v>3.4944432956485909</v>
      </c>
      <c r="J1136">
        <v>-0.16815286624203821</v>
      </c>
      <c r="K1136">
        <v>-7.4415308291991389E-2</v>
      </c>
      <c r="L1136">
        <v>0</v>
      </c>
      <c r="M1136">
        <v>789724225.5</v>
      </c>
      <c r="N1136">
        <v>0</v>
      </c>
      <c r="O1136" t="b">
        <v>1</v>
      </c>
    </row>
    <row r="1137" spans="1:15" x14ac:dyDescent="0.3">
      <c r="A1137" s="1" t="s">
        <v>1239</v>
      </c>
      <c r="B1137">
        <v>1.329733076683751</v>
      </c>
      <c r="C1137">
        <v>1.7441409715159381E-2</v>
      </c>
      <c r="D1137">
        <v>2.5314795383000951E-2</v>
      </c>
      <c r="E1137">
        <v>72.781563097724188</v>
      </c>
      <c r="F1137">
        <v>8.4649310001422506E-2</v>
      </c>
      <c r="G1137">
        <v>0.4</v>
      </c>
      <c r="H1137">
        <v>0.20973687974341679</v>
      </c>
      <c r="I1137">
        <v>0.90154718000346723</v>
      </c>
      <c r="J1137">
        <v>0</v>
      </c>
      <c r="K1137">
        <v>2.4731182795698858E-2</v>
      </c>
      <c r="L1137">
        <v>0</v>
      </c>
      <c r="M1137">
        <v>187097911.93200001</v>
      </c>
      <c r="N1137">
        <v>0</v>
      </c>
      <c r="O1137" t="b">
        <v>1</v>
      </c>
    </row>
    <row r="1138" spans="1:15" x14ac:dyDescent="0.3">
      <c r="A1138" s="1" t="s">
        <v>1240</v>
      </c>
      <c r="B1138">
        <v>0.90198039651292272</v>
      </c>
      <c r="C1138">
        <v>5.1541736943595581E-2</v>
      </c>
      <c r="D1138">
        <v>5.457142857142868E-2</v>
      </c>
      <c r="E1138">
        <v>62.898093115363892</v>
      </c>
      <c r="F1138">
        <v>6.6422912858013383E-2</v>
      </c>
      <c r="G1138">
        <v>0.4</v>
      </c>
      <c r="H1138">
        <v>8.8454812656430279E-2</v>
      </c>
      <c r="I1138">
        <v>2.071796267366298</v>
      </c>
      <c r="J1138">
        <v>-3.100775193798444E-2</v>
      </c>
      <c r="K1138">
        <v>-1.1857707509881471E-2</v>
      </c>
      <c r="L1138">
        <v>0</v>
      </c>
      <c r="M1138">
        <v>453201281</v>
      </c>
      <c r="N1138">
        <v>0</v>
      </c>
      <c r="O1138" t="b">
        <v>1</v>
      </c>
    </row>
    <row r="1139" spans="1:15" x14ac:dyDescent="0.3">
      <c r="A1139" s="1" t="s">
        <v>1241</v>
      </c>
      <c r="B1139">
        <v>3.2829110194172721</v>
      </c>
      <c r="C1139">
        <v>1.9731522724726509E-2</v>
      </c>
      <c r="D1139">
        <v>1.7369980586492379E-2</v>
      </c>
      <c r="E1139">
        <v>65.366497442039574</v>
      </c>
      <c r="F1139">
        <v>3.09446354989622E-2</v>
      </c>
      <c r="G1139">
        <v>1</v>
      </c>
      <c r="H1139">
        <v>-8.02875564579551E-2</v>
      </c>
      <c r="I1139">
        <v>0.72824325392905409</v>
      </c>
      <c r="J1139">
        <v>0</v>
      </c>
      <c r="K1139">
        <v>1.2191634980988519E-2</v>
      </c>
      <c r="L1139">
        <v>0</v>
      </c>
      <c r="M1139">
        <v>174800607.60299999</v>
      </c>
      <c r="N1139">
        <v>0</v>
      </c>
      <c r="O1139" t="b">
        <v>1</v>
      </c>
    </row>
    <row r="1140" spans="1:15" x14ac:dyDescent="0.3">
      <c r="A1140" s="1" t="s">
        <v>1242</v>
      </c>
      <c r="B1140">
        <v>3.7457461005042449</v>
      </c>
      <c r="C1140">
        <v>6.5120759744510509E-2</v>
      </c>
      <c r="D1140">
        <v>0.11439499304589699</v>
      </c>
      <c r="E1140">
        <v>65.43892135493104</v>
      </c>
      <c r="F1140">
        <v>0.1082851637764934</v>
      </c>
      <c r="G1140">
        <v>0.8</v>
      </c>
      <c r="H1140">
        <v>6.8091045572114373E-2</v>
      </c>
      <c r="I1140">
        <v>3.2840572746219192</v>
      </c>
      <c r="J1140">
        <v>0</v>
      </c>
      <c r="K1140">
        <v>7.6548755380872135E-2</v>
      </c>
      <c r="L1140">
        <v>0</v>
      </c>
      <c r="M1140">
        <v>623207117</v>
      </c>
      <c r="N1140">
        <v>0</v>
      </c>
      <c r="O1140" t="b">
        <v>1</v>
      </c>
    </row>
    <row r="1141" spans="1:15" x14ac:dyDescent="0.3">
      <c r="A1141" s="1" t="s">
        <v>1243</v>
      </c>
      <c r="B1141">
        <v>0.85108599399428442</v>
      </c>
      <c r="C1141">
        <v>4.4235238773091712E-2</v>
      </c>
      <c r="D1141">
        <v>4.0904365904366052E-2</v>
      </c>
      <c r="E1141">
        <v>57.479168962136661</v>
      </c>
      <c r="F1141">
        <v>0.12646370023419201</v>
      </c>
      <c r="G1141">
        <v>0.4</v>
      </c>
      <c r="H1141">
        <v>-6.1508672520171732E-2</v>
      </c>
      <c r="I1141">
        <v>1.548947294574839</v>
      </c>
      <c r="J1141">
        <v>-5.2683407188577107E-2</v>
      </c>
      <c r="K1141">
        <v>1.316482359136395E-2</v>
      </c>
      <c r="L1141">
        <v>0</v>
      </c>
      <c r="M1141">
        <v>208082339</v>
      </c>
      <c r="N1141">
        <v>0</v>
      </c>
      <c r="O1141" t="b">
        <v>1</v>
      </c>
    </row>
    <row r="1142" spans="1:15" x14ac:dyDescent="0.3">
      <c r="A1142" s="1" t="s">
        <v>1244</v>
      </c>
      <c r="B1142">
        <v>10.587779290833669</v>
      </c>
      <c r="C1142">
        <v>2.9674518818357979E-2</v>
      </c>
      <c r="D1142">
        <v>3.3853984198297653E-2</v>
      </c>
      <c r="E1142">
        <v>57.577747990472318</v>
      </c>
      <c r="F1142">
        <v>6.8686445120033524E-2</v>
      </c>
      <c r="G1142">
        <v>0.4</v>
      </c>
      <c r="H1142">
        <v>9.1198598143652665E-2</v>
      </c>
      <c r="I1142">
        <v>1.466692063982586</v>
      </c>
      <c r="J1142">
        <v>-3.6420791664753649E-2</v>
      </c>
      <c r="K1142">
        <v>6.1049200297773609E-3</v>
      </c>
      <c r="L1142">
        <v>0</v>
      </c>
      <c r="M1142">
        <v>183099237.40200001</v>
      </c>
      <c r="N1142">
        <v>0</v>
      </c>
      <c r="O1142" t="b">
        <v>1</v>
      </c>
    </row>
    <row r="1143" spans="1:15" x14ac:dyDescent="0.3">
      <c r="A1143" s="1" t="s">
        <v>1245</v>
      </c>
      <c r="B1143">
        <v>5.272153835318357</v>
      </c>
      <c r="C1143">
        <v>4.9346254542478069E-2</v>
      </c>
      <c r="D1143">
        <v>4.5956570572819128E-2</v>
      </c>
      <c r="E1143">
        <v>61.960383508702499</v>
      </c>
      <c r="F1143">
        <v>-3.3996383363471883E-2</v>
      </c>
      <c r="G1143">
        <v>1</v>
      </c>
      <c r="H1143">
        <v>8.0171061004130087E-2</v>
      </c>
      <c r="I1143">
        <v>3.5995545058904961</v>
      </c>
      <c r="J1143">
        <v>0</v>
      </c>
      <c r="K1143">
        <v>2.0341896666985049E-2</v>
      </c>
      <c r="L1143">
        <v>0</v>
      </c>
      <c r="M1143">
        <v>68905189.5</v>
      </c>
      <c r="N1143">
        <v>0</v>
      </c>
      <c r="O1143" t="b">
        <v>0</v>
      </c>
    </row>
    <row r="1144" spans="1:15" x14ac:dyDescent="0.3">
      <c r="A1144" s="1" t="s">
        <v>1246</v>
      </c>
      <c r="B1144">
        <v>6.5576192356013232</v>
      </c>
      <c r="C1144">
        <v>2.613440686277772E-2</v>
      </c>
      <c r="D1144">
        <v>5.3559116687058463E-2</v>
      </c>
      <c r="E1144">
        <v>48.794991954054368</v>
      </c>
      <c r="F1144">
        <v>7.9901980476440038E-3</v>
      </c>
      <c r="G1144">
        <v>0.6</v>
      </c>
      <c r="H1144">
        <v>-0.15946889212792589</v>
      </c>
      <c r="I1144">
        <v>0.44641027867480709</v>
      </c>
      <c r="J1144">
        <v>-1.968299362783588E-2</v>
      </c>
      <c r="K1144">
        <v>2.0203293352307531E-2</v>
      </c>
      <c r="L1144">
        <v>0</v>
      </c>
      <c r="M1144">
        <v>231162496.46399999</v>
      </c>
      <c r="N1144">
        <v>0</v>
      </c>
      <c r="O1144" t="b">
        <v>1</v>
      </c>
    </row>
    <row r="1145" spans="1:15" x14ac:dyDescent="0.3">
      <c r="A1145" s="1" t="s">
        <v>1247</v>
      </c>
      <c r="B1145">
        <v>0.72850231715939273</v>
      </c>
      <c r="C1145">
        <v>1.021026373033487E-2</v>
      </c>
      <c r="D1145">
        <v>2.102312543798258E-3</v>
      </c>
      <c r="E1145">
        <v>73.433905164116496</v>
      </c>
      <c r="F1145">
        <v>2.162084765177541E-2</v>
      </c>
      <c r="G1145">
        <v>0.6</v>
      </c>
      <c r="H1145">
        <v>0.16226850971109469</v>
      </c>
      <c r="I1145">
        <v>1.7537627312033119</v>
      </c>
      <c r="J1145">
        <v>-4.8814504881451448E-3</v>
      </c>
      <c r="K1145">
        <v>7.0126227208966441E-4</v>
      </c>
      <c r="L1145">
        <v>0</v>
      </c>
      <c r="M1145">
        <v>54086432.5</v>
      </c>
      <c r="N1145">
        <v>0</v>
      </c>
      <c r="O1145" t="b">
        <v>0</v>
      </c>
    </row>
    <row r="1146" spans="1:15" x14ac:dyDescent="0.3">
      <c r="A1146" s="1" t="s">
        <v>1248</v>
      </c>
      <c r="B1146">
        <v>5.4658186798995949</v>
      </c>
      <c r="C1146">
        <v>2.0603183986956139E-2</v>
      </c>
      <c r="D1146">
        <v>2.197595084624367E-2</v>
      </c>
      <c r="E1146">
        <v>55.426708700893293</v>
      </c>
      <c r="F1146">
        <v>-8.6322869955156589E-3</v>
      </c>
      <c r="G1146">
        <v>0.4</v>
      </c>
      <c r="H1146">
        <v>3.5560146122730452E-2</v>
      </c>
      <c r="I1146">
        <v>-0.24755405462070579</v>
      </c>
      <c r="J1146">
        <v>-1.2617239839213919E-2</v>
      </c>
      <c r="K1146">
        <v>7.1371625982308276E-3</v>
      </c>
      <c r="L1146">
        <v>0</v>
      </c>
      <c r="M1146">
        <v>103113963.51199999</v>
      </c>
      <c r="N1146">
        <v>0</v>
      </c>
      <c r="O1146" t="b">
        <v>1</v>
      </c>
    </row>
    <row r="1147" spans="1:15" x14ac:dyDescent="0.3">
      <c r="A1147" s="1" t="s">
        <v>1249</v>
      </c>
      <c r="B1147">
        <v>0.61198019887880994</v>
      </c>
      <c r="C1147">
        <v>3.0236175833933301E-2</v>
      </c>
      <c r="D1147">
        <v>2.0750988142292402E-2</v>
      </c>
      <c r="E1147">
        <v>51.565856488837859</v>
      </c>
      <c r="F1147">
        <v>-4.3930089749645851E-2</v>
      </c>
      <c r="G1147">
        <v>0.4</v>
      </c>
      <c r="H1147">
        <v>0.24562729557020899</v>
      </c>
      <c r="I1147">
        <v>0.40517529598516111</v>
      </c>
      <c r="J1147">
        <v>-5.065666041275807E-2</v>
      </c>
      <c r="K1147">
        <v>-9.3000489476261494E-3</v>
      </c>
      <c r="L1147">
        <v>0</v>
      </c>
      <c r="M1147">
        <v>66455540</v>
      </c>
      <c r="N1147">
        <v>0</v>
      </c>
      <c r="O1147" t="b">
        <v>0</v>
      </c>
    </row>
    <row r="1148" spans="1:15" x14ac:dyDescent="0.3">
      <c r="A1148" s="1" t="s">
        <v>1250</v>
      </c>
      <c r="B1148">
        <v>9.0082826108627341</v>
      </c>
      <c r="C1148">
        <v>2.195910248120014E-2</v>
      </c>
      <c r="D1148">
        <v>3.0958242936889171E-2</v>
      </c>
      <c r="E1148">
        <v>70.118415506192235</v>
      </c>
      <c r="F1148">
        <v>5.2389894512170132E-2</v>
      </c>
      <c r="G1148">
        <v>0.6</v>
      </c>
      <c r="H1148">
        <v>0.1776854632895179</v>
      </c>
      <c r="I1148">
        <v>1.3110880673711101</v>
      </c>
      <c r="J1148">
        <v>0</v>
      </c>
      <c r="K1148">
        <v>2.4013379596115939E-2</v>
      </c>
      <c r="L1148">
        <v>0</v>
      </c>
      <c r="M1148">
        <v>265099367.95950001</v>
      </c>
      <c r="N1148">
        <v>0</v>
      </c>
      <c r="O1148" t="b">
        <v>1</v>
      </c>
    </row>
    <row r="1149" spans="1:15" x14ac:dyDescent="0.3">
      <c r="A1149" s="1" t="s">
        <v>1251</v>
      </c>
      <c r="B1149">
        <v>4.4500220945741367</v>
      </c>
      <c r="C1149">
        <v>4.2236352454196442E-2</v>
      </c>
      <c r="D1149">
        <v>3.2033029612756267E-2</v>
      </c>
      <c r="E1149">
        <v>61.755419917220458</v>
      </c>
      <c r="F1149">
        <v>3.428571428571336E-3</v>
      </c>
      <c r="G1149">
        <v>0.8</v>
      </c>
      <c r="H1149">
        <v>4.2577387140429433E-2</v>
      </c>
      <c r="I1149">
        <v>1.601300338379251</v>
      </c>
      <c r="J1149">
        <v>-1.339076692574215E-2</v>
      </c>
      <c r="K1149">
        <v>-1.894657067070926E-3</v>
      </c>
      <c r="L1149">
        <v>0</v>
      </c>
      <c r="M1149">
        <v>260914651.5</v>
      </c>
      <c r="N1149">
        <v>0</v>
      </c>
      <c r="O1149" t="b">
        <v>1</v>
      </c>
    </row>
    <row r="1150" spans="1:15" x14ac:dyDescent="0.3">
      <c r="A1150" s="1" t="s">
        <v>1252</v>
      </c>
      <c r="B1150">
        <v>1.211769967923469</v>
      </c>
      <c r="C1150">
        <v>2.0618852610574601E-2</v>
      </c>
      <c r="D1150">
        <v>2.4332142249446988E-2</v>
      </c>
      <c r="E1150">
        <v>46.483484555954213</v>
      </c>
      <c r="F1150">
        <v>3.5860655737705032E-3</v>
      </c>
      <c r="G1150">
        <v>0.4</v>
      </c>
      <c r="H1150">
        <v>-2.462100539283528E-2</v>
      </c>
      <c r="I1150">
        <v>-0.15287641371452129</v>
      </c>
      <c r="J1150">
        <v>-4.4390243902438953E-2</v>
      </c>
      <c r="K1150">
        <v>1.3101189450094969E-2</v>
      </c>
      <c r="L1150">
        <v>0</v>
      </c>
      <c r="M1150">
        <v>91787475.38745001</v>
      </c>
      <c r="N1150">
        <v>0</v>
      </c>
      <c r="O1150" t="b">
        <v>0</v>
      </c>
    </row>
    <row r="1151" spans="1:15" x14ac:dyDescent="0.3">
      <c r="A1151" s="1" t="s">
        <v>1253</v>
      </c>
      <c r="B1151">
        <v>7.4237330761479452</v>
      </c>
      <c r="C1151">
        <v>1.6819521397058172E-2</v>
      </c>
      <c r="D1151">
        <v>1.2796345972594851E-2</v>
      </c>
      <c r="E1151">
        <v>39.973183908212498</v>
      </c>
      <c r="F1151">
        <v>-1.676097126308751E-2</v>
      </c>
      <c r="G1151">
        <v>0.4</v>
      </c>
      <c r="H1151">
        <v>-0.22467762833506219</v>
      </c>
      <c r="I1151">
        <v>0.28169484082545199</v>
      </c>
      <c r="J1151">
        <v>-2.8381861848376211E-2</v>
      </c>
      <c r="K1151">
        <v>3.7226627613198282E-3</v>
      </c>
      <c r="L1151">
        <v>0</v>
      </c>
      <c r="M1151">
        <v>361474546.53149998</v>
      </c>
      <c r="N1151">
        <v>0</v>
      </c>
      <c r="O1151" t="b">
        <v>1</v>
      </c>
    </row>
    <row r="1152" spans="1:15" x14ac:dyDescent="0.3">
      <c r="A1152" s="1" t="s">
        <v>1254</v>
      </c>
      <c r="B1152">
        <v>3.1812091846731669</v>
      </c>
      <c r="C1152">
        <v>1.7496475550946911E-2</v>
      </c>
      <c r="D1152">
        <v>3.0249697503024971E-2</v>
      </c>
      <c r="E1152">
        <v>79.102564560994395</v>
      </c>
      <c r="F1152">
        <v>0.12545805684856881</v>
      </c>
      <c r="G1152">
        <v>0.6</v>
      </c>
      <c r="H1152">
        <v>0.1641211853863771</v>
      </c>
      <c r="I1152">
        <v>0.87247053875313763</v>
      </c>
      <c r="J1152">
        <v>0</v>
      </c>
      <c r="K1152">
        <v>2.7115580160433691E-2</v>
      </c>
      <c r="L1152">
        <v>0</v>
      </c>
      <c r="M1152">
        <v>366890343.27600002</v>
      </c>
      <c r="N1152">
        <v>0</v>
      </c>
      <c r="O1152" t="b">
        <v>1</v>
      </c>
    </row>
    <row r="1153" spans="1:15" x14ac:dyDescent="0.3">
      <c r="A1153" s="1" t="s">
        <v>1255</v>
      </c>
      <c r="B1153">
        <v>2.1545533504357319</v>
      </c>
      <c r="C1153">
        <v>2.0717257547604111E-2</v>
      </c>
      <c r="D1153">
        <v>2.4971634069886041E-2</v>
      </c>
      <c r="E1153">
        <v>43.641920102319311</v>
      </c>
      <c r="F1153">
        <v>-3.2855641628925618E-2</v>
      </c>
      <c r="G1153">
        <v>0.4</v>
      </c>
      <c r="H1153">
        <v>-0.31180438452415932</v>
      </c>
      <c r="I1153">
        <v>0.39043234529909038</v>
      </c>
      <c r="J1153">
        <v>-3.3655454376509963E-2</v>
      </c>
      <c r="K1153">
        <v>1.9708200964819511E-2</v>
      </c>
      <c r="L1153">
        <v>0</v>
      </c>
      <c r="M1153">
        <v>80909897.215000004</v>
      </c>
      <c r="N1153">
        <v>0</v>
      </c>
      <c r="O1153" t="b">
        <v>0</v>
      </c>
    </row>
    <row r="1154" spans="1:15" x14ac:dyDescent="0.3">
      <c r="A1154" s="1" t="s">
        <v>1256</v>
      </c>
      <c r="B1154">
        <v>0.94434909093183383</v>
      </c>
      <c r="C1154">
        <v>2.4682412204177571E-2</v>
      </c>
      <c r="D1154">
        <v>1.47673810768426E-2</v>
      </c>
      <c r="E1154">
        <v>45.904589518256927</v>
      </c>
      <c r="F1154">
        <v>-1.737696534521715E-3</v>
      </c>
      <c r="G1154">
        <v>0.4</v>
      </c>
      <c r="H1154">
        <v>5.9520383447129723E-3</v>
      </c>
      <c r="I1154">
        <v>0.11162942340462639</v>
      </c>
      <c r="J1154">
        <v>-4.3978010994502832E-2</v>
      </c>
      <c r="K1154">
        <v>4.4631136781305702E-3</v>
      </c>
      <c r="L1154">
        <v>0</v>
      </c>
      <c r="M1154">
        <v>122316656.75405</v>
      </c>
      <c r="N1154">
        <v>0</v>
      </c>
      <c r="O1154" t="b">
        <v>1</v>
      </c>
    </row>
    <row r="1155" spans="1:15" x14ac:dyDescent="0.3">
      <c r="A1155" s="1" t="s">
        <v>1257</v>
      </c>
      <c r="B1155">
        <v>1.2823917825980791</v>
      </c>
      <c r="C1155">
        <v>3.4475121583061243E-2</v>
      </c>
      <c r="D1155">
        <v>3.4593629696539549E-2</v>
      </c>
      <c r="E1155">
        <v>44.855377583831569</v>
      </c>
      <c r="F1155">
        <v>-1.113607060731325E-2</v>
      </c>
      <c r="G1155">
        <v>0</v>
      </c>
      <c r="H1155">
        <v>2.087805380548487E-2</v>
      </c>
      <c r="I1155">
        <v>1.1047590255874971</v>
      </c>
      <c r="J1155">
        <v>-6.5177891538560129E-2</v>
      </c>
      <c r="K1155">
        <v>-6.6600795791385003E-3</v>
      </c>
      <c r="L1155">
        <v>0</v>
      </c>
      <c r="M1155">
        <v>98577223.171099991</v>
      </c>
      <c r="N1155">
        <v>0</v>
      </c>
      <c r="O1155" t="b">
        <v>1</v>
      </c>
    </row>
    <row r="1156" spans="1:15" x14ac:dyDescent="0.3">
      <c r="A1156" s="1" t="s">
        <v>1258</v>
      </c>
      <c r="B1156">
        <v>1.6122932839542039</v>
      </c>
      <c r="C1156">
        <v>2.818940963290854E-2</v>
      </c>
      <c r="D1156">
        <v>2.5330885566920279E-2</v>
      </c>
      <c r="E1156">
        <v>51.413746565035503</v>
      </c>
      <c r="F1156">
        <v>-2.7595247041301899E-2</v>
      </c>
      <c r="G1156">
        <v>0.4</v>
      </c>
      <c r="H1156">
        <v>-6.2278896224068132E-2</v>
      </c>
      <c r="I1156">
        <v>0.45508419401089328</v>
      </c>
      <c r="J1156">
        <v>-2.9894415468769919E-2</v>
      </c>
      <c r="K1156">
        <v>1.807780075970911E-2</v>
      </c>
      <c r="L1156">
        <v>0</v>
      </c>
      <c r="M1156">
        <v>31961794.856699999</v>
      </c>
      <c r="N1156">
        <v>0</v>
      </c>
      <c r="O1156" t="b">
        <v>0</v>
      </c>
    </row>
    <row r="1157" spans="1:15" x14ac:dyDescent="0.3">
      <c r="A1157" s="1" t="s">
        <v>1259</v>
      </c>
      <c r="B1157">
        <v>5.9254040326570134</v>
      </c>
      <c r="C1157">
        <v>3.873749882427132E-2</v>
      </c>
      <c r="D1157">
        <v>6.7369233082510194E-2</v>
      </c>
      <c r="E1157">
        <v>64.200271180973033</v>
      </c>
      <c r="F1157">
        <v>0.14287955768081281</v>
      </c>
      <c r="G1157">
        <v>1</v>
      </c>
      <c r="H1157">
        <v>2.155127527422895E-2</v>
      </c>
      <c r="I1157">
        <v>1.8883624235887879</v>
      </c>
      <c r="J1157">
        <v>0</v>
      </c>
      <c r="K1157">
        <v>3.0164866248215239E-2</v>
      </c>
      <c r="L1157">
        <v>0</v>
      </c>
      <c r="M1157">
        <v>93097910.708000004</v>
      </c>
      <c r="N1157">
        <v>0</v>
      </c>
      <c r="O1157" t="b">
        <v>1</v>
      </c>
    </row>
    <row r="1158" spans="1:15" x14ac:dyDescent="0.3">
      <c r="A1158" s="1" t="s">
        <v>1260</v>
      </c>
      <c r="B1158">
        <v>6.7175005957824201</v>
      </c>
      <c r="C1158">
        <v>2.3251187552464161E-2</v>
      </c>
      <c r="D1158">
        <v>3.464746806964103E-2</v>
      </c>
      <c r="E1158">
        <v>61.379485782526018</v>
      </c>
      <c r="F1158">
        <v>6.7199078007373014E-2</v>
      </c>
      <c r="G1158">
        <v>0.4</v>
      </c>
      <c r="H1158">
        <v>-9.0445640274469344E-2</v>
      </c>
      <c r="I1158">
        <v>0.81839867897626561</v>
      </c>
      <c r="J1158">
        <v>0</v>
      </c>
      <c r="K1158">
        <v>2.9505042226419139E-2</v>
      </c>
      <c r="L1158">
        <v>0</v>
      </c>
      <c r="M1158">
        <v>93810953.145000011</v>
      </c>
      <c r="N1158">
        <v>0</v>
      </c>
      <c r="O1158" t="b">
        <v>1</v>
      </c>
    </row>
    <row r="1159" spans="1:15" x14ac:dyDescent="0.3">
      <c r="A1159" s="1" t="s">
        <v>1261</v>
      </c>
      <c r="B1159">
        <v>3.6559941938299199</v>
      </c>
      <c r="C1159">
        <v>1.7666245597106129E-2</v>
      </c>
      <c r="D1159">
        <v>1.3104741287666409E-2</v>
      </c>
      <c r="E1159">
        <v>38.334984901855982</v>
      </c>
      <c r="F1159">
        <v>1.6853546123684501E-2</v>
      </c>
      <c r="G1159">
        <v>0.2</v>
      </c>
      <c r="H1159">
        <v>-0.17171437234100639</v>
      </c>
      <c r="I1159">
        <v>-0.26384156805216158</v>
      </c>
      <c r="J1159">
        <v>-5.223627687150223E-2</v>
      </c>
      <c r="K1159">
        <v>-8.4090789303459257E-3</v>
      </c>
      <c r="L1159">
        <v>0</v>
      </c>
      <c r="M1159">
        <v>272933324.88099998</v>
      </c>
      <c r="N1159">
        <v>0</v>
      </c>
      <c r="O1159" t="b">
        <v>1</v>
      </c>
    </row>
    <row r="1160" spans="1:15" x14ac:dyDescent="0.3">
      <c r="A1160" s="1" t="s">
        <v>1262</v>
      </c>
      <c r="B1160">
        <v>1.999468514601892</v>
      </c>
      <c r="C1160">
        <v>1.0391977935094681E-2</v>
      </c>
      <c r="D1160">
        <v>1.610145266495145E-2</v>
      </c>
      <c r="E1160">
        <v>62.052606968323587</v>
      </c>
      <c r="F1160">
        <v>2.401366735322763E-2</v>
      </c>
      <c r="G1160">
        <v>0.6</v>
      </c>
      <c r="H1160">
        <v>-8.7713445632563544E-2</v>
      </c>
      <c r="I1160">
        <v>0.74587931835174881</v>
      </c>
      <c r="J1160">
        <v>0</v>
      </c>
      <c r="K1160">
        <v>1.407225867657513E-2</v>
      </c>
      <c r="L1160">
        <v>0</v>
      </c>
      <c r="M1160">
        <v>1877608717.5834999</v>
      </c>
      <c r="N1160">
        <v>0</v>
      </c>
      <c r="O1160" t="b">
        <v>1</v>
      </c>
    </row>
    <row r="1161" spans="1:15" x14ac:dyDescent="0.3">
      <c r="A1161" s="1" t="s">
        <v>1263</v>
      </c>
      <c r="B1161">
        <v>0.83741208175733584</v>
      </c>
      <c r="C1161">
        <v>1.7700530157627049E-2</v>
      </c>
      <c r="D1161">
        <v>2.1963644049883699E-2</v>
      </c>
      <c r="E1161">
        <v>67.113826700730641</v>
      </c>
      <c r="F1161">
        <v>2.6670428159111029E-2</v>
      </c>
      <c r="G1161">
        <v>1</v>
      </c>
      <c r="H1161">
        <v>0.1111575879921055</v>
      </c>
      <c r="I1161">
        <v>1.5985591013298861</v>
      </c>
      <c r="J1161">
        <v>0</v>
      </c>
      <c r="K1161">
        <v>1.348528828954265E-2</v>
      </c>
      <c r="L1161">
        <v>0</v>
      </c>
      <c r="M1161">
        <v>11058560.537249999</v>
      </c>
      <c r="N1161">
        <v>0</v>
      </c>
      <c r="O1161" t="b">
        <v>0</v>
      </c>
    </row>
    <row r="1162" spans="1:15" x14ac:dyDescent="0.3">
      <c r="A1162" s="1" t="s">
        <v>1264</v>
      </c>
      <c r="B1162">
        <v>0.53540772480742871</v>
      </c>
      <c r="C1162">
        <v>1.8622877384606211E-2</v>
      </c>
      <c r="D1162">
        <v>3.4782608695652167E-2</v>
      </c>
      <c r="E1162">
        <v>63.445134556791047</v>
      </c>
      <c r="F1162">
        <v>5.0036523009496132E-2</v>
      </c>
      <c r="G1162">
        <v>0.4</v>
      </c>
      <c r="H1162">
        <v>6.2640459509623006E-2</v>
      </c>
      <c r="I1162">
        <v>0.64347287238526973</v>
      </c>
      <c r="J1162">
        <v>0</v>
      </c>
      <c r="K1162">
        <v>3.3800791082344572E-2</v>
      </c>
      <c r="L1162">
        <v>0</v>
      </c>
      <c r="M1162">
        <v>15591471.496400001</v>
      </c>
      <c r="N1162">
        <v>0</v>
      </c>
      <c r="O1162" t="b">
        <v>0</v>
      </c>
    </row>
    <row r="1163" spans="1:15" x14ac:dyDescent="0.3">
      <c r="A1163" s="1" t="s">
        <v>1265</v>
      </c>
      <c r="B1163">
        <v>3.6236180874506632</v>
      </c>
      <c r="C1163">
        <v>2.0739572386965791E-2</v>
      </c>
      <c r="D1163">
        <v>3.8804945054945063E-2</v>
      </c>
      <c r="E1163">
        <v>56.417893696172868</v>
      </c>
      <c r="F1163">
        <v>-2.021589793915601E-2</v>
      </c>
      <c r="G1163">
        <v>0.8</v>
      </c>
      <c r="H1163">
        <v>6.7868574406776641E-2</v>
      </c>
      <c r="I1163">
        <v>0.62930545794079984</v>
      </c>
      <c r="J1163">
        <v>-2.125323504038901E-2</v>
      </c>
      <c r="K1163">
        <v>1.6227534461699559E-2</v>
      </c>
      <c r="L1163">
        <v>0</v>
      </c>
      <c r="M1163">
        <v>651475147.80849993</v>
      </c>
      <c r="N1163">
        <v>0</v>
      </c>
      <c r="O1163" t="b">
        <v>1</v>
      </c>
    </row>
    <row r="1164" spans="1:15" x14ac:dyDescent="0.3">
      <c r="A1164" s="1" t="s">
        <v>1266</v>
      </c>
      <c r="B1164">
        <v>2.5496529494423821</v>
      </c>
      <c r="C1164">
        <v>3.2738224825916568E-2</v>
      </c>
      <c r="D1164">
        <v>2.6579352850539209E-2</v>
      </c>
      <c r="E1164">
        <v>71.932841433054179</v>
      </c>
      <c r="F1164">
        <v>0.2415112386417981</v>
      </c>
      <c r="G1164">
        <v>0.8</v>
      </c>
      <c r="H1164">
        <v>0.34420920036930741</v>
      </c>
      <c r="I1164">
        <v>0.99799139638913048</v>
      </c>
      <c r="J1164">
        <v>-2.7229577816637599E-2</v>
      </c>
      <c r="K1164">
        <v>8.9962729726256185E-4</v>
      </c>
      <c r="L1164">
        <v>0</v>
      </c>
      <c r="M1164">
        <v>69096165</v>
      </c>
      <c r="N1164">
        <v>0</v>
      </c>
      <c r="O1164" t="b">
        <v>0</v>
      </c>
    </row>
    <row r="1165" spans="1:15" x14ac:dyDescent="0.3">
      <c r="A1165" s="1" t="s">
        <v>1267</v>
      </c>
      <c r="B1165">
        <v>2.9916991828759789</v>
      </c>
      <c r="C1165">
        <v>2.8920115449225001E-2</v>
      </c>
      <c r="D1165">
        <v>4.5694896903728507E-2</v>
      </c>
      <c r="E1165">
        <v>61.489791672959633</v>
      </c>
      <c r="F1165">
        <v>0.1216928348369188</v>
      </c>
      <c r="G1165">
        <v>0.2</v>
      </c>
      <c r="H1165">
        <v>0.1333978365199702</v>
      </c>
      <c r="I1165">
        <v>1.3965084494668401</v>
      </c>
      <c r="J1165">
        <v>-1.9515477792732109E-2</v>
      </c>
      <c r="K1165">
        <v>4.7882901134521871E-2</v>
      </c>
      <c r="L1165">
        <v>0</v>
      </c>
      <c r="M1165">
        <v>108366201.279</v>
      </c>
      <c r="N1165">
        <v>1</v>
      </c>
      <c r="O1165" t="b">
        <v>1</v>
      </c>
    </row>
    <row r="1166" spans="1:15" x14ac:dyDescent="0.3">
      <c r="A1166" s="1" t="s">
        <v>1268</v>
      </c>
      <c r="B1166">
        <v>1.0429272501401501</v>
      </c>
      <c r="C1166">
        <v>9.103128710810612E-3</v>
      </c>
      <c r="D1166">
        <v>1.3398156553313291E-2</v>
      </c>
      <c r="E1166">
        <v>63.280242505764463</v>
      </c>
      <c r="F1166">
        <v>2.377867336270301E-2</v>
      </c>
      <c r="G1166">
        <v>0.4</v>
      </c>
      <c r="H1166">
        <v>-7.506079850098426E-4</v>
      </c>
      <c r="I1166">
        <v>0.66593553831950381</v>
      </c>
      <c r="J1166">
        <v>0</v>
      </c>
      <c r="K1166">
        <v>1.1521856210765961E-2</v>
      </c>
      <c r="L1166">
        <v>0</v>
      </c>
      <c r="M1166">
        <v>16510912.563750001</v>
      </c>
      <c r="N1166">
        <v>0</v>
      </c>
      <c r="O1166" t="b">
        <v>0</v>
      </c>
    </row>
    <row r="1167" spans="1:15" x14ac:dyDescent="0.3">
      <c r="A1167" s="1" t="s">
        <v>1269</v>
      </c>
      <c r="B1167">
        <v>2.237804738203244</v>
      </c>
      <c r="C1167">
        <v>1.355095517865596E-2</v>
      </c>
      <c r="D1167">
        <v>1.6228654474990958E-2</v>
      </c>
      <c r="E1167">
        <v>82.136568453572323</v>
      </c>
      <c r="F1167">
        <v>0.1242426305398598</v>
      </c>
      <c r="G1167">
        <v>0.8</v>
      </c>
      <c r="H1167">
        <v>0.16877695601250761</v>
      </c>
      <c r="I1167">
        <v>0.53490189931848231</v>
      </c>
      <c r="J1167">
        <v>0</v>
      </c>
      <c r="K1167">
        <v>1.188725490196085E-2</v>
      </c>
      <c r="L1167">
        <v>0</v>
      </c>
      <c r="M1167">
        <v>123815293</v>
      </c>
      <c r="N1167">
        <v>0</v>
      </c>
      <c r="O1167" t="b">
        <v>1</v>
      </c>
    </row>
    <row r="1168" spans="1:15" x14ac:dyDescent="0.3">
      <c r="A1168" s="1" t="s">
        <v>1270</v>
      </c>
      <c r="B1168">
        <v>1.390690680237183</v>
      </c>
      <c r="C1168">
        <v>2.080091119935E-2</v>
      </c>
      <c r="D1168">
        <v>2.065297380087721E-2</v>
      </c>
      <c r="E1168">
        <v>61.647551311461129</v>
      </c>
      <c r="F1168">
        <v>4.4221166746582392E-2</v>
      </c>
      <c r="G1168">
        <v>0.8</v>
      </c>
      <c r="H1168">
        <v>8.7086602686079082E-2</v>
      </c>
      <c r="I1168">
        <v>0.65951195461313017</v>
      </c>
      <c r="J1168">
        <v>-1.6082413539367121E-2</v>
      </c>
      <c r="K1168">
        <v>1.676995490802935E-2</v>
      </c>
      <c r="L1168">
        <v>0</v>
      </c>
      <c r="M1168">
        <v>60535399.509649999</v>
      </c>
      <c r="N1168">
        <v>0</v>
      </c>
      <c r="O1168" t="b">
        <v>0</v>
      </c>
    </row>
    <row r="1169" spans="1:15" x14ac:dyDescent="0.3">
      <c r="A1169" s="1" t="s">
        <v>1271</v>
      </c>
      <c r="B1169">
        <v>1.6181042227084981</v>
      </c>
      <c r="C1169">
        <v>3.1129361729674839E-2</v>
      </c>
      <c r="D1169">
        <v>3.0973451327433621E-2</v>
      </c>
      <c r="E1169">
        <v>32.87198329882871</v>
      </c>
      <c r="F1169">
        <v>-9.0145282688605E-2</v>
      </c>
      <c r="G1169">
        <v>0</v>
      </c>
      <c r="H1169">
        <v>-1.970636522064096E-2</v>
      </c>
      <c r="I1169">
        <v>-0.13476589168954911</v>
      </c>
      <c r="J1169">
        <v>-0.1096265844467285</v>
      </c>
      <c r="K1169">
        <v>-1.497062725033171E-2</v>
      </c>
      <c r="L1169">
        <v>0</v>
      </c>
      <c r="M1169">
        <v>67857841.291350007</v>
      </c>
      <c r="N1169">
        <v>0</v>
      </c>
      <c r="O1169" t="b">
        <v>0</v>
      </c>
    </row>
    <row r="1170" spans="1:15" x14ac:dyDescent="0.3">
      <c r="A1170" s="1" t="s">
        <v>1272</v>
      </c>
      <c r="B1170">
        <v>4.6136825849833478</v>
      </c>
      <c r="C1170">
        <v>4.4036294597531243E-2</v>
      </c>
      <c r="D1170">
        <v>5.7363749164837323E-2</v>
      </c>
      <c r="E1170">
        <v>51.181288860356403</v>
      </c>
      <c r="F1170">
        <v>7.3133258219809427E-2</v>
      </c>
      <c r="G1170">
        <v>0.6</v>
      </c>
      <c r="H1170">
        <v>2.4991023104715581E-2</v>
      </c>
      <c r="I1170">
        <v>0.83280966094505537</v>
      </c>
      <c r="J1170">
        <v>-3.9600330002750088E-2</v>
      </c>
      <c r="K1170">
        <v>4.0313772217257522E-2</v>
      </c>
      <c r="L1170">
        <v>0</v>
      </c>
      <c r="M1170">
        <v>42282512</v>
      </c>
      <c r="N1170">
        <v>0</v>
      </c>
      <c r="O1170" t="b">
        <v>0</v>
      </c>
    </row>
    <row r="1171" spans="1:15" x14ac:dyDescent="0.3">
      <c r="A1171" s="1" t="s">
        <v>1273</v>
      </c>
      <c r="B1171">
        <v>13.923346503641961</v>
      </c>
      <c r="C1171">
        <v>4.0011915925173738E-2</v>
      </c>
      <c r="D1171">
        <v>7.6843496752686952E-2</v>
      </c>
      <c r="E1171">
        <v>75.90289376780413</v>
      </c>
      <c r="F1171">
        <v>0.25348510500342208</v>
      </c>
      <c r="G1171">
        <v>0.8</v>
      </c>
      <c r="H1171">
        <v>4.2573152070233017E-2</v>
      </c>
      <c r="I1171">
        <v>1.2196538742158709</v>
      </c>
      <c r="J1171">
        <v>0</v>
      </c>
      <c r="K1171">
        <v>5.5604428939784789E-2</v>
      </c>
      <c r="L1171">
        <v>0</v>
      </c>
      <c r="M1171">
        <v>166408159.5</v>
      </c>
      <c r="N1171">
        <v>0</v>
      </c>
      <c r="O1171" t="b">
        <v>1</v>
      </c>
    </row>
    <row r="1172" spans="1:15" x14ac:dyDescent="0.3">
      <c r="A1172" s="1" t="s">
        <v>1274</v>
      </c>
      <c r="B1172">
        <v>1.0309973812387521</v>
      </c>
      <c r="C1172">
        <v>4.904840062981692E-2</v>
      </c>
      <c r="D1172">
        <v>9.1817316841103697E-2</v>
      </c>
      <c r="E1172">
        <v>60.045143976431461</v>
      </c>
      <c r="F1172">
        <v>3.4448818897637727E-2</v>
      </c>
      <c r="G1172">
        <v>0.8</v>
      </c>
      <c r="H1172">
        <v>-7.2125904592434979E-3</v>
      </c>
      <c r="I1172">
        <v>2.3132731753695439</v>
      </c>
      <c r="J1172">
        <v>0</v>
      </c>
      <c r="K1172">
        <v>5.7344064386317888E-2</v>
      </c>
      <c r="L1172">
        <v>0</v>
      </c>
      <c r="M1172">
        <v>33726192</v>
      </c>
      <c r="N1172">
        <v>0</v>
      </c>
      <c r="O1172" t="b">
        <v>0</v>
      </c>
    </row>
    <row r="1173" spans="1:15" x14ac:dyDescent="0.3">
      <c r="A1173" s="1" t="s">
        <v>1275</v>
      </c>
      <c r="B1173">
        <v>0.21213418952914859</v>
      </c>
      <c r="C1173">
        <v>1.8772937126473328E-2</v>
      </c>
      <c r="D1173">
        <v>2.7433628318584109E-2</v>
      </c>
      <c r="E1173">
        <v>68.480937334037748</v>
      </c>
      <c r="F1173">
        <v>6.1032863849765251E-2</v>
      </c>
      <c r="G1173">
        <v>0.6</v>
      </c>
      <c r="H1173">
        <v>8.6813780257856091E-2</v>
      </c>
      <c r="I1173">
        <v>1.0415143803246609</v>
      </c>
      <c r="J1173">
        <v>0</v>
      </c>
      <c r="K1173">
        <v>2.6339691189827489E-2</v>
      </c>
      <c r="L1173">
        <v>0</v>
      </c>
      <c r="M1173">
        <v>32052355</v>
      </c>
      <c r="N1173">
        <v>0</v>
      </c>
      <c r="O1173" t="b">
        <v>0</v>
      </c>
    </row>
    <row r="1174" spans="1:15" x14ac:dyDescent="0.3">
      <c r="A1174" s="1" t="s">
        <v>1276</v>
      </c>
      <c r="B1174">
        <v>7.903138513740303</v>
      </c>
      <c r="C1174">
        <v>4.6711617198063139E-2</v>
      </c>
      <c r="D1174">
        <v>4.7284118446716712E-2</v>
      </c>
      <c r="E1174">
        <v>64.044618849377798</v>
      </c>
      <c r="F1174">
        <v>-3.004070400733827E-2</v>
      </c>
      <c r="G1174">
        <v>0.8</v>
      </c>
      <c r="H1174">
        <v>0.1327347007630211</v>
      </c>
      <c r="I1174">
        <v>2.176714160472617</v>
      </c>
      <c r="J1174">
        <v>-3.592461719670315E-3</v>
      </c>
      <c r="K1174">
        <v>2.9950690935654611E-2</v>
      </c>
      <c r="L1174">
        <v>0</v>
      </c>
      <c r="M1174">
        <v>50908751</v>
      </c>
      <c r="N1174">
        <v>0</v>
      </c>
      <c r="O1174" t="b">
        <v>0</v>
      </c>
    </row>
    <row r="1175" spans="1:15" x14ac:dyDescent="0.3">
      <c r="A1175" s="1" t="s">
        <v>1277</v>
      </c>
      <c r="B1175">
        <v>4.4521711393408712</v>
      </c>
      <c r="C1175">
        <v>1.8107089390519238E-2</v>
      </c>
      <c r="D1175">
        <v>1.980640963071419E-2</v>
      </c>
      <c r="E1175">
        <v>47.210589021069922</v>
      </c>
      <c r="F1175">
        <v>-2.3355576739752078E-2</v>
      </c>
      <c r="G1175">
        <v>0.8</v>
      </c>
      <c r="H1175">
        <v>-0.1140881376125278</v>
      </c>
      <c r="I1175">
        <v>0.9496058935044025</v>
      </c>
      <c r="J1175">
        <v>-3.3414576617658683E-2</v>
      </c>
      <c r="K1175">
        <v>7.1683119649366134E-3</v>
      </c>
      <c r="L1175">
        <v>0</v>
      </c>
      <c r="M1175">
        <v>342173563.329</v>
      </c>
      <c r="N1175">
        <v>0</v>
      </c>
      <c r="O1175" t="b">
        <v>1</v>
      </c>
    </row>
    <row r="1176" spans="1:15" x14ac:dyDescent="0.3">
      <c r="A1176" s="1" t="s">
        <v>1278</v>
      </c>
      <c r="B1176">
        <v>0.84631173880786825</v>
      </c>
      <c r="C1176">
        <v>3.0876021116667939E-2</v>
      </c>
      <c r="D1176">
        <v>5.3994892375045622E-2</v>
      </c>
      <c r="E1176">
        <v>59.566628627768971</v>
      </c>
      <c r="F1176">
        <v>-4.7204066811910028E-3</v>
      </c>
      <c r="G1176">
        <v>0.8</v>
      </c>
      <c r="H1176">
        <v>-3.2094417915752467E-2</v>
      </c>
      <c r="I1176">
        <v>1.4925257869579349</v>
      </c>
      <c r="J1176">
        <v>0</v>
      </c>
      <c r="K1176">
        <v>2.1236959761550041E-2</v>
      </c>
      <c r="L1176">
        <v>0</v>
      </c>
      <c r="M1176">
        <v>43409453.5</v>
      </c>
      <c r="N1176">
        <v>0</v>
      </c>
      <c r="O1176" t="b">
        <v>0</v>
      </c>
    </row>
    <row r="1177" spans="1:15" x14ac:dyDescent="0.3">
      <c r="A1177" s="1" t="s">
        <v>1279</v>
      </c>
      <c r="B1177">
        <v>4.9467086923261787</v>
      </c>
      <c r="C1177">
        <v>4.7573655436874189E-2</v>
      </c>
      <c r="D1177">
        <v>0.1131948451625312</v>
      </c>
      <c r="E1177">
        <v>87.577335074015636</v>
      </c>
      <c r="F1177">
        <v>0.40989830508474578</v>
      </c>
      <c r="G1177">
        <v>1</v>
      </c>
      <c r="H1177">
        <v>0.1543599454943469</v>
      </c>
      <c r="I1177">
        <v>1.1583606224968599</v>
      </c>
      <c r="J1177">
        <v>0</v>
      </c>
      <c r="K1177">
        <v>0.11161000641436809</v>
      </c>
      <c r="L1177">
        <v>0</v>
      </c>
      <c r="M1177">
        <v>74731230</v>
      </c>
      <c r="N1177">
        <v>0</v>
      </c>
      <c r="O1177" t="b">
        <v>0</v>
      </c>
    </row>
    <row r="1178" spans="1:15" x14ac:dyDescent="0.3">
      <c r="A1178" s="1" t="s">
        <v>1280</v>
      </c>
      <c r="B1178">
        <v>3.7587838441176902</v>
      </c>
      <c r="C1178">
        <v>1.986462236612245E-2</v>
      </c>
      <c r="D1178">
        <v>1.4956135715040611E-2</v>
      </c>
      <c r="E1178">
        <v>42.381102695457813</v>
      </c>
      <c r="F1178">
        <v>-4.5895059549621357E-2</v>
      </c>
      <c r="G1178">
        <v>0.4</v>
      </c>
      <c r="H1178">
        <v>-0.11236836536238121</v>
      </c>
      <c r="I1178">
        <v>1.7189107647863609E-2</v>
      </c>
      <c r="J1178">
        <v>-6.1981033397282448E-2</v>
      </c>
      <c r="K1178">
        <v>-3.6980294785771139E-4</v>
      </c>
      <c r="L1178">
        <v>0</v>
      </c>
      <c r="M1178">
        <v>174542719.38249999</v>
      </c>
      <c r="N1178">
        <v>0</v>
      </c>
      <c r="O1178" t="b">
        <v>1</v>
      </c>
    </row>
    <row r="1179" spans="1:15" x14ac:dyDescent="0.3">
      <c r="A1179" s="1" t="s">
        <v>1281</v>
      </c>
      <c r="B1179">
        <v>3.3640628466566617E-2</v>
      </c>
      <c r="C1179">
        <v>3.3788622633702239E-4</v>
      </c>
      <c r="D1179">
        <v>1.2956750567487499E-4</v>
      </c>
      <c r="E1179">
        <v>94.646846389220443</v>
      </c>
      <c r="F1179">
        <v>3.100117576769978E-3</v>
      </c>
      <c r="G1179">
        <v>0.8</v>
      </c>
      <c r="H1179">
        <v>-8.2165957852833718E-2</v>
      </c>
      <c r="I1179">
        <v>6.147408345116344E-4</v>
      </c>
      <c r="J1179">
        <v>0</v>
      </c>
      <c r="K1179">
        <v>9.9445416018362209E-5</v>
      </c>
      <c r="O1179" t="b">
        <v>0</v>
      </c>
    </row>
    <row r="1180" spans="1:15" x14ac:dyDescent="0.3">
      <c r="A1180" s="1" t="s">
        <v>1282</v>
      </c>
      <c r="B1180">
        <v>0.67790337485867869</v>
      </c>
      <c r="C1180">
        <v>2.757947009189092E-2</v>
      </c>
      <c r="D1180">
        <v>2.7257933279088618E-2</v>
      </c>
      <c r="E1180">
        <v>40.758465535497258</v>
      </c>
      <c r="F1180">
        <v>-4.3207473725184957E-2</v>
      </c>
      <c r="G1180">
        <v>0.4</v>
      </c>
      <c r="H1180">
        <v>1.910578525085366E-3</v>
      </c>
      <c r="I1180">
        <v>0.81779981600844165</v>
      </c>
      <c r="J1180">
        <v>-8.79406307977737E-2</v>
      </c>
      <c r="K1180">
        <v>-1.7585931254996079E-2</v>
      </c>
      <c r="L1180">
        <v>0</v>
      </c>
      <c r="M1180">
        <v>19662851.794799998</v>
      </c>
      <c r="N1180">
        <v>0</v>
      </c>
      <c r="O1180" t="b">
        <v>0</v>
      </c>
    </row>
    <row r="1181" spans="1:15" x14ac:dyDescent="0.3">
      <c r="A1181" s="1" t="s">
        <v>1283</v>
      </c>
      <c r="B1181">
        <v>0.58743030844393085</v>
      </c>
      <c r="C1181">
        <v>4.643717853311706E-2</v>
      </c>
      <c r="D1181">
        <v>4.5849802371541508E-2</v>
      </c>
      <c r="E1181">
        <v>59.71927946001987</v>
      </c>
      <c r="F1181">
        <v>0.1125769569041337</v>
      </c>
      <c r="G1181">
        <v>0.4</v>
      </c>
      <c r="H1181">
        <v>0.14987636959100281</v>
      </c>
      <c r="I1181">
        <v>1.6142765827882199</v>
      </c>
      <c r="J1181">
        <v>-5.1012753188297011E-2</v>
      </c>
      <c r="K1181">
        <v>-7.898894154818592E-4</v>
      </c>
      <c r="L1181">
        <v>0</v>
      </c>
      <c r="M1181">
        <v>49941851.5</v>
      </c>
      <c r="N1181">
        <v>0</v>
      </c>
      <c r="O1181" t="b">
        <v>0</v>
      </c>
    </row>
    <row r="1182" spans="1:15" x14ac:dyDescent="0.3">
      <c r="A1182" s="1" t="s">
        <v>1284</v>
      </c>
      <c r="B1182">
        <v>2.2288400112208562</v>
      </c>
      <c r="C1182">
        <v>2.675270410418646E-2</v>
      </c>
      <c r="D1182">
        <v>2.420999439461205E-2</v>
      </c>
      <c r="E1182">
        <v>48.486460794766522</v>
      </c>
      <c r="F1182">
        <v>-1.7051105386135519E-3</v>
      </c>
      <c r="G1182">
        <v>0.4</v>
      </c>
      <c r="H1182">
        <v>-1.2731389784739691E-2</v>
      </c>
      <c r="I1182">
        <v>0.68915591629892003</v>
      </c>
      <c r="J1182">
        <v>-3.7423831740067692E-2</v>
      </c>
      <c r="K1182">
        <v>1.908069203745932E-2</v>
      </c>
      <c r="L1182">
        <v>0</v>
      </c>
      <c r="M1182">
        <v>802502968.55080009</v>
      </c>
      <c r="N1182">
        <v>0</v>
      </c>
      <c r="O1182" t="b">
        <v>1</v>
      </c>
    </row>
    <row r="1183" spans="1:15" x14ac:dyDescent="0.3">
      <c r="A1183" s="1" t="s">
        <v>1285</v>
      </c>
      <c r="B1183">
        <v>4.1837985518016492</v>
      </c>
      <c r="C1183">
        <v>2.9431865550971138E-2</v>
      </c>
      <c r="D1183">
        <v>3.0207102256739341E-2</v>
      </c>
      <c r="E1183">
        <v>67.752955311835407</v>
      </c>
      <c r="F1183">
        <v>4.7245080632684733E-2</v>
      </c>
      <c r="G1183">
        <v>0.8</v>
      </c>
      <c r="H1183">
        <v>0.21697852092486011</v>
      </c>
      <c r="I1183">
        <v>2.1504300051360068</v>
      </c>
      <c r="J1183">
        <v>0</v>
      </c>
      <c r="K1183">
        <v>2.5501922563610391E-2</v>
      </c>
      <c r="L1183">
        <v>0</v>
      </c>
      <c r="M1183">
        <v>123488721.83935</v>
      </c>
      <c r="N1183">
        <v>0</v>
      </c>
      <c r="O1183" t="b">
        <v>1</v>
      </c>
    </row>
    <row r="1184" spans="1:15" x14ac:dyDescent="0.3">
      <c r="A1184" s="1" t="s">
        <v>1286</v>
      </c>
      <c r="B1184">
        <v>0.45861634111337179</v>
      </c>
      <c r="C1184">
        <v>1.5689919299123219E-2</v>
      </c>
      <c r="D1184">
        <v>2.3605884365378079E-2</v>
      </c>
      <c r="E1184">
        <v>66.669358784567919</v>
      </c>
      <c r="F1184">
        <v>4.8647485111573463E-2</v>
      </c>
      <c r="G1184">
        <v>0.6</v>
      </c>
      <c r="H1184">
        <v>1.7043822579496201E-2</v>
      </c>
      <c r="I1184">
        <v>1.2624782846831291</v>
      </c>
      <c r="J1184">
        <v>0</v>
      </c>
      <c r="K1184">
        <v>1.6695652173913E-2</v>
      </c>
      <c r="L1184">
        <v>0</v>
      </c>
      <c r="M1184">
        <v>75387055.061749995</v>
      </c>
      <c r="N1184">
        <v>0</v>
      </c>
      <c r="O1184" t="b">
        <v>0</v>
      </c>
    </row>
    <row r="1185" spans="1:15" x14ac:dyDescent="0.3">
      <c r="A1185" s="1" t="s">
        <v>1287</v>
      </c>
      <c r="B1185">
        <v>0.28873486873073018</v>
      </c>
      <c r="C1185">
        <v>1.092038081432414E-2</v>
      </c>
      <c r="D1185">
        <v>1.1724659606656531E-2</v>
      </c>
      <c r="E1185">
        <v>61.567338506024242</v>
      </c>
      <c r="F1185">
        <v>1.115560093772827E-2</v>
      </c>
      <c r="G1185">
        <v>0.6</v>
      </c>
      <c r="H1185">
        <v>-4.5471269813053369E-2</v>
      </c>
      <c r="I1185">
        <v>1.02439695735447</v>
      </c>
      <c r="J1185">
        <v>0</v>
      </c>
      <c r="K1185">
        <v>7.3148430356597682E-3</v>
      </c>
      <c r="L1185">
        <v>0</v>
      </c>
      <c r="M1185">
        <v>110419263.71585</v>
      </c>
      <c r="N1185">
        <v>0</v>
      </c>
      <c r="O1185" t="b">
        <v>1</v>
      </c>
    </row>
    <row r="1186" spans="1:15" x14ac:dyDescent="0.3">
      <c r="A1186" s="1" t="s">
        <v>1288</v>
      </c>
      <c r="B1186">
        <v>0.44138641309515247</v>
      </c>
      <c r="C1186">
        <v>9.8554551220281453E-3</v>
      </c>
      <c r="D1186">
        <v>1.229402045281998E-2</v>
      </c>
      <c r="E1186">
        <v>62.29775015099343</v>
      </c>
      <c r="F1186">
        <v>2.7482271537415229E-2</v>
      </c>
      <c r="G1186">
        <v>0.6</v>
      </c>
      <c r="H1186">
        <v>-7.9838427086834529E-2</v>
      </c>
      <c r="I1186">
        <v>0.76541434216196813</v>
      </c>
      <c r="J1186">
        <v>0</v>
      </c>
      <c r="K1186">
        <v>1.046200219753946E-2</v>
      </c>
      <c r="L1186">
        <v>0</v>
      </c>
      <c r="M1186">
        <v>14027880.09175</v>
      </c>
      <c r="N1186">
        <v>0</v>
      </c>
      <c r="O1186" t="b">
        <v>0</v>
      </c>
    </row>
    <row r="1187" spans="1:15" x14ac:dyDescent="0.3">
      <c r="A1187" s="1" t="s">
        <v>1289</v>
      </c>
      <c r="B1187">
        <v>0.29869769785095313</v>
      </c>
      <c r="C1187">
        <v>1.083415661410784E-2</v>
      </c>
      <c r="D1187">
        <v>1.6612259702575339E-2</v>
      </c>
      <c r="E1187">
        <v>61.787564315332148</v>
      </c>
      <c r="F1187">
        <v>4.0416619495075252E-2</v>
      </c>
      <c r="G1187">
        <v>0.2</v>
      </c>
      <c r="H1187">
        <v>-6.719854709268093E-2</v>
      </c>
      <c r="I1187">
        <v>0.39991335294131147</v>
      </c>
      <c r="J1187">
        <v>0</v>
      </c>
      <c r="K1187">
        <v>1.427415201236126E-2</v>
      </c>
      <c r="L1187">
        <v>0</v>
      </c>
      <c r="M1187">
        <v>436394878.55150002</v>
      </c>
      <c r="N1187">
        <v>0</v>
      </c>
      <c r="O1187" t="b">
        <v>1</v>
      </c>
    </row>
    <row r="1188" spans="1:15" x14ac:dyDescent="0.3">
      <c r="A1188" s="1" t="s">
        <v>1290</v>
      </c>
      <c r="B1188">
        <v>0.29977027547375501</v>
      </c>
      <c r="C1188">
        <v>9.1639238039176747E-3</v>
      </c>
      <c r="D1188">
        <v>1.0112496943017959E-2</v>
      </c>
      <c r="E1188">
        <v>53.870017035705608</v>
      </c>
      <c r="F1188">
        <v>-1.349835341801453E-2</v>
      </c>
      <c r="G1188">
        <v>0.6</v>
      </c>
      <c r="H1188">
        <v>-6.0728515070936587E-2</v>
      </c>
      <c r="I1188">
        <v>0.89880141601067587</v>
      </c>
      <c r="J1188">
        <v>-1.494209261567914E-2</v>
      </c>
      <c r="K1188">
        <v>8.3971442311250311E-3</v>
      </c>
      <c r="L1188">
        <v>0</v>
      </c>
      <c r="M1188">
        <v>36950744.985600002</v>
      </c>
      <c r="N1188">
        <v>0</v>
      </c>
      <c r="O1188" t="b">
        <v>0</v>
      </c>
    </row>
    <row r="1189" spans="1:15" x14ac:dyDescent="0.3">
      <c r="A1189" s="1" t="s">
        <v>1291</v>
      </c>
      <c r="B1189">
        <v>0.21009707742791969</v>
      </c>
      <c r="C1189">
        <v>8.8678489544116047E-3</v>
      </c>
      <c r="D1189">
        <v>1.2721593786932189E-2</v>
      </c>
      <c r="E1189">
        <v>63.460527016478103</v>
      </c>
      <c r="F1189">
        <v>1.7959955314943651E-2</v>
      </c>
      <c r="G1189">
        <v>0.6</v>
      </c>
      <c r="H1189">
        <v>-1.3630498108513371E-3</v>
      </c>
      <c r="I1189">
        <v>0.78144040460826403</v>
      </c>
      <c r="J1189">
        <v>0</v>
      </c>
      <c r="K1189">
        <v>1.1203824238673389E-2</v>
      </c>
      <c r="L1189">
        <v>0</v>
      </c>
      <c r="M1189">
        <v>177697166.85100001</v>
      </c>
      <c r="N1189">
        <v>0</v>
      </c>
      <c r="O1189" t="b">
        <v>1</v>
      </c>
    </row>
    <row r="1190" spans="1:15" x14ac:dyDescent="0.3">
      <c r="A1190" s="1" t="s">
        <v>1292</v>
      </c>
      <c r="B1190">
        <v>0.46388918156311998</v>
      </c>
      <c r="C1190">
        <v>1.4065772636844149E-2</v>
      </c>
      <c r="D1190">
        <v>1.152213462704677E-2</v>
      </c>
      <c r="E1190">
        <v>58.096138214992408</v>
      </c>
      <c r="F1190">
        <v>-1.75253269729625E-3</v>
      </c>
      <c r="G1190">
        <v>0.8</v>
      </c>
      <c r="H1190">
        <v>3.538577797078659E-2</v>
      </c>
      <c r="I1190">
        <v>1.2998734733271471</v>
      </c>
      <c r="J1190">
        <v>-8.4525219720132938E-4</v>
      </c>
      <c r="K1190">
        <v>2.7973729019703519E-3</v>
      </c>
      <c r="L1190">
        <v>0</v>
      </c>
      <c r="M1190">
        <v>274846773.40799999</v>
      </c>
      <c r="N1190">
        <v>0</v>
      </c>
      <c r="O1190" t="b">
        <v>1</v>
      </c>
    </row>
    <row r="1191" spans="1:15" x14ac:dyDescent="0.3">
      <c r="A1191" s="1" t="s">
        <v>1293</v>
      </c>
      <c r="B1191">
        <v>0.2279617800765433</v>
      </c>
      <c r="C1191">
        <v>1.0933418708707111E-2</v>
      </c>
      <c r="D1191">
        <v>1.112709832134289E-2</v>
      </c>
      <c r="E1191">
        <v>44.686658785848437</v>
      </c>
      <c r="F1191">
        <v>-1.158132765723441E-2</v>
      </c>
      <c r="G1191">
        <v>0.2</v>
      </c>
      <c r="H1191">
        <v>-0.13316779818717961</v>
      </c>
      <c r="I1191">
        <v>0.33241454163421902</v>
      </c>
      <c r="J1191">
        <v>-2.303482400569767E-2</v>
      </c>
      <c r="K1191">
        <v>4.9161364950838227E-3</v>
      </c>
      <c r="L1191">
        <v>0</v>
      </c>
      <c r="M1191">
        <v>149096896.23795</v>
      </c>
      <c r="N1191">
        <v>0</v>
      </c>
      <c r="O1191" t="b">
        <v>1</v>
      </c>
    </row>
    <row r="1192" spans="1:15" x14ac:dyDescent="0.3">
      <c r="A1192" s="1" t="s">
        <v>1294</v>
      </c>
      <c r="B1192">
        <v>6.9339812983982216E-2</v>
      </c>
      <c r="C1192">
        <v>3.0334632489722431E-3</v>
      </c>
      <c r="D1192">
        <v>5.2059864469361141E-3</v>
      </c>
      <c r="E1192">
        <v>56.722325701006532</v>
      </c>
      <c r="F1192">
        <v>7.3463308008250294E-3</v>
      </c>
      <c r="G1192">
        <v>0.2</v>
      </c>
      <c r="H1192">
        <v>-8.9413813527302113E-2</v>
      </c>
      <c r="I1192">
        <v>4.0961311155638128E-2</v>
      </c>
      <c r="J1192">
        <v>-2.6397542628759929E-3</v>
      </c>
      <c r="K1192">
        <v>3.9175900672401287E-3</v>
      </c>
      <c r="L1192">
        <v>0</v>
      </c>
      <c r="M1192">
        <v>22892719.749699999</v>
      </c>
      <c r="N1192">
        <v>0</v>
      </c>
      <c r="O1192" t="b">
        <v>0</v>
      </c>
    </row>
    <row r="1193" spans="1:15" x14ac:dyDescent="0.3">
      <c r="A1193" s="1" t="s">
        <v>1295</v>
      </c>
      <c r="B1193">
        <v>0.35139540017755228</v>
      </c>
      <c r="C1193">
        <v>1.063867393816386E-2</v>
      </c>
      <c r="D1193">
        <v>1.135331516802906E-2</v>
      </c>
      <c r="E1193">
        <v>60.952417978333713</v>
      </c>
      <c r="F1193">
        <v>9.4373067002431199E-3</v>
      </c>
      <c r="G1193">
        <v>0.6</v>
      </c>
      <c r="H1193">
        <v>-8.1707118282177457E-2</v>
      </c>
      <c r="I1193">
        <v>1.032360667658847</v>
      </c>
      <c r="J1193">
        <v>0</v>
      </c>
      <c r="K1193">
        <v>7.595863457490637E-3</v>
      </c>
      <c r="L1193">
        <v>0</v>
      </c>
      <c r="M1193">
        <v>24760230.4353</v>
      </c>
      <c r="N1193">
        <v>0</v>
      </c>
      <c r="O1193" t="b">
        <v>0</v>
      </c>
    </row>
    <row r="1194" spans="1:15" x14ac:dyDescent="0.3">
      <c r="A1194" s="1" t="s">
        <v>1296</v>
      </c>
      <c r="B1194">
        <v>0.40964237910036161</v>
      </c>
      <c r="C1194">
        <v>1.343089767542169E-2</v>
      </c>
      <c r="D1194">
        <v>2.0098360655737689E-2</v>
      </c>
      <c r="E1194">
        <v>64.103239973366357</v>
      </c>
      <c r="F1194">
        <v>3.2183830248062588E-2</v>
      </c>
      <c r="G1194">
        <v>0.6</v>
      </c>
      <c r="H1194">
        <v>-6.9389461294092333E-2</v>
      </c>
      <c r="I1194">
        <v>1.034831494849892</v>
      </c>
      <c r="J1194">
        <v>0</v>
      </c>
      <c r="K1194">
        <v>1.6768343501016861E-2</v>
      </c>
      <c r="L1194">
        <v>0</v>
      </c>
      <c r="M1194">
        <v>28226337.765050001</v>
      </c>
      <c r="N1194">
        <v>0</v>
      </c>
      <c r="O1194" t="b">
        <v>0</v>
      </c>
    </row>
    <row r="1195" spans="1:15" x14ac:dyDescent="0.3">
      <c r="A1195" s="1" t="s">
        <v>1297</v>
      </c>
      <c r="B1195">
        <v>2.416310486574115E-2</v>
      </c>
      <c r="C1195">
        <v>9.9820317044695041E-4</v>
      </c>
      <c r="D1195">
        <v>2.0531590557947592E-3</v>
      </c>
      <c r="E1195">
        <v>65.639465011068751</v>
      </c>
      <c r="F1195">
        <v>3.365747303671673E-3</v>
      </c>
      <c r="G1195">
        <v>0.2</v>
      </c>
      <c r="H1195">
        <v>-8.2476862557064656E-2</v>
      </c>
      <c r="I1195">
        <v>-1.056565149009378E-2</v>
      </c>
      <c r="J1195">
        <v>0</v>
      </c>
      <c r="K1195">
        <v>1.642742759725202E-3</v>
      </c>
      <c r="L1195">
        <v>0</v>
      </c>
      <c r="M1195">
        <v>60680231.360949993</v>
      </c>
      <c r="N1195">
        <v>0</v>
      </c>
      <c r="O1195" t="b">
        <v>0</v>
      </c>
    </row>
    <row r="1196" spans="1:15" x14ac:dyDescent="0.3">
      <c r="A1196" s="1" t="s">
        <v>1298</v>
      </c>
      <c r="B1196">
        <v>6.9747726680077907E-2</v>
      </c>
      <c r="C1196">
        <v>2.628716190407338E-3</v>
      </c>
      <c r="D1196">
        <v>4.1193984849056293E-3</v>
      </c>
      <c r="E1196">
        <v>46.9624440419731</v>
      </c>
      <c r="F1196">
        <v>-1.0203274837066181E-3</v>
      </c>
      <c r="G1196">
        <v>0.2</v>
      </c>
      <c r="H1196">
        <v>-0.1065106731989057</v>
      </c>
      <c r="I1196">
        <v>-9.6673219359735066E-3</v>
      </c>
      <c r="J1196">
        <v>-6.5746613450349267E-3</v>
      </c>
      <c r="K1196">
        <v>3.005273404275588E-3</v>
      </c>
      <c r="L1196">
        <v>0</v>
      </c>
      <c r="M1196">
        <v>73827146.538949996</v>
      </c>
      <c r="N1196">
        <v>0</v>
      </c>
      <c r="O1196" t="b">
        <v>0</v>
      </c>
    </row>
    <row r="1197" spans="1:15" x14ac:dyDescent="0.3">
      <c r="A1197" s="1" t="s">
        <v>1299</v>
      </c>
      <c r="B1197">
        <v>6.4195970462705254E-2</v>
      </c>
      <c r="C1197">
        <v>2.5737687817814349E-3</v>
      </c>
      <c r="D1197">
        <v>3.5842581307331169E-3</v>
      </c>
      <c r="E1197">
        <v>50.061776138594468</v>
      </c>
      <c r="F1197">
        <v>2.935334185786509E-3</v>
      </c>
      <c r="G1197">
        <v>0.2</v>
      </c>
      <c r="H1197">
        <v>-8.7078171294020554E-2</v>
      </c>
      <c r="I1197">
        <v>-5.0104844667970938E-2</v>
      </c>
      <c r="J1197">
        <v>-5.7758307988503574E-3</v>
      </c>
      <c r="K1197">
        <v>2.794205741992295E-3</v>
      </c>
      <c r="L1197">
        <v>0</v>
      </c>
      <c r="M1197">
        <v>41471116.82835</v>
      </c>
      <c r="N1197">
        <v>0</v>
      </c>
      <c r="O1197" t="b">
        <v>0</v>
      </c>
    </row>
    <row r="1198" spans="1:15" x14ac:dyDescent="0.3">
      <c r="A1198" s="1" t="s">
        <v>1300</v>
      </c>
      <c r="B1198">
        <v>0.2830371658888835</v>
      </c>
      <c r="C1198">
        <v>9.5491621420001182E-3</v>
      </c>
      <c r="D1198">
        <v>1.5182186234817791E-2</v>
      </c>
      <c r="E1198">
        <v>63.182011899571727</v>
      </c>
      <c r="F1198">
        <v>2.430123579663257E-2</v>
      </c>
      <c r="G1198">
        <v>0.6</v>
      </c>
      <c r="H1198">
        <v>-6.4530307016589114E-2</v>
      </c>
      <c r="I1198">
        <v>0.63977350391536825</v>
      </c>
      <c r="J1198">
        <v>0</v>
      </c>
      <c r="K1198">
        <v>1.3160143565202681E-2</v>
      </c>
      <c r="L1198">
        <v>0</v>
      </c>
      <c r="M1198">
        <v>48724222.372850001</v>
      </c>
      <c r="N1198">
        <v>0</v>
      </c>
      <c r="O1198" t="b">
        <v>0</v>
      </c>
    </row>
    <row r="1199" spans="1:15" x14ac:dyDescent="0.3">
      <c r="A1199" s="1" t="s">
        <v>1301</v>
      </c>
      <c r="B1199">
        <v>1.888215007291121</v>
      </c>
      <c r="C1199">
        <v>1.9774473174929919E-2</v>
      </c>
      <c r="D1199">
        <v>2.410996203691582E-2</v>
      </c>
      <c r="E1199">
        <v>60.31177202669685</v>
      </c>
      <c r="F1199">
        <v>5.252209212473824E-3</v>
      </c>
      <c r="G1199">
        <v>0.6</v>
      </c>
      <c r="H1199">
        <v>-3.061359484966366E-2</v>
      </c>
      <c r="I1199">
        <v>0.62728833767475134</v>
      </c>
      <c r="J1199">
        <v>-1.6661277333701371E-2</v>
      </c>
      <c r="K1199">
        <v>1.752286529323932E-2</v>
      </c>
      <c r="L1199">
        <v>0</v>
      </c>
      <c r="M1199">
        <v>735262041.93985009</v>
      </c>
      <c r="N1199">
        <v>0</v>
      </c>
      <c r="O1199" t="b">
        <v>1</v>
      </c>
    </row>
    <row r="1200" spans="1:15" x14ac:dyDescent="0.3">
      <c r="A1200" s="1" t="s">
        <v>1302</v>
      </c>
      <c r="B1200">
        <v>0.29247129678235628</v>
      </c>
      <c r="C1200">
        <v>1.0796282642390411E-2</v>
      </c>
      <c r="D1200">
        <v>1.144333702473233E-2</v>
      </c>
      <c r="E1200">
        <v>60.866576843864337</v>
      </c>
      <c r="F1200">
        <v>8.5967139628653211E-3</v>
      </c>
      <c r="G1200">
        <v>0.6</v>
      </c>
      <c r="H1200">
        <v>-8.0996226883657443E-2</v>
      </c>
      <c r="I1200">
        <v>1.0181598820867579</v>
      </c>
      <c r="J1200">
        <v>0</v>
      </c>
      <c r="K1200">
        <v>7.1006357113647667E-3</v>
      </c>
      <c r="L1200">
        <v>0</v>
      </c>
      <c r="M1200">
        <v>270695415.38935</v>
      </c>
      <c r="N1200">
        <v>0</v>
      </c>
      <c r="O1200" t="b">
        <v>1</v>
      </c>
    </row>
    <row r="1201" spans="1:15" x14ac:dyDescent="0.3">
      <c r="A1201" s="1" t="s">
        <v>1303</v>
      </c>
      <c r="B1201">
        <v>6.9973275477720212E-2</v>
      </c>
      <c r="C1201">
        <v>3.0072104122620801E-3</v>
      </c>
      <c r="D1201">
        <v>3.8421041321959411E-3</v>
      </c>
      <c r="E1201">
        <v>51.87836115251195</v>
      </c>
      <c r="F1201">
        <v>2.7191946702060932E-3</v>
      </c>
      <c r="G1201">
        <v>0.2</v>
      </c>
      <c r="H1201">
        <v>-8.868088536752379E-2</v>
      </c>
      <c r="I1201">
        <v>-3.3083251966780111E-3</v>
      </c>
      <c r="J1201">
        <v>-4.9222532030996913E-3</v>
      </c>
      <c r="K1201">
        <v>3.4283496485403302E-3</v>
      </c>
      <c r="L1201">
        <v>0</v>
      </c>
      <c r="M1201">
        <v>31189569.51825</v>
      </c>
      <c r="N1201">
        <v>0</v>
      </c>
      <c r="O1201" t="b">
        <v>0</v>
      </c>
    </row>
    <row r="1202" spans="1:15" x14ac:dyDescent="0.3">
      <c r="A1202" s="1" t="s">
        <v>1304</v>
      </c>
      <c r="B1202">
        <v>1.498366675047208</v>
      </c>
      <c r="C1202">
        <v>1.9518242420909999E-2</v>
      </c>
      <c r="D1202">
        <v>1.1284723352981529E-2</v>
      </c>
      <c r="E1202">
        <v>41.08201248020432</v>
      </c>
      <c r="F1202">
        <v>-3.7813156456650732E-2</v>
      </c>
      <c r="G1202">
        <v>0.4</v>
      </c>
      <c r="H1202">
        <v>-0.1023330152502805</v>
      </c>
      <c r="I1202">
        <v>-5.4902207983202602E-3</v>
      </c>
      <c r="J1202">
        <v>-4.5082956221903281E-2</v>
      </c>
      <c r="K1202">
        <v>1.429728703760569E-3</v>
      </c>
      <c r="L1202">
        <v>0</v>
      </c>
      <c r="M1202">
        <v>76305038.717399999</v>
      </c>
      <c r="N1202">
        <v>0</v>
      </c>
      <c r="O1202" t="b">
        <v>0</v>
      </c>
    </row>
    <row r="1203" spans="1:15" x14ac:dyDescent="0.3">
      <c r="A1203" s="1" t="s">
        <v>1305</v>
      </c>
      <c r="B1203">
        <v>0.67885635592075599</v>
      </c>
      <c r="C1203">
        <v>8.8949266690787534E-3</v>
      </c>
      <c r="D1203">
        <v>1.143744390358953E-2</v>
      </c>
      <c r="E1203">
        <v>60.742103827788227</v>
      </c>
      <c r="F1203">
        <v>1.85888341539131E-2</v>
      </c>
      <c r="G1203">
        <v>0.6</v>
      </c>
      <c r="H1203">
        <v>-0.1135349455531646</v>
      </c>
      <c r="I1203">
        <v>0.6881315939877285</v>
      </c>
      <c r="J1203">
        <v>0</v>
      </c>
      <c r="K1203">
        <v>9.8631674078819564E-3</v>
      </c>
      <c r="L1203">
        <v>0</v>
      </c>
      <c r="M1203">
        <v>63459247.470449999</v>
      </c>
      <c r="N1203">
        <v>0</v>
      </c>
      <c r="O1203" t="b">
        <v>0</v>
      </c>
    </row>
    <row r="1204" spans="1:15" x14ac:dyDescent="0.3">
      <c r="A1204" s="1" t="s">
        <v>1306</v>
      </c>
      <c r="B1204">
        <v>0.52044360093377495</v>
      </c>
      <c r="C1204">
        <v>1.3358237212915E-2</v>
      </c>
      <c r="D1204">
        <v>2.4558206388521742E-2</v>
      </c>
      <c r="E1204">
        <v>66.439191124089319</v>
      </c>
      <c r="F1204">
        <v>2.9225290720712671E-2</v>
      </c>
      <c r="G1204">
        <v>0.4</v>
      </c>
      <c r="H1204">
        <v>-7.275793356382726E-2</v>
      </c>
      <c r="I1204">
        <v>0.81530992196517815</v>
      </c>
      <c r="J1204">
        <v>0</v>
      </c>
      <c r="K1204">
        <v>2.1427148220390709E-2</v>
      </c>
      <c r="L1204">
        <v>0</v>
      </c>
      <c r="M1204">
        <v>47782128.28125</v>
      </c>
      <c r="N1204">
        <v>0</v>
      </c>
      <c r="O1204" t="b">
        <v>0</v>
      </c>
    </row>
    <row r="1205" spans="1:15" x14ac:dyDescent="0.3">
      <c r="A1205" s="1" t="s">
        <v>1307</v>
      </c>
      <c r="B1205">
        <v>1.312950485684705</v>
      </c>
      <c r="C1205">
        <v>9.4446677386232098E-3</v>
      </c>
      <c r="D1205">
        <v>1.414235873826551E-2</v>
      </c>
      <c r="E1205">
        <v>55.721290103085693</v>
      </c>
      <c r="F1205">
        <v>2.0106402494954882E-2</v>
      </c>
      <c r="G1205">
        <v>0.2</v>
      </c>
      <c r="H1205">
        <v>-0.10855400714911929</v>
      </c>
      <c r="I1205">
        <v>0.34193081805918102</v>
      </c>
      <c r="J1205">
        <v>-5.1170113790882654E-3</v>
      </c>
      <c r="K1205">
        <v>1.192339328999736E-2</v>
      </c>
      <c r="L1205">
        <v>0</v>
      </c>
      <c r="M1205">
        <v>32785109.3255</v>
      </c>
      <c r="N1205">
        <v>0</v>
      </c>
      <c r="O1205" t="b">
        <v>0</v>
      </c>
    </row>
    <row r="1206" spans="1:15" x14ac:dyDescent="0.3">
      <c r="A1206" s="1" t="s">
        <v>1308</v>
      </c>
      <c r="B1206">
        <v>5.7785436033204878</v>
      </c>
      <c r="C1206">
        <v>4.6518625046856277E-2</v>
      </c>
      <c r="D1206">
        <v>4.7053614554822078E-2</v>
      </c>
      <c r="E1206">
        <v>29.741472360267689</v>
      </c>
      <c r="F1206">
        <v>-0.19883908416639801</v>
      </c>
      <c r="G1206">
        <v>0.4</v>
      </c>
      <c r="H1206">
        <v>-0.30102768589722861</v>
      </c>
      <c r="I1206">
        <v>1.348223243200279</v>
      </c>
      <c r="J1206">
        <v>-0.1564579655031916</v>
      </c>
      <c r="K1206">
        <v>-3.4509560080833168E-2</v>
      </c>
      <c r="L1206">
        <v>0</v>
      </c>
      <c r="M1206">
        <v>563396096.5</v>
      </c>
      <c r="N1206">
        <v>0</v>
      </c>
      <c r="O1206" t="b">
        <v>1</v>
      </c>
    </row>
    <row r="1207" spans="1:15" x14ac:dyDescent="0.3">
      <c r="A1207" s="1" t="s">
        <v>1309</v>
      </c>
      <c r="B1207">
        <v>1.4191249332090889</v>
      </c>
      <c r="C1207">
        <v>1.7161969004863799E-2</v>
      </c>
      <c r="D1207">
        <v>2.3196247192831979E-2</v>
      </c>
      <c r="E1207">
        <v>61.178230259049528</v>
      </c>
      <c r="F1207">
        <v>2.5302674299902961E-3</v>
      </c>
      <c r="G1207">
        <v>0.6</v>
      </c>
      <c r="H1207">
        <v>-0.16581077975914801</v>
      </c>
      <c r="I1207">
        <v>0.77638030606949082</v>
      </c>
      <c r="J1207">
        <v>-5.9732890956519791E-3</v>
      </c>
      <c r="K1207">
        <v>2.01072782944034E-2</v>
      </c>
      <c r="L1207">
        <v>0</v>
      </c>
      <c r="M1207">
        <v>57103496.911500007</v>
      </c>
      <c r="N1207">
        <v>0</v>
      </c>
      <c r="O1207" t="b">
        <v>0</v>
      </c>
    </row>
    <row r="1208" spans="1:15" x14ac:dyDescent="0.3">
      <c r="A1208" s="1" t="s">
        <v>1310</v>
      </c>
      <c r="B1208">
        <v>3.1071790088044922</v>
      </c>
      <c r="C1208">
        <v>2.3903215699703759E-2</v>
      </c>
      <c r="D1208">
        <v>3.2310177705977508E-2</v>
      </c>
      <c r="E1208">
        <v>71.920733628359841</v>
      </c>
      <c r="F1208">
        <v>7.0749005362394257E-2</v>
      </c>
      <c r="G1208">
        <v>0.8</v>
      </c>
      <c r="H1208">
        <v>0.1025568166301651</v>
      </c>
      <c r="I1208">
        <v>1.1270110527935699</v>
      </c>
      <c r="J1208">
        <v>0</v>
      </c>
      <c r="K1208">
        <v>2.434988179669029E-2</v>
      </c>
      <c r="L1208">
        <v>0</v>
      </c>
      <c r="M1208">
        <v>74002030.352750003</v>
      </c>
      <c r="N1208">
        <v>0</v>
      </c>
      <c r="O1208" t="b">
        <v>0</v>
      </c>
    </row>
    <row r="1209" spans="1:15" x14ac:dyDescent="0.3">
      <c r="A1209" s="1" t="s">
        <v>1311</v>
      </c>
      <c r="B1209">
        <v>0.41970884999409791</v>
      </c>
      <c r="C1209">
        <v>1.9323611878181299E-2</v>
      </c>
      <c r="D1209">
        <v>1.5653775322283601E-2</v>
      </c>
      <c r="E1209">
        <v>50.904464369745007</v>
      </c>
      <c r="F1209">
        <v>5.9856252906609342E-5</v>
      </c>
      <c r="G1209">
        <v>0.6</v>
      </c>
      <c r="H1209">
        <v>-0.1644056836115417</v>
      </c>
      <c r="I1209">
        <v>0.16409464549317229</v>
      </c>
      <c r="J1209">
        <v>-1.496598639455793E-2</v>
      </c>
      <c r="K1209">
        <v>5.0902360018509896E-3</v>
      </c>
      <c r="L1209">
        <v>0</v>
      </c>
      <c r="M1209">
        <v>16490335</v>
      </c>
      <c r="N1209">
        <v>0</v>
      </c>
      <c r="O1209" t="b">
        <v>0</v>
      </c>
    </row>
    <row r="1210" spans="1:15" x14ac:dyDescent="0.3">
      <c r="A1210" s="1" t="s">
        <v>1312</v>
      </c>
      <c r="B1210">
        <v>3.0668598074053519</v>
      </c>
      <c r="C1210">
        <v>3.8097637359072692E-2</v>
      </c>
      <c r="D1210">
        <v>5.9751552795031082E-2</v>
      </c>
      <c r="E1210">
        <v>36.703069342132267</v>
      </c>
      <c r="F1210">
        <v>1.91163438409927E-2</v>
      </c>
      <c r="G1210">
        <v>0.4</v>
      </c>
      <c r="H1210">
        <v>-0.2204618402197574</v>
      </c>
      <c r="I1210">
        <v>1.296303897307475</v>
      </c>
      <c r="J1210">
        <v>-6.2427207081295122E-2</v>
      </c>
      <c r="K1210">
        <v>-3.2916866890917773E-2</v>
      </c>
      <c r="L1210">
        <v>0</v>
      </c>
      <c r="M1210">
        <v>228327717</v>
      </c>
      <c r="N1210">
        <v>0</v>
      </c>
      <c r="O1210" t="b">
        <v>1</v>
      </c>
    </row>
    <row r="1211" spans="1:15" x14ac:dyDescent="0.3">
      <c r="A1211" s="1" t="s">
        <v>1313</v>
      </c>
      <c r="B1211">
        <v>2.4855005559227741</v>
      </c>
      <c r="C1211">
        <v>2.692558288292464E-2</v>
      </c>
      <c r="D1211">
        <v>2.5349366265843391E-2</v>
      </c>
      <c r="E1211">
        <v>60.013299599993481</v>
      </c>
      <c r="F1211">
        <v>-1.097558885041316E-2</v>
      </c>
      <c r="G1211">
        <v>0.4</v>
      </c>
      <c r="H1211">
        <v>2.6726807128510659E-2</v>
      </c>
      <c r="I1211">
        <v>0.46271379929662543</v>
      </c>
      <c r="J1211">
        <v>-9.4430732911255921E-3</v>
      </c>
      <c r="K1211">
        <v>2.407366319059245E-2</v>
      </c>
      <c r="L1211">
        <v>0</v>
      </c>
      <c r="M1211">
        <v>163409041.25424999</v>
      </c>
      <c r="N1211">
        <v>0</v>
      </c>
      <c r="O1211" t="b">
        <v>1</v>
      </c>
    </row>
    <row r="1212" spans="1:15" x14ac:dyDescent="0.3">
      <c r="A1212" s="1" t="s">
        <v>1314</v>
      </c>
      <c r="B1212">
        <v>0.54416168579899793</v>
      </c>
      <c r="C1212">
        <v>1.349607355652277E-2</v>
      </c>
      <c r="D1212">
        <v>1.364087301587294E-2</v>
      </c>
      <c r="E1212">
        <v>62.787533691786059</v>
      </c>
      <c r="F1212">
        <v>2.857142857142847E-2</v>
      </c>
      <c r="G1212">
        <v>0.6</v>
      </c>
      <c r="H1212">
        <v>0.1154485492769621</v>
      </c>
      <c r="I1212">
        <v>0.3574526108295355</v>
      </c>
      <c r="J1212">
        <v>-1.485884101040225E-3</v>
      </c>
      <c r="K1212">
        <v>4.2341220423411929E-3</v>
      </c>
      <c r="L1212">
        <v>0</v>
      </c>
      <c r="M1212">
        <v>138984899.5</v>
      </c>
      <c r="N1212">
        <v>0</v>
      </c>
      <c r="O1212" t="b">
        <v>1</v>
      </c>
    </row>
    <row r="1213" spans="1:15" x14ac:dyDescent="0.3">
      <c r="A1213" s="1" t="s">
        <v>1315</v>
      </c>
      <c r="B1213">
        <v>1.871413364755466E-2</v>
      </c>
      <c r="C1213">
        <v>1.874414302053053E-4</v>
      </c>
      <c r="D1213">
        <v>9.9158753163833263E-5</v>
      </c>
      <c r="E1213">
        <v>99.767599548805791</v>
      </c>
      <c r="F1213">
        <v>3.118673358150081E-3</v>
      </c>
      <c r="G1213">
        <v>0.6</v>
      </c>
      <c r="H1213">
        <v>-8.1648799248545706E-2</v>
      </c>
      <c r="I1213">
        <v>-2.1557990893086971E-3</v>
      </c>
      <c r="J1213">
        <v>0</v>
      </c>
      <c r="K1213">
        <v>0</v>
      </c>
      <c r="L1213">
        <v>0</v>
      </c>
      <c r="M1213">
        <v>1089180273.6500001</v>
      </c>
      <c r="N1213">
        <v>0</v>
      </c>
      <c r="O1213" t="b">
        <v>1</v>
      </c>
    </row>
    <row r="1214" spans="1:15" x14ac:dyDescent="0.3">
      <c r="A1214" s="1" t="s">
        <v>1316</v>
      </c>
      <c r="B1214">
        <v>1.0102061044781381</v>
      </c>
      <c r="C1214">
        <v>1.3990727902319471E-2</v>
      </c>
      <c r="D1214">
        <v>1.042858290377174E-2</v>
      </c>
      <c r="E1214">
        <v>44.479320518108082</v>
      </c>
      <c r="F1214">
        <v>-3.9003939522998299E-2</v>
      </c>
      <c r="G1214">
        <v>0.2</v>
      </c>
      <c r="H1214">
        <v>-3.5063553777113031E-2</v>
      </c>
      <c r="I1214">
        <v>0.4490836495918083</v>
      </c>
      <c r="J1214">
        <v>-4.4619040562283052E-2</v>
      </c>
      <c r="K1214">
        <v>4.5479524475329214E-3</v>
      </c>
      <c r="L1214">
        <v>0</v>
      </c>
      <c r="M1214">
        <v>277195008.75160003</v>
      </c>
      <c r="N1214">
        <v>0</v>
      </c>
      <c r="O1214" t="b">
        <v>1</v>
      </c>
    </row>
    <row r="1215" spans="1:15" x14ac:dyDescent="0.3">
      <c r="A1215" s="1" t="s">
        <v>1317</v>
      </c>
      <c r="B1215">
        <v>1.169888401835822</v>
      </c>
      <c r="C1215">
        <v>2.1887528565684222E-2</v>
      </c>
      <c r="D1215">
        <v>1.4405986903648331E-2</v>
      </c>
      <c r="E1215">
        <v>49.572893309083199</v>
      </c>
      <c r="F1215">
        <v>-2.2494513533284469E-2</v>
      </c>
      <c r="G1215">
        <v>0.4</v>
      </c>
      <c r="H1215">
        <v>5.2111921424075378E-2</v>
      </c>
      <c r="I1215">
        <v>0.85768423296414487</v>
      </c>
      <c r="J1215">
        <v>-4.7746303224657012E-2</v>
      </c>
      <c r="K1215">
        <v>-2.6124276917335321E-3</v>
      </c>
      <c r="L1215">
        <v>0</v>
      </c>
      <c r="M1215">
        <v>7931425.7828500001</v>
      </c>
      <c r="N1215">
        <v>0</v>
      </c>
      <c r="O1215" t="b">
        <v>0</v>
      </c>
    </row>
    <row r="1216" spans="1:15" x14ac:dyDescent="0.3">
      <c r="A1216" s="1" t="s">
        <v>1318</v>
      </c>
      <c r="B1216">
        <v>1.1974921955333211</v>
      </c>
      <c r="C1216">
        <v>1.8627225879075789E-2</v>
      </c>
      <c r="D1216">
        <v>2.650449856269995E-2</v>
      </c>
      <c r="E1216">
        <v>53.352393875124193</v>
      </c>
      <c r="F1216">
        <v>-3.5430601693058887E-2</v>
      </c>
      <c r="G1216">
        <v>0.8</v>
      </c>
      <c r="H1216">
        <v>-8.4426481498132644E-2</v>
      </c>
      <c r="I1216">
        <v>0.89006029882223203</v>
      </c>
      <c r="J1216">
        <v>-2.8313008990272111E-2</v>
      </c>
      <c r="K1216">
        <v>5.6109559898949168E-3</v>
      </c>
      <c r="L1216">
        <v>0</v>
      </c>
      <c r="M1216">
        <v>44023881.810149997</v>
      </c>
      <c r="N1216">
        <v>0</v>
      </c>
      <c r="O1216" t="b">
        <v>0</v>
      </c>
    </row>
    <row r="1217" spans="1:15" x14ac:dyDescent="0.3">
      <c r="A1217" s="1" t="s">
        <v>1319</v>
      </c>
      <c r="B1217">
        <v>7.0825718668642326</v>
      </c>
      <c r="C1217">
        <v>4.2053033290964457E-2</v>
      </c>
      <c r="D1217">
        <v>6.4244151525947008E-2</v>
      </c>
      <c r="E1217">
        <v>60.862149761514416</v>
      </c>
      <c r="F1217">
        <v>6.0045317220543737E-2</v>
      </c>
      <c r="G1217">
        <v>0.6</v>
      </c>
      <c r="H1217">
        <v>8.0064246608976111E-2</v>
      </c>
      <c r="I1217">
        <v>3.010113927099809</v>
      </c>
      <c r="J1217">
        <v>0</v>
      </c>
      <c r="K1217">
        <v>5.3349177559572247E-2</v>
      </c>
      <c r="L1217">
        <v>0</v>
      </c>
      <c r="M1217">
        <v>963486724.5</v>
      </c>
      <c r="N1217">
        <v>0</v>
      </c>
      <c r="O1217" t="b">
        <v>1</v>
      </c>
    </row>
    <row r="1218" spans="1:15" x14ac:dyDescent="0.3">
      <c r="A1218" s="1" t="s">
        <v>1320</v>
      </c>
      <c r="B1218">
        <v>2.274025813935341E-2</v>
      </c>
      <c r="C1218">
        <v>2.0757312113181211E-4</v>
      </c>
      <c r="D1218">
        <v>2.7384005914946318E-4</v>
      </c>
      <c r="E1218">
        <v>99.00415058385309</v>
      </c>
      <c r="F1218">
        <v>3.287726431855154E-3</v>
      </c>
      <c r="G1218">
        <v>0.8</v>
      </c>
      <c r="H1218">
        <v>-8.1982481559250628E-2</v>
      </c>
      <c r="I1218">
        <v>-1.0000158651822309E-3</v>
      </c>
      <c r="J1218">
        <v>0</v>
      </c>
      <c r="K1218">
        <v>2.7391506806795363E-4</v>
      </c>
      <c r="L1218">
        <v>0</v>
      </c>
      <c r="M1218">
        <v>326997727.6225</v>
      </c>
      <c r="N1218">
        <v>0</v>
      </c>
      <c r="O1218" t="b">
        <v>1</v>
      </c>
    </row>
    <row r="1219" spans="1:15" x14ac:dyDescent="0.3">
      <c r="A1219" s="1" t="s">
        <v>1321</v>
      </c>
      <c r="B1219">
        <v>6.5208686676073224</v>
      </c>
      <c r="C1219">
        <v>1.9986111709955939E-2</v>
      </c>
      <c r="D1219">
        <v>2.1301376160848338E-2</v>
      </c>
      <c r="E1219">
        <v>41.01994774470846</v>
      </c>
      <c r="F1219">
        <v>-4.5299062767921623E-2</v>
      </c>
      <c r="G1219">
        <v>0.2</v>
      </c>
      <c r="H1219">
        <v>-0.19081521197776011</v>
      </c>
      <c r="I1219">
        <v>0.50308456086214459</v>
      </c>
      <c r="J1219">
        <v>-5.2298308038631891E-2</v>
      </c>
      <c r="K1219">
        <v>1.5974341408731441E-2</v>
      </c>
      <c r="L1219">
        <v>0</v>
      </c>
      <c r="M1219">
        <v>584851915.99699998</v>
      </c>
      <c r="N1219">
        <v>0</v>
      </c>
      <c r="O1219" t="b">
        <v>1</v>
      </c>
    </row>
    <row r="1220" spans="1:15" x14ac:dyDescent="0.3">
      <c r="A1220" s="1" t="s">
        <v>1322</v>
      </c>
      <c r="B1220">
        <v>7.0517185191397047E-2</v>
      </c>
      <c r="C1220">
        <v>8.563450046133852E-4</v>
      </c>
      <c r="D1220">
        <v>1.689199445757986E-3</v>
      </c>
      <c r="E1220">
        <v>62.649245031036827</v>
      </c>
      <c r="F1220">
        <v>3.490116414392785E-3</v>
      </c>
      <c r="G1220">
        <v>0.2</v>
      </c>
      <c r="H1220">
        <v>-8.4299621619610202E-2</v>
      </c>
      <c r="I1220">
        <v>-4.4825901367185174E-3</v>
      </c>
      <c r="J1220">
        <v>-1.214230293345997E-4</v>
      </c>
      <c r="K1220">
        <v>1.6920576686341171E-3</v>
      </c>
      <c r="L1220">
        <v>0</v>
      </c>
      <c r="M1220">
        <v>284886979.31430012</v>
      </c>
      <c r="N1220">
        <v>0</v>
      </c>
      <c r="O1220" t="b">
        <v>1</v>
      </c>
    </row>
    <row r="1221" spans="1:15" x14ac:dyDescent="0.3">
      <c r="A1221" s="1" t="s">
        <v>1323</v>
      </c>
      <c r="B1221">
        <v>0.1011172560446775</v>
      </c>
      <c r="C1221">
        <v>2.382716730006681E-3</v>
      </c>
      <c r="D1221">
        <v>3.7278086988486859E-3</v>
      </c>
      <c r="E1221">
        <v>65.898210331532795</v>
      </c>
      <c r="F1221">
        <v>6.9856727269277394E-3</v>
      </c>
      <c r="G1221">
        <v>0.4</v>
      </c>
      <c r="H1221">
        <v>-9.6603952549139865E-2</v>
      </c>
      <c r="I1221">
        <v>0.1788350606235577</v>
      </c>
      <c r="J1221">
        <v>0</v>
      </c>
      <c r="K1221">
        <v>2.5679733327665928E-3</v>
      </c>
      <c r="L1221">
        <v>0</v>
      </c>
      <c r="M1221">
        <v>50911843.1061</v>
      </c>
      <c r="N1221">
        <v>0</v>
      </c>
      <c r="O1221" t="b">
        <v>0</v>
      </c>
    </row>
    <row r="1222" spans="1:15" x14ac:dyDescent="0.3">
      <c r="A1222" s="1" t="s">
        <v>1324</v>
      </c>
      <c r="B1222">
        <v>2.8642598204381962</v>
      </c>
      <c r="C1222">
        <v>3.6297575359910232E-2</v>
      </c>
      <c r="D1222">
        <v>4.2251664860823421E-2</v>
      </c>
      <c r="E1222">
        <v>67.394612654017578</v>
      </c>
      <c r="F1222">
        <v>0.17779150938749549</v>
      </c>
      <c r="G1222">
        <v>0.4</v>
      </c>
      <c r="H1222">
        <v>9.7860290873163502E-2</v>
      </c>
      <c r="I1222">
        <v>1.4850032423024</v>
      </c>
      <c r="J1222">
        <v>0</v>
      </c>
      <c r="K1222">
        <v>1.6439919520005342E-2</v>
      </c>
      <c r="L1222">
        <v>0</v>
      </c>
      <c r="M1222">
        <v>62676136.756250009</v>
      </c>
      <c r="N1222">
        <v>0</v>
      </c>
      <c r="O1222" t="b">
        <v>0</v>
      </c>
    </row>
    <row r="1223" spans="1:15" x14ac:dyDescent="0.3">
      <c r="A1223" s="1" t="s">
        <v>1325</v>
      </c>
      <c r="B1223">
        <v>0.59067668192217404</v>
      </c>
      <c r="C1223">
        <v>2.6803131099673919E-2</v>
      </c>
      <c r="D1223">
        <v>3.1364576904926222E-2</v>
      </c>
      <c r="E1223">
        <v>60.24112949191943</v>
      </c>
      <c r="F1223">
        <v>2.809851040106737E-2</v>
      </c>
      <c r="G1223">
        <v>0.8</v>
      </c>
      <c r="H1223">
        <v>-6.1653295303507383E-2</v>
      </c>
      <c r="I1223">
        <v>0.94296536131213704</v>
      </c>
      <c r="J1223">
        <v>0</v>
      </c>
      <c r="K1223">
        <v>1.8246337102117541E-2</v>
      </c>
      <c r="L1223">
        <v>0</v>
      </c>
      <c r="M1223">
        <v>82418110.649350002</v>
      </c>
      <c r="N1223">
        <v>0</v>
      </c>
      <c r="O1223" t="b">
        <v>0</v>
      </c>
    </row>
    <row r="1224" spans="1:15" x14ac:dyDescent="0.3">
      <c r="A1224" s="1" t="s">
        <v>1326</v>
      </c>
      <c r="B1224">
        <v>20.925741627409721</v>
      </c>
      <c r="C1224">
        <v>5.5600333795859609E-2</v>
      </c>
      <c r="D1224">
        <v>4.4558401530449668E-2</v>
      </c>
      <c r="E1224">
        <v>71.698380723295003</v>
      </c>
      <c r="F1224">
        <v>0.1706740489595322</v>
      </c>
      <c r="G1224">
        <v>1</v>
      </c>
      <c r="H1224">
        <v>0.13180243254620069</v>
      </c>
      <c r="I1224">
        <v>2.5651255755417921</v>
      </c>
      <c r="J1224">
        <v>0</v>
      </c>
      <c r="K1224">
        <v>2.6931157739638278E-2</v>
      </c>
      <c r="L1224">
        <v>0</v>
      </c>
      <c r="M1224">
        <v>62975824.5</v>
      </c>
      <c r="N1224">
        <v>0</v>
      </c>
      <c r="O1224" t="b">
        <v>0</v>
      </c>
    </row>
    <row r="1225" spans="1:15" x14ac:dyDescent="0.3">
      <c r="A1225" s="1" t="s">
        <v>1327</v>
      </c>
      <c r="B1225">
        <v>1.602803493108929</v>
      </c>
      <c r="C1225">
        <v>2.724929434051223E-2</v>
      </c>
      <c r="D1225">
        <v>3.026181570894243E-2</v>
      </c>
      <c r="E1225">
        <v>75.823602194712606</v>
      </c>
      <c r="F1225">
        <v>0.22312331045955491</v>
      </c>
      <c r="G1225">
        <v>0.6</v>
      </c>
      <c r="H1225">
        <v>0.25037536978792341</v>
      </c>
      <c r="I1225">
        <v>0.66733947500838986</v>
      </c>
      <c r="J1225">
        <v>0</v>
      </c>
      <c r="K1225">
        <v>1.6240497581202499E-2</v>
      </c>
      <c r="L1225">
        <v>0</v>
      </c>
      <c r="M1225">
        <v>29587020</v>
      </c>
      <c r="N1225">
        <v>0</v>
      </c>
      <c r="O1225" t="b">
        <v>0</v>
      </c>
    </row>
    <row r="1226" spans="1:15" x14ac:dyDescent="0.3">
      <c r="A1226" s="1" t="s">
        <v>1328</v>
      </c>
      <c r="B1226">
        <v>2.2714810259642522</v>
      </c>
      <c r="C1226">
        <v>2.3015787715599419E-2</v>
      </c>
      <c r="D1226">
        <v>1.484715626244397E-2</v>
      </c>
      <c r="E1226">
        <v>39.878021795694323</v>
      </c>
      <c r="F1226">
        <v>-6.0869358353395693E-2</v>
      </c>
      <c r="G1226">
        <v>0.6</v>
      </c>
      <c r="H1226">
        <v>-0.1205419303185199</v>
      </c>
      <c r="I1226">
        <v>-4.5608464207174793E-2</v>
      </c>
      <c r="J1226">
        <v>-8.7179748053053063E-2</v>
      </c>
      <c r="K1226">
        <v>2.817659909566617E-3</v>
      </c>
      <c r="L1226">
        <v>0</v>
      </c>
      <c r="M1226">
        <v>150230860.19299999</v>
      </c>
      <c r="N1226">
        <v>0</v>
      </c>
      <c r="O1226" t="b">
        <v>1</v>
      </c>
    </row>
    <row r="1227" spans="1:15" x14ac:dyDescent="0.3">
      <c r="A1227" s="1" t="s">
        <v>1329</v>
      </c>
      <c r="B1227">
        <v>6.5823866685407545E-2</v>
      </c>
      <c r="C1227">
        <v>2.6239492735096169E-3</v>
      </c>
      <c r="D1227">
        <v>3.9424694448652398E-3</v>
      </c>
      <c r="E1227">
        <v>63.859550313388162</v>
      </c>
      <c r="F1227">
        <v>6.4796202902388522E-3</v>
      </c>
      <c r="G1227">
        <v>0.4</v>
      </c>
      <c r="H1227">
        <v>-9.5405101591464689E-2</v>
      </c>
      <c r="I1227">
        <v>0.19183748064509359</v>
      </c>
      <c r="J1227">
        <v>0</v>
      </c>
      <c r="K1227">
        <v>2.76616326759016E-3</v>
      </c>
      <c r="L1227">
        <v>0</v>
      </c>
      <c r="M1227">
        <v>83325646.123199999</v>
      </c>
      <c r="N1227">
        <v>0</v>
      </c>
      <c r="O1227" t="b">
        <v>0</v>
      </c>
    </row>
    <row r="1228" spans="1:15" x14ac:dyDescent="0.3">
      <c r="A1228" s="1" t="s">
        <v>1330</v>
      </c>
      <c r="B1228">
        <v>0.25306369491094532</v>
      </c>
      <c r="C1228">
        <v>1.244167624930901E-2</v>
      </c>
      <c r="D1228">
        <v>1.130776794493611E-2</v>
      </c>
      <c r="E1228">
        <v>50.097054128547413</v>
      </c>
      <c r="F1228">
        <v>9.8425196850393526E-4</v>
      </c>
      <c r="G1228">
        <v>0.6</v>
      </c>
      <c r="H1228">
        <v>-0.17813707475065291</v>
      </c>
      <c r="I1228">
        <v>0.31564634042135181</v>
      </c>
      <c r="J1228">
        <v>-6.3507572056668016E-3</v>
      </c>
      <c r="K1228">
        <v>9.8425196850393526E-4</v>
      </c>
      <c r="L1228">
        <v>0</v>
      </c>
      <c r="M1228">
        <v>8058750.1720000003</v>
      </c>
      <c r="N1228">
        <v>0</v>
      </c>
      <c r="O1228" t="b">
        <v>0</v>
      </c>
    </row>
    <row r="1229" spans="1:15" x14ac:dyDescent="0.3">
      <c r="A1229" s="1" t="s">
        <v>1331</v>
      </c>
      <c r="B1229">
        <v>1.079032793792708</v>
      </c>
      <c r="C1229">
        <v>2.7182474608025201E-2</v>
      </c>
      <c r="D1229">
        <v>4.4828307205530007E-2</v>
      </c>
      <c r="E1229">
        <v>71.785090703640904</v>
      </c>
      <c r="F1229">
        <v>9.0366972477064378E-2</v>
      </c>
      <c r="G1229">
        <v>0.8</v>
      </c>
      <c r="H1229">
        <v>6.4240764460177804E-2</v>
      </c>
      <c r="I1229">
        <v>0.81210852203627015</v>
      </c>
      <c r="J1229">
        <v>0</v>
      </c>
      <c r="K1229">
        <v>4.2557550130661648E-2</v>
      </c>
      <c r="L1229">
        <v>0</v>
      </c>
      <c r="M1229">
        <v>526250727.56620002</v>
      </c>
      <c r="N1229">
        <v>0</v>
      </c>
      <c r="O1229" t="b">
        <v>1</v>
      </c>
    </row>
    <row r="1230" spans="1:15" x14ac:dyDescent="0.3">
      <c r="A1230" s="1" t="s">
        <v>1332</v>
      </c>
      <c r="B1230">
        <v>0.84940678584587437</v>
      </c>
      <c r="C1230">
        <v>1.4440781806288241E-2</v>
      </c>
      <c r="D1230">
        <v>7.990479428765707E-3</v>
      </c>
      <c r="E1230">
        <v>48.289205988612963</v>
      </c>
      <c r="F1230">
        <v>1.256670683422279E-2</v>
      </c>
      <c r="G1230">
        <v>0.4</v>
      </c>
      <c r="H1230">
        <v>-7.8262004335721377E-2</v>
      </c>
      <c r="I1230">
        <v>0.30455881810478108</v>
      </c>
      <c r="J1230">
        <v>-1.6387959866220662E-2</v>
      </c>
      <c r="K1230">
        <v>-4.4008124576844221E-3</v>
      </c>
      <c r="L1230">
        <v>0</v>
      </c>
      <c r="M1230">
        <v>27691264.925999999</v>
      </c>
      <c r="N1230">
        <v>1</v>
      </c>
      <c r="O1230" t="b">
        <v>0</v>
      </c>
    </row>
    <row r="1231" spans="1:15" x14ac:dyDescent="0.3">
      <c r="A1231" s="1" t="s">
        <v>1333</v>
      </c>
      <c r="B1231">
        <v>1.549794566416689</v>
      </c>
      <c r="C1231">
        <v>2.764035253106276E-2</v>
      </c>
      <c r="D1231">
        <v>3.103263777421084E-2</v>
      </c>
      <c r="E1231">
        <v>75.73790931305922</v>
      </c>
      <c r="F1231">
        <v>0.22450316663026859</v>
      </c>
      <c r="G1231">
        <v>0.6</v>
      </c>
      <c r="H1231">
        <v>0.24916613445307981</v>
      </c>
      <c r="I1231">
        <v>0.64469853467005267</v>
      </c>
      <c r="J1231">
        <v>0</v>
      </c>
      <c r="K1231">
        <v>1.6313213703099461E-2</v>
      </c>
      <c r="L1231">
        <v>0</v>
      </c>
      <c r="M1231">
        <v>684533028</v>
      </c>
      <c r="N1231">
        <v>0</v>
      </c>
      <c r="O1231" t="b">
        <v>1</v>
      </c>
    </row>
    <row r="1232" spans="1:15" x14ac:dyDescent="0.3">
      <c r="A1232" s="1" t="s">
        <v>1334</v>
      </c>
      <c r="B1232">
        <v>1.4658560927019419</v>
      </c>
      <c r="C1232">
        <v>1.5721204288491421E-2</v>
      </c>
      <c r="D1232">
        <v>2.8668810937712719E-2</v>
      </c>
      <c r="E1232">
        <v>67.594107212493867</v>
      </c>
      <c r="F1232">
        <v>4.6626383901561257E-2</v>
      </c>
      <c r="G1232">
        <v>0.4</v>
      </c>
      <c r="H1232">
        <v>9.2019701234642686E-3</v>
      </c>
      <c r="I1232">
        <v>1.2941802479139271</v>
      </c>
      <c r="J1232">
        <v>0</v>
      </c>
      <c r="K1232">
        <v>2.2671011486865341E-2</v>
      </c>
      <c r="L1232">
        <v>0</v>
      </c>
      <c r="M1232">
        <v>15355938.151900001</v>
      </c>
      <c r="N1232">
        <v>0</v>
      </c>
      <c r="O1232" t="b">
        <v>0</v>
      </c>
    </row>
    <row r="1233" spans="1:15" x14ac:dyDescent="0.3">
      <c r="A1233" s="1" t="s">
        <v>1335</v>
      </c>
      <c r="B1233">
        <v>7.6360899983670863E-2</v>
      </c>
      <c r="C1233">
        <v>2.9980133873960409E-3</v>
      </c>
      <c r="D1233">
        <v>6.6194224691310108E-3</v>
      </c>
      <c r="E1233">
        <v>53.804668281134077</v>
      </c>
      <c r="F1233">
        <v>3.138932211667278E-3</v>
      </c>
      <c r="G1233">
        <v>0.2</v>
      </c>
      <c r="H1233">
        <v>-7.496992073651941E-2</v>
      </c>
      <c r="I1233">
        <v>-1.531190279094847E-2</v>
      </c>
      <c r="J1233">
        <v>-4.2222960689640709E-3</v>
      </c>
      <c r="K1233">
        <v>3.5934797256031992E-3</v>
      </c>
      <c r="L1233">
        <v>0</v>
      </c>
      <c r="M1233">
        <v>6477613.0782999992</v>
      </c>
      <c r="N1233">
        <v>0</v>
      </c>
      <c r="O1233" t="b">
        <v>0</v>
      </c>
    </row>
    <row r="1234" spans="1:15" x14ac:dyDescent="0.3">
      <c r="A1234" s="1" t="s">
        <v>1336</v>
      </c>
      <c r="B1234">
        <v>1.841323396822975</v>
      </c>
      <c r="C1234">
        <v>5.2759982716990679E-2</v>
      </c>
      <c r="D1234">
        <v>2.7220630372492921E-2</v>
      </c>
      <c r="E1234">
        <v>41.135630647500037</v>
      </c>
      <c r="F1234">
        <v>-0.13162478228415031</v>
      </c>
      <c r="G1234">
        <v>0.6</v>
      </c>
      <c r="H1234">
        <v>-0.1043553796350873</v>
      </c>
      <c r="I1234">
        <v>2.8186397604057229</v>
      </c>
      <c r="J1234">
        <v>-0.1009788768675941</v>
      </c>
      <c r="K1234">
        <v>-3.4266133637922409E-3</v>
      </c>
      <c r="L1234">
        <v>0</v>
      </c>
      <c r="M1234">
        <v>1478027293</v>
      </c>
      <c r="N1234">
        <v>0</v>
      </c>
      <c r="O1234" t="b">
        <v>1</v>
      </c>
    </row>
    <row r="1235" spans="1:15" x14ac:dyDescent="0.3">
      <c r="A1235" s="1" t="s">
        <v>1337</v>
      </c>
      <c r="B1235">
        <v>0.34941637634510819</v>
      </c>
      <c r="C1235">
        <v>1.854651679114162E-2</v>
      </c>
      <c r="D1235">
        <v>1.433121019108278E-2</v>
      </c>
      <c r="E1235">
        <v>68.596659859614761</v>
      </c>
      <c r="F1235">
        <v>0.14389799635701281</v>
      </c>
      <c r="G1235">
        <v>0.6</v>
      </c>
      <c r="H1235">
        <v>9.1061900379117877E-2</v>
      </c>
      <c r="I1235">
        <v>1.141316830484127</v>
      </c>
      <c r="J1235">
        <v>-6.3291139240506666E-3</v>
      </c>
      <c r="K1235">
        <v>9.6463022508037621E-3</v>
      </c>
      <c r="L1235">
        <v>0</v>
      </c>
      <c r="M1235">
        <v>26501118</v>
      </c>
      <c r="N1235">
        <v>0</v>
      </c>
      <c r="O1235" t="b">
        <v>0</v>
      </c>
    </row>
    <row r="1236" spans="1:15" x14ac:dyDescent="0.3">
      <c r="A1236" s="1" t="s">
        <v>1338</v>
      </c>
      <c r="B1236">
        <v>9.246121418660552</v>
      </c>
      <c r="C1236">
        <v>2.4792517345043581E-2</v>
      </c>
      <c r="D1236">
        <v>2.3148495736579709E-2</v>
      </c>
      <c r="E1236">
        <v>66.307412210975869</v>
      </c>
      <c r="F1236">
        <v>4.2672578891010497E-2</v>
      </c>
      <c r="G1236">
        <v>0.8</v>
      </c>
      <c r="H1236">
        <v>0.1994177523902074</v>
      </c>
      <c r="I1236">
        <v>2.1062388254923188</v>
      </c>
      <c r="J1236">
        <v>0</v>
      </c>
      <c r="K1236">
        <v>1.382338149542606E-2</v>
      </c>
      <c r="L1236">
        <v>0</v>
      </c>
      <c r="M1236">
        <v>1929291661.6635001</v>
      </c>
      <c r="N1236">
        <v>0</v>
      </c>
      <c r="O1236" t="b">
        <v>1</v>
      </c>
    </row>
    <row r="1237" spans="1:15" x14ac:dyDescent="0.3">
      <c r="A1237" s="1" t="s">
        <v>1339</v>
      </c>
      <c r="B1237">
        <v>1.0399100197079481</v>
      </c>
      <c r="C1237">
        <v>5.7965998868893427E-2</v>
      </c>
      <c r="D1237">
        <v>7.1070234113712494E-2</v>
      </c>
      <c r="E1237">
        <v>48.736358455431223</v>
      </c>
      <c r="F1237">
        <v>-1.9672131147540961E-2</v>
      </c>
      <c r="G1237">
        <v>0.6</v>
      </c>
      <c r="H1237">
        <v>-1.9752031436277691E-2</v>
      </c>
      <c r="I1237">
        <v>1.9213809657246921</v>
      </c>
      <c r="J1237">
        <v>-6.3674321503131459E-2</v>
      </c>
      <c r="K1237">
        <v>5.4054054054054168E-2</v>
      </c>
      <c r="L1237">
        <v>0</v>
      </c>
      <c r="M1237">
        <v>57020238</v>
      </c>
      <c r="N1237">
        <v>0</v>
      </c>
      <c r="O1237" t="b">
        <v>0</v>
      </c>
    </row>
    <row r="1238" spans="1:15" x14ac:dyDescent="0.3">
      <c r="A1238" s="1" t="s">
        <v>1340</v>
      </c>
      <c r="B1238">
        <v>4.1774434998929566</v>
      </c>
      <c r="C1238">
        <v>5.2586146776094619E-2</v>
      </c>
      <c r="D1238">
        <v>3.6505538771399872E-2</v>
      </c>
      <c r="E1238">
        <v>65.08126809205244</v>
      </c>
      <c r="F1238">
        <v>5.5400557991231558E-2</v>
      </c>
      <c r="G1238">
        <v>0.6</v>
      </c>
      <c r="H1238">
        <v>0.1227966315462448</v>
      </c>
      <c r="I1238">
        <v>2.4745065615011521</v>
      </c>
      <c r="J1238">
        <v>-1.365780978395836E-2</v>
      </c>
      <c r="K1238">
        <v>-1.365780978395836E-2</v>
      </c>
      <c r="L1238">
        <v>0</v>
      </c>
      <c r="M1238">
        <v>90427009</v>
      </c>
      <c r="N1238">
        <v>0</v>
      </c>
      <c r="O1238" t="b">
        <v>0</v>
      </c>
    </row>
    <row r="1239" spans="1:15" x14ac:dyDescent="0.3">
      <c r="A1239" s="1" t="s">
        <v>1341</v>
      </c>
      <c r="B1239">
        <v>4.2903543062610323</v>
      </c>
      <c r="C1239">
        <v>3.7877234097828477E-2</v>
      </c>
      <c r="D1239">
        <v>4.2288337600423699E-2</v>
      </c>
      <c r="E1239">
        <v>74.849383812013329</v>
      </c>
      <c r="F1239">
        <v>0.19508335091791509</v>
      </c>
      <c r="G1239">
        <v>0.8</v>
      </c>
      <c r="H1239">
        <v>-2.7296656436704491E-2</v>
      </c>
      <c r="I1239">
        <v>1.180488409909735</v>
      </c>
      <c r="J1239">
        <v>0</v>
      </c>
      <c r="K1239">
        <v>2.8418376611585309E-2</v>
      </c>
      <c r="L1239">
        <v>0</v>
      </c>
      <c r="M1239">
        <v>140833500.5</v>
      </c>
      <c r="N1239">
        <v>0</v>
      </c>
      <c r="O1239" t="b">
        <v>1</v>
      </c>
    </row>
    <row r="1240" spans="1:15" x14ac:dyDescent="0.3">
      <c r="A1240" s="1" t="s">
        <v>1342</v>
      </c>
      <c r="B1240">
        <v>6.3480404624177176</v>
      </c>
      <c r="C1240">
        <v>1.8217415090448601E-2</v>
      </c>
      <c r="D1240">
        <v>2.206853010388566E-2</v>
      </c>
      <c r="E1240">
        <v>62.043452322376339</v>
      </c>
      <c r="F1240">
        <v>2.292075196975207E-2</v>
      </c>
      <c r="G1240">
        <v>0.8</v>
      </c>
      <c r="H1240">
        <v>1.4155315308163659E-2</v>
      </c>
      <c r="I1240">
        <v>0.37853537435195039</v>
      </c>
      <c r="J1240">
        <v>0</v>
      </c>
      <c r="K1240">
        <v>1.6303555283343481E-2</v>
      </c>
      <c r="L1240">
        <v>0</v>
      </c>
      <c r="M1240">
        <v>106102996.40899999</v>
      </c>
      <c r="N1240">
        <v>0</v>
      </c>
      <c r="O1240" t="b">
        <v>1</v>
      </c>
    </row>
    <row r="1241" spans="1:15" x14ac:dyDescent="0.3">
      <c r="A1241" s="1" t="s">
        <v>1343</v>
      </c>
      <c r="B1241">
        <v>0.28289702297363589</v>
      </c>
      <c r="C1241">
        <v>3.5719321082529787E-2</v>
      </c>
      <c r="D1241">
        <v>3.7373737373737302E-2</v>
      </c>
      <c r="E1241">
        <v>50.480053223319793</v>
      </c>
      <c r="F1241">
        <v>-8.8607594936708778E-2</v>
      </c>
      <c r="G1241">
        <v>0.6</v>
      </c>
      <c r="H1241">
        <v>3.4611962438913582E-2</v>
      </c>
      <c r="I1241">
        <v>1.4980437235097721</v>
      </c>
      <c r="J1241">
        <v>-0.12871287128712869</v>
      </c>
      <c r="K1241">
        <v>0</v>
      </c>
      <c r="L1241">
        <v>0</v>
      </c>
      <c r="M1241">
        <v>315240767</v>
      </c>
      <c r="N1241">
        <v>0</v>
      </c>
      <c r="O1241" t="b">
        <v>1</v>
      </c>
    </row>
    <row r="1242" spans="1:15" x14ac:dyDescent="0.3">
      <c r="A1242" s="1" t="s">
        <v>1344</v>
      </c>
      <c r="B1242">
        <v>22.84349767864753</v>
      </c>
      <c r="C1242">
        <v>9.8099706599018857E-2</v>
      </c>
      <c r="D1242">
        <v>8.1465258094992693E-2</v>
      </c>
      <c r="E1242">
        <v>55.892430705235583</v>
      </c>
      <c r="F1242">
        <v>-0.1309572681470422</v>
      </c>
      <c r="G1242">
        <v>0.6</v>
      </c>
      <c r="H1242">
        <v>0.26026635038846679</v>
      </c>
      <c r="I1242">
        <v>5.8339492267192554</v>
      </c>
      <c r="J1242">
        <v>-0.17746379371246909</v>
      </c>
      <c r="K1242">
        <v>6.1058962908958403E-2</v>
      </c>
      <c r="L1242">
        <v>0</v>
      </c>
      <c r="M1242">
        <v>164065184</v>
      </c>
      <c r="N1242">
        <v>0</v>
      </c>
      <c r="O1242" t="b">
        <v>1</v>
      </c>
    </row>
    <row r="1243" spans="1:15" x14ac:dyDescent="0.3">
      <c r="A1243" s="1" t="s">
        <v>1345</v>
      </c>
      <c r="B1243">
        <v>0.60625982308167226</v>
      </c>
      <c r="C1243">
        <v>1.812977939837537E-2</v>
      </c>
      <c r="D1243">
        <v>1.7942583732057461E-2</v>
      </c>
      <c r="E1243">
        <v>48.732580433410533</v>
      </c>
      <c r="F1243">
        <v>2.6986506746624621E-3</v>
      </c>
      <c r="G1243">
        <v>0.6</v>
      </c>
      <c r="H1243">
        <v>-0.15095804849348271</v>
      </c>
      <c r="I1243">
        <v>0.82904531174101626</v>
      </c>
      <c r="J1243">
        <v>-1.492982979994117E-3</v>
      </c>
      <c r="K1243">
        <v>1.3333333333333201E-2</v>
      </c>
      <c r="L1243">
        <v>0</v>
      </c>
      <c r="M1243">
        <v>19584109.324999999</v>
      </c>
      <c r="N1243">
        <v>0</v>
      </c>
      <c r="O1243" t="b">
        <v>0</v>
      </c>
    </row>
    <row r="1244" spans="1:15" x14ac:dyDescent="0.3">
      <c r="A1244" s="1" t="s">
        <v>1346</v>
      </c>
      <c r="B1244">
        <v>10.5581640177491</v>
      </c>
      <c r="C1244">
        <v>4.8756241134837702E-2</v>
      </c>
      <c r="D1244">
        <v>3.0477949665204309E-2</v>
      </c>
      <c r="E1244">
        <v>31.834776724201419</v>
      </c>
      <c r="F1244">
        <v>-0.19351234590890459</v>
      </c>
      <c r="G1244">
        <v>0</v>
      </c>
      <c r="H1244">
        <v>-3.8151378250684848E-2</v>
      </c>
      <c r="I1244">
        <v>1.7624043893101129</v>
      </c>
      <c r="J1244">
        <v>-0.20168841701688409</v>
      </c>
      <c r="K1244">
        <v>-2.7178796046720469E-2</v>
      </c>
      <c r="L1244">
        <v>0</v>
      </c>
      <c r="M1244">
        <v>853973063.5</v>
      </c>
      <c r="N1244">
        <v>0</v>
      </c>
      <c r="O1244" t="b">
        <v>1</v>
      </c>
    </row>
    <row r="1245" spans="1:15" x14ac:dyDescent="0.3">
      <c r="A1245" s="1" t="s">
        <v>1347</v>
      </c>
      <c r="B1245">
        <v>14.71445669524935</v>
      </c>
      <c r="C1245">
        <v>3.0923768352666609E-2</v>
      </c>
      <c r="D1245">
        <v>3.5243679465355227E-2</v>
      </c>
      <c r="E1245">
        <v>70.387835421085015</v>
      </c>
      <c r="F1245">
        <v>0.18728946777453401</v>
      </c>
      <c r="G1245">
        <v>0.6</v>
      </c>
      <c r="H1245">
        <v>3.6110604924064892E-2</v>
      </c>
      <c r="I1245">
        <v>2.0455218587143769</v>
      </c>
      <c r="J1245">
        <v>0</v>
      </c>
      <c r="K1245">
        <v>2.1423204894279291E-2</v>
      </c>
      <c r="L1245">
        <v>0</v>
      </c>
      <c r="M1245">
        <v>658665126</v>
      </c>
      <c r="N1245">
        <v>0</v>
      </c>
      <c r="O1245" t="b">
        <v>1</v>
      </c>
    </row>
    <row r="1246" spans="1:15" x14ac:dyDescent="0.3">
      <c r="A1246" s="1" t="s">
        <v>1348</v>
      </c>
      <c r="B1246">
        <v>3.315193008565227</v>
      </c>
      <c r="C1246">
        <v>2.1287945293905691E-2</v>
      </c>
      <c r="D1246">
        <v>2.6687043684301821E-2</v>
      </c>
      <c r="E1246">
        <v>59.370826743139112</v>
      </c>
      <c r="F1246">
        <v>1.185131280578511E-2</v>
      </c>
      <c r="G1246">
        <v>0.6</v>
      </c>
      <c r="H1246">
        <v>-1.3536805202778271E-2</v>
      </c>
      <c r="I1246">
        <v>1.203434199255883</v>
      </c>
      <c r="J1246">
        <v>0</v>
      </c>
      <c r="K1246">
        <v>1.2831852651569159E-2</v>
      </c>
      <c r="L1246">
        <v>0</v>
      </c>
      <c r="M1246">
        <v>83133868.159999996</v>
      </c>
      <c r="N1246">
        <v>0</v>
      </c>
      <c r="O1246" t="b">
        <v>0</v>
      </c>
    </row>
    <row r="1247" spans="1:15" x14ac:dyDescent="0.3">
      <c r="A1247" s="1" t="s">
        <v>1349</v>
      </c>
      <c r="B1247">
        <v>0.84764319265944843</v>
      </c>
      <c r="C1247">
        <v>1.7564094336084721E-2</v>
      </c>
      <c r="D1247">
        <v>1.160381268130962E-2</v>
      </c>
      <c r="E1247">
        <v>40.822014432459348</v>
      </c>
      <c r="F1247">
        <v>-4.7374654559810492E-2</v>
      </c>
      <c r="G1247">
        <v>0.4</v>
      </c>
      <c r="H1247">
        <v>-2.936668681955721E-2</v>
      </c>
      <c r="I1247">
        <v>0.50720326038445762</v>
      </c>
      <c r="J1247">
        <v>-7.7951853267099858E-2</v>
      </c>
      <c r="K1247">
        <v>8.990173531256529E-3</v>
      </c>
      <c r="L1247">
        <v>0</v>
      </c>
      <c r="M1247">
        <v>114700755.9562</v>
      </c>
      <c r="N1247">
        <v>0</v>
      </c>
      <c r="O1247" t="b">
        <v>1</v>
      </c>
    </row>
    <row r="1248" spans="1:15" x14ac:dyDescent="0.3">
      <c r="A1248" s="1" t="s">
        <v>1350</v>
      </c>
      <c r="B1248">
        <v>1.449592153806837</v>
      </c>
      <c r="C1248">
        <v>1.7376054739265911E-2</v>
      </c>
      <c r="D1248">
        <v>2.009956283930299E-2</v>
      </c>
      <c r="E1248">
        <v>24.264602367743979</v>
      </c>
      <c r="F1248">
        <v>-6.5980055509589852E-2</v>
      </c>
      <c r="G1248">
        <v>0</v>
      </c>
      <c r="H1248">
        <v>-0.1570111812158661</v>
      </c>
      <c r="I1248">
        <v>-0.2250153560771157</v>
      </c>
      <c r="J1248">
        <v>-7.7465528547526863E-2</v>
      </c>
      <c r="K1248">
        <v>-1.6493032018174199E-2</v>
      </c>
      <c r="L1248">
        <v>0</v>
      </c>
      <c r="M1248">
        <v>440166882.72000003</v>
      </c>
      <c r="N1248">
        <v>0</v>
      </c>
      <c r="O1248" t="b">
        <v>1</v>
      </c>
    </row>
    <row r="1249" spans="1:15" x14ac:dyDescent="0.3">
      <c r="A1249" s="1" t="s">
        <v>1351</v>
      </c>
      <c r="B1249">
        <v>1.654987487008847</v>
      </c>
      <c r="C1249">
        <v>6.1092192211474577E-2</v>
      </c>
      <c r="D1249">
        <v>4.429678848283497E-2</v>
      </c>
      <c r="E1249">
        <v>45.551336781795619</v>
      </c>
      <c r="F1249">
        <v>-0.11296660117878191</v>
      </c>
      <c r="G1249">
        <v>0.4</v>
      </c>
      <c r="H1249">
        <v>2.1259908239771169E-2</v>
      </c>
      <c r="I1249">
        <v>4.1523748130226101</v>
      </c>
      <c r="J1249">
        <v>-0.15895684570009319</v>
      </c>
      <c r="K1249">
        <v>9.6906448005964485E-3</v>
      </c>
      <c r="L1249">
        <v>0</v>
      </c>
      <c r="M1249">
        <v>1042713106.5</v>
      </c>
      <c r="N1249">
        <v>0</v>
      </c>
      <c r="O1249" t="b">
        <v>1</v>
      </c>
    </row>
    <row r="1250" spans="1:15" x14ac:dyDescent="0.3">
      <c r="A1250" s="1" t="s">
        <v>1352</v>
      </c>
      <c r="B1250">
        <v>2.3456076987598462</v>
      </c>
      <c r="C1250">
        <v>4.7796387137235781E-2</v>
      </c>
      <c r="D1250">
        <v>4.6459500764136553E-2</v>
      </c>
      <c r="E1250">
        <v>63.593787399646352</v>
      </c>
      <c r="F1250">
        <v>3.9944903581267337E-2</v>
      </c>
      <c r="G1250">
        <v>0.6</v>
      </c>
      <c r="H1250">
        <v>0</v>
      </c>
      <c r="I1250">
        <v>1</v>
      </c>
      <c r="J1250">
        <v>0</v>
      </c>
      <c r="K1250">
        <v>3.555602447773798E-2</v>
      </c>
      <c r="O1250" t="b">
        <v>0</v>
      </c>
    </row>
    <row r="1251" spans="1:15" x14ac:dyDescent="0.3">
      <c r="A1251" s="1" t="s">
        <v>1353</v>
      </c>
      <c r="B1251">
        <v>2.044613644896216</v>
      </c>
      <c r="C1251">
        <v>2.4964757568940361E-2</v>
      </c>
      <c r="D1251">
        <v>2.6373626373626329E-2</v>
      </c>
      <c r="E1251">
        <v>57.128121181896688</v>
      </c>
      <c r="F1251">
        <v>0.14082741328875881</v>
      </c>
      <c r="G1251">
        <v>0.6</v>
      </c>
      <c r="H1251">
        <v>5.8078864598320887E-2</v>
      </c>
      <c r="I1251">
        <v>0.39848513171218519</v>
      </c>
      <c r="J1251">
        <v>-4.512067156348365E-2</v>
      </c>
      <c r="K1251">
        <v>2.2344276619647999E-2</v>
      </c>
      <c r="L1251">
        <v>0</v>
      </c>
      <c r="M1251">
        <v>68084454.5</v>
      </c>
      <c r="N1251">
        <v>0</v>
      </c>
      <c r="O1251" t="b">
        <v>0</v>
      </c>
    </row>
    <row r="1252" spans="1:15" x14ac:dyDescent="0.3">
      <c r="A1252" s="1" t="s">
        <v>1354</v>
      </c>
      <c r="B1252">
        <v>0.60846840639374333</v>
      </c>
      <c r="C1252">
        <v>2.2469291225765999E-2</v>
      </c>
      <c r="D1252">
        <v>3.0280649926144768E-2</v>
      </c>
      <c r="E1252">
        <v>37.206962593493557</v>
      </c>
      <c r="F1252">
        <v>-3.1819806936002837E-2</v>
      </c>
      <c r="G1252">
        <v>0.2</v>
      </c>
      <c r="H1252">
        <v>-0.1111786426890462</v>
      </c>
      <c r="I1252">
        <v>1.252117389676779</v>
      </c>
      <c r="J1252">
        <v>-0.1050892267019168</v>
      </c>
      <c r="K1252">
        <v>-1.7416545718432541E-2</v>
      </c>
      <c r="L1252">
        <v>0</v>
      </c>
      <c r="M1252">
        <v>103206886.35169999</v>
      </c>
      <c r="N1252">
        <v>0</v>
      </c>
      <c r="O1252" t="b">
        <v>1</v>
      </c>
    </row>
    <row r="1253" spans="1:15" x14ac:dyDescent="0.3">
      <c r="A1253" s="1" t="s">
        <v>1355</v>
      </c>
      <c r="B1253">
        <v>3.458402857395741</v>
      </c>
      <c r="C1253">
        <v>6.9655646674637292E-2</v>
      </c>
      <c r="D1253">
        <v>6.2034239677744317E-2</v>
      </c>
      <c r="E1253">
        <v>64.330608926200199</v>
      </c>
      <c r="F1253">
        <v>0.104314946619217</v>
      </c>
      <c r="G1253">
        <v>0.6</v>
      </c>
      <c r="H1253">
        <v>0.16739433603905979</v>
      </c>
      <c r="I1253">
        <v>6.9837020609607823</v>
      </c>
      <c r="J1253">
        <v>0</v>
      </c>
      <c r="K1253">
        <v>3.8920276208411757E-2</v>
      </c>
      <c r="L1253">
        <v>0</v>
      </c>
      <c r="M1253">
        <v>2506929389.1118002</v>
      </c>
      <c r="N1253">
        <v>0</v>
      </c>
      <c r="O1253" t="b">
        <v>1</v>
      </c>
    </row>
    <row r="1254" spans="1:15" x14ac:dyDescent="0.3">
      <c r="A1254" s="1" t="s">
        <v>1356</v>
      </c>
      <c r="B1254">
        <v>8.385345368024101</v>
      </c>
      <c r="C1254">
        <v>2.654707635816372E-2</v>
      </c>
      <c r="D1254">
        <v>2.1464730408684761E-2</v>
      </c>
      <c r="E1254">
        <v>65.372926641637918</v>
      </c>
      <c r="F1254">
        <v>4.7450241744540163E-2</v>
      </c>
      <c r="G1254">
        <v>0.6</v>
      </c>
      <c r="H1254">
        <v>0.18361036107021761</v>
      </c>
      <c r="I1254">
        <v>2.3267860383822678</v>
      </c>
      <c r="J1254">
        <v>0</v>
      </c>
      <c r="K1254">
        <v>1.3293853838183271E-2</v>
      </c>
      <c r="L1254">
        <v>0</v>
      </c>
      <c r="M1254">
        <v>1198327399.02</v>
      </c>
      <c r="N1254">
        <v>0</v>
      </c>
      <c r="O1254" t="b">
        <v>1</v>
      </c>
    </row>
    <row r="1255" spans="1:15" x14ac:dyDescent="0.3">
      <c r="A1255" s="1" t="s">
        <v>1357</v>
      </c>
      <c r="B1255">
        <v>8.3535924962554436E-2</v>
      </c>
      <c r="C1255">
        <v>3.2571040601760979E-3</v>
      </c>
      <c r="D1255">
        <v>3.875651628046727E-3</v>
      </c>
      <c r="E1255">
        <v>51.233954331870017</v>
      </c>
      <c r="F1255">
        <v>2.5016319239503648E-3</v>
      </c>
      <c r="G1255">
        <v>0.2</v>
      </c>
      <c r="H1255">
        <v>-8.9477943913139582E-2</v>
      </c>
      <c r="I1255">
        <v>-1.1989230131200609E-2</v>
      </c>
      <c r="J1255">
        <v>-5.5794224386611626E-3</v>
      </c>
      <c r="K1255">
        <v>3.1093797667378631E-3</v>
      </c>
      <c r="L1255">
        <v>0</v>
      </c>
      <c r="M1255">
        <v>47198389.331100002</v>
      </c>
      <c r="N1255">
        <v>0</v>
      </c>
      <c r="O1255" t="b">
        <v>0</v>
      </c>
    </row>
    <row r="1256" spans="1:15" x14ac:dyDescent="0.3">
      <c r="A1256" s="1" t="s">
        <v>1358</v>
      </c>
      <c r="B1256">
        <v>0.37784235363262159</v>
      </c>
      <c r="C1256">
        <v>8.6286062556690905E-3</v>
      </c>
      <c r="D1256">
        <v>1.256237225818976E-2</v>
      </c>
      <c r="E1256">
        <v>64.120791557638398</v>
      </c>
      <c r="F1256">
        <v>1.803848085256754E-2</v>
      </c>
      <c r="G1256">
        <v>0.6</v>
      </c>
      <c r="H1256">
        <v>-1.7536120490941439E-2</v>
      </c>
      <c r="I1256">
        <v>0.77780800019757412</v>
      </c>
      <c r="J1256">
        <v>0</v>
      </c>
      <c r="K1256">
        <v>1.111336883084491E-2</v>
      </c>
      <c r="L1256">
        <v>0</v>
      </c>
      <c r="M1256">
        <v>137356200.465</v>
      </c>
      <c r="N1256">
        <v>0</v>
      </c>
      <c r="O1256" t="b">
        <v>1</v>
      </c>
    </row>
    <row r="1257" spans="1:15" x14ac:dyDescent="0.3">
      <c r="A1257" s="1" t="s">
        <v>1359</v>
      </c>
      <c r="B1257">
        <v>0.41295868384809842</v>
      </c>
      <c r="C1257">
        <v>8.8744957116230656E-3</v>
      </c>
      <c r="D1257">
        <v>1.1413356485262181E-2</v>
      </c>
      <c r="E1257">
        <v>55.382338958561107</v>
      </c>
      <c r="F1257">
        <v>-1.066654760613928E-2</v>
      </c>
      <c r="G1257">
        <v>0.6</v>
      </c>
      <c r="H1257">
        <v>-6.6045139047774787E-2</v>
      </c>
      <c r="I1257">
        <v>0.8872794475185648</v>
      </c>
      <c r="J1257">
        <v>-1.1286662530490149E-2</v>
      </c>
      <c r="K1257">
        <v>8.5262614922474445E-3</v>
      </c>
      <c r="L1257">
        <v>0</v>
      </c>
      <c r="M1257">
        <v>66517525.425500013</v>
      </c>
      <c r="N1257">
        <v>0</v>
      </c>
      <c r="O1257" t="b">
        <v>0</v>
      </c>
    </row>
    <row r="1258" spans="1:15" x14ac:dyDescent="0.3">
      <c r="A1258" s="1" t="s">
        <v>1360</v>
      </c>
      <c r="B1258">
        <v>2.8194347558429298</v>
      </c>
      <c r="C1258">
        <v>1.552124831182455E-2</v>
      </c>
      <c r="D1258">
        <v>2.3947151114781139E-2</v>
      </c>
      <c r="E1258">
        <v>54.628791692581153</v>
      </c>
      <c r="F1258">
        <v>5.1627683062467336E-3</v>
      </c>
      <c r="G1258">
        <v>0.6</v>
      </c>
      <c r="H1258">
        <v>-5.984782766933168E-2</v>
      </c>
      <c r="I1258">
        <v>0.23795501551688319</v>
      </c>
      <c r="J1258">
        <v>-1.307210848872087E-2</v>
      </c>
      <c r="K1258">
        <v>1.5655577299412912E-2</v>
      </c>
      <c r="L1258">
        <v>0</v>
      </c>
      <c r="M1258">
        <v>250875815.33399999</v>
      </c>
      <c r="N1258">
        <v>0</v>
      </c>
      <c r="O1258" t="b">
        <v>1</v>
      </c>
    </row>
    <row r="1259" spans="1:15" x14ac:dyDescent="0.3">
      <c r="A1259" s="1" t="s">
        <v>1361</v>
      </c>
      <c r="B1259">
        <v>7.9078318164564534</v>
      </c>
      <c r="C1259">
        <v>1.6095074119629679E-2</v>
      </c>
      <c r="D1259">
        <v>1.5448180411951539E-2</v>
      </c>
      <c r="E1259">
        <v>48.073848226811187</v>
      </c>
      <c r="F1259">
        <v>-3.1468680445796431E-3</v>
      </c>
      <c r="G1259">
        <v>0.4</v>
      </c>
      <c r="H1259">
        <v>-0.14779541524782741</v>
      </c>
      <c r="I1259">
        <v>-1.647695152985738E-2</v>
      </c>
      <c r="J1259">
        <v>-2.1222256973980721E-2</v>
      </c>
      <c r="K1259">
        <v>1.2022904652251309E-3</v>
      </c>
      <c r="L1259">
        <v>0</v>
      </c>
      <c r="M1259">
        <v>636223844.35500002</v>
      </c>
      <c r="N1259">
        <v>0</v>
      </c>
      <c r="O1259" t="b">
        <v>1</v>
      </c>
    </row>
    <row r="1260" spans="1:15" x14ac:dyDescent="0.3">
      <c r="A1260" s="1" t="s">
        <v>1362</v>
      </c>
      <c r="B1260">
        <v>0.71722381967442617</v>
      </c>
      <c r="C1260">
        <v>9.54074795908238E-3</v>
      </c>
      <c r="D1260">
        <v>1.525245161942574E-2</v>
      </c>
      <c r="E1260">
        <v>61.775572869960619</v>
      </c>
      <c r="F1260">
        <v>2.126491825104115E-2</v>
      </c>
      <c r="G1260">
        <v>0.4</v>
      </c>
      <c r="H1260">
        <v>-3.9212781068628078E-2</v>
      </c>
      <c r="I1260">
        <v>0.71202060674604195</v>
      </c>
      <c r="J1260">
        <v>0</v>
      </c>
      <c r="K1260">
        <v>1.276075206526972E-2</v>
      </c>
      <c r="L1260">
        <v>0</v>
      </c>
      <c r="M1260">
        <v>76899255.290100008</v>
      </c>
      <c r="N1260">
        <v>0</v>
      </c>
      <c r="O1260" t="b">
        <v>0</v>
      </c>
    </row>
    <row r="1261" spans="1:15" x14ac:dyDescent="0.3">
      <c r="A1261" s="1" t="s">
        <v>1363</v>
      </c>
      <c r="B1261">
        <v>7.0874054206797654E-2</v>
      </c>
      <c r="C1261">
        <v>3.023353363028967E-3</v>
      </c>
      <c r="D1261">
        <v>5.0592521179753051E-3</v>
      </c>
      <c r="E1261">
        <v>62.791212241635357</v>
      </c>
      <c r="F1261">
        <v>6.3362324315507923E-3</v>
      </c>
      <c r="G1261">
        <v>0.4</v>
      </c>
      <c r="H1261">
        <v>-9.6365815802071153E-2</v>
      </c>
      <c r="I1261">
        <v>0.21571038877148591</v>
      </c>
      <c r="J1261">
        <v>-4.1787480811883437E-4</v>
      </c>
      <c r="K1261">
        <v>2.9606811277969052E-3</v>
      </c>
      <c r="L1261">
        <v>0</v>
      </c>
      <c r="M1261">
        <v>96143404.140900016</v>
      </c>
      <c r="N1261">
        <v>0</v>
      </c>
      <c r="O1261" t="b">
        <v>1</v>
      </c>
    </row>
    <row r="1262" spans="1:15" x14ac:dyDescent="0.3">
      <c r="A1262" s="1" t="s">
        <v>1364</v>
      </c>
      <c r="B1262">
        <v>7.2382350249234353E-2</v>
      </c>
      <c r="C1262">
        <v>2.153236897429597E-3</v>
      </c>
      <c r="D1262">
        <v>3.5429978938350971E-3</v>
      </c>
      <c r="E1262">
        <v>57.843034868013753</v>
      </c>
      <c r="F1262">
        <v>6.0063025775924928E-3</v>
      </c>
      <c r="G1262">
        <v>0.2</v>
      </c>
      <c r="H1262">
        <v>-8.679036772759878E-2</v>
      </c>
      <c r="I1262">
        <v>2.802113081679132E-2</v>
      </c>
      <c r="J1262">
        <v>-1.6779470243910579E-3</v>
      </c>
      <c r="K1262">
        <v>3.2590788625457279E-3</v>
      </c>
      <c r="L1262">
        <v>0</v>
      </c>
      <c r="M1262">
        <v>175586937.22620001</v>
      </c>
      <c r="N1262">
        <v>0</v>
      </c>
      <c r="O1262" t="b">
        <v>1</v>
      </c>
    </row>
    <row r="1263" spans="1:15" x14ac:dyDescent="0.3">
      <c r="A1263" s="1" t="s">
        <v>1365</v>
      </c>
      <c r="B1263">
        <v>0.62794716097455205</v>
      </c>
      <c r="C1263">
        <v>8.9276424913993409E-3</v>
      </c>
      <c r="D1263">
        <v>5.099705135532432E-3</v>
      </c>
      <c r="E1263">
        <v>38.96626464190426</v>
      </c>
      <c r="F1263">
        <v>-1.0617198511229111E-2</v>
      </c>
      <c r="G1263">
        <v>0.2</v>
      </c>
      <c r="H1263">
        <v>-0.14320882296686299</v>
      </c>
      <c r="I1263">
        <v>5.1377946397443031E-2</v>
      </c>
      <c r="J1263">
        <v>-3.5124468606091641E-2</v>
      </c>
      <c r="K1263">
        <v>3.4109243733444479E-3</v>
      </c>
      <c r="L1263">
        <v>0</v>
      </c>
      <c r="M1263">
        <v>153347864.44279999</v>
      </c>
      <c r="N1263">
        <v>0</v>
      </c>
      <c r="O1263" t="b">
        <v>1</v>
      </c>
    </row>
    <row r="1264" spans="1:15" x14ac:dyDescent="0.3">
      <c r="A1264" s="1" t="s">
        <v>1366</v>
      </c>
      <c r="B1264">
        <v>6.8948273847414032E-2</v>
      </c>
      <c r="C1264">
        <v>3.0966277058518091E-3</v>
      </c>
      <c r="D1264">
        <v>4.4508120149468226E-3</v>
      </c>
      <c r="E1264">
        <v>52.595425007900928</v>
      </c>
      <c r="F1264">
        <v>2.169470775158056E-3</v>
      </c>
      <c r="G1264">
        <v>0.2</v>
      </c>
      <c r="H1264">
        <v>-8.0858423257932702E-2</v>
      </c>
      <c r="I1264">
        <v>-1.1223316823093649E-2</v>
      </c>
      <c r="J1264">
        <v>-4.4711521264799714E-3</v>
      </c>
      <c r="K1264">
        <v>2.6749286235376868E-3</v>
      </c>
      <c r="L1264">
        <v>0</v>
      </c>
      <c r="M1264">
        <v>17219282.290449999</v>
      </c>
      <c r="N1264">
        <v>0</v>
      </c>
      <c r="O1264" t="b">
        <v>0</v>
      </c>
    </row>
    <row r="1265" spans="1:15" x14ac:dyDescent="0.3">
      <c r="A1265" s="1" t="s">
        <v>1367</v>
      </c>
      <c r="B1265">
        <v>0.80189580396215809</v>
      </c>
      <c r="C1265">
        <v>1.3625819082060489E-2</v>
      </c>
      <c r="D1265">
        <v>2.1668207275297668E-2</v>
      </c>
      <c r="E1265">
        <v>64.58980369665656</v>
      </c>
      <c r="F1265">
        <v>3.1429477776083743E-2</v>
      </c>
      <c r="G1265">
        <v>0.6</v>
      </c>
      <c r="H1265">
        <v>-7.9786748771268595E-2</v>
      </c>
      <c r="I1265">
        <v>1.04956077947494</v>
      </c>
      <c r="J1265">
        <v>0</v>
      </c>
      <c r="K1265">
        <v>1.8798482826194899E-2</v>
      </c>
      <c r="L1265">
        <v>0</v>
      </c>
      <c r="M1265">
        <v>75655424.452549994</v>
      </c>
      <c r="N1265">
        <v>0</v>
      </c>
      <c r="O1265" t="b">
        <v>0</v>
      </c>
    </row>
    <row r="1266" spans="1:15" x14ac:dyDescent="0.3">
      <c r="A1266" s="1" t="s">
        <v>1368</v>
      </c>
      <c r="B1266">
        <v>1.7159516059843021</v>
      </c>
      <c r="C1266">
        <v>1.4154045944077589E-2</v>
      </c>
      <c r="D1266">
        <v>1.2752198228219739E-2</v>
      </c>
      <c r="E1266">
        <v>59.483920094456572</v>
      </c>
      <c r="F1266">
        <v>6.2081901631723113E-3</v>
      </c>
      <c r="G1266">
        <v>0.8</v>
      </c>
      <c r="H1266">
        <v>-0.13329420336540571</v>
      </c>
      <c r="I1266">
        <v>1.141348877335242</v>
      </c>
      <c r="J1266">
        <v>0</v>
      </c>
      <c r="K1266">
        <v>6.7095145566571368E-3</v>
      </c>
      <c r="L1266">
        <v>0</v>
      </c>
      <c r="M1266">
        <v>159096566.544</v>
      </c>
      <c r="N1266">
        <v>0</v>
      </c>
      <c r="O1266" t="b">
        <v>1</v>
      </c>
    </row>
    <row r="1267" spans="1:15" x14ac:dyDescent="0.3">
      <c r="A1267" s="1" t="s">
        <v>1369</v>
      </c>
      <c r="B1267">
        <v>20.206089610325559</v>
      </c>
      <c r="C1267">
        <v>3.3156806764453428E-2</v>
      </c>
      <c r="D1267">
        <v>4.0366912259398473E-2</v>
      </c>
      <c r="E1267">
        <v>51.498645540569953</v>
      </c>
      <c r="F1267">
        <v>-2.170388326136163E-2</v>
      </c>
      <c r="G1267">
        <v>1</v>
      </c>
      <c r="H1267">
        <v>-0.13988287485152051</v>
      </c>
      <c r="I1267">
        <v>0.46878255701366739</v>
      </c>
      <c r="J1267">
        <v>-5.9363761248398712E-2</v>
      </c>
      <c r="K1267">
        <v>3.347635117947334E-2</v>
      </c>
      <c r="L1267">
        <v>0</v>
      </c>
      <c r="M1267">
        <v>1120028327.5</v>
      </c>
      <c r="N1267">
        <v>0</v>
      </c>
      <c r="O1267" t="b">
        <v>1</v>
      </c>
    </row>
    <row r="1268" spans="1:15" x14ac:dyDescent="0.3">
      <c r="A1268" s="1" t="s">
        <v>1370</v>
      </c>
      <c r="B1268">
        <v>3.2203605314952269E-2</v>
      </c>
      <c r="C1268">
        <v>1.0737076213021171E-3</v>
      </c>
      <c r="D1268">
        <v>1.9871369557461819E-3</v>
      </c>
      <c r="E1268">
        <v>66.649877634368977</v>
      </c>
      <c r="F1268">
        <v>4.2758796190882631E-3</v>
      </c>
      <c r="G1268">
        <v>0.2</v>
      </c>
      <c r="H1268">
        <v>-8.3496685431983339E-2</v>
      </c>
      <c r="I1268">
        <v>1.59367583085872E-2</v>
      </c>
      <c r="J1268">
        <v>0</v>
      </c>
      <c r="K1268">
        <v>1.9910935312845708E-3</v>
      </c>
      <c r="L1268">
        <v>0</v>
      </c>
      <c r="M1268">
        <v>67831370.528650001</v>
      </c>
      <c r="N1268">
        <v>0</v>
      </c>
      <c r="O1268" t="b">
        <v>0</v>
      </c>
    </row>
    <row r="1269" spans="1:15" x14ac:dyDescent="0.3">
      <c r="A1269" s="1" t="s">
        <v>1371</v>
      </c>
      <c r="B1269">
        <v>0.74271371676258735</v>
      </c>
      <c r="C1269">
        <v>1.543718234042624E-2</v>
      </c>
      <c r="D1269">
        <v>2.5646408380445591E-2</v>
      </c>
      <c r="E1269">
        <v>66.541380108407083</v>
      </c>
      <c r="F1269">
        <v>4.112837957733384E-2</v>
      </c>
      <c r="G1269">
        <v>0.4</v>
      </c>
      <c r="H1269">
        <v>-1.7429072627643909E-2</v>
      </c>
      <c r="I1269">
        <v>1.204884648510002</v>
      </c>
      <c r="J1269">
        <v>0</v>
      </c>
      <c r="K1269">
        <v>1.87522233327122E-2</v>
      </c>
      <c r="L1269">
        <v>0</v>
      </c>
      <c r="M1269">
        <v>74156014.546400011</v>
      </c>
      <c r="N1269">
        <v>0</v>
      </c>
      <c r="O1269" t="b">
        <v>0</v>
      </c>
    </row>
    <row r="1270" spans="1:15" x14ac:dyDescent="0.3">
      <c r="A1270" s="1" t="s">
        <v>1372</v>
      </c>
      <c r="B1270">
        <v>7.159431684175481E-2</v>
      </c>
      <c r="C1270">
        <v>2.4959408750345941E-3</v>
      </c>
      <c r="D1270">
        <v>3.4618240640350122E-3</v>
      </c>
      <c r="E1270">
        <v>49.342409864384798</v>
      </c>
      <c r="F1270">
        <v>2.719661615367075E-3</v>
      </c>
      <c r="G1270">
        <v>0.2</v>
      </c>
      <c r="H1270">
        <v>-8.7161940310087851E-2</v>
      </c>
      <c r="I1270">
        <v>-5.0921582121311933E-2</v>
      </c>
      <c r="J1270">
        <v>-5.8847789395614081E-3</v>
      </c>
      <c r="K1270">
        <v>2.4323162570287771E-3</v>
      </c>
      <c r="L1270">
        <v>0</v>
      </c>
      <c r="M1270">
        <v>56908478.149800003</v>
      </c>
      <c r="N1270">
        <v>0</v>
      </c>
      <c r="O1270" t="b">
        <v>0</v>
      </c>
    </row>
    <row r="1271" spans="1:15" x14ac:dyDescent="0.3">
      <c r="A1271" s="1" t="s">
        <v>1373</v>
      </c>
      <c r="B1271">
        <v>0.16964703215796781</v>
      </c>
      <c r="C1271">
        <v>6.4007844883609624E-3</v>
      </c>
      <c r="D1271">
        <v>6.7461260710606642E-3</v>
      </c>
      <c r="E1271">
        <v>43.051723263065853</v>
      </c>
      <c r="F1271">
        <v>-8.2025797712107495E-3</v>
      </c>
      <c r="G1271">
        <v>0.4</v>
      </c>
      <c r="H1271">
        <v>-9.4693688273230811E-2</v>
      </c>
      <c r="I1271">
        <v>-9.9056693316366989E-2</v>
      </c>
      <c r="J1271">
        <v>-2.053599804876605E-2</v>
      </c>
      <c r="K1271">
        <v>3.7606798763860638E-3</v>
      </c>
      <c r="L1271">
        <v>0</v>
      </c>
      <c r="M1271">
        <v>124919708.03300001</v>
      </c>
      <c r="N1271">
        <v>0</v>
      </c>
      <c r="O1271" t="b">
        <v>1</v>
      </c>
    </row>
    <row r="1272" spans="1:15" x14ac:dyDescent="0.3">
      <c r="A1272" s="1" t="s">
        <v>1374</v>
      </c>
      <c r="B1272">
        <v>0.86836773537438749</v>
      </c>
      <c r="C1272">
        <v>1.045807864052436E-2</v>
      </c>
      <c r="D1272">
        <v>1.1767582123776909E-2</v>
      </c>
      <c r="E1272">
        <v>61.540299953230857</v>
      </c>
      <c r="F1272">
        <v>1.117079639874863E-2</v>
      </c>
      <c r="G1272">
        <v>0.6</v>
      </c>
      <c r="H1272">
        <v>-4.1741962791607273E-2</v>
      </c>
      <c r="I1272">
        <v>1.0060933728052781</v>
      </c>
      <c r="J1272">
        <v>0</v>
      </c>
      <c r="K1272">
        <v>7.9878410006892775E-3</v>
      </c>
      <c r="L1272">
        <v>0</v>
      </c>
      <c r="M1272">
        <v>39014278.281649999</v>
      </c>
      <c r="N1272">
        <v>0</v>
      </c>
      <c r="O1272" t="b">
        <v>0</v>
      </c>
    </row>
    <row r="1273" spans="1:15" x14ac:dyDescent="0.3">
      <c r="A1273" s="1" t="s">
        <v>1375</v>
      </c>
      <c r="B1273">
        <v>2.6993399867080131E-2</v>
      </c>
      <c r="C1273">
        <v>9.2812812218115762E-4</v>
      </c>
      <c r="D1273">
        <v>1.708860977110939E-3</v>
      </c>
      <c r="E1273">
        <v>62.012430568700758</v>
      </c>
      <c r="F1273">
        <v>3.8277280759886349E-3</v>
      </c>
      <c r="G1273">
        <v>0.2</v>
      </c>
      <c r="H1273">
        <v>-8.1927964431726605E-2</v>
      </c>
      <c r="I1273">
        <v>-2.0750888712481479E-2</v>
      </c>
      <c r="J1273">
        <v>0</v>
      </c>
      <c r="K1273">
        <v>1.7117861817179669E-3</v>
      </c>
      <c r="L1273">
        <v>0</v>
      </c>
      <c r="M1273">
        <v>30344378.2214</v>
      </c>
      <c r="N1273">
        <v>0</v>
      </c>
      <c r="O1273" t="b">
        <v>0</v>
      </c>
    </row>
    <row r="1274" spans="1:15" x14ac:dyDescent="0.3">
      <c r="A1274" s="1" t="s">
        <v>1376</v>
      </c>
      <c r="B1274">
        <v>7.7894350545116602</v>
      </c>
      <c r="C1274">
        <v>3.5782236457860543E-2</v>
      </c>
      <c r="D1274">
        <v>4.9611833340989543E-2</v>
      </c>
      <c r="E1274">
        <v>60.020689023920333</v>
      </c>
      <c r="F1274">
        <v>-3.2187791757435691E-2</v>
      </c>
      <c r="G1274">
        <v>0.6</v>
      </c>
      <c r="H1274">
        <v>7.3862214294873649E-2</v>
      </c>
      <c r="I1274">
        <v>1.276067851002799</v>
      </c>
      <c r="J1274">
        <v>-1.684581338632463E-2</v>
      </c>
      <c r="K1274">
        <v>3.9986623351805813E-2</v>
      </c>
      <c r="L1274">
        <v>0</v>
      </c>
      <c r="M1274">
        <v>44329899</v>
      </c>
      <c r="N1274">
        <v>0</v>
      </c>
      <c r="O1274" t="b">
        <v>0</v>
      </c>
    </row>
    <row r="1275" spans="1:15" x14ac:dyDescent="0.3">
      <c r="A1275" s="1" t="s">
        <v>1377</v>
      </c>
      <c r="B1275">
        <v>6.8945923387461132</v>
      </c>
      <c r="C1275">
        <v>3.0533120491154451E-2</v>
      </c>
      <c r="D1275">
        <v>3.2970634214174017E-2</v>
      </c>
      <c r="E1275">
        <v>59.346503828590009</v>
      </c>
      <c r="F1275">
        <v>1.491309682725883E-2</v>
      </c>
      <c r="G1275">
        <v>0.6</v>
      </c>
      <c r="H1275">
        <v>7.63104051438772E-2</v>
      </c>
      <c r="I1275">
        <v>2.9765852783704041</v>
      </c>
      <c r="J1275">
        <v>0</v>
      </c>
      <c r="K1275">
        <v>1.8984657039711191E-2</v>
      </c>
      <c r="L1275">
        <v>0</v>
      </c>
      <c r="M1275">
        <v>585581397.60399997</v>
      </c>
      <c r="N1275">
        <v>0</v>
      </c>
      <c r="O1275" t="b">
        <v>1</v>
      </c>
    </row>
    <row r="1276" spans="1:15" x14ac:dyDescent="0.3">
      <c r="A1276" s="1" t="s">
        <v>12</v>
      </c>
      <c r="B1276">
        <v>7.2631111180064503</v>
      </c>
      <c r="C1276">
        <v>1.059466805632673E-2</v>
      </c>
      <c r="D1276">
        <v>1.114005811443184E-2</v>
      </c>
      <c r="E1276">
        <v>60.941677814796527</v>
      </c>
      <c r="F1276">
        <v>8.9957493906673847E-3</v>
      </c>
      <c r="G1276">
        <v>0.6</v>
      </c>
      <c r="H1276">
        <v>0</v>
      </c>
      <c r="I1276">
        <v>0.99999999999997469</v>
      </c>
      <c r="J1276">
        <v>0</v>
      </c>
      <c r="K1276">
        <v>6.6311517294441744E-3</v>
      </c>
      <c r="L1276">
        <v>0</v>
      </c>
      <c r="M1276">
        <v>41277078808.391998</v>
      </c>
      <c r="N1276">
        <v>0</v>
      </c>
      <c r="O1276" t="b">
        <v>1</v>
      </c>
    </row>
    <row r="1277" spans="1:15" x14ac:dyDescent="0.3">
      <c r="A1277" s="1" t="s">
        <v>1378</v>
      </c>
      <c r="B1277">
        <v>0.47100415993688882</v>
      </c>
      <c r="C1277">
        <v>1.091538128033021E-2</v>
      </c>
      <c r="D1277">
        <v>1.5330065700281659E-2</v>
      </c>
      <c r="E1277">
        <v>57.174925209762428</v>
      </c>
      <c r="F1277">
        <v>2.318076300183303E-2</v>
      </c>
      <c r="G1277">
        <v>0.2</v>
      </c>
      <c r="H1277">
        <v>-0.12827351326982131</v>
      </c>
      <c r="I1277">
        <v>0.46850076260974499</v>
      </c>
      <c r="J1277">
        <v>-3.648244570927162E-3</v>
      </c>
      <c r="K1277">
        <v>1.321508322825604E-2</v>
      </c>
      <c r="L1277">
        <v>0</v>
      </c>
      <c r="M1277">
        <v>46448471.28255</v>
      </c>
      <c r="N1277">
        <v>0</v>
      </c>
      <c r="O1277" t="b">
        <v>0</v>
      </c>
    </row>
    <row r="1278" spans="1:15" x14ac:dyDescent="0.3">
      <c r="A1278" s="1" t="s">
        <v>1379</v>
      </c>
      <c r="B1278">
        <v>1.485607633220942</v>
      </c>
      <c r="C1278">
        <v>1.3794326984233E-2</v>
      </c>
      <c r="D1278">
        <v>1.112380103438344E-2</v>
      </c>
      <c r="E1278">
        <v>58.911395886595344</v>
      </c>
      <c r="F1278">
        <v>1.860517037684861E-3</v>
      </c>
      <c r="G1278">
        <v>0.6</v>
      </c>
      <c r="H1278">
        <v>1.009482441418502E-2</v>
      </c>
      <c r="I1278">
        <v>1.2447783351455279</v>
      </c>
      <c r="J1278">
        <v>0</v>
      </c>
      <c r="K1278">
        <v>4.0929347927427528E-3</v>
      </c>
      <c r="L1278">
        <v>0</v>
      </c>
      <c r="M1278">
        <v>200785759.73879999</v>
      </c>
      <c r="N1278">
        <v>0</v>
      </c>
      <c r="O1278" t="b">
        <v>1</v>
      </c>
    </row>
    <row r="1279" spans="1:15" x14ac:dyDescent="0.3">
      <c r="A1279" s="1" t="s">
        <v>1380</v>
      </c>
      <c r="B1279">
        <v>0.46451866644750262</v>
      </c>
      <c r="C1279">
        <v>9.0269839900872853E-3</v>
      </c>
      <c r="D1279">
        <v>9.3705850688607581E-3</v>
      </c>
      <c r="E1279">
        <v>63.225754023951808</v>
      </c>
      <c r="F1279">
        <v>1.3273656684677389E-2</v>
      </c>
      <c r="G1279">
        <v>0.6</v>
      </c>
      <c r="H1279">
        <v>-1.634210406146059E-2</v>
      </c>
      <c r="I1279">
        <v>0.81154162795301876</v>
      </c>
      <c r="J1279">
        <v>0</v>
      </c>
      <c r="K1279">
        <v>5.6891248011443629E-3</v>
      </c>
      <c r="L1279">
        <v>0</v>
      </c>
      <c r="M1279">
        <v>75900542.568000004</v>
      </c>
      <c r="N1279">
        <v>0</v>
      </c>
      <c r="O1279" t="b">
        <v>0</v>
      </c>
    </row>
    <row r="1280" spans="1:15" x14ac:dyDescent="0.3">
      <c r="A1280" s="1" t="s">
        <v>1381</v>
      </c>
      <c r="B1280">
        <v>0.8526821037221155</v>
      </c>
      <c r="C1280">
        <v>1.0573449677062381E-2</v>
      </c>
      <c r="D1280">
        <v>1.1498728356957861E-2</v>
      </c>
      <c r="E1280">
        <v>60.986454030967622</v>
      </c>
      <c r="F1280">
        <v>8.9820808800162855E-3</v>
      </c>
      <c r="G1280">
        <v>0.6</v>
      </c>
      <c r="H1280">
        <v>9.268796457672342E-3</v>
      </c>
      <c r="I1280">
        <v>0.99288271602219358</v>
      </c>
      <c r="J1280">
        <v>0</v>
      </c>
      <c r="K1280">
        <v>6.4711226929854426E-3</v>
      </c>
      <c r="L1280">
        <v>0</v>
      </c>
      <c r="M1280">
        <v>588236413.45289993</v>
      </c>
      <c r="N1280">
        <v>0</v>
      </c>
      <c r="O1280" t="b">
        <v>1</v>
      </c>
    </row>
    <row r="1281" spans="1:15" x14ac:dyDescent="0.3">
      <c r="A1281" s="1" t="s">
        <v>1382</v>
      </c>
      <c r="B1281">
        <v>0.5293950677283441</v>
      </c>
      <c r="C1281">
        <v>9.3177437918386102E-3</v>
      </c>
      <c r="D1281">
        <v>1.3302637646570159E-2</v>
      </c>
      <c r="E1281">
        <v>61.3504821689952</v>
      </c>
      <c r="F1281">
        <v>1.835942751135922E-2</v>
      </c>
      <c r="G1281">
        <v>0.2</v>
      </c>
      <c r="H1281">
        <v>-6.0727817720072214E-3</v>
      </c>
      <c r="I1281">
        <v>0.71922607712193365</v>
      </c>
      <c r="J1281">
        <v>0</v>
      </c>
      <c r="K1281">
        <v>9.8988782219346927E-3</v>
      </c>
      <c r="L1281">
        <v>0</v>
      </c>
      <c r="M1281">
        <v>127982551.4043</v>
      </c>
      <c r="N1281">
        <v>0</v>
      </c>
      <c r="O1281" t="b">
        <v>1</v>
      </c>
    </row>
    <row r="1282" spans="1:15" x14ac:dyDescent="0.3">
      <c r="A1282" s="1" t="s">
        <v>1383</v>
      </c>
      <c r="B1282">
        <v>2.5515285274435269</v>
      </c>
      <c r="C1282">
        <v>3.9892566095114559E-2</v>
      </c>
      <c r="D1282">
        <v>3.0175109443402119E-2</v>
      </c>
      <c r="E1282">
        <v>65.751396259992305</v>
      </c>
      <c r="F1282">
        <v>0.23284502698535081</v>
      </c>
      <c r="G1282">
        <v>0.6</v>
      </c>
      <c r="H1282">
        <v>0.2130458516572325</v>
      </c>
      <c r="I1282">
        <v>1.348583097473615</v>
      </c>
      <c r="J1282">
        <v>-6.3694267515924663E-3</v>
      </c>
      <c r="K1282">
        <v>1.6852146263911068E-2</v>
      </c>
      <c r="L1282">
        <v>0</v>
      </c>
      <c r="M1282">
        <v>46707913</v>
      </c>
      <c r="N1282">
        <v>0</v>
      </c>
      <c r="O1282" t="b">
        <v>0</v>
      </c>
    </row>
    <row r="1283" spans="1:15" x14ac:dyDescent="0.3">
      <c r="A1283" s="1" t="s">
        <v>1384</v>
      </c>
      <c r="B1283">
        <v>0.84059531095012185</v>
      </c>
      <c r="C1283">
        <v>3.669119646224888E-2</v>
      </c>
      <c r="D1283">
        <v>5.1069402007856902E-2</v>
      </c>
      <c r="E1283">
        <v>48.081550908343473</v>
      </c>
      <c r="F1283">
        <v>8.8066930867458648E-3</v>
      </c>
      <c r="G1283">
        <v>0.4</v>
      </c>
      <c r="H1283">
        <v>-0.2080455304792577</v>
      </c>
      <c r="I1283">
        <v>0.74225001993872741</v>
      </c>
      <c r="J1283">
        <v>-2.5106382978723359E-2</v>
      </c>
      <c r="K1283">
        <v>-2.5106382978723359E-2</v>
      </c>
      <c r="L1283">
        <v>0</v>
      </c>
      <c r="M1283">
        <v>37517954.5</v>
      </c>
      <c r="N1283">
        <v>0</v>
      </c>
      <c r="O1283" t="b">
        <v>0</v>
      </c>
    </row>
    <row r="1284" spans="1:15" x14ac:dyDescent="0.3">
      <c r="A1284" s="1" t="s">
        <v>1385</v>
      </c>
      <c r="B1284">
        <v>1.778281422876699</v>
      </c>
      <c r="C1284">
        <v>2.0110618296598239E-2</v>
      </c>
      <c r="D1284">
        <v>1.549335595137127E-2</v>
      </c>
      <c r="E1284">
        <v>41.375080505093862</v>
      </c>
      <c r="F1284">
        <v>-4.1640022976795588E-2</v>
      </c>
      <c r="G1284">
        <v>0.6</v>
      </c>
      <c r="H1284">
        <v>3.4308558503881662E-2</v>
      </c>
      <c r="I1284">
        <v>0.40577411711480282</v>
      </c>
      <c r="J1284">
        <v>-5.9649637737799299E-2</v>
      </c>
      <c r="K1284">
        <v>8.4922057837326648E-3</v>
      </c>
      <c r="L1284">
        <v>0</v>
      </c>
      <c r="M1284">
        <v>303260802.47060001</v>
      </c>
      <c r="N1284">
        <v>0</v>
      </c>
      <c r="O1284" t="b">
        <v>1</v>
      </c>
    </row>
    <row r="1285" spans="1:15" x14ac:dyDescent="0.3">
      <c r="A1285" s="1" t="s">
        <v>1386</v>
      </c>
      <c r="B1285">
        <v>6.7095633045563069E-2</v>
      </c>
      <c r="C1285">
        <v>1.641182242904986E-3</v>
      </c>
      <c r="D1285">
        <v>1.2083409771906941E-3</v>
      </c>
      <c r="E1285">
        <v>76.407763739357222</v>
      </c>
      <c r="F1285">
        <v>7.985975847292659E-3</v>
      </c>
      <c r="G1285">
        <v>1</v>
      </c>
      <c r="H1285">
        <v>-7.7314364670996671E-2</v>
      </c>
      <c r="I1285">
        <v>0.1059675147986527</v>
      </c>
      <c r="J1285">
        <v>0</v>
      </c>
      <c r="K1285">
        <v>7.2700035248507433E-4</v>
      </c>
      <c r="L1285">
        <v>0</v>
      </c>
      <c r="M1285">
        <v>145826324.73719999</v>
      </c>
      <c r="N1285">
        <v>0</v>
      </c>
      <c r="O1285" t="b">
        <v>1</v>
      </c>
    </row>
    <row r="1286" spans="1:15" x14ac:dyDescent="0.3">
      <c r="A1286" s="1" t="s">
        <v>1387</v>
      </c>
      <c r="B1286">
        <v>2.102697788841593</v>
      </c>
      <c r="C1286">
        <v>2.2212222057398721E-2</v>
      </c>
      <c r="D1286">
        <v>3.6869348432350221E-2</v>
      </c>
      <c r="E1286">
        <v>65.708741913461111</v>
      </c>
      <c r="F1286">
        <v>7.1348137216400653E-2</v>
      </c>
      <c r="G1286">
        <v>0.8</v>
      </c>
      <c r="H1286">
        <v>-0.1053351317253068</v>
      </c>
      <c r="I1286">
        <v>1.0588476329061129</v>
      </c>
      <c r="J1286">
        <v>0</v>
      </c>
      <c r="K1286">
        <v>3.041478265980779E-2</v>
      </c>
      <c r="L1286">
        <v>0</v>
      </c>
      <c r="M1286">
        <v>65875341.554799996</v>
      </c>
      <c r="N1286">
        <v>0</v>
      </c>
      <c r="O1286" t="b">
        <v>0</v>
      </c>
    </row>
    <row r="1287" spans="1:15" x14ac:dyDescent="0.3">
      <c r="A1287" s="1" t="s">
        <v>1388</v>
      </c>
      <c r="B1287">
        <v>4.4759182444669827</v>
      </c>
      <c r="C1287">
        <v>2.664110187888066E-2</v>
      </c>
      <c r="D1287">
        <v>2.6974905956859259E-2</v>
      </c>
      <c r="E1287">
        <v>50.65232306373121</v>
      </c>
      <c r="F1287">
        <v>-3.7299050623528229E-3</v>
      </c>
      <c r="G1287">
        <v>0.4</v>
      </c>
      <c r="H1287">
        <v>-0.17769941142423021</v>
      </c>
      <c r="I1287">
        <v>0.71264740746324973</v>
      </c>
      <c r="J1287">
        <v>-1.503754990531914E-2</v>
      </c>
      <c r="K1287">
        <v>2.0246061916270989E-2</v>
      </c>
      <c r="L1287">
        <v>0</v>
      </c>
      <c r="M1287">
        <v>42805280.495999999</v>
      </c>
      <c r="N1287">
        <v>0</v>
      </c>
      <c r="O1287" t="b">
        <v>0</v>
      </c>
    </row>
    <row r="1288" spans="1:15" x14ac:dyDescent="0.3">
      <c r="A1288" s="1" t="s">
        <v>1389</v>
      </c>
      <c r="B1288">
        <v>1.634262668461435</v>
      </c>
      <c r="C1288">
        <v>1.9011897027238649E-2</v>
      </c>
      <c r="D1288">
        <v>2.5709632387156751E-2</v>
      </c>
      <c r="E1288">
        <v>53.385878856316062</v>
      </c>
      <c r="F1288">
        <v>1.5795886003027389E-2</v>
      </c>
      <c r="G1288">
        <v>0.4</v>
      </c>
      <c r="H1288">
        <v>-0.1098178276369164</v>
      </c>
      <c r="I1288">
        <v>0.67122744799206802</v>
      </c>
      <c r="J1288">
        <v>-2.6721014492753659E-2</v>
      </c>
      <c r="K1288">
        <v>-4.0551500405515686E-3</v>
      </c>
      <c r="L1288">
        <v>0</v>
      </c>
      <c r="M1288">
        <v>100749117.23575</v>
      </c>
      <c r="N1288">
        <v>0</v>
      </c>
      <c r="O1288" t="b">
        <v>1</v>
      </c>
    </row>
    <row r="1289" spans="1:15" x14ac:dyDescent="0.3">
      <c r="A1289" s="1" t="s">
        <v>1390</v>
      </c>
      <c r="B1289">
        <v>1.218384295766636</v>
      </c>
      <c r="C1289">
        <v>2.0736867742328441E-2</v>
      </c>
      <c r="D1289">
        <v>2.1911513160694038E-2</v>
      </c>
      <c r="E1289">
        <v>59.895427442256562</v>
      </c>
      <c r="F1289">
        <v>1.2207580552631599E-2</v>
      </c>
      <c r="G1289">
        <v>0.6</v>
      </c>
      <c r="H1289">
        <v>7.3758576753952504E-2</v>
      </c>
      <c r="I1289">
        <v>1.98831748233065</v>
      </c>
      <c r="J1289">
        <v>0</v>
      </c>
      <c r="K1289">
        <v>1.2556461855826481E-2</v>
      </c>
      <c r="L1289">
        <v>0</v>
      </c>
      <c r="M1289">
        <v>210299990.65845001</v>
      </c>
      <c r="N1289">
        <v>0</v>
      </c>
      <c r="O1289" t="b">
        <v>1</v>
      </c>
    </row>
    <row r="1290" spans="1:15" x14ac:dyDescent="0.3">
      <c r="A1290" s="1" t="s">
        <v>1391</v>
      </c>
      <c r="B1290">
        <v>0.56078437202238185</v>
      </c>
      <c r="C1290">
        <v>1.453148070851706E-2</v>
      </c>
      <c r="D1290">
        <v>1.8854136974942221E-2</v>
      </c>
      <c r="E1290">
        <v>52.911288815874613</v>
      </c>
      <c r="F1290">
        <v>-2.2544999508765651E-3</v>
      </c>
      <c r="G1290">
        <v>0.4</v>
      </c>
      <c r="H1290">
        <v>3.7289229179906978E-2</v>
      </c>
      <c r="I1290">
        <v>0.4184241792565741</v>
      </c>
      <c r="J1290">
        <v>-1.490746649649E-2</v>
      </c>
      <c r="K1290">
        <v>1.0439277027044719E-2</v>
      </c>
      <c r="L1290">
        <v>0</v>
      </c>
      <c r="M1290">
        <v>47975655.966799997</v>
      </c>
      <c r="N1290">
        <v>0</v>
      </c>
      <c r="O1290" t="b">
        <v>0</v>
      </c>
    </row>
    <row r="1291" spans="1:15" x14ac:dyDescent="0.3">
      <c r="A1291" s="1" t="s">
        <v>1392</v>
      </c>
      <c r="B1291">
        <v>5.0221732979082292</v>
      </c>
      <c r="C1291">
        <v>1.945199063419446E-2</v>
      </c>
      <c r="D1291">
        <v>1.6496051250469681E-2</v>
      </c>
      <c r="E1291">
        <v>51.641481406955982</v>
      </c>
      <c r="F1291">
        <v>-1.9583048530416921E-2</v>
      </c>
      <c r="G1291">
        <v>0.6</v>
      </c>
      <c r="H1291">
        <v>-1.917622697839045E-2</v>
      </c>
      <c r="I1291">
        <v>9.1022365819373161E-2</v>
      </c>
      <c r="J1291">
        <v>-3.41438778945794E-2</v>
      </c>
      <c r="K1291">
        <v>6.1024795707220747E-3</v>
      </c>
      <c r="L1291">
        <v>0</v>
      </c>
      <c r="M1291">
        <v>126747260.34299999</v>
      </c>
      <c r="N1291">
        <v>0</v>
      </c>
      <c r="O1291" t="b">
        <v>1</v>
      </c>
    </row>
    <row r="1292" spans="1:15" x14ac:dyDescent="0.3">
      <c r="A1292" s="1" t="s">
        <v>1393</v>
      </c>
      <c r="B1292">
        <v>2.5246047262268312</v>
      </c>
      <c r="C1292">
        <v>3.825158676101259E-2</v>
      </c>
      <c r="D1292">
        <v>5.5303030303030278E-2</v>
      </c>
      <c r="E1292">
        <v>63.361676561024908</v>
      </c>
      <c r="F1292">
        <v>6.7059862058261421E-2</v>
      </c>
      <c r="G1292">
        <v>0.6</v>
      </c>
      <c r="H1292">
        <v>8.7226651361536952E-3</v>
      </c>
      <c r="I1292">
        <v>1.156079668874701</v>
      </c>
      <c r="J1292">
        <v>0</v>
      </c>
      <c r="K1292">
        <v>2.1671826625387029E-2</v>
      </c>
      <c r="L1292">
        <v>0</v>
      </c>
      <c r="M1292">
        <v>31642373.146899998</v>
      </c>
      <c r="N1292">
        <v>0</v>
      </c>
      <c r="O1292" t="b">
        <v>0</v>
      </c>
    </row>
    <row r="1293" spans="1:15" x14ac:dyDescent="0.3">
      <c r="A1293" s="1" t="s">
        <v>1394</v>
      </c>
      <c r="B1293">
        <v>0.1105379279150811</v>
      </c>
      <c r="C1293">
        <v>1.080337065961817E-3</v>
      </c>
      <c r="D1293">
        <v>2.3358548837937049E-3</v>
      </c>
      <c r="E1293">
        <v>53.33587520550504</v>
      </c>
      <c r="F1293">
        <v>1.693670762151767E-3</v>
      </c>
      <c r="G1293">
        <v>0.2</v>
      </c>
      <c r="H1293">
        <v>-9.7511326142167412E-2</v>
      </c>
      <c r="I1293">
        <v>-7.5919986920006E-3</v>
      </c>
      <c r="J1293">
        <v>-7.8126525908706057E-4</v>
      </c>
      <c r="K1293">
        <v>1.556397380553687E-3</v>
      </c>
      <c r="L1293">
        <v>0</v>
      </c>
      <c r="M1293">
        <v>60453650.358050004</v>
      </c>
      <c r="N1293">
        <v>0</v>
      </c>
      <c r="O1293" t="b">
        <v>0</v>
      </c>
    </row>
    <row r="1294" spans="1:15" x14ac:dyDescent="0.3">
      <c r="A1294" s="1" t="s">
        <v>1395</v>
      </c>
      <c r="B1294">
        <v>0.37494707209651779</v>
      </c>
      <c r="C1294">
        <v>3.093622707066979E-2</v>
      </c>
      <c r="D1294">
        <v>3.8778877887788832E-2</v>
      </c>
      <c r="E1294">
        <v>66.900015396964619</v>
      </c>
      <c r="F1294">
        <v>0.16988416988416979</v>
      </c>
      <c r="G1294">
        <v>0.6</v>
      </c>
      <c r="H1294">
        <v>0.12732742420458959</v>
      </c>
      <c r="I1294">
        <v>2.563599037321215</v>
      </c>
      <c r="J1294">
        <v>0</v>
      </c>
      <c r="K1294">
        <v>3.7671232876712368E-2</v>
      </c>
      <c r="L1294">
        <v>0</v>
      </c>
      <c r="M1294">
        <v>155143771</v>
      </c>
      <c r="N1294">
        <v>0</v>
      </c>
      <c r="O1294" t="b">
        <v>1</v>
      </c>
    </row>
    <row r="1295" spans="1:15" x14ac:dyDescent="0.3">
      <c r="A1295" s="1" t="s">
        <v>1396</v>
      </c>
      <c r="B1295">
        <v>4.5501203231794198</v>
      </c>
      <c r="C1295">
        <v>2.6651127360784749E-2</v>
      </c>
      <c r="D1295">
        <v>4.2224812422025568E-2</v>
      </c>
      <c r="E1295">
        <v>66.398072170703074</v>
      </c>
      <c r="F1295">
        <v>0.1233353510895885</v>
      </c>
      <c r="G1295">
        <v>0.4</v>
      </c>
      <c r="H1295">
        <v>0.1956258383123152</v>
      </c>
      <c r="I1295">
        <v>1.595024952854813</v>
      </c>
      <c r="J1295">
        <v>-1.578956602085291E-3</v>
      </c>
      <c r="K1295">
        <v>3.5059959016890518E-2</v>
      </c>
      <c r="L1295">
        <v>0</v>
      </c>
      <c r="M1295">
        <v>182449565.27700001</v>
      </c>
      <c r="N1295">
        <v>0</v>
      </c>
      <c r="O1295" t="b">
        <v>1</v>
      </c>
    </row>
    <row r="1296" spans="1:15" x14ac:dyDescent="0.3">
      <c r="A1296" s="1" t="s">
        <v>1397</v>
      </c>
      <c r="B1296">
        <v>0.66802547747114416</v>
      </c>
      <c r="C1296">
        <v>2.546750833842832E-2</v>
      </c>
      <c r="D1296">
        <v>2.0899334743905051E-2</v>
      </c>
      <c r="E1296">
        <v>64.738867868011056</v>
      </c>
      <c r="F1296">
        <v>0.1091448795524603</v>
      </c>
      <c r="G1296">
        <v>0.6</v>
      </c>
      <c r="H1296">
        <v>-6.9579980790157913E-3</v>
      </c>
      <c r="I1296">
        <v>1.813678353183402</v>
      </c>
      <c r="J1296">
        <v>0</v>
      </c>
      <c r="K1296">
        <v>1.464888324990898E-2</v>
      </c>
      <c r="L1296">
        <v>0</v>
      </c>
      <c r="M1296">
        <v>157889152.14045</v>
      </c>
      <c r="N1296">
        <v>0</v>
      </c>
      <c r="O1296" t="b">
        <v>1</v>
      </c>
    </row>
    <row r="1297" spans="1:15" x14ac:dyDescent="0.3">
      <c r="A1297" s="1" t="s">
        <v>1398</v>
      </c>
      <c r="B1297">
        <v>1.9357848007641241</v>
      </c>
      <c r="C1297">
        <v>2.0348836337266099E-2</v>
      </c>
      <c r="D1297">
        <v>1.4821822768842601E-2</v>
      </c>
      <c r="E1297">
        <v>34.70064160725488</v>
      </c>
      <c r="F1297">
        <v>-0.110435758369179</v>
      </c>
      <c r="G1297">
        <v>0.6</v>
      </c>
      <c r="H1297">
        <v>-0.25756627101637819</v>
      </c>
      <c r="I1297">
        <v>1.0778028933078561</v>
      </c>
      <c r="J1297">
        <v>-0.1181868743047831</v>
      </c>
      <c r="K1297">
        <v>4.4345898004434234E-3</v>
      </c>
      <c r="L1297">
        <v>0</v>
      </c>
      <c r="M1297">
        <v>14924770</v>
      </c>
      <c r="N1297">
        <v>0</v>
      </c>
      <c r="O1297" t="b">
        <v>0</v>
      </c>
    </row>
    <row r="1298" spans="1:15" x14ac:dyDescent="0.3">
      <c r="A1298" s="1" t="s">
        <v>1399</v>
      </c>
      <c r="B1298">
        <v>1.4302436525020821</v>
      </c>
      <c r="C1298">
        <v>1.485590824250353E-2</v>
      </c>
      <c r="D1298">
        <v>5.3544867586813186E-3</v>
      </c>
      <c r="E1298">
        <v>59.126776250201452</v>
      </c>
      <c r="F1298">
        <v>-9.401753748766728E-4</v>
      </c>
      <c r="G1298">
        <v>0.4</v>
      </c>
      <c r="H1298">
        <v>-7.8686246600262015E-3</v>
      </c>
      <c r="I1298">
        <v>0.46861374297837111</v>
      </c>
      <c r="J1298">
        <v>-1.439636896192642E-3</v>
      </c>
      <c r="K1298">
        <v>-1.110172709672175E-3</v>
      </c>
      <c r="O1298" t="b">
        <v>0</v>
      </c>
    </row>
    <row r="1299" spans="1:15" x14ac:dyDescent="0.3">
      <c r="A1299" s="1" t="s">
        <v>1400</v>
      </c>
      <c r="B1299">
        <v>20.655171685026719</v>
      </c>
      <c r="C1299">
        <v>6.2287541645386788E-2</v>
      </c>
      <c r="D1299">
        <v>5.91960435451283E-2</v>
      </c>
      <c r="E1299">
        <v>46.827788500173618</v>
      </c>
      <c r="F1299">
        <v>-0.13744310053322931</v>
      </c>
      <c r="G1299">
        <v>0.4</v>
      </c>
      <c r="H1299">
        <v>2.276931646901011E-2</v>
      </c>
      <c r="I1299">
        <v>3.5439512102762838</v>
      </c>
      <c r="J1299">
        <v>-0.13013483028172709</v>
      </c>
      <c r="K1299">
        <v>2.3171860536871369E-2</v>
      </c>
      <c r="L1299">
        <v>0</v>
      </c>
      <c r="M1299">
        <v>107935045.5</v>
      </c>
      <c r="N1299">
        <v>0</v>
      </c>
      <c r="O1299" t="b">
        <v>1</v>
      </c>
    </row>
    <row r="1300" spans="1:15" x14ac:dyDescent="0.3">
      <c r="A1300" s="1" t="s">
        <v>1401</v>
      </c>
      <c r="B1300">
        <v>2.765394366177373</v>
      </c>
      <c r="C1300">
        <v>2.159098044344886E-2</v>
      </c>
      <c r="D1300">
        <v>5.3450550823307158E-2</v>
      </c>
      <c r="E1300">
        <v>76.179210139665145</v>
      </c>
      <c r="F1300">
        <v>7.7116498894130858E-2</v>
      </c>
      <c r="G1300">
        <v>1</v>
      </c>
      <c r="H1300">
        <v>0.1372617612977925</v>
      </c>
      <c r="I1300">
        <v>1.2735995827002431</v>
      </c>
      <c r="J1300">
        <v>0</v>
      </c>
      <c r="K1300">
        <v>2.1876670469686221E-2</v>
      </c>
      <c r="L1300">
        <v>0</v>
      </c>
      <c r="M1300">
        <v>190060274.11109999</v>
      </c>
      <c r="N1300">
        <v>0</v>
      </c>
      <c r="O1300" t="b">
        <v>1</v>
      </c>
    </row>
    <row r="1301" spans="1:15" x14ac:dyDescent="0.3">
      <c r="A1301" s="1" t="s">
        <v>1402</v>
      </c>
      <c r="B1301">
        <v>0.25736167467095789</v>
      </c>
      <c r="C1301">
        <v>1.4241458814305439E-2</v>
      </c>
      <c r="D1301">
        <v>2.0485521240862611E-2</v>
      </c>
      <c r="E1301">
        <v>58.093307780914849</v>
      </c>
      <c r="F1301">
        <v>3.6894017201907207E-2</v>
      </c>
      <c r="G1301">
        <v>0.4</v>
      </c>
      <c r="H1301">
        <v>-0.1764962774234286</v>
      </c>
      <c r="I1301">
        <v>0.20276216788756779</v>
      </c>
      <c r="J1301">
        <v>0</v>
      </c>
      <c r="K1301">
        <v>1.7556800585602161E-2</v>
      </c>
      <c r="L1301">
        <v>0</v>
      </c>
      <c r="M1301">
        <v>48274597.458100013</v>
      </c>
      <c r="N1301">
        <v>0</v>
      </c>
      <c r="O1301" t="b">
        <v>0</v>
      </c>
    </row>
    <row r="1302" spans="1:15" x14ac:dyDescent="0.3">
      <c r="A1302" s="1" t="s">
        <v>1403</v>
      </c>
      <c r="B1302">
        <v>15.10357389401049</v>
      </c>
      <c r="C1302">
        <v>5.0659674023474002E-2</v>
      </c>
      <c r="D1302">
        <v>6.7475464382265801E-2</v>
      </c>
      <c r="E1302">
        <v>64.964677356048625</v>
      </c>
      <c r="F1302">
        <v>1.6768921734800601E-2</v>
      </c>
      <c r="G1302">
        <v>0.8</v>
      </c>
      <c r="H1302">
        <v>0.16315064857058739</v>
      </c>
      <c r="I1302">
        <v>2.2894839309349959</v>
      </c>
      <c r="J1302">
        <v>0</v>
      </c>
      <c r="K1302">
        <v>5.6777257904437661E-2</v>
      </c>
      <c r="L1302">
        <v>0</v>
      </c>
      <c r="M1302">
        <v>470067030.671</v>
      </c>
      <c r="N1302">
        <v>0</v>
      </c>
      <c r="O1302" t="b">
        <v>1</v>
      </c>
    </row>
    <row r="1303" spans="1:15" x14ac:dyDescent="0.3">
      <c r="A1303" s="1" t="s">
        <v>1404</v>
      </c>
      <c r="B1303">
        <v>3.1344877419718218</v>
      </c>
      <c r="C1303">
        <v>2.1243563144505741E-2</v>
      </c>
      <c r="D1303">
        <v>3.4876313114198483E-2</v>
      </c>
      <c r="E1303">
        <v>77.363740309014943</v>
      </c>
      <c r="F1303">
        <v>0.15599464113632999</v>
      </c>
      <c r="G1303">
        <v>0.6</v>
      </c>
      <c r="H1303">
        <v>3.558872246934618E-3</v>
      </c>
      <c r="I1303">
        <v>0.33639291278176781</v>
      </c>
      <c r="J1303">
        <v>0</v>
      </c>
      <c r="K1303">
        <v>3.5852937666294597E-2</v>
      </c>
      <c r="L1303">
        <v>0</v>
      </c>
      <c r="M1303">
        <v>362436840.06599998</v>
      </c>
      <c r="N1303">
        <v>0</v>
      </c>
      <c r="O1303" t="b">
        <v>1</v>
      </c>
    </row>
    <row r="1304" spans="1:15" x14ac:dyDescent="0.3">
      <c r="A1304" s="1" t="s">
        <v>1405</v>
      </c>
      <c r="B1304">
        <v>0.87002323275748705</v>
      </c>
      <c r="C1304">
        <v>1.9697152654686141E-2</v>
      </c>
      <c r="D1304">
        <v>1.7432646592710051E-2</v>
      </c>
      <c r="E1304">
        <v>56.30926857815637</v>
      </c>
      <c r="F1304">
        <v>2.4350649350649341E-2</v>
      </c>
      <c r="G1304">
        <v>0.4</v>
      </c>
      <c r="H1304">
        <v>6.5566463039483059E-3</v>
      </c>
      <c r="I1304">
        <v>0.2706335704465288</v>
      </c>
      <c r="J1304">
        <v>-2.2787610619469101E-2</v>
      </c>
      <c r="K1304">
        <v>8.6777803151405486E-3</v>
      </c>
      <c r="L1304">
        <v>0</v>
      </c>
      <c r="M1304">
        <v>150426056.20885</v>
      </c>
      <c r="N1304">
        <v>0</v>
      </c>
      <c r="O1304" t="b">
        <v>1</v>
      </c>
    </row>
    <row r="1305" spans="1:15" x14ac:dyDescent="0.3">
      <c r="A1305" s="1" t="s">
        <v>1406</v>
      </c>
      <c r="B1305">
        <v>9.3836348314426027E-2</v>
      </c>
      <c r="C1305">
        <v>8.8370625148962681E-4</v>
      </c>
      <c r="D1305">
        <v>1.035927861750713E-3</v>
      </c>
      <c r="E1305">
        <v>67.948895107190083</v>
      </c>
      <c r="F1305">
        <v>4.2369274709894711E-3</v>
      </c>
      <c r="G1305">
        <v>0.4</v>
      </c>
      <c r="H1305">
        <v>-0.1002751650783113</v>
      </c>
      <c r="I1305">
        <v>-1.263145888957817E-2</v>
      </c>
      <c r="J1305">
        <v>0</v>
      </c>
      <c r="K1305">
        <v>9.4264033558011384E-4</v>
      </c>
      <c r="L1305">
        <v>0</v>
      </c>
      <c r="M1305">
        <v>48519468.148999996</v>
      </c>
      <c r="N1305">
        <v>0</v>
      </c>
      <c r="O1305" t="b">
        <v>0</v>
      </c>
    </row>
    <row r="1306" spans="1:15" x14ac:dyDescent="0.3">
      <c r="A1306" s="1" t="s">
        <v>1407</v>
      </c>
      <c r="B1306">
        <v>2.3661311153345892</v>
      </c>
      <c r="C1306">
        <v>1.953413839355549E-2</v>
      </c>
      <c r="D1306">
        <v>1.8666204345816079E-2</v>
      </c>
      <c r="E1306">
        <v>35.92504561781935</v>
      </c>
      <c r="F1306">
        <v>-2.9633012088730811E-2</v>
      </c>
      <c r="G1306">
        <v>0.2</v>
      </c>
      <c r="H1306">
        <v>-0.12751960251837929</v>
      </c>
      <c r="I1306">
        <v>3.3025868049255037E-2</v>
      </c>
      <c r="J1306">
        <v>-5.199887299251793E-2</v>
      </c>
      <c r="K1306">
        <v>-7.3102770037698486E-3</v>
      </c>
      <c r="L1306">
        <v>0</v>
      </c>
      <c r="M1306">
        <v>97245384.018999994</v>
      </c>
      <c r="N1306">
        <v>0</v>
      </c>
      <c r="O1306" t="b">
        <v>1</v>
      </c>
    </row>
    <row r="1307" spans="1:15" x14ac:dyDescent="0.3">
      <c r="A1307" s="1" t="s">
        <v>1408</v>
      </c>
      <c r="B1307">
        <v>1.229991032322147</v>
      </c>
      <c r="C1307">
        <v>2.3212020372416872E-2</v>
      </c>
      <c r="D1307">
        <v>2.506916477635153E-2</v>
      </c>
      <c r="E1307">
        <v>50.881108185569758</v>
      </c>
      <c r="F1307">
        <v>5.0116427700874988E-2</v>
      </c>
      <c r="G1307">
        <v>0.2</v>
      </c>
      <c r="H1307">
        <v>3.7627227411548433E-2</v>
      </c>
      <c r="I1307">
        <v>-0.15994797735166599</v>
      </c>
      <c r="J1307">
        <v>-4.2326780092316503E-2</v>
      </c>
      <c r="K1307">
        <v>1.393191520302794E-2</v>
      </c>
      <c r="L1307">
        <v>0</v>
      </c>
      <c r="M1307">
        <v>21551916.708450001</v>
      </c>
      <c r="N1307">
        <v>0</v>
      </c>
      <c r="O1307" t="b">
        <v>0</v>
      </c>
    </row>
    <row r="1308" spans="1:15" x14ac:dyDescent="0.3">
      <c r="A1308" s="1" t="s">
        <v>1409</v>
      </c>
      <c r="B1308">
        <v>0.1759500262394052</v>
      </c>
      <c r="C1308">
        <v>1.8638773966038691E-2</v>
      </c>
      <c r="D1308">
        <v>2.6483050847457629E-2</v>
      </c>
      <c r="E1308">
        <v>65.338982603801469</v>
      </c>
      <c r="F1308">
        <v>7.8857142857142737E-2</v>
      </c>
      <c r="G1308">
        <v>0.6</v>
      </c>
      <c r="H1308">
        <v>-7.3366454304290743E-2</v>
      </c>
      <c r="I1308">
        <v>0.12571370687395711</v>
      </c>
      <c r="J1308">
        <v>0</v>
      </c>
      <c r="K1308">
        <v>1.8338727076591121E-2</v>
      </c>
      <c r="L1308">
        <v>0</v>
      </c>
      <c r="M1308">
        <v>15942808.5</v>
      </c>
      <c r="N1308">
        <v>0</v>
      </c>
      <c r="O1308" t="b">
        <v>0</v>
      </c>
    </row>
    <row r="1309" spans="1:15" x14ac:dyDescent="0.3">
      <c r="A1309" s="1" t="s">
        <v>1410</v>
      </c>
      <c r="B1309">
        <v>1.109954248828062</v>
      </c>
      <c r="C1309">
        <v>3.012569851965613E-2</v>
      </c>
      <c r="D1309">
        <v>5.084667558713598E-2</v>
      </c>
      <c r="E1309">
        <v>55.191937323186089</v>
      </c>
      <c r="F1309">
        <v>4.7040535624971458E-2</v>
      </c>
      <c r="G1309">
        <v>0.6</v>
      </c>
      <c r="H1309">
        <v>-0.15658374932459379</v>
      </c>
      <c r="I1309">
        <v>1.401451282795215</v>
      </c>
      <c r="J1309">
        <v>0</v>
      </c>
      <c r="K1309">
        <v>5.2673533235239267E-2</v>
      </c>
      <c r="L1309">
        <v>0</v>
      </c>
      <c r="M1309">
        <v>164338716.3064</v>
      </c>
      <c r="N1309">
        <v>0</v>
      </c>
      <c r="O1309" t="b">
        <v>1</v>
      </c>
    </row>
    <row r="1310" spans="1:15" x14ac:dyDescent="0.3">
      <c r="A1310" s="1" t="s">
        <v>1411</v>
      </c>
      <c r="B1310">
        <v>2.281634747319738</v>
      </c>
      <c r="C1310">
        <v>3.007691467597862E-2</v>
      </c>
      <c r="D1310">
        <v>6.4460848932243617E-2</v>
      </c>
      <c r="E1310">
        <v>70.184755728071593</v>
      </c>
      <c r="F1310">
        <v>0.12968268812656741</v>
      </c>
      <c r="G1310">
        <v>0.4</v>
      </c>
      <c r="H1310">
        <v>-5.3150310287458251E-2</v>
      </c>
      <c r="I1310">
        <v>1.5710739844947439</v>
      </c>
      <c r="J1310">
        <v>0</v>
      </c>
      <c r="K1310">
        <v>5.5370061213133148E-2</v>
      </c>
      <c r="L1310">
        <v>0</v>
      </c>
      <c r="M1310">
        <v>136870731.82214999</v>
      </c>
      <c r="N1310">
        <v>0</v>
      </c>
      <c r="O1310" t="b">
        <v>1</v>
      </c>
    </row>
    <row r="1311" spans="1:15" x14ac:dyDescent="0.3">
      <c r="A1311" s="1" t="s">
        <v>1412</v>
      </c>
      <c r="B1311">
        <v>2.2771113699754539</v>
      </c>
      <c r="C1311">
        <v>3.3092738991068953E-2</v>
      </c>
      <c r="D1311">
        <v>2.7321610231070999E-2</v>
      </c>
      <c r="E1311">
        <v>52.288763987773848</v>
      </c>
      <c r="F1311">
        <v>7.124959018312893E-3</v>
      </c>
      <c r="G1311">
        <v>0.4</v>
      </c>
      <c r="H1311">
        <v>-7.4122745347330071E-2</v>
      </c>
      <c r="I1311">
        <v>2.0647973955051779</v>
      </c>
      <c r="J1311">
        <v>-8.0726538849646978E-3</v>
      </c>
      <c r="K1311">
        <v>3.9393055150276357E-3</v>
      </c>
      <c r="L1311">
        <v>0</v>
      </c>
      <c r="M1311">
        <v>195179661.99880001</v>
      </c>
      <c r="N1311">
        <v>0</v>
      </c>
      <c r="O1311" t="b">
        <v>1</v>
      </c>
    </row>
    <row r="1312" spans="1:15" x14ac:dyDescent="0.3">
      <c r="A1312" s="1" t="s">
        <v>1413</v>
      </c>
      <c r="B1312">
        <v>2.0055511535605639</v>
      </c>
      <c r="C1312">
        <v>2.381686071452992E-2</v>
      </c>
      <c r="D1312">
        <v>4.900056052214076E-2</v>
      </c>
      <c r="E1312">
        <v>77.432740333980604</v>
      </c>
      <c r="F1312">
        <v>0.13186132255155131</v>
      </c>
      <c r="G1312">
        <v>0.6</v>
      </c>
      <c r="H1312">
        <v>7.6657359040919415E-2</v>
      </c>
      <c r="I1312">
        <v>1.228335135576514</v>
      </c>
      <c r="J1312">
        <v>0</v>
      </c>
      <c r="K1312">
        <v>4.3698989235450458E-2</v>
      </c>
      <c r="L1312">
        <v>0</v>
      </c>
      <c r="M1312">
        <v>226063338.9549</v>
      </c>
      <c r="N1312">
        <v>0</v>
      </c>
      <c r="O1312" t="b">
        <v>1</v>
      </c>
    </row>
    <row r="1313" spans="1:15" x14ac:dyDescent="0.3">
      <c r="A1313" s="1" t="s">
        <v>1414</v>
      </c>
      <c r="B1313">
        <v>7.3380269574191237</v>
      </c>
      <c r="C1313">
        <v>2.07922650038369E-2</v>
      </c>
      <c r="D1313">
        <v>1.9927972549097429E-2</v>
      </c>
      <c r="E1313">
        <v>39.791608716419702</v>
      </c>
      <c r="F1313">
        <v>-3.436513449559198E-3</v>
      </c>
      <c r="G1313">
        <v>0.2</v>
      </c>
      <c r="H1313">
        <v>-0.15649453977214511</v>
      </c>
      <c r="I1313">
        <v>0.26562537346554882</v>
      </c>
      <c r="J1313">
        <v>-5.6734233511872352E-2</v>
      </c>
      <c r="K1313">
        <v>1.3086961264431761E-2</v>
      </c>
      <c r="L1313">
        <v>0</v>
      </c>
      <c r="M1313">
        <v>493190645.97299999</v>
      </c>
      <c r="N1313">
        <v>0</v>
      </c>
      <c r="O1313" t="b">
        <v>1</v>
      </c>
    </row>
    <row r="1314" spans="1:15" x14ac:dyDescent="0.3">
      <c r="A1314" s="1" t="s">
        <v>1415</v>
      </c>
      <c r="B1314">
        <v>6.9677922183892136</v>
      </c>
      <c r="C1314">
        <v>0.11564800362471719</v>
      </c>
      <c r="D1314">
        <v>5.0124481327800882E-2</v>
      </c>
      <c r="E1314">
        <v>45.154065253295421</v>
      </c>
      <c r="F1314">
        <v>-0.14804864253393671</v>
      </c>
      <c r="G1314">
        <v>0.4</v>
      </c>
      <c r="H1314">
        <v>7.161387999731636E-2</v>
      </c>
      <c r="I1314">
        <v>4.3269243559951018</v>
      </c>
      <c r="J1314">
        <v>-0.30985108820160367</v>
      </c>
      <c r="K1314">
        <v>-3.0883062570371541E-2</v>
      </c>
      <c r="L1314">
        <v>0</v>
      </c>
      <c r="M1314">
        <v>62835264</v>
      </c>
      <c r="N1314">
        <v>0</v>
      </c>
      <c r="O1314" t="b">
        <v>0</v>
      </c>
    </row>
    <row r="1315" spans="1:15" x14ac:dyDescent="0.3">
      <c r="A1315" s="1" t="s">
        <v>1416</v>
      </c>
      <c r="B1315">
        <v>1.2882415021340581</v>
      </c>
      <c r="C1315">
        <v>1.7639677206963869E-2</v>
      </c>
      <c r="D1315">
        <v>1.631090401460197E-2</v>
      </c>
      <c r="E1315">
        <v>42.04117635059729</v>
      </c>
      <c r="F1315">
        <v>-1.354251791418748E-2</v>
      </c>
      <c r="G1315">
        <v>0.4</v>
      </c>
      <c r="H1315">
        <v>-0.1485097812295591</v>
      </c>
      <c r="I1315">
        <v>-0.1114525122229697</v>
      </c>
      <c r="J1315">
        <v>-3.9932429323570218E-2</v>
      </c>
      <c r="K1315">
        <v>1.3500217185854259E-2</v>
      </c>
      <c r="L1315">
        <v>0</v>
      </c>
      <c r="M1315">
        <v>217406723.0546</v>
      </c>
      <c r="N1315">
        <v>0</v>
      </c>
      <c r="O1315" t="b">
        <v>1</v>
      </c>
    </row>
    <row r="1316" spans="1:15" x14ac:dyDescent="0.3">
      <c r="A1316" s="1" t="s">
        <v>1417</v>
      </c>
      <c r="B1316">
        <v>0.47966195776325099</v>
      </c>
      <c r="C1316">
        <v>1.9896876384979341E-2</v>
      </c>
      <c r="D1316">
        <v>1.3120452641097831E-2</v>
      </c>
      <c r="E1316">
        <v>33.502372449326913</v>
      </c>
      <c r="F1316">
        <v>-1.7720425550987629E-2</v>
      </c>
      <c r="G1316">
        <v>0.2</v>
      </c>
      <c r="H1316">
        <v>-0.2385300050607142</v>
      </c>
      <c r="I1316">
        <v>-4.479629191488721E-2</v>
      </c>
      <c r="J1316">
        <v>-6.2643622295235013E-2</v>
      </c>
      <c r="K1316">
        <v>-4.8955667464707364E-3</v>
      </c>
      <c r="L1316">
        <v>0</v>
      </c>
      <c r="M1316">
        <v>912215774.89100003</v>
      </c>
      <c r="N1316">
        <v>0</v>
      </c>
      <c r="O1316" t="b">
        <v>1</v>
      </c>
    </row>
    <row r="1317" spans="1:15" x14ac:dyDescent="0.3">
      <c r="A1317" s="1" t="s">
        <v>1418</v>
      </c>
      <c r="B1317">
        <v>0.17121746888789419</v>
      </c>
      <c r="C1317">
        <v>1.1914924766033E-2</v>
      </c>
      <c r="D1317">
        <v>9.7425191370912028E-3</v>
      </c>
      <c r="E1317">
        <v>56.598312359337463</v>
      </c>
      <c r="F1317">
        <v>4.8140043763676088E-2</v>
      </c>
      <c r="G1317">
        <v>0.6</v>
      </c>
      <c r="H1317">
        <v>-0.15942059577530321</v>
      </c>
      <c r="I1317">
        <v>0.45754994913474722</v>
      </c>
      <c r="J1317">
        <v>-1.0330578512396721E-2</v>
      </c>
      <c r="K1317">
        <v>7.7138849929874187E-3</v>
      </c>
      <c r="L1317">
        <v>0</v>
      </c>
      <c r="M1317">
        <v>30759366.5</v>
      </c>
      <c r="N1317">
        <v>0</v>
      </c>
      <c r="O1317" t="b">
        <v>0</v>
      </c>
    </row>
    <row r="1318" spans="1:15" x14ac:dyDescent="0.3">
      <c r="A1318" s="1" t="s">
        <v>1419</v>
      </c>
      <c r="B1318">
        <v>1.222981375316569</v>
      </c>
      <c r="C1318">
        <v>2.6104191575593801E-2</v>
      </c>
      <c r="D1318">
        <v>3.5645677694770582E-2</v>
      </c>
      <c r="E1318">
        <v>56.519555614008389</v>
      </c>
      <c r="F1318">
        <v>1.063703569479402E-2</v>
      </c>
      <c r="G1318">
        <v>0.6</v>
      </c>
      <c r="H1318">
        <v>-6.3432745554300049E-2</v>
      </c>
      <c r="I1318">
        <v>-9.3214645120821019E-2</v>
      </c>
      <c r="J1318">
        <v>0</v>
      </c>
      <c r="K1318">
        <v>3.6045997346306979E-2</v>
      </c>
      <c r="L1318">
        <v>0</v>
      </c>
      <c r="M1318">
        <v>114647618.6645</v>
      </c>
      <c r="N1318">
        <v>0</v>
      </c>
      <c r="O1318" t="b">
        <v>1</v>
      </c>
    </row>
    <row r="1319" spans="1:15" x14ac:dyDescent="0.3">
      <c r="A1319" s="1" t="s">
        <v>1420</v>
      </c>
      <c r="B1319">
        <v>1.423244715200817E-2</v>
      </c>
      <c r="C1319">
        <v>2.8681150176345993E-4</v>
      </c>
      <c r="D1319">
        <v>4.0102371884005012E-4</v>
      </c>
      <c r="E1319">
        <v>96.444411392632276</v>
      </c>
      <c r="F1319">
        <v>3.6527353041113648E-3</v>
      </c>
      <c r="G1319">
        <v>0.6</v>
      </c>
      <c r="H1319">
        <v>-8.1573827384927758E-2</v>
      </c>
      <c r="I1319">
        <v>2.9528452779976482E-4</v>
      </c>
      <c r="J1319">
        <v>0</v>
      </c>
      <c r="K1319">
        <v>4.0118460338156581E-4</v>
      </c>
      <c r="L1319">
        <v>0</v>
      </c>
      <c r="M1319">
        <v>84822883.629999995</v>
      </c>
      <c r="N1319">
        <v>0</v>
      </c>
      <c r="O1319" t="b">
        <v>0</v>
      </c>
    </row>
    <row r="1320" spans="1:15" x14ac:dyDescent="0.3">
      <c r="A1320" s="1" t="s">
        <v>1421</v>
      </c>
      <c r="B1320">
        <v>0.38012800598849228</v>
      </c>
      <c r="C1320">
        <v>9.9826676783011103E-3</v>
      </c>
      <c r="D1320">
        <v>9.0417765265713209E-3</v>
      </c>
      <c r="E1320">
        <v>49.615010367964793</v>
      </c>
      <c r="F1320">
        <v>-1.0343895542248681E-2</v>
      </c>
      <c r="G1320">
        <v>0.4</v>
      </c>
      <c r="H1320">
        <v>-0.10088311128018911</v>
      </c>
      <c r="I1320">
        <v>0.89193328656231052</v>
      </c>
      <c r="J1320">
        <v>-1.6699590708964322E-2</v>
      </c>
      <c r="K1320">
        <v>3.1454659451939371E-3</v>
      </c>
      <c r="L1320">
        <v>0</v>
      </c>
      <c r="M1320">
        <v>29169773.5616</v>
      </c>
      <c r="N1320">
        <v>0</v>
      </c>
      <c r="O1320" t="b">
        <v>0</v>
      </c>
    </row>
    <row r="1321" spans="1:15" x14ac:dyDescent="0.3">
      <c r="A1321" s="1" t="s">
        <v>1422</v>
      </c>
      <c r="B1321">
        <v>1.468127177752101</v>
      </c>
      <c r="C1321">
        <v>2.0727476743641129E-2</v>
      </c>
      <c r="D1321">
        <v>1.228293096145687E-2</v>
      </c>
      <c r="E1321">
        <v>48.959551388026497</v>
      </c>
      <c r="F1321">
        <v>-3.7766607797853569E-2</v>
      </c>
      <c r="G1321">
        <v>0.6</v>
      </c>
      <c r="H1321">
        <v>-0.1201139426706503</v>
      </c>
      <c r="I1321">
        <v>0.90687846732974531</v>
      </c>
      <c r="J1321">
        <v>-5.0408901997586852E-2</v>
      </c>
      <c r="K1321">
        <v>1.012549914432403E-2</v>
      </c>
      <c r="L1321">
        <v>0</v>
      </c>
      <c r="M1321">
        <v>170460329.55399999</v>
      </c>
      <c r="N1321">
        <v>0</v>
      </c>
      <c r="O1321" t="b">
        <v>1</v>
      </c>
    </row>
    <row r="1322" spans="1:15" x14ac:dyDescent="0.3">
      <c r="A1322" s="1" t="s">
        <v>1423</v>
      </c>
      <c r="B1322">
        <v>1.383782407928416</v>
      </c>
      <c r="C1322">
        <v>1.5163077009954151E-2</v>
      </c>
      <c r="D1322">
        <v>2.607933377164141E-2</v>
      </c>
      <c r="E1322">
        <v>82.074072735114498</v>
      </c>
      <c r="F1322">
        <v>0.1247227015035741</v>
      </c>
      <c r="G1322">
        <v>0.8</v>
      </c>
      <c r="H1322">
        <v>0.2221469354406482</v>
      </c>
      <c r="I1322">
        <v>0.58934814101231303</v>
      </c>
      <c r="J1322">
        <v>0</v>
      </c>
      <c r="K1322">
        <v>2.3782813551716409E-2</v>
      </c>
      <c r="L1322">
        <v>0</v>
      </c>
      <c r="M1322">
        <v>116121301.81389999</v>
      </c>
      <c r="N1322">
        <v>0</v>
      </c>
      <c r="O1322" t="b">
        <v>1</v>
      </c>
    </row>
    <row r="1323" spans="1:15" x14ac:dyDescent="0.3">
      <c r="A1323" s="1" t="s">
        <v>1424</v>
      </c>
      <c r="B1323">
        <v>29.389690994560699</v>
      </c>
      <c r="C1323">
        <v>2.2557134848845421E-2</v>
      </c>
      <c r="D1323">
        <v>3.4929772046972132E-2</v>
      </c>
      <c r="E1323">
        <v>41.870838428200521</v>
      </c>
      <c r="F1323">
        <v>1.0854132561621819E-2</v>
      </c>
      <c r="G1323">
        <v>0.4</v>
      </c>
      <c r="H1323">
        <v>-3.8879609323534063E-2</v>
      </c>
      <c r="I1323">
        <v>0.18148525985368141</v>
      </c>
      <c r="J1323">
        <v>-4.2105030988773502E-2</v>
      </c>
      <c r="K1323">
        <v>-1.1471753084171589E-2</v>
      </c>
      <c r="L1323">
        <v>0</v>
      </c>
      <c r="M1323">
        <v>352436082.74000001</v>
      </c>
      <c r="N1323">
        <v>0</v>
      </c>
      <c r="O1323" t="b">
        <v>1</v>
      </c>
    </row>
    <row r="1324" spans="1:15" x14ac:dyDescent="0.3">
      <c r="A1324" s="1" t="s">
        <v>1425</v>
      </c>
      <c r="B1324">
        <v>10.781692046273511</v>
      </c>
      <c r="C1324">
        <v>2.088665642439657E-2</v>
      </c>
      <c r="D1324">
        <v>1.8113134444013992E-2</v>
      </c>
      <c r="E1324">
        <v>52.622918351637743</v>
      </c>
      <c r="F1324">
        <v>-7.5939632798229786E-3</v>
      </c>
      <c r="G1324">
        <v>0.6</v>
      </c>
      <c r="H1324">
        <v>-0.16643084201001801</v>
      </c>
      <c r="I1324">
        <v>0.75010645704073864</v>
      </c>
      <c r="J1324">
        <v>-1.1679111621673229E-2</v>
      </c>
      <c r="K1324">
        <v>6.3555191640347619E-3</v>
      </c>
      <c r="L1324">
        <v>0</v>
      </c>
      <c r="M1324">
        <v>149448933.5</v>
      </c>
      <c r="N1324">
        <v>0</v>
      </c>
      <c r="O1324" t="b">
        <v>1</v>
      </c>
    </row>
    <row r="1325" spans="1:15" x14ac:dyDescent="0.3">
      <c r="A1325" s="1" t="s">
        <v>1426</v>
      </c>
      <c r="B1325">
        <v>5.471535134574987</v>
      </c>
      <c r="C1325">
        <v>3.383129372766331E-2</v>
      </c>
      <c r="D1325">
        <v>2.6773016756322349E-2</v>
      </c>
      <c r="E1325">
        <v>60.639308669154467</v>
      </c>
      <c r="F1325">
        <v>1.6338842455853712E-2</v>
      </c>
      <c r="G1325">
        <v>0.8</v>
      </c>
      <c r="H1325">
        <v>-8.3432216730549041E-2</v>
      </c>
      <c r="I1325">
        <v>1.0378907004554609</v>
      </c>
      <c r="J1325">
        <v>0</v>
      </c>
      <c r="K1325">
        <v>1.9825289635091452E-3</v>
      </c>
      <c r="L1325">
        <v>0</v>
      </c>
      <c r="M1325">
        <v>438977012.5</v>
      </c>
      <c r="N1325">
        <v>0</v>
      </c>
      <c r="O1325" t="b">
        <v>1</v>
      </c>
    </row>
    <row r="1326" spans="1:15" x14ac:dyDescent="0.3">
      <c r="A1326" s="1" t="s">
        <v>1427</v>
      </c>
      <c r="B1326">
        <v>2.132821806475512</v>
      </c>
      <c r="C1326">
        <v>3.5109160362932171E-2</v>
      </c>
      <c r="D1326">
        <v>4.0276024185038922E-2</v>
      </c>
      <c r="E1326">
        <v>48.490261463975891</v>
      </c>
      <c r="F1326">
        <v>6.0078002984006673E-2</v>
      </c>
      <c r="G1326">
        <v>0.2</v>
      </c>
      <c r="H1326">
        <v>7.1257384396902421E-2</v>
      </c>
      <c r="I1326">
        <v>1.1137770716098641</v>
      </c>
      <c r="J1326">
        <v>-7.6233054294686076E-2</v>
      </c>
      <c r="K1326">
        <v>3.4172043376857753E-2</v>
      </c>
      <c r="L1326">
        <v>0</v>
      </c>
      <c r="M1326">
        <v>102376358.3185</v>
      </c>
      <c r="N1326">
        <v>0</v>
      </c>
      <c r="O1326" t="b">
        <v>1</v>
      </c>
    </row>
    <row r="1327" spans="1:15" x14ac:dyDescent="0.3">
      <c r="A1327" s="1" t="s">
        <v>1428</v>
      </c>
      <c r="B1327">
        <v>1.490764113627506</v>
      </c>
      <c r="C1327">
        <v>3.4082398574017049E-2</v>
      </c>
      <c r="D1327">
        <v>3.8180155464106122E-2</v>
      </c>
      <c r="E1327">
        <v>54.844682993970999</v>
      </c>
      <c r="F1327">
        <v>3.3065658951346277E-2</v>
      </c>
      <c r="G1327">
        <v>0.6</v>
      </c>
      <c r="H1327">
        <v>1.5499734728859991E-2</v>
      </c>
      <c r="I1327">
        <v>1.951778031242186</v>
      </c>
      <c r="J1327">
        <v>-2.9509651652984251E-2</v>
      </c>
      <c r="K1327">
        <v>-2.2132796780684031E-2</v>
      </c>
      <c r="L1327">
        <v>0</v>
      </c>
      <c r="M1327">
        <v>134373928</v>
      </c>
      <c r="N1327">
        <v>0</v>
      </c>
      <c r="O1327" t="b">
        <v>1</v>
      </c>
    </row>
    <row r="1328" spans="1:15" x14ac:dyDescent="0.3">
      <c r="A1328" s="1" t="s">
        <v>1429</v>
      </c>
      <c r="B1328">
        <v>6.5963417390976398</v>
      </c>
      <c r="C1328">
        <v>5.0415329708786608E-2</v>
      </c>
      <c r="D1328">
        <v>5.0290431060837762E-2</v>
      </c>
      <c r="E1328">
        <v>61.876242341562843</v>
      </c>
      <c r="F1328">
        <v>-3.8213152967259127E-5</v>
      </c>
      <c r="G1328">
        <v>1</v>
      </c>
      <c r="H1328">
        <v>0.11388856436758869</v>
      </c>
      <c r="I1328">
        <v>4.5279372472122752</v>
      </c>
      <c r="J1328">
        <v>0</v>
      </c>
      <c r="K1328">
        <v>1.5822735671806362E-2</v>
      </c>
      <c r="L1328">
        <v>0</v>
      </c>
      <c r="M1328">
        <v>117909763.40700001</v>
      </c>
      <c r="N1328">
        <v>0</v>
      </c>
      <c r="O1328" t="b">
        <v>1</v>
      </c>
    </row>
    <row r="1329" spans="1:15" x14ac:dyDescent="0.3">
      <c r="A1329" s="1" t="s">
        <v>1430</v>
      </c>
      <c r="B1329">
        <v>7.8351494934345942E-2</v>
      </c>
      <c r="C1329">
        <v>1.9479034627604742E-2</v>
      </c>
      <c r="D1329">
        <v>9.5242830683556889E-3</v>
      </c>
      <c r="E1329">
        <v>40.992566440507048</v>
      </c>
      <c r="F1329">
        <v>2.9413270137328421E-2</v>
      </c>
      <c r="G1329">
        <v>0.8</v>
      </c>
      <c r="H1329">
        <v>-0.2066236166251928</v>
      </c>
      <c r="I1329">
        <v>0.49212417704389322</v>
      </c>
      <c r="J1329">
        <v>-2.0978255049238781E-2</v>
      </c>
      <c r="K1329">
        <v>4.7861830190423227E-3</v>
      </c>
      <c r="L1329">
        <v>0</v>
      </c>
      <c r="M1329">
        <v>2984415.3300200002</v>
      </c>
      <c r="N1329">
        <v>0</v>
      </c>
      <c r="O1329" t="b">
        <v>0</v>
      </c>
    </row>
    <row r="1330" spans="1:15" x14ac:dyDescent="0.3">
      <c r="A1330" s="1" t="s">
        <v>1431</v>
      </c>
      <c r="B1330">
        <v>5.7939518753378216</v>
      </c>
      <c r="C1330">
        <v>2.3733059744143779E-2</v>
      </c>
      <c r="D1330">
        <v>3.6087330520624267E-2</v>
      </c>
      <c r="E1330">
        <v>65.013426850866836</v>
      </c>
      <c r="F1330">
        <v>-1.4651275427833401E-2</v>
      </c>
      <c r="G1330">
        <v>0.8</v>
      </c>
      <c r="H1330">
        <v>0.12569777214582051</v>
      </c>
      <c r="I1330">
        <v>1.563333321810557</v>
      </c>
      <c r="J1330">
        <v>-1.225926525327725E-2</v>
      </c>
      <c r="K1330">
        <v>3.3573243014394683E-2</v>
      </c>
      <c r="L1330">
        <v>0</v>
      </c>
      <c r="M1330">
        <v>288656813.71600002</v>
      </c>
      <c r="N1330">
        <v>0</v>
      </c>
      <c r="O1330" t="b">
        <v>1</v>
      </c>
    </row>
    <row r="1331" spans="1:15" x14ac:dyDescent="0.3">
      <c r="A1331" s="1" t="s">
        <v>1432</v>
      </c>
      <c r="B1331">
        <v>4.0122010464717084</v>
      </c>
      <c r="C1331">
        <v>5.344613089745183E-2</v>
      </c>
      <c r="D1331">
        <v>4.422538963633952E-2</v>
      </c>
      <c r="E1331">
        <v>47.483869800676771</v>
      </c>
      <c r="F1331">
        <v>4.5834494288102379E-2</v>
      </c>
      <c r="G1331">
        <v>0.6</v>
      </c>
      <c r="H1331">
        <v>-7.8804022816764727E-2</v>
      </c>
      <c r="I1331">
        <v>2.7445941872959212</v>
      </c>
      <c r="J1331">
        <v>-3.6699602207109112E-2</v>
      </c>
      <c r="K1331">
        <v>-1.0674749604638991E-2</v>
      </c>
      <c r="L1331">
        <v>0</v>
      </c>
      <c r="M1331">
        <v>550091812.5</v>
      </c>
      <c r="N1331">
        <v>0</v>
      </c>
      <c r="O1331" t="b">
        <v>1</v>
      </c>
    </row>
    <row r="1332" spans="1:15" x14ac:dyDescent="0.3">
      <c r="A1332" s="1" t="s">
        <v>1433</v>
      </c>
      <c r="B1332">
        <v>7.5360243949239836</v>
      </c>
      <c r="C1332">
        <v>3.6954882407375177E-2</v>
      </c>
      <c r="D1332">
        <v>2.8770381267622849E-2</v>
      </c>
      <c r="E1332">
        <v>70.165200963803912</v>
      </c>
      <c r="F1332">
        <v>0.109107818822608</v>
      </c>
      <c r="G1332">
        <v>0.8</v>
      </c>
      <c r="H1332">
        <v>0.2359128230459149</v>
      </c>
      <c r="I1332">
        <v>2.9396606287210281</v>
      </c>
      <c r="J1332">
        <v>0</v>
      </c>
      <c r="K1332">
        <v>2.0206517715097631E-2</v>
      </c>
      <c r="L1332">
        <v>0</v>
      </c>
      <c r="M1332">
        <v>335740417.50679988</v>
      </c>
      <c r="N1332">
        <v>0</v>
      </c>
      <c r="O1332" t="b">
        <v>1</v>
      </c>
    </row>
    <row r="1333" spans="1:15" x14ac:dyDescent="0.3">
      <c r="A1333" s="1" t="s">
        <v>1434</v>
      </c>
      <c r="B1333">
        <v>0.80970093424037193</v>
      </c>
      <c r="C1333">
        <v>2.717117228994537E-2</v>
      </c>
      <c r="D1333">
        <v>4.1610738255033621E-2</v>
      </c>
      <c r="E1333">
        <v>83.266769531810752</v>
      </c>
      <c r="F1333">
        <v>0.2283594394064303</v>
      </c>
      <c r="G1333">
        <v>0.8</v>
      </c>
      <c r="H1333">
        <v>0.1933290502777201</v>
      </c>
      <c r="I1333">
        <v>0.93511871300082783</v>
      </c>
      <c r="J1333">
        <v>0</v>
      </c>
      <c r="K1333">
        <v>4.3417366946778779E-2</v>
      </c>
      <c r="L1333">
        <v>0</v>
      </c>
      <c r="M1333">
        <v>187795109</v>
      </c>
      <c r="N1333">
        <v>0</v>
      </c>
      <c r="O1333" t="b">
        <v>1</v>
      </c>
    </row>
    <row r="1334" spans="1:15" x14ac:dyDescent="0.3">
      <c r="A1334" s="1" t="s">
        <v>1435</v>
      </c>
      <c r="B1334">
        <v>0.86551490161175504</v>
      </c>
      <c r="C1334">
        <v>1.764013324362439E-2</v>
      </c>
      <c r="D1334">
        <v>3.4706950561600801E-2</v>
      </c>
      <c r="E1334">
        <v>80.731246355459348</v>
      </c>
      <c r="F1334">
        <v>0.1111511198677448</v>
      </c>
      <c r="G1334">
        <v>0.8</v>
      </c>
      <c r="H1334">
        <v>7.2659540593838889E-2</v>
      </c>
      <c r="I1334">
        <v>0.89809327858605503</v>
      </c>
      <c r="J1334">
        <v>0</v>
      </c>
      <c r="K1334">
        <v>3.4225381207131367E-2</v>
      </c>
      <c r="L1334">
        <v>0</v>
      </c>
      <c r="M1334">
        <v>326084742.01859999</v>
      </c>
      <c r="N1334">
        <v>0</v>
      </c>
      <c r="O1334" t="b">
        <v>1</v>
      </c>
    </row>
    <row r="1335" spans="1:15" x14ac:dyDescent="0.3">
      <c r="A1335" s="1" t="s">
        <v>1436</v>
      </c>
      <c r="B1335">
        <v>2.8252001302059511</v>
      </c>
      <c r="C1335">
        <v>2.7944610585617709E-2</v>
      </c>
      <c r="D1335">
        <v>3.6399604352126538E-2</v>
      </c>
      <c r="E1335">
        <v>71.911836735069784</v>
      </c>
      <c r="F1335">
        <v>0.18689833294200511</v>
      </c>
      <c r="G1335">
        <v>0.8</v>
      </c>
      <c r="H1335">
        <v>2.2964711100455532E-2</v>
      </c>
      <c r="I1335">
        <v>0.97990247589176693</v>
      </c>
      <c r="J1335">
        <v>0</v>
      </c>
      <c r="K1335">
        <v>2.4212339175362141E-2</v>
      </c>
      <c r="L1335">
        <v>0</v>
      </c>
      <c r="M1335">
        <v>29049752.159499999</v>
      </c>
      <c r="N1335">
        <v>0</v>
      </c>
      <c r="O1335" t="b">
        <v>0</v>
      </c>
    </row>
    <row r="1336" spans="1:15" x14ac:dyDescent="0.3">
      <c r="A1336" s="1" t="s">
        <v>1437</v>
      </c>
      <c r="B1336">
        <v>1.4318244679926061E-2</v>
      </c>
      <c r="C1336">
        <v>2.8535416913145752E-4</v>
      </c>
      <c r="D1336">
        <v>1.9730115929367559E-4</v>
      </c>
      <c r="E1336">
        <v>98.400285182170919</v>
      </c>
      <c r="F1336">
        <v>3.3914912763086669E-3</v>
      </c>
      <c r="G1336">
        <v>0.2</v>
      </c>
      <c r="H1336">
        <v>-8.1626507745686722E-2</v>
      </c>
      <c r="I1336">
        <v>4.9757533938867135E-4</v>
      </c>
      <c r="J1336">
        <v>0</v>
      </c>
      <c r="K1336">
        <v>0</v>
      </c>
      <c r="L1336">
        <v>0</v>
      </c>
      <c r="M1336">
        <v>75287933.808750004</v>
      </c>
      <c r="N1336">
        <v>0</v>
      </c>
      <c r="O1336" t="b">
        <v>0</v>
      </c>
    </row>
    <row r="1337" spans="1:15" x14ac:dyDescent="0.3">
      <c r="A1337" s="1" t="s">
        <v>1438</v>
      </c>
      <c r="B1337">
        <v>1.1841234026276659</v>
      </c>
      <c r="C1337">
        <v>3.4714846163226787E-2</v>
      </c>
      <c r="D1337">
        <v>4.3389035473468097E-2</v>
      </c>
      <c r="E1337">
        <v>65.704132397585852</v>
      </c>
      <c r="F1337">
        <v>0.14694014794889029</v>
      </c>
      <c r="G1337">
        <v>0.6</v>
      </c>
      <c r="H1337">
        <v>8.6533689083200777E-2</v>
      </c>
      <c r="I1337">
        <v>1.0101685014656969</v>
      </c>
      <c r="J1337">
        <v>0</v>
      </c>
      <c r="K1337">
        <v>1.9730941704035661E-2</v>
      </c>
      <c r="L1337">
        <v>0</v>
      </c>
      <c r="M1337">
        <v>9704473.5384</v>
      </c>
      <c r="N1337">
        <v>0</v>
      </c>
      <c r="O1337" t="b">
        <v>0</v>
      </c>
    </row>
    <row r="1338" spans="1:15" x14ac:dyDescent="0.3">
      <c r="A1338" s="1" t="s">
        <v>1439</v>
      </c>
      <c r="B1338">
        <v>2.51849917044244</v>
      </c>
      <c r="C1338">
        <v>2.688768099085103E-2</v>
      </c>
      <c r="D1338">
        <v>2.5998372966474941E-2</v>
      </c>
      <c r="E1338">
        <v>62.043731173280612</v>
      </c>
      <c r="F1338">
        <v>5.6020113079702671E-2</v>
      </c>
      <c r="G1338">
        <v>1</v>
      </c>
      <c r="H1338">
        <v>6.661433451772965E-3</v>
      </c>
      <c r="I1338">
        <v>1.077876558591722</v>
      </c>
      <c r="J1338">
        <v>0</v>
      </c>
      <c r="K1338">
        <v>1.06822159447717E-2</v>
      </c>
      <c r="L1338">
        <v>0</v>
      </c>
      <c r="M1338">
        <v>653008206.50035</v>
      </c>
      <c r="N1338">
        <v>0</v>
      </c>
      <c r="O1338" t="b">
        <v>1</v>
      </c>
    </row>
    <row r="1339" spans="1:15" x14ac:dyDescent="0.3">
      <c r="A1339" s="1" t="s">
        <v>1440</v>
      </c>
      <c r="B1339">
        <v>7.1348249734719946</v>
      </c>
      <c r="C1339">
        <v>3.6131184349379633E-2</v>
      </c>
      <c r="D1339">
        <v>4.4816934217855847E-2</v>
      </c>
      <c r="E1339">
        <v>42.000748606871603</v>
      </c>
      <c r="F1339">
        <v>1.433121019108285E-2</v>
      </c>
      <c r="G1339">
        <v>0.2</v>
      </c>
      <c r="H1339">
        <v>-6.4559938566351709E-3</v>
      </c>
      <c r="I1339">
        <v>0.89751541129407897</v>
      </c>
      <c r="J1339">
        <v>-9.6081662546919411E-2</v>
      </c>
      <c r="K1339">
        <v>-2.2425742574257449E-2</v>
      </c>
      <c r="L1339">
        <v>0</v>
      </c>
      <c r="M1339">
        <v>188731813</v>
      </c>
      <c r="N1339">
        <v>0</v>
      </c>
      <c r="O1339" t="b">
        <v>1</v>
      </c>
    </row>
    <row r="1340" spans="1:15" x14ac:dyDescent="0.3">
      <c r="A1340" s="1" t="s">
        <v>1441</v>
      </c>
      <c r="B1340">
        <v>3.3371949864623871</v>
      </c>
      <c r="C1340">
        <v>1.8551205932828139E-2</v>
      </c>
      <c r="D1340">
        <v>1.7254893240907069E-2</v>
      </c>
      <c r="E1340">
        <v>51.964218945821813</v>
      </c>
      <c r="F1340">
        <v>-3.7437627030411091E-3</v>
      </c>
      <c r="G1340">
        <v>0.6</v>
      </c>
      <c r="H1340">
        <v>-5.3615272375470632E-2</v>
      </c>
      <c r="I1340">
        <v>2.024410282524405E-2</v>
      </c>
      <c r="J1340">
        <v>-2.737963288367451E-2</v>
      </c>
      <c r="K1340">
        <v>1.039654010334745E-2</v>
      </c>
      <c r="L1340">
        <v>0</v>
      </c>
      <c r="M1340">
        <v>36436493.755500004</v>
      </c>
      <c r="N1340">
        <v>0</v>
      </c>
      <c r="O1340" t="b">
        <v>0</v>
      </c>
    </row>
    <row r="1341" spans="1:15" x14ac:dyDescent="0.3">
      <c r="A1341" s="1" t="s">
        <v>1442</v>
      </c>
      <c r="B1341">
        <v>0.43330682003789373</v>
      </c>
      <c r="C1341">
        <v>1.114822089333314E-2</v>
      </c>
      <c r="D1341">
        <v>9.491146913383406E-3</v>
      </c>
      <c r="E1341">
        <v>59.808325273038363</v>
      </c>
      <c r="F1341">
        <v>4.3904191183501418E-3</v>
      </c>
      <c r="G1341">
        <v>0.6</v>
      </c>
      <c r="H1341">
        <v>-9.7423975606152929E-2</v>
      </c>
      <c r="I1341">
        <v>1.038293323436994</v>
      </c>
      <c r="J1341">
        <v>0</v>
      </c>
      <c r="K1341">
        <v>3.612382804128345E-3</v>
      </c>
      <c r="L1341">
        <v>7.9365079365079361E-3</v>
      </c>
      <c r="M1341">
        <v>24858322.651700001</v>
      </c>
      <c r="N1341">
        <v>0</v>
      </c>
      <c r="O1341" t="b">
        <v>0</v>
      </c>
    </row>
    <row r="1342" spans="1:15" x14ac:dyDescent="0.3">
      <c r="A1342" s="1" t="s">
        <v>1443</v>
      </c>
      <c r="B1342">
        <v>1.5464060831309769</v>
      </c>
      <c r="C1342">
        <v>3.1306808822132041E-2</v>
      </c>
      <c r="D1342">
        <v>2.752899067115833E-2</v>
      </c>
      <c r="E1342">
        <v>46.231389940545839</v>
      </c>
      <c r="F1342">
        <v>2.6833304229966659E-2</v>
      </c>
      <c r="G1342">
        <v>0.4</v>
      </c>
      <c r="H1342">
        <v>4.7028682467905307E-2</v>
      </c>
      <c r="I1342">
        <v>5.2328705697915867E-2</v>
      </c>
      <c r="J1342">
        <v>-0.10641723515992881</v>
      </c>
      <c r="K1342">
        <v>-1.9559116008939888E-2</v>
      </c>
      <c r="L1342">
        <v>0</v>
      </c>
      <c r="M1342">
        <v>29201828.527449999</v>
      </c>
      <c r="N1342">
        <v>0</v>
      </c>
      <c r="O1342" t="b">
        <v>0</v>
      </c>
    </row>
    <row r="1343" spans="1:15" x14ac:dyDescent="0.3">
      <c r="A1343" s="1" t="s">
        <v>1444</v>
      </c>
      <c r="B1343">
        <v>0.54526156603647835</v>
      </c>
      <c r="C1343">
        <v>2.523190958058669E-2</v>
      </c>
      <c r="D1343">
        <v>1.5733456732993981E-2</v>
      </c>
      <c r="E1343">
        <v>40.517516806291141</v>
      </c>
      <c r="F1343">
        <v>-6.2472885032538013E-2</v>
      </c>
      <c r="G1343">
        <v>0.6</v>
      </c>
      <c r="H1343">
        <v>-8.8981477041017529E-3</v>
      </c>
      <c r="I1343">
        <v>0.90247586425487869</v>
      </c>
      <c r="J1343">
        <v>-9.0870845603702177E-2</v>
      </c>
      <c r="K1343">
        <v>3.7157454714351612E-3</v>
      </c>
      <c r="L1343">
        <v>0</v>
      </c>
      <c r="M1343">
        <v>7107804</v>
      </c>
      <c r="N1343">
        <v>0</v>
      </c>
      <c r="O1343" t="b">
        <v>0</v>
      </c>
    </row>
    <row r="1344" spans="1:15" x14ac:dyDescent="0.3">
      <c r="A1344" s="1" t="s">
        <v>1445</v>
      </c>
      <c r="B1344">
        <v>0.28276603384976462</v>
      </c>
      <c r="C1344">
        <v>2.5680789211480061E-3</v>
      </c>
      <c r="D1344">
        <v>4.0778145093907621E-3</v>
      </c>
      <c r="E1344">
        <v>47.075978909463657</v>
      </c>
      <c r="F1344">
        <v>-1.3513881204821889E-3</v>
      </c>
      <c r="G1344">
        <v>0.2</v>
      </c>
      <c r="H1344">
        <v>-0.1072517203421135</v>
      </c>
      <c r="I1344">
        <v>-2.1827859810641019E-3</v>
      </c>
      <c r="J1344">
        <v>-6.6310006044585368E-3</v>
      </c>
      <c r="K1344">
        <v>3.2711004200494109E-3</v>
      </c>
      <c r="L1344">
        <v>0</v>
      </c>
      <c r="M1344">
        <v>261197263.61300001</v>
      </c>
      <c r="N1344">
        <v>0</v>
      </c>
      <c r="O1344" t="b">
        <v>1</v>
      </c>
    </row>
    <row r="1345" spans="1:15" x14ac:dyDescent="0.3">
      <c r="A1345" s="1" t="s">
        <v>1446</v>
      </c>
      <c r="B1345">
        <v>2.4498538768404901</v>
      </c>
      <c r="C1345">
        <v>1.578198862882085E-2</v>
      </c>
      <c r="D1345">
        <v>1.7470737159459061E-2</v>
      </c>
      <c r="E1345">
        <v>70.64686246561692</v>
      </c>
      <c r="F1345">
        <v>6.4064160126126701E-2</v>
      </c>
      <c r="G1345">
        <v>0.8</v>
      </c>
      <c r="H1345">
        <v>7.4168795666346987E-2</v>
      </c>
      <c r="I1345">
        <v>7.0865467027585713E-2</v>
      </c>
      <c r="J1345">
        <v>0</v>
      </c>
      <c r="K1345">
        <v>1.29464198320357E-2</v>
      </c>
      <c r="L1345">
        <v>0</v>
      </c>
      <c r="M1345">
        <v>630207825.01349998</v>
      </c>
      <c r="N1345">
        <v>0</v>
      </c>
      <c r="O1345" t="b">
        <v>1</v>
      </c>
    </row>
    <row r="1346" spans="1:15" x14ac:dyDescent="0.3">
      <c r="A1346" s="1" t="s">
        <v>1447</v>
      </c>
      <c r="B1346">
        <v>5.4870869658633596</v>
      </c>
      <c r="C1346">
        <v>2.7966376486920991E-2</v>
      </c>
      <c r="D1346">
        <v>5.1130716655708681E-2</v>
      </c>
      <c r="E1346">
        <v>58.201905433928502</v>
      </c>
      <c r="F1346">
        <v>9.918262847410908E-2</v>
      </c>
      <c r="G1346">
        <v>0.6</v>
      </c>
      <c r="H1346">
        <v>-6.1165568064730037E-2</v>
      </c>
      <c r="I1346">
        <v>0.57382171865352682</v>
      </c>
      <c r="J1346">
        <v>-3.3754069054501852E-2</v>
      </c>
      <c r="K1346">
        <v>-8.6061149247351754E-4</v>
      </c>
      <c r="L1346">
        <v>0</v>
      </c>
      <c r="M1346">
        <v>168655889.9605</v>
      </c>
      <c r="N1346">
        <v>0</v>
      </c>
      <c r="O1346" t="b">
        <v>1</v>
      </c>
    </row>
    <row r="1347" spans="1:15" x14ac:dyDescent="0.3">
      <c r="A1347" s="1" t="s">
        <v>1448</v>
      </c>
      <c r="B1347">
        <v>0.56588320395162195</v>
      </c>
      <c r="C1347">
        <v>5.5783916321801817E-3</v>
      </c>
      <c r="D1347">
        <v>5.6781214881409421E-3</v>
      </c>
      <c r="E1347">
        <v>43.549054949622409</v>
      </c>
      <c r="F1347">
        <v>-5.3243123988822028E-3</v>
      </c>
      <c r="G1347">
        <v>0.4</v>
      </c>
      <c r="H1347">
        <v>-9.360072756412767E-2</v>
      </c>
      <c r="I1347">
        <v>-9.2973553645794085E-2</v>
      </c>
      <c r="J1347">
        <v>-1.817653890824622E-2</v>
      </c>
      <c r="K1347">
        <v>3.640896768704049E-3</v>
      </c>
      <c r="L1347">
        <v>0</v>
      </c>
      <c r="M1347">
        <v>121346581.6884</v>
      </c>
      <c r="N1347">
        <v>0</v>
      </c>
      <c r="O1347" t="b">
        <v>1</v>
      </c>
    </row>
    <row r="1348" spans="1:15" x14ac:dyDescent="0.3">
      <c r="A1348" s="1" t="s">
        <v>1449</v>
      </c>
      <c r="B1348">
        <v>0.48028719366140049</v>
      </c>
      <c r="C1348">
        <v>2.187100153285066E-2</v>
      </c>
      <c r="D1348">
        <v>2.3224043715846899E-2</v>
      </c>
      <c r="E1348">
        <v>58.905483192159167</v>
      </c>
      <c r="F1348">
        <v>6.0357315306615263E-2</v>
      </c>
      <c r="G1348">
        <v>0.4</v>
      </c>
      <c r="H1348">
        <v>8.2289693265030245E-2</v>
      </c>
      <c r="I1348">
        <v>0.69687155030793302</v>
      </c>
      <c r="J1348">
        <v>-1.7889087656529409E-2</v>
      </c>
      <c r="K1348">
        <v>2.2346368715083779E-2</v>
      </c>
      <c r="L1348">
        <v>0</v>
      </c>
      <c r="M1348">
        <v>8785843.9243999999</v>
      </c>
      <c r="N1348">
        <v>0</v>
      </c>
      <c r="O1348" t="b">
        <v>0</v>
      </c>
    </row>
    <row r="1349" spans="1:15" x14ac:dyDescent="0.3">
      <c r="A1349" s="1" t="s">
        <v>1450</v>
      </c>
      <c r="B1349">
        <v>18.082865390933929</v>
      </c>
      <c r="C1349">
        <v>5.0440349765506071E-2</v>
      </c>
      <c r="D1349">
        <v>4.9093444909344551E-2</v>
      </c>
      <c r="E1349">
        <v>42.543682440728169</v>
      </c>
      <c r="F1349">
        <v>-8.9246246475116253E-2</v>
      </c>
      <c r="G1349">
        <v>0.4</v>
      </c>
      <c r="H1349">
        <v>-9.0094957251139404E-2</v>
      </c>
      <c r="I1349">
        <v>2.1180314437073831</v>
      </c>
      <c r="J1349">
        <v>-9.0724630329469647E-2</v>
      </c>
      <c r="K1349">
        <v>2.904873988173828E-2</v>
      </c>
      <c r="L1349">
        <v>0</v>
      </c>
      <c r="M1349">
        <v>263275315.5</v>
      </c>
      <c r="N1349">
        <v>0</v>
      </c>
      <c r="O1349" t="b">
        <v>1</v>
      </c>
    </row>
    <row r="1350" spans="1:15" x14ac:dyDescent="0.3">
      <c r="A1350" s="1" t="s">
        <v>1451</v>
      </c>
      <c r="B1350">
        <v>0.61219660858885672</v>
      </c>
      <c r="C1350">
        <v>6.9859539393359402E-3</v>
      </c>
      <c r="D1350">
        <v>7.4732547856103384E-3</v>
      </c>
      <c r="E1350">
        <v>42.694656575205393</v>
      </c>
      <c r="F1350">
        <v>-1.032449543574188E-2</v>
      </c>
      <c r="G1350">
        <v>0.4</v>
      </c>
      <c r="H1350">
        <v>-9.6453022503730543E-2</v>
      </c>
      <c r="I1350">
        <v>-0.111115715672517</v>
      </c>
      <c r="J1350">
        <v>-2.222606541738037E-2</v>
      </c>
      <c r="K1350">
        <v>3.8650508447781728E-3</v>
      </c>
      <c r="L1350">
        <v>0</v>
      </c>
      <c r="M1350">
        <v>2900105609.8388</v>
      </c>
      <c r="N1350">
        <v>0</v>
      </c>
      <c r="O1350" t="b">
        <v>1</v>
      </c>
    </row>
    <row r="1351" spans="1:15" x14ac:dyDescent="0.3">
      <c r="A1351" s="1" t="s">
        <v>1452</v>
      </c>
      <c r="B1351">
        <v>3.4153781263847409</v>
      </c>
      <c r="C1351">
        <v>1.7010549488916931E-2</v>
      </c>
      <c r="D1351">
        <v>2.2711425440780961E-2</v>
      </c>
      <c r="E1351">
        <v>52.647759007422991</v>
      </c>
      <c r="F1351">
        <v>-1.5494753358830989E-2</v>
      </c>
      <c r="G1351">
        <v>0.6</v>
      </c>
      <c r="H1351">
        <v>-3.3835950855364637E-2</v>
      </c>
      <c r="I1351">
        <v>0.97297869939203463</v>
      </c>
      <c r="J1351">
        <v>-3.1405277630372819E-2</v>
      </c>
      <c r="K1351">
        <v>2.2613833146582382E-2</v>
      </c>
      <c r="L1351">
        <v>0</v>
      </c>
      <c r="M1351">
        <v>64271007.5</v>
      </c>
      <c r="N1351">
        <v>0</v>
      </c>
      <c r="O1351" t="b">
        <v>0</v>
      </c>
    </row>
    <row r="1352" spans="1:15" x14ac:dyDescent="0.3">
      <c r="A1352" s="1" t="s">
        <v>1453</v>
      </c>
      <c r="B1352">
        <v>0.57703615843289613</v>
      </c>
      <c r="C1352">
        <v>3.1792625808975003E-2</v>
      </c>
      <c r="D1352">
        <v>1.4269972451790651E-2</v>
      </c>
      <c r="E1352">
        <v>34.391796152829308</v>
      </c>
      <c r="F1352">
        <v>-0.1577726218097448</v>
      </c>
      <c r="G1352">
        <v>0.4</v>
      </c>
      <c r="H1352">
        <v>-0.2815933085577933</v>
      </c>
      <c r="I1352">
        <v>1.384355572559915</v>
      </c>
      <c r="J1352">
        <v>-0.1253012048192772</v>
      </c>
      <c r="K1352">
        <v>-1.25136017410229E-2</v>
      </c>
      <c r="L1352">
        <v>0</v>
      </c>
      <c r="M1352">
        <v>97791720.397200003</v>
      </c>
      <c r="N1352">
        <v>0</v>
      </c>
      <c r="O1352" t="b">
        <v>1</v>
      </c>
    </row>
    <row r="1353" spans="1:15" x14ac:dyDescent="0.3">
      <c r="A1353" s="1" t="s">
        <v>1454</v>
      </c>
      <c r="B1353">
        <v>0.81512307445873389</v>
      </c>
      <c r="C1353">
        <v>2.1155378350512039E-2</v>
      </c>
      <c r="D1353">
        <v>2.1793238049015989E-2</v>
      </c>
      <c r="E1353">
        <v>40.15305594409238</v>
      </c>
      <c r="F1353">
        <v>-4.0589735162000477E-2</v>
      </c>
      <c r="G1353">
        <v>0.4</v>
      </c>
      <c r="H1353">
        <v>-9.5093561414833577E-2</v>
      </c>
      <c r="I1353">
        <v>-0.32739020567210891</v>
      </c>
      <c r="J1353">
        <v>-7.0322452997722329E-2</v>
      </c>
      <c r="K1353">
        <v>1.062551803006939E-2</v>
      </c>
      <c r="L1353">
        <v>0</v>
      </c>
      <c r="M1353">
        <v>276465354.41885</v>
      </c>
      <c r="N1353">
        <v>0</v>
      </c>
      <c r="O1353" t="b">
        <v>1</v>
      </c>
    </row>
    <row r="1354" spans="1:15" x14ac:dyDescent="0.3">
      <c r="A1354" s="1" t="s">
        <v>1455</v>
      </c>
      <c r="B1354">
        <v>12.660991990520809</v>
      </c>
      <c r="C1354">
        <v>2.2081366758323569E-2</v>
      </c>
      <c r="D1354">
        <v>1.9971083698565911E-2</v>
      </c>
      <c r="E1354">
        <v>51.158081285212063</v>
      </c>
      <c r="F1354">
        <v>-4.4068850198900611E-3</v>
      </c>
      <c r="G1354">
        <v>0.2</v>
      </c>
      <c r="H1354">
        <v>0.1029278288659011</v>
      </c>
      <c r="I1354">
        <v>0.53509323942331344</v>
      </c>
      <c r="J1354">
        <v>-4.0098370919975701E-2</v>
      </c>
      <c r="K1354">
        <v>1.9074126406076971E-2</v>
      </c>
      <c r="L1354">
        <v>0</v>
      </c>
      <c r="M1354">
        <v>1050616009.3049999</v>
      </c>
      <c r="N1354">
        <v>0</v>
      </c>
      <c r="O1354" t="b">
        <v>1</v>
      </c>
    </row>
    <row r="1355" spans="1:15" x14ac:dyDescent="0.3">
      <c r="A1355" s="1" t="s">
        <v>1456</v>
      </c>
      <c r="B1355">
        <v>4.7958608346911644</v>
      </c>
      <c r="C1355">
        <v>2.4553864605217919E-2</v>
      </c>
      <c r="D1355">
        <v>4.0088060618472317E-2</v>
      </c>
      <c r="E1355">
        <v>29.361725458386228</v>
      </c>
      <c r="F1355">
        <v>-4.6545117278074748E-2</v>
      </c>
      <c r="G1355">
        <v>0.2</v>
      </c>
      <c r="H1355">
        <v>-0.2443862977127769</v>
      </c>
      <c r="I1355">
        <v>-0.22785915993806621</v>
      </c>
      <c r="J1355">
        <v>-9.1598260586470692E-2</v>
      </c>
      <c r="K1355">
        <v>-2.9947851999006739E-2</v>
      </c>
      <c r="L1355">
        <v>0</v>
      </c>
      <c r="M1355">
        <v>962190607.93700004</v>
      </c>
      <c r="N1355">
        <v>0</v>
      </c>
      <c r="O1355" t="b">
        <v>1</v>
      </c>
    </row>
    <row r="1356" spans="1:15" x14ac:dyDescent="0.3">
      <c r="A1356" s="1" t="s">
        <v>1457</v>
      </c>
      <c r="B1356">
        <v>4.2615761082823997</v>
      </c>
      <c r="C1356">
        <v>3.0795295036148689E-2</v>
      </c>
      <c r="D1356">
        <v>4.5366516360272807E-2</v>
      </c>
      <c r="E1356">
        <v>54.772666598474693</v>
      </c>
      <c r="F1356">
        <v>3.2701004462619698E-2</v>
      </c>
      <c r="G1356">
        <v>0.2</v>
      </c>
      <c r="H1356">
        <v>-8.3858227689951617E-2</v>
      </c>
      <c r="I1356">
        <v>0.86270194525632704</v>
      </c>
      <c r="J1356">
        <v>-2.8522889214936179E-2</v>
      </c>
      <c r="K1356">
        <v>4.2558481184314489E-2</v>
      </c>
      <c r="L1356">
        <v>0</v>
      </c>
      <c r="M1356">
        <v>175644099.76255</v>
      </c>
      <c r="N1356">
        <v>0</v>
      </c>
      <c r="O1356" t="b">
        <v>1</v>
      </c>
    </row>
    <row r="1357" spans="1:15" x14ac:dyDescent="0.3">
      <c r="A1357" s="1" t="s">
        <v>1458</v>
      </c>
      <c r="B1357">
        <v>1.411309076999459</v>
      </c>
      <c r="C1357">
        <v>3.9867488050832192E-2</v>
      </c>
      <c r="D1357">
        <v>3.1920903954802328E-2</v>
      </c>
      <c r="E1357">
        <v>50.873773956498212</v>
      </c>
      <c r="F1357">
        <v>-7.2812991094814095E-2</v>
      </c>
      <c r="G1357">
        <v>0.8</v>
      </c>
      <c r="H1357">
        <v>-0.10426823322733</v>
      </c>
      <c r="I1357">
        <v>1.6338493146265241</v>
      </c>
      <c r="J1357">
        <v>-7.6682316118935945E-2</v>
      </c>
      <c r="K1357">
        <v>2.371312897628686E-2</v>
      </c>
      <c r="L1357">
        <v>0</v>
      </c>
      <c r="M1357">
        <v>255782249</v>
      </c>
      <c r="N1357">
        <v>0</v>
      </c>
      <c r="O1357" t="b">
        <v>1</v>
      </c>
    </row>
    <row r="1358" spans="1:15" x14ac:dyDescent="0.3">
      <c r="A1358" s="1" t="s">
        <v>1459</v>
      </c>
      <c r="B1358">
        <v>0.10023029196459329</v>
      </c>
      <c r="C1358">
        <v>2.509452467873778E-3</v>
      </c>
      <c r="D1358">
        <v>4.2112009934628441E-3</v>
      </c>
      <c r="E1358">
        <v>50.225694078579949</v>
      </c>
      <c r="F1358">
        <v>2.4319725330159692E-3</v>
      </c>
      <c r="G1358">
        <v>0.2</v>
      </c>
      <c r="H1358">
        <v>-9.022831802372136E-2</v>
      </c>
      <c r="I1358">
        <v>-1.6187752346859222E-2</v>
      </c>
      <c r="J1358">
        <v>-4.9526780086646127E-3</v>
      </c>
      <c r="K1358">
        <v>2.7314516108787319E-3</v>
      </c>
      <c r="L1358">
        <v>0</v>
      </c>
      <c r="M1358">
        <v>13118665.77595</v>
      </c>
      <c r="N1358">
        <v>0</v>
      </c>
      <c r="O1358" t="b">
        <v>0</v>
      </c>
    </row>
    <row r="1359" spans="1:15" x14ac:dyDescent="0.3">
      <c r="A1359" s="1" t="s">
        <v>1460</v>
      </c>
      <c r="B1359">
        <v>2.0053576073141892</v>
      </c>
      <c r="C1359">
        <v>3.0060734450116911E-2</v>
      </c>
      <c r="D1359">
        <v>4.7447017097835102E-2</v>
      </c>
      <c r="E1359">
        <v>79.160705219750426</v>
      </c>
      <c r="F1359">
        <v>0.2365992233045702</v>
      </c>
      <c r="G1359">
        <v>0.8</v>
      </c>
      <c r="H1359">
        <v>4.6544931347259608E-2</v>
      </c>
      <c r="I1359">
        <v>1.283337305462811</v>
      </c>
      <c r="J1359">
        <v>0</v>
      </c>
      <c r="K1359">
        <v>3.1918053175099097E-2</v>
      </c>
      <c r="L1359">
        <v>0</v>
      </c>
      <c r="M1359">
        <v>80690823.161049992</v>
      </c>
      <c r="N1359">
        <v>0</v>
      </c>
      <c r="O1359" t="b">
        <v>0</v>
      </c>
    </row>
    <row r="1360" spans="1:15" x14ac:dyDescent="0.3">
      <c r="A1360" s="1" t="s">
        <v>1461</v>
      </c>
      <c r="B1360">
        <v>11.266132729652121</v>
      </c>
      <c r="C1360">
        <v>3.7869353713116373E-2</v>
      </c>
      <c r="D1360">
        <v>3.3603361344537862E-2</v>
      </c>
      <c r="E1360">
        <v>46.220618341691022</v>
      </c>
      <c r="F1360">
        <v>-0.1003196511357142</v>
      </c>
      <c r="G1360">
        <v>0.6</v>
      </c>
      <c r="H1360">
        <v>-4.6886001013409888E-2</v>
      </c>
      <c r="I1360">
        <v>0.39089326354928577</v>
      </c>
      <c r="J1360">
        <v>-0.12564804909302521</v>
      </c>
      <c r="K1360">
        <v>1.3259220658907941E-2</v>
      </c>
      <c r="L1360">
        <v>0</v>
      </c>
      <c r="M1360">
        <v>137658158.59299999</v>
      </c>
      <c r="N1360">
        <v>1</v>
      </c>
      <c r="O1360" t="b">
        <v>1</v>
      </c>
    </row>
    <row r="1361" spans="1:15" x14ac:dyDescent="0.3">
      <c r="A1361" s="1" t="s">
        <v>1462</v>
      </c>
      <c r="B1361">
        <v>3.78330579000224</v>
      </c>
      <c r="C1361">
        <v>3.2135443727191369E-2</v>
      </c>
      <c r="D1361">
        <v>3.4825448059118268E-2</v>
      </c>
      <c r="E1361">
        <v>64.476386361655869</v>
      </c>
      <c r="F1361">
        <v>0.1136967770619899</v>
      </c>
      <c r="G1361">
        <v>0.8</v>
      </c>
      <c r="H1361">
        <v>5.1333020079662922E-2</v>
      </c>
      <c r="I1361">
        <v>1.588712467090474</v>
      </c>
      <c r="J1361">
        <v>-4.0605701717282283E-3</v>
      </c>
      <c r="K1361">
        <v>-4.0605701717282283E-3</v>
      </c>
      <c r="L1361">
        <v>0</v>
      </c>
      <c r="M1361">
        <v>334222182.52350003</v>
      </c>
      <c r="N1361">
        <v>0</v>
      </c>
      <c r="O1361" t="b">
        <v>1</v>
      </c>
    </row>
    <row r="1362" spans="1:15" x14ac:dyDescent="0.3">
      <c r="A1362" s="1" t="s">
        <v>1463</v>
      </c>
      <c r="B1362">
        <v>2.3941821369344529</v>
      </c>
      <c r="C1362">
        <v>4.2328905170919619E-2</v>
      </c>
      <c r="D1362">
        <v>3.8833904394162809E-2</v>
      </c>
      <c r="E1362">
        <v>59.042428662995981</v>
      </c>
      <c r="F1362">
        <v>5.2339830344305671E-3</v>
      </c>
      <c r="G1362">
        <v>0.6</v>
      </c>
      <c r="H1362">
        <v>9.9390064130538122E-2</v>
      </c>
      <c r="I1362">
        <v>4.0076710949652643</v>
      </c>
      <c r="J1362">
        <v>0</v>
      </c>
      <c r="K1362">
        <v>1.1426548216814551E-2</v>
      </c>
      <c r="L1362">
        <v>0</v>
      </c>
      <c r="M1362">
        <v>4964409488.9532003</v>
      </c>
      <c r="N1362">
        <v>0</v>
      </c>
      <c r="O1362" t="b">
        <v>1</v>
      </c>
    </row>
    <row r="1363" spans="1:15" x14ac:dyDescent="0.3">
      <c r="A1363" s="1" t="s">
        <v>1464</v>
      </c>
      <c r="B1363">
        <v>4.7530694959746267</v>
      </c>
      <c r="C1363">
        <v>2.6034230683982178E-2</v>
      </c>
      <c r="D1363">
        <v>2.4034616859286879E-2</v>
      </c>
      <c r="E1363">
        <v>68.314228931885921</v>
      </c>
      <c r="F1363">
        <v>8.2608412051779156E-2</v>
      </c>
      <c r="G1363">
        <v>0.6</v>
      </c>
      <c r="H1363">
        <v>5.8729188515476753E-2</v>
      </c>
      <c r="I1363">
        <v>0.43005396597993512</v>
      </c>
      <c r="J1363">
        <v>-1.137992537395105E-3</v>
      </c>
      <c r="K1363">
        <v>-1.137992537395105E-3</v>
      </c>
      <c r="L1363">
        <v>0</v>
      </c>
      <c r="M1363">
        <v>280076346.27999997</v>
      </c>
      <c r="N1363">
        <v>0</v>
      </c>
      <c r="O1363" t="b">
        <v>1</v>
      </c>
    </row>
    <row r="1364" spans="1:15" x14ac:dyDescent="0.3">
      <c r="A1364" s="1" t="s">
        <v>1465</v>
      </c>
      <c r="B1364">
        <v>3.051847246839928</v>
      </c>
      <c r="C1364">
        <v>2.368141200766602E-2</v>
      </c>
      <c r="D1364">
        <v>1.6248806946481429E-2</v>
      </c>
      <c r="E1364">
        <v>33.322718828440159</v>
      </c>
      <c r="F1364">
        <v>-3.8161272987819461E-2</v>
      </c>
      <c r="G1364">
        <v>0.2</v>
      </c>
      <c r="H1364">
        <v>-0.29610869888573299</v>
      </c>
      <c r="I1364">
        <v>0.4506876120346538</v>
      </c>
      <c r="J1364">
        <v>-7.5915329346469829E-2</v>
      </c>
      <c r="K1364">
        <v>9.3280075187969214E-3</v>
      </c>
      <c r="L1364">
        <v>0</v>
      </c>
      <c r="M1364">
        <v>119970685.18350001</v>
      </c>
      <c r="N1364">
        <v>0</v>
      </c>
      <c r="O1364" t="b">
        <v>1</v>
      </c>
    </row>
    <row r="1365" spans="1:15" x14ac:dyDescent="0.3">
      <c r="A1365" s="1" t="s">
        <v>1466</v>
      </c>
      <c r="B1365">
        <v>2.0117731213572601</v>
      </c>
      <c r="C1365">
        <v>2.439695757163789E-2</v>
      </c>
      <c r="D1365">
        <v>2.35265583313123E-2</v>
      </c>
      <c r="E1365">
        <v>58.221440880014789</v>
      </c>
      <c r="F1365">
        <v>3.4629861982434118E-2</v>
      </c>
      <c r="G1365">
        <v>0.4</v>
      </c>
      <c r="H1365">
        <v>-5.2755966475920339E-2</v>
      </c>
      <c r="I1365">
        <v>1.588390393252044</v>
      </c>
      <c r="J1365">
        <v>-1.2691570881226079E-2</v>
      </c>
      <c r="K1365">
        <v>1.2524557956777869E-2</v>
      </c>
      <c r="L1365">
        <v>0</v>
      </c>
      <c r="M1365">
        <v>98959274</v>
      </c>
      <c r="N1365">
        <v>0</v>
      </c>
      <c r="O1365" t="b">
        <v>1</v>
      </c>
    </row>
    <row r="1366" spans="1:15" x14ac:dyDescent="0.3">
      <c r="A1366" s="1" t="s">
        <v>1467</v>
      </c>
      <c r="B1366">
        <v>2.1756877284479579</v>
      </c>
      <c r="C1366">
        <v>2.1266472430238291E-2</v>
      </c>
      <c r="D1366">
        <v>4.0649619768146503E-2</v>
      </c>
      <c r="E1366">
        <v>52.141009945237897</v>
      </c>
      <c r="F1366">
        <v>5.4347291971734712E-3</v>
      </c>
      <c r="G1366">
        <v>0.6</v>
      </c>
      <c r="H1366">
        <v>-7.2622403970287588E-2</v>
      </c>
      <c r="I1366">
        <v>1.0641920211916831</v>
      </c>
      <c r="J1366">
        <v>-2.834077310285887E-2</v>
      </c>
      <c r="K1366">
        <v>-1.717678252348831E-2</v>
      </c>
      <c r="L1366">
        <v>0</v>
      </c>
      <c r="M1366">
        <v>149317886.40450001</v>
      </c>
      <c r="N1366">
        <v>0</v>
      </c>
      <c r="O1366" t="b">
        <v>1</v>
      </c>
    </row>
    <row r="1367" spans="1:15" x14ac:dyDescent="0.3">
      <c r="A1367" s="1" t="s">
        <v>95</v>
      </c>
      <c r="B1367">
        <v>0.90064874730210165</v>
      </c>
      <c r="C1367">
        <v>1.6759373786790131E-2</v>
      </c>
      <c r="D1367">
        <v>1.5816896166728722E-2</v>
      </c>
      <c r="E1367">
        <v>50.828835312380988</v>
      </c>
      <c r="F1367">
        <v>7.3102155576383332E-3</v>
      </c>
      <c r="G1367">
        <v>0.4</v>
      </c>
      <c r="H1367">
        <v>-1.935900663767437E-2</v>
      </c>
      <c r="I1367">
        <v>0.14715175071198189</v>
      </c>
      <c r="J1367">
        <v>-2.6978091616874811E-2</v>
      </c>
      <c r="K1367">
        <v>-7.2048771476076467E-3</v>
      </c>
      <c r="L1367">
        <v>0</v>
      </c>
      <c r="M1367">
        <v>95670755.40990001</v>
      </c>
      <c r="N1367">
        <v>0</v>
      </c>
      <c r="O1367" t="b">
        <v>1</v>
      </c>
    </row>
    <row r="1368" spans="1:15" x14ac:dyDescent="0.3">
      <c r="A1368" s="1" t="s">
        <v>1468</v>
      </c>
      <c r="B1368">
        <v>2.3270808152058531</v>
      </c>
      <c r="C1368">
        <v>2.7627695775921321E-2</v>
      </c>
      <c r="D1368">
        <v>4.3167517511575403E-2</v>
      </c>
      <c r="E1368">
        <v>54.579427992452374</v>
      </c>
      <c r="F1368">
        <v>4.8609779720985007E-2</v>
      </c>
      <c r="G1368">
        <v>0.6</v>
      </c>
      <c r="H1368">
        <v>-8.9182605629652731E-2</v>
      </c>
      <c r="I1368">
        <v>0.79867941992781744</v>
      </c>
      <c r="J1368">
        <v>-1.0223266745005731E-2</v>
      </c>
      <c r="K1368">
        <v>3.7187538480482729E-2</v>
      </c>
      <c r="L1368">
        <v>0</v>
      </c>
      <c r="M1368">
        <v>163207563.75095001</v>
      </c>
      <c r="N1368">
        <v>0</v>
      </c>
      <c r="O1368" t="b">
        <v>1</v>
      </c>
    </row>
    <row r="1369" spans="1:15" x14ac:dyDescent="0.3">
      <c r="A1369" s="1" t="s">
        <v>1469</v>
      </c>
      <c r="B1369">
        <v>4.4897941756367601</v>
      </c>
      <c r="C1369">
        <v>1.6130031168086079E-2</v>
      </c>
      <c r="D1369">
        <v>1.31129872462728E-2</v>
      </c>
      <c r="E1369">
        <v>42.673415555470577</v>
      </c>
      <c r="F1369">
        <v>-1.0406112124347061E-2</v>
      </c>
      <c r="G1369">
        <v>0.2</v>
      </c>
      <c r="H1369">
        <v>-5.4796045690666262E-2</v>
      </c>
      <c r="I1369">
        <v>9.9108421508508571E-2</v>
      </c>
      <c r="J1369">
        <v>-5.1162568729781421E-2</v>
      </c>
      <c r="K1369">
        <v>1.0429403725815689E-3</v>
      </c>
      <c r="L1369">
        <v>0</v>
      </c>
      <c r="M1369">
        <v>321422556.30199999</v>
      </c>
      <c r="N1369">
        <v>0</v>
      </c>
      <c r="O1369" t="b">
        <v>1</v>
      </c>
    </row>
    <row r="1370" spans="1:15" x14ac:dyDescent="0.3">
      <c r="A1370" s="1" t="s">
        <v>1470</v>
      </c>
      <c r="B1370">
        <v>0.78221089316923031</v>
      </c>
      <c r="C1370">
        <v>1.9190649979618019E-2</v>
      </c>
      <c r="D1370">
        <v>2.232580961727175E-2</v>
      </c>
      <c r="E1370">
        <v>57.889528822320749</v>
      </c>
      <c r="F1370">
        <v>-5.8536585365853711E-3</v>
      </c>
      <c r="G1370">
        <v>0.4</v>
      </c>
      <c r="H1370">
        <v>8.0906502530903951E-2</v>
      </c>
      <c r="I1370">
        <v>0.6826237226934978</v>
      </c>
      <c r="J1370">
        <v>-1.402999516207082E-2</v>
      </c>
      <c r="K1370">
        <v>3.9408866995072067E-3</v>
      </c>
      <c r="L1370">
        <v>0</v>
      </c>
      <c r="M1370">
        <v>49219607</v>
      </c>
      <c r="N1370">
        <v>0</v>
      </c>
      <c r="O1370" t="b">
        <v>0</v>
      </c>
    </row>
    <row r="1371" spans="1:15" x14ac:dyDescent="0.3">
      <c r="A1371" s="1" t="s">
        <v>1471</v>
      </c>
      <c r="B1371">
        <v>1.25929632643658</v>
      </c>
      <c r="C1371">
        <v>2.3823237352186531E-2</v>
      </c>
      <c r="D1371">
        <v>1.5134317063942439E-2</v>
      </c>
      <c r="E1371">
        <v>43.330391476585113</v>
      </c>
      <c r="F1371">
        <v>-4.2720802622285843E-2</v>
      </c>
      <c r="G1371">
        <v>0.4</v>
      </c>
      <c r="H1371">
        <v>-0.19307580521532761</v>
      </c>
      <c r="I1371">
        <v>0.47355636975104248</v>
      </c>
      <c r="J1371">
        <v>-5.4988039859982352E-2</v>
      </c>
      <c r="K1371">
        <v>9.7421203438394777E-3</v>
      </c>
      <c r="L1371">
        <v>0</v>
      </c>
      <c r="M1371">
        <v>268681146.7967</v>
      </c>
      <c r="N1371">
        <v>0</v>
      </c>
      <c r="O1371" t="b">
        <v>1</v>
      </c>
    </row>
    <row r="1372" spans="1:15" x14ac:dyDescent="0.3">
      <c r="A1372" s="1" t="s">
        <v>1472</v>
      </c>
      <c r="B1372">
        <v>5.7878565941607327</v>
      </c>
      <c r="C1372">
        <v>4.5750190452618231E-2</v>
      </c>
      <c r="D1372">
        <v>2.3318314757726569E-2</v>
      </c>
      <c r="E1372">
        <v>78.53455815894317</v>
      </c>
      <c r="F1372">
        <v>0.28960244648318062</v>
      </c>
      <c r="G1372">
        <v>0.6</v>
      </c>
      <c r="H1372">
        <v>0.331960494188553</v>
      </c>
      <c r="I1372">
        <v>2.834548176765991</v>
      </c>
      <c r="J1372">
        <v>0</v>
      </c>
      <c r="K1372">
        <v>2.0241935483870991E-2</v>
      </c>
      <c r="L1372">
        <v>0</v>
      </c>
      <c r="M1372">
        <v>38149074.5</v>
      </c>
      <c r="N1372">
        <v>0</v>
      </c>
      <c r="O1372" t="b">
        <v>0</v>
      </c>
    </row>
    <row r="1373" spans="1:15" x14ac:dyDescent="0.3">
      <c r="A1373" s="1" t="s">
        <v>1473</v>
      </c>
      <c r="B1373">
        <v>17.092225585649519</v>
      </c>
      <c r="C1373">
        <v>3.7860727845053767E-2</v>
      </c>
      <c r="D1373">
        <v>2.9394174327167979E-2</v>
      </c>
      <c r="E1373">
        <v>58.047509624404213</v>
      </c>
      <c r="F1373">
        <v>1.397030748152628E-2</v>
      </c>
      <c r="G1373">
        <v>0.8</v>
      </c>
      <c r="H1373">
        <v>0.1075403465007672</v>
      </c>
      <c r="I1373">
        <v>2.5980919405671492</v>
      </c>
      <c r="J1373">
        <v>-7.8021978021978189E-3</v>
      </c>
      <c r="K1373">
        <v>1.4106970370869391E-2</v>
      </c>
      <c r="L1373">
        <v>0</v>
      </c>
      <c r="M1373">
        <v>32626081020</v>
      </c>
      <c r="N1373">
        <v>0</v>
      </c>
      <c r="O1373" t="b">
        <v>1</v>
      </c>
    </row>
    <row r="1374" spans="1:15" x14ac:dyDescent="0.3">
      <c r="A1374" s="1" t="s">
        <v>1474</v>
      </c>
      <c r="B1374">
        <v>1.429520237030802</v>
      </c>
      <c r="C1374">
        <v>7.307040815753757E-2</v>
      </c>
      <c r="D1374">
        <v>5.9508474922815892E-2</v>
      </c>
      <c r="E1374">
        <v>56.431054991779313</v>
      </c>
      <c r="F1374">
        <v>1.284643140466279E-3</v>
      </c>
      <c r="G1374">
        <v>0.8</v>
      </c>
      <c r="H1374">
        <v>0.1067341632354117</v>
      </c>
      <c r="I1374">
        <v>5.1750129682716439</v>
      </c>
      <c r="J1374">
        <v>-1.7176157343447681E-2</v>
      </c>
      <c r="K1374">
        <v>2.9267702409074389E-2</v>
      </c>
      <c r="L1374">
        <v>0</v>
      </c>
      <c r="M1374">
        <v>1977073947.42276</v>
      </c>
      <c r="N1374">
        <v>0</v>
      </c>
      <c r="O1374" t="b">
        <v>1</v>
      </c>
    </row>
    <row r="1375" spans="1:15" x14ac:dyDescent="0.3">
      <c r="A1375" s="1" t="s">
        <v>1475</v>
      </c>
      <c r="B1375">
        <v>8.8430343886259628</v>
      </c>
      <c r="C1375">
        <v>2.8590014350320759E-2</v>
      </c>
      <c r="D1375">
        <v>3.7015243853154689E-2</v>
      </c>
      <c r="E1375">
        <v>66.502378871766552</v>
      </c>
      <c r="F1375">
        <v>5.0360811613889167E-2</v>
      </c>
      <c r="G1375">
        <v>0.8</v>
      </c>
      <c r="H1375">
        <v>0.13465454535217811</v>
      </c>
      <c r="I1375">
        <v>1.952586279576602</v>
      </c>
      <c r="J1375">
        <v>0</v>
      </c>
      <c r="K1375">
        <v>2.2181610281797551E-2</v>
      </c>
      <c r="L1375">
        <v>0</v>
      </c>
      <c r="M1375">
        <v>2855159303.6745</v>
      </c>
      <c r="N1375">
        <v>0</v>
      </c>
      <c r="O1375" t="b">
        <v>1</v>
      </c>
    </row>
    <row r="1376" spans="1:15" x14ac:dyDescent="0.3">
      <c r="A1376" s="1" t="s">
        <v>1476</v>
      </c>
      <c r="B1376">
        <v>1.2796692033839789</v>
      </c>
      <c r="C1376">
        <v>2.218951280360636E-2</v>
      </c>
      <c r="D1376">
        <v>3.3292873244321168E-2</v>
      </c>
      <c r="E1376">
        <v>62.394041420490503</v>
      </c>
      <c r="F1376">
        <v>7.9426876175680672E-2</v>
      </c>
      <c r="G1376">
        <v>0.4</v>
      </c>
      <c r="H1376">
        <v>-4.8603274207862602E-3</v>
      </c>
      <c r="I1376">
        <v>0.35279975221973758</v>
      </c>
      <c r="J1376">
        <v>-1.0806174957118331E-2</v>
      </c>
      <c r="K1376">
        <v>3.1479162940440057E-2</v>
      </c>
      <c r="L1376">
        <v>0</v>
      </c>
      <c r="M1376">
        <v>143297659.92914999</v>
      </c>
      <c r="N1376">
        <v>0</v>
      </c>
      <c r="O1376" t="b">
        <v>1</v>
      </c>
    </row>
    <row r="1377" spans="1:15" x14ac:dyDescent="0.3">
      <c r="A1377" s="1" t="s">
        <v>1477</v>
      </c>
      <c r="B1377">
        <v>9.8020257701428193</v>
      </c>
      <c r="C1377">
        <v>2.4557863832597129E-2</v>
      </c>
      <c r="D1377">
        <v>2.3525579996993499E-2</v>
      </c>
      <c r="E1377">
        <v>37.202632361055443</v>
      </c>
      <c r="F1377">
        <v>-7.9261822376009206E-2</v>
      </c>
      <c r="G1377">
        <v>0.4</v>
      </c>
      <c r="H1377">
        <v>-9.7782734546221717E-2</v>
      </c>
      <c r="I1377">
        <v>0.7834428060608879</v>
      </c>
      <c r="J1377">
        <v>-5.3609958506224083E-2</v>
      </c>
      <c r="K1377">
        <v>3.50877192982324E-4</v>
      </c>
      <c r="L1377">
        <v>0</v>
      </c>
      <c r="M1377">
        <v>513193988.82000011</v>
      </c>
      <c r="N1377">
        <v>0</v>
      </c>
      <c r="O1377" t="b">
        <v>1</v>
      </c>
    </row>
    <row r="1378" spans="1:15" x14ac:dyDescent="0.3">
      <c r="A1378" s="1" t="s">
        <v>1478</v>
      </c>
      <c r="B1378">
        <v>4.3801730782677</v>
      </c>
      <c r="C1378">
        <v>4.0947677650441237E-2</v>
      </c>
      <c r="D1378">
        <v>2.7016920631952889E-2</v>
      </c>
      <c r="E1378">
        <v>70.167510898522636</v>
      </c>
      <c r="F1378">
        <v>0.125644533305272</v>
      </c>
      <c r="G1378">
        <v>0.8</v>
      </c>
      <c r="H1378">
        <v>-7.8974536763836631E-2</v>
      </c>
      <c r="I1378">
        <v>1.0252772231275631</v>
      </c>
      <c r="J1378">
        <v>-1.880388919464315E-2</v>
      </c>
      <c r="K1378">
        <v>-1.880388919464315E-2</v>
      </c>
      <c r="L1378">
        <v>0</v>
      </c>
      <c r="M1378">
        <v>59492650</v>
      </c>
      <c r="N1378">
        <v>1</v>
      </c>
      <c r="O1378" t="b">
        <v>0</v>
      </c>
    </row>
    <row r="1379" spans="1:15" x14ac:dyDescent="0.3">
      <c r="A1379" s="1" t="s">
        <v>1479</v>
      </c>
      <c r="B1379">
        <v>1.7461835673382771</v>
      </c>
      <c r="C1379">
        <v>2.3932846603815661E-2</v>
      </c>
      <c r="D1379">
        <v>5.5638704088989042E-2</v>
      </c>
      <c r="E1379">
        <v>57.788036490689429</v>
      </c>
      <c r="F1379">
        <v>1.551065174244304E-2</v>
      </c>
      <c r="G1379">
        <v>0.4</v>
      </c>
      <c r="H1379">
        <v>-0.1564988133669078</v>
      </c>
      <c r="I1379">
        <v>0.63214266833083288</v>
      </c>
      <c r="J1379">
        <v>0</v>
      </c>
      <c r="K1379">
        <v>5.1929065743944618E-2</v>
      </c>
      <c r="L1379">
        <v>0</v>
      </c>
      <c r="M1379">
        <v>58232190.331649996</v>
      </c>
      <c r="N1379">
        <v>0</v>
      </c>
      <c r="O1379" t="b">
        <v>0</v>
      </c>
    </row>
    <row r="1380" spans="1:15" x14ac:dyDescent="0.3">
      <c r="A1380" s="1" t="s">
        <v>1480</v>
      </c>
      <c r="B1380">
        <v>1.554992500708019</v>
      </c>
      <c r="C1380">
        <v>3.9647947493830153E-2</v>
      </c>
      <c r="D1380">
        <v>2.6007139214686281E-2</v>
      </c>
      <c r="E1380">
        <v>36.159541796930426</v>
      </c>
      <c r="F1380">
        <v>-9.338881183541381E-2</v>
      </c>
      <c r="G1380">
        <v>0.6</v>
      </c>
      <c r="H1380">
        <v>-0.12304588498846521</v>
      </c>
      <c r="I1380">
        <v>1.2459770888016579</v>
      </c>
      <c r="J1380">
        <v>-0.1126696832579186</v>
      </c>
      <c r="K1380">
        <v>-4.5685279187817063E-3</v>
      </c>
      <c r="L1380">
        <v>0</v>
      </c>
      <c r="M1380">
        <v>538537092</v>
      </c>
      <c r="N1380">
        <v>0</v>
      </c>
      <c r="O1380" t="b">
        <v>1</v>
      </c>
    </row>
    <row r="1381" spans="1:15" x14ac:dyDescent="0.3">
      <c r="A1381" s="1" t="s">
        <v>1481</v>
      </c>
      <c r="B1381">
        <v>0.93291754486004685</v>
      </c>
      <c r="C1381">
        <v>1.420398210810059E-2</v>
      </c>
      <c r="D1381">
        <v>1.2180267965895211E-2</v>
      </c>
      <c r="E1381">
        <v>58.137793104224421</v>
      </c>
      <c r="F1381">
        <v>4.3699348482440843E-2</v>
      </c>
      <c r="G1381">
        <v>0.4</v>
      </c>
      <c r="H1381">
        <v>4.8107105767473117E-2</v>
      </c>
      <c r="I1381">
        <v>0.31110511844562749</v>
      </c>
      <c r="J1381">
        <v>-1.8529587567244429E-2</v>
      </c>
      <c r="K1381">
        <v>2.136100091547188E-3</v>
      </c>
      <c r="L1381">
        <v>0</v>
      </c>
      <c r="M1381">
        <v>86611453.737599999</v>
      </c>
      <c r="N1381">
        <v>0</v>
      </c>
      <c r="O1381" t="b">
        <v>0</v>
      </c>
    </row>
    <row r="1382" spans="1:15" x14ac:dyDescent="0.3">
      <c r="A1382" s="1" t="s">
        <v>1482</v>
      </c>
      <c r="B1382">
        <v>1.0306960950248441</v>
      </c>
      <c r="C1382">
        <v>3.0452972921801831E-2</v>
      </c>
      <c r="D1382">
        <v>2.153314325390376E-2</v>
      </c>
      <c r="E1382">
        <v>48.952368059058138</v>
      </c>
      <c r="F1382">
        <v>5.9045324405087918E-2</v>
      </c>
      <c r="G1382">
        <v>0.6</v>
      </c>
      <c r="H1382">
        <v>-5.1805975710255768E-2</v>
      </c>
      <c r="I1382">
        <v>-0.40988014952397089</v>
      </c>
      <c r="J1382">
        <v>-9.2127145922746734E-2</v>
      </c>
      <c r="K1382">
        <v>4.7438527327621216E-3</v>
      </c>
      <c r="L1382">
        <v>0</v>
      </c>
      <c r="M1382">
        <v>69678866.868799999</v>
      </c>
      <c r="N1382">
        <v>0</v>
      </c>
      <c r="O1382" t="b">
        <v>0</v>
      </c>
    </row>
    <row r="1383" spans="1:15" x14ac:dyDescent="0.3">
      <c r="A1383" s="1" t="s">
        <v>1483</v>
      </c>
      <c r="B1383">
        <v>4.2506432149804736</v>
      </c>
      <c r="C1383">
        <v>5.4705832882631589E-2</v>
      </c>
      <c r="D1383">
        <v>4.774774774774785E-2</v>
      </c>
      <c r="E1383">
        <v>66.713204317492909</v>
      </c>
      <c r="F1383">
        <v>0.1117470310487909</v>
      </c>
      <c r="G1383">
        <v>1</v>
      </c>
      <c r="H1383">
        <v>0.20303040037211559</v>
      </c>
      <c r="I1383">
        <v>3.3872941109349228</v>
      </c>
      <c r="J1383">
        <v>0</v>
      </c>
      <c r="K1383">
        <v>1.250977326035985E-2</v>
      </c>
      <c r="L1383">
        <v>0</v>
      </c>
      <c r="M1383">
        <v>55445764</v>
      </c>
      <c r="N1383">
        <v>0</v>
      </c>
      <c r="O1383" t="b">
        <v>0</v>
      </c>
    </row>
    <row r="1384" spans="1:15" x14ac:dyDescent="0.3">
      <c r="A1384" s="1" t="s">
        <v>1484</v>
      </c>
      <c r="B1384">
        <v>5.1703402646324204</v>
      </c>
      <c r="C1384">
        <v>2.1015934739583859E-2</v>
      </c>
      <c r="D1384">
        <v>1.959190309730913E-2</v>
      </c>
      <c r="E1384">
        <v>50.823277396314062</v>
      </c>
      <c r="F1384">
        <v>5.109800905750661E-2</v>
      </c>
      <c r="G1384">
        <v>0.6</v>
      </c>
      <c r="H1384">
        <v>-4.4387727256160192E-2</v>
      </c>
      <c r="I1384">
        <v>0.64415278964006661</v>
      </c>
      <c r="J1384">
        <v>-1.3315152001283409E-2</v>
      </c>
      <c r="K1384">
        <v>-1.0895348369718061E-2</v>
      </c>
      <c r="L1384">
        <v>0</v>
      </c>
      <c r="M1384">
        <v>358800854</v>
      </c>
      <c r="N1384">
        <v>0</v>
      </c>
      <c r="O1384" t="b">
        <v>1</v>
      </c>
    </row>
    <row r="1385" spans="1:15" x14ac:dyDescent="0.3">
      <c r="A1385" s="1" t="s">
        <v>1485</v>
      </c>
      <c r="B1385">
        <v>0.26924779208026361</v>
      </c>
      <c r="C1385">
        <v>2.0274683138574071E-2</v>
      </c>
      <c r="D1385">
        <v>1.731927710843377E-2</v>
      </c>
      <c r="E1385">
        <v>35.922803355964831</v>
      </c>
      <c r="F1385">
        <v>-0.1008801624915369</v>
      </c>
      <c r="G1385">
        <v>0.4</v>
      </c>
      <c r="H1385">
        <v>-0.28170876947778312</v>
      </c>
      <c r="I1385">
        <v>3.6137339730882047E-2</v>
      </c>
      <c r="J1385">
        <v>-0.10209601081812041</v>
      </c>
      <c r="K1385">
        <v>-2.2539444027047661E-3</v>
      </c>
      <c r="L1385">
        <v>0</v>
      </c>
      <c r="M1385">
        <v>53014628.167149991</v>
      </c>
      <c r="N1385">
        <v>0</v>
      </c>
      <c r="O1385" t="b">
        <v>0</v>
      </c>
    </row>
    <row r="1386" spans="1:15" x14ac:dyDescent="0.3">
      <c r="A1386" s="1" t="s">
        <v>1486</v>
      </c>
      <c r="B1386">
        <v>2.245495420653203</v>
      </c>
      <c r="C1386">
        <v>2.1027206860691101E-2</v>
      </c>
      <c r="D1386">
        <v>1.9571120891469271E-2</v>
      </c>
      <c r="E1386">
        <v>46.826830522709457</v>
      </c>
      <c r="F1386">
        <v>-2.375924453098566E-2</v>
      </c>
      <c r="G1386">
        <v>0.2</v>
      </c>
      <c r="H1386">
        <v>-0.1511600069042707</v>
      </c>
      <c r="I1386">
        <v>0.17593484161400341</v>
      </c>
      <c r="J1386">
        <v>-3.1277780801538417E-2</v>
      </c>
      <c r="K1386">
        <v>-2.0558826277917719E-3</v>
      </c>
      <c r="L1386">
        <v>0</v>
      </c>
      <c r="M1386">
        <v>141672331.00350001</v>
      </c>
      <c r="N1386">
        <v>0</v>
      </c>
      <c r="O1386" t="b">
        <v>1</v>
      </c>
    </row>
    <row r="1387" spans="1:15" x14ac:dyDescent="0.3">
      <c r="A1387" s="1" t="s">
        <v>1487</v>
      </c>
      <c r="B1387">
        <v>4.7866603939222028</v>
      </c>
      <c r="C1387">
        <v>3.5464624686391069E-2</v>
      </c>
      <c r="D1387">
        <v>5.0233385196710389E-2</v>
      </c>
      <c r="E1387">
        <v>64.202041195179191</v>
      </c>
      <c r="F1387">
        <v>3.3381823750095567E-2</v>
      </c>
      <c r="G1387">
        <v>0.6</v>
      </c>
      <c r="H1387">
        <v>0.1307023443939766</v>
      </c>
      <c r="I1387">
        <v>2.186752155539391</v>
      </c>
      <c r="J1387">
        <v>0</v>
      </c>
      <c r="K1387">
        <v>4.1033551870420348E-2</v>
      </c>
      <c r="L1387">
        <v>0</v>
      </c>
      <c r="M1387">
        <v>262047720.5</v>
      </c>
      <c r="N1387">
        <v>0</v>
      </c>
      <c r="O1387" t="b">
        <v>1</v>
      </c>
    </row>
    <row r="1388" spans="1:15" x14ac:dyDescent="0.3">
      <c r="A1388" s="1" t="s">
        <v>1488</v>
      </c>
      <c r="B1388">
        <v>0.95263144625741125</v>
      </c>
      <c r="C1388">
        <v>2.4990331748620441E-2</v>
      </c>
      <c r="D1388">
        <v>3.5939139559286397E-2</v>
      </c>
      <c r="E1388">
        <v>60.238331085813698</v>
      </c>
      <c r="F1388">
        <v>6.5399664617104447E-2</v>
      </c>
      <c r="G1388">
        <v>0.4</v>
      </c>
      <c r="H1388">
        <v>4.7322332018153231E-2</v>
      </c>
      <c r="I1388">
        <v>0.94855682697891597</v>
      </c>
      <c r="J1388">
        <v>-1.2435233160621889E-2</v>
      </c>
      <c r="K1388">
        <v>2.308105206655919E-2</v>
      </c>
      <c r="L1388">
        <v>0</v>
      </c>
      <c r="M1388">
        <v>5916659.2774999999</v>
      </c>
      <c r="N1388">
        <v>0</v>
      </c>
      <c r="O1388" t="b">
        <v>0</v>
      </c>
    </row>
    <row r="1389" spans="1:15" x14ac:dyDescent="0.3">
      <c r="A1389" s="1" t="s">
        <v>1489</v>
      </c>
      <c r="B1389">
        <v>4.874840954578656</v>
      </c>
      <c r="C1389">
        <v>2.700862616946267E-2</v>
      </c>
      <c r="D1389">
        <v>2.8732575405004141E-2</v>
      </c>
      <c r="E1389">
        <v>65.744421104919439</v>
      </c>
      <c r="F1389">
        <v>0.13133465798331459</v>
      </c>
      <c r="G1389">
        <v>0.4</v>
      </c>
      <c r="H1389">
        <v>-4.1082883889511028E-2</v>
      </c>
      <c r="I1389">
        <v>1.139123126519427</v>
      </c>
      <c r="J1389">
        <v>-5.0932663050667903E-3</v>
      </c>
      <c r="K1389">
        <v>1.1976047904191491E-2</v>
      </c>
      <c r="L1389">
        <v>0</v>
      </c>
      <c r="M1389">
        <v>1161594319.862</v>
      </c>
      <c r="N1389">
        <v>0</v>
      </c>
      <c r="O1389" t="b">
        <v>1</v>
      </c>
    </row>
    <row r="1390" spans="1:15" x14ac:dyDescent="0.3">
      <c r="A1390" s="1" t="s">
        <v>1490</v>
      </c>
      <c r="B1390">
        <v>3.748850172666641</v>
      </c>
      <c r="C1390">
        <v>2.2554901466016731E-2</v>
      </c>
      <c r="D1390">
        <v>1.552253173695934E-2</v>
      </c>
      <c r="E1390">
        <v>46.144508538816552</v>
      </c>
      <c r="F1390">
        <v>3.1745046431941322E-2</v>
      </c>
      <c r="G1390">
        <v>0.2</v>
      </c>
      <c r="H1390">
        <v>-4.0427460433324298E-2</v>
      </c>
      <c r="I1390">
        <v>0.55571876508213269</v>
      </c>
      <c r="J1390">
        <v>-5.5662558875499202E-2</v>
      </c>
      <c r="K1390">
        <v>7.6386783873902964E-3</v>
      </c>
      <c r="L1390">
        <v>0</v>
      </c>
      <c r="M1390">
        <v>175025690.67500001</v>
      </c>
      <c r="N1390">
        <v>0</v>
      </c>
      <c r="O1390" t="b">
        <v>1</v>
      </c>
    </row>
    <row r="1391" spans="1:15" x14ac:dyDescent="0.3">
      <c r="A1391" s="1" t="s">
        <v>1491</v>
      </c>
      <c r="B1391">
        <v>1.4729740778444551</v>
      </c>
      <c r="C1391">
        <v>1.7312730991444029E-2</v>
      </c>
      <c r="D1391">
        <v>1.9623791143436119E-2</v>
      </c>
      <c r="E1391">
        <v>63.846403568762327</v>
      </c>
      <c r="F1391">
        <v>3.704606593524451E-2</v>
      </c>
      <c r="G1391">
        <v>0.6</v>
      </c>
      <c r="H1391">
        <v>-1.322655693332866E-2</v>
      </c>
      <c r="I1391">
        <v>0.76263213919565886</v>
      </c>
      <c r="J1391">
        <v>0</v>
      </c>
      <c r="K1391">
        <v>1.4302455749653831E-2</v>
      </c>
      <c r="L1391">
        <v>0</v>
      </c>
      <c r="M1391">
        <v>101731836.97025</v>
      </c>
      <c r="N1391">
        <v>0</v>
      </c>
      <c r="O1391" t="b">
        <v>1</v>
      </c>
    </row>
    <row r="1392" spans="1:15" x14ac:dyDescent="0.3">
      <c r="A1392" s="1" t="s">
        <v>1492</v>
      </c>
      <c r="B1392">
        <v>11.465779171526361</v>
      </c>
      <c r="C1392">
        <v>2.5156389423683281E-2</v>
      </c>
      <c r="D1392">
        <v>1.3603054105050661E-2</v>
      </c>
      <c r="E1392">
        <v>40.043264190591763</v>
      </c>
      <c r="F1392">
        <v>-1.8730623492938411E-2</v>
      </c>
      <c r="G1392">
        <v>0.6</v>
      </c>
      <c r="H1392">
        <v>-0.2006547509966351</v>
      </c>
      <c r="I1392">
        <v>0.22245616734687609</v>
      </c>
      <c r="J1392">
        <v>-3.5937136451128497E-2</v>
      </c>
      <c r="K1392">
        <v>5.3379212987469948E-3</v>
      </c>
      <c r="L1392">
        <v>0</v>
      </c>
      <c r="M1392">
        <v>154620050</v>
      </c>
      <c r="N1392">
        <v>0</v>
      </c>
      <c r="O1392" t="b">
        <v>1</v>
      </c>
    </row>
    <row r="1393" spans="1:15" x14ac:dyDescent="0.3">
      <c r="A1393" s="1" t="s">
        <v>1493</v>
      </c>
      <c r="B1393">
        <v>2.4057734777648649</v>
      </c>
      <c r="C1393">
        <v>4.9117465858817183E-2</v>
      </c>
      <c r="D1393">
        <v>4.4079216006533257E-2</v>
      </c>
      <c r="E1393">
        <v>70.399203663927395</v>
      </c>
      <c r="F1393">
        <v>0.13563644794806379</v>
      </c>
      <c r="G1393">
        <v>0.6</v>
      </c>
      <c r="H1393">
        <v>5.1275333712149179E-2</v>
      </c>
      <c r="I1393">
        <v>3.0669546562624612</v>
      </c>
      <c r="J1393">
        <v>-9.9049929250051294E-3</v>
      </c>
      <c r="K1393">
        <v>-9.9049929250051294E-3</v>
      </c>
      <c r="L1393">
        <v>0</v>
      </c>
      <c r="M1393">
        <v>278722997.5</v>
      </c>
      <c r="N1393">
        <v>0</v>
      </c>
      <c r="O1393" t="b">
        <v>1</v>
      </c>
    </row>
    <row r="1394" spans="1:15" x14ac:dyDescent="0.3">
      <c r="A1394" s="1" t="s">
        <v>1494</v>
      </c>
      <c r="B1394">
        <v>3.8923310446392341</v>
      </c>
      <c r="C1394">
        <v>3.6127074852786649E-2</v>
      </c>
      <c r="D1394">
        <v>3.0072396510116901E-2</v>
      </c>
      <c r="E1394">
        <v>63.156216131634743</v>
      </c>
      <c r="F1394">
        <v>0.1206573746619513</v>
      </c>
      <c r="G1394">
        <v>0.6</v>
      </c>
      <c r="H1394">
        <v>-2.7425976921264719E-2</v>
      </c>
      <c r="I1394">
        <v>1.7330362977861899</v>
      </c>
      <c r="J1394">
        <v>-6.8215339233038694E-3</v>
      </c>
      <c r="K1394">
        <v>1.9299905392620609E-2</v>
      </c>
      <c r="L1394">
        <v>0</v>
      </c>
      <c r="M1394">
        <v>565424332</v>
      </c>
      <c r="N1394">
        <v>0</v>
      </c>
      <c r="O1394" t="b">
        <v>1</v>
      </c>
    </row>
    <row r="1395" spans="1:15" x14ac:dyDescent="0.3">
      <c r="A1395" s="1" t="s">
        <v>1495</v>
      </c>
      <c r="B1395">
        <v>2.998391959158051</v>
      </c>
      <c r="C1395">
        <v>3.5627280883531967E-2</v>
      </c>
      <c r="D1395">
        <v>7.5451520912547462E-2</v>
      </c>
      <c r="E1395">
        <v>37.214361786084957</v>
      </c>
      <c r="F1395">
        <v>-0.1056323060573857</v>
      </c>
      <c r="G1395">
        <v>0.6</v>
      </c>
      <c r="H1395">
        <v>-0.1230236177981601</v>
      </c>
      <c r="I1395">
        <v>1.4160340432705609</v>
      </c>
      <c r="J1395">
        <v>-0.1008547008547008</v>
      </c>
      <c r="K1395">
        <v>-5.512518244077691E-2</v>
      </c>
      <c r="L1395">
        <v>0</v>
      </c>
      <c r="M1395">
        <v>1549107739</v>
      </c>
      <c r="N1395">
        <v>0</v>
      </c>
      <c r="O1395" t="b">
        <v>1</v>
      </c>
    </row>
    <row r="1396" spans="1:15" x14ac:dyDescent="0.3">
      <c r="A1396" s="1" t="s">
        <v>1496</v>
      </c>
      <c r="B1396">
        <v>0.67478172915064816</v>
      </c>
      <c r="C1396">
        <v>1.6216816369878592E-2</v>
      </c>
      <c r="D1396">
        <v>1.6822879115597281E-2</v>
      </c>
      <c r="E1396">
        <v>71.211705728564056</v>
      </c>
      <c r="F1396">
        <v>8.274785323965661E-2</v>
      </c>
      <c r="G1396">
        <v>0.8</v>
      </c>
      <c r="H1396">
        <v>-3.2830489114013137E-2</v>
      </c>
      <c r="I1396">
        <v>0.75727786457025348</v>
      </c>
      <c r="J1396">
        <v>0</v>
      </c>
      <c r="K1396">
        <v>7.7500605473479478E-3</v>
      </c>
      <c r="L1396">
        <v>0</v>
      </c>
      <c r="M1396">
        <v>72611962</v>
      </c>
      <c r="N1396">
        <v>0</v>
      </c>
      <c r="O1396" t="b">
        <v>0</v>
      </c>
    </row>
    <row r="1397" spans="1:15" x14ac:dyDescent="0.3">
      <c r="A1397" s="1" t="s">
        <v>1497</v>
      </c>
      <c r="B1397">
        <v>0.61426233139527342</v>
      </c>
      <c r="C1397">
        <v>1.764680471822485E-2</v>
      </c>
      <c r="D1397">
        <v>1.504796214739402E-2</v>
      </c>
      <c r="E1397">
        <v>48.502914729026088</v>
      </c>
      <c r="F1397">
        <v>1.8802152998715242E-2</v>
      </c>
      <c r="G1397">
        <v>0.4</v>
      </c>
      <c r="H1397">
        <v>-0.17473228884618819</v>
      </c>
      <c r="I1397">
        <v>0.28364428263989561</v>
      </c>
      <c r="J1397">
        <v>-3.2949295312921012E-2</v>
      </c>
      <c r="K1397">
        <v>9.1701360299660806E-3</v>
      </c>
      <c r="L1397">
        <v>0</v>
      </c>
      <c r="M1397">
        <v>85374633.899399996</v>
      </c>
      <c r="N1397">
        <v>0</v>
      </c>
      <c r="O1397" t="b">
        <v>0</v>
      </c>
    </row>
    <row r="1398" spans="1:15" x14ac:dyDescent="0.3">
      <c r="A1398" s="1" t="s">
        <v>1498</v>
      </c>
      <c r="B1398">
        <v>0.92763626482167694</v>
      </c>
      <c r="C1398">
        <v>7.1798472509417718E-2</v>
      </c>
      <c r="D1398">
        <v>0.10681114551083599</v>
      </c>
      <c r="E1398">
        <v>50.625346135506312</v>
      </c>
      <c r="F1398">
        <v>-1.5455950540957939E-3</v>
      </c>
      <c r="G1398">
        <v>0.4</v>
      </c>
      <c r="H1398">
        <v>3.2159148634852711E-2</v>
      </c>
      <c r="I1398">
        <v>1.682880466164941</v>
      </c>
      <c r="J1398">
        <v>-8.8857545839210128E-2</v>
      </c>
      <c r="K1398">
        <v>-7.4498567335243626E-2</v>
      </c>
      <c r="L1398">
        <v>0</v>
      </c>
      <c r="M1398">
        <v>80217240</v>
      </c>
      <c r="N1398">
        <v>0</v>
      </c>
      <c r="O1398" t="b">
        <v>0</v>
      </c>
    </row>
    <row r="1399" spans="1:15" x14ac:dyDescent="0.3">
      <c r="A1399" s="1" t="s">
        <v>1499</v>
      </c>
      <c r="B1399">
        <v>0.7837652284894373</v>
      </c>
      <c r="C1399">
        <v>2.10626163222212E-2</v>
      </c>
      <c r="D1399">
        <v>1.436932966418715E-2</v>
      </c>
      <c r="E1399">
        <v>61.135309631065802</v>
      </c>
      <c r="F1399">
        <v>9.7866590350532912E-2</v>
      </c>
      <c r="G1399">
        <v>0.4</v>
      </c>
      <c r="H1399">
        <v>4.8107047982355891E-2</v>
      </c>
      <c r="I1399">
        <v>0.40413636544679288</v>
      </c>
      <c r="J1399">
        <v>-4.9808742192646971E-2</v>
      </c>
      <c r="K1399">
        <v>-4.5024679302827497E-3</v>
      </c>
      <c r="L1399">
        <v>0</v>
      </c>
      <c r="M1399">
        <v>58503208.692699999</v>
      </c>
      <c r="N1399">
        <v>0</v>
      </c>
      <c r="O1399" t="b">
        <v>0</v>
      </c>
    </row>
    <row r="1400" spans="1:15" x14ac:dyDescent="0.3">
      <c r="A1400" s="1" t="s">
        <v>1500</v>
      </c>
      <c r="B1400">
        <v>1.439942995668186</v>
      </c>
      <c r="C1400">
        <v>2.6469540361547531E-2</v>
      </c>
      <c r="D1400">
        <v>6.5808823529411739E-2</v>
      </c>
      <c r="E1400">
        <v>58.395679969123307</v>
      </c>
      <c r="F1400">
        <v>3.6980556614563342E-2</v>
      </c>
      <c r="G1400">
        <v>0.2</v>
      </c>
      <c r="H1400">
        <v>-0.1202205450241631</v>
      </c>
      <c r="I1400">
        <v>0.79623570695656187</v>
      </c>
      <c r="J1400">
        <v>0</v>
      </c>
      <c r="K1400">
        <v>6.9182389937106903E-2</v>
      </c>
      <c r="L1400">
        <v>0</v>
      </c>
      <c r="M1400">
        <v>6971492</v>
      </c>
      <c r="N1400">
        <v>0</v>
      </c>
      <c r="O1400" t="b">
        <v>0</v>
      </c>
    </row>
    <row r="1401" spans="1:15" x14ac:dyDescent="0.3">
      <c r="A1401" s="1" t="s">
        <v>1501</v>
      </c>
      <c r="B1401">
        <v>1.4221630619467269</v>
      </c>
      <c r="C1401">
        <v>2.8319110259556649E-2</v>
      </c>
      <c r="D1401">
        <v>6.7834613056361001E-2</v>
      </c>
      <c r="E1401">
        <v>59.482391443432441</v>
      </c>
      <c r="F1401">
        <v>5.0136340063904328E-2</v>
      </c>
      <c r="G1401">
        <v>0.2</v>
      </c>
      <c r="H1401">
        <v>-0.10220519612089191</v>
      </c>
      <c r="I1401">
        <v>0.88297300428697367</v>
      </c>
      <c r="J1401">
        <v>0</v>
      </c>
      <c r="K1401">
        <v>7.0943114570560351E-2</v>
      </c>
      <c r="L1401">
        <v>0</v>
      </c>
      <c r="M1401">
        <v>16670536.941199999</v>
      </c>
      <c r="N1401">
        <v>0</v>
      </c>
      <c r="O1401" t="b">
        <v>0</v>
      </c>
    </row>
    <row r="1402" spans="1:15" x14ac:dyDescent="0.3">
      <c r="A1402" s="1" t="s">
        <v>1502</v>
      </c>
      <c r="B1402">
        <v>6.1060511202009309</v>
      </c>
      <c r="C1402">
        <v>2.739982553377129E-2</v>
      </c>
      <c r="D1402">
        <v>2.517388377832629E-2</v>
      </c>
      <c r="E1402">
        <v>43.697813063258771</v>
      </c>
      <c r="F1402">
        <v>1.7666335516526299E-3</v>
      </c>
      <c r="G1402">
        <v>0.4</v>
      </c>
      <c r="H1402">
        <v>0.1170560720154563</v>
      </c>
      <c r="I1402">
        <v>0.541488465401606</v>
      </c>
      <c r="J1402">
        <v>-8.6605459463890422E-2</v>
      </c>
      <c r="K1402">
        <v>-1.109385400488128E-2</v>
      </c>
      <c r="L1402">
        <v>0</v>
      </c>
      <c r="M1402">
        <v>133052492.64650001</v>
      </c>
      <c r="N1402">
        <v>0</v>
      </c>
      <c r="O1402" t="b">
        <v>1</v>
      </c>
    </row>
    <row r="1403" spans="1:15" x14ac:dyDescent="0.3">
      <c r="A1403" s="1" t="s">
        <v>1503</v>
      </c>
      <c r="B1403">
        <v>27.61281475087403</v>
      </c>
      <c r="C1403">
        <v>4.7315353990849809E-2</v>
      </c>
      <c r="D1403">
        <v>3.9914940429170591E-2</v>
      </c>
      <c r="E1403">
        <v>46.232282894445547</v>
      </c>
      <c r="F1403">
        <v>-7.3835069361762873E-3</v>
      </c>
      <c r="G1403">
        <v>1</v>
      </c>
      <c r="H1403">
        <v>-2.532368578754882E-2</v>
      </c>
      <c r="I1403">
        <v>1.7797264121376619</v>
      </c>
      <c r="J1403">
        <v>0</v>
      </c>
      <c r="K1403">
        <v>6.6872313319077392E-4</v>
      </c>
      <c r="L1403">
        <v>0</v>
      </c>
      <c r="M1403">
        <v>44656205.699000001</v>
      </c>
      <c r="N1403">
        <v>0</v>
      </c>
      <c r="O1403" t="b">
        <v>0</v>
      </c>
    </row>
    <row r="1404" spans="1:15" x14ac:dyDescent="0.3">
      <c r="A1404" s="1" t="s">
        <v>1504</v>
      </c>
      <c r="B1404">
        <v>1.272294066562178</v>
      </c>
      <c r="C1404">
        <v>1.9923176739150929E-2</v>
      </c>
      <c r="D1404">
        <v>1.5972439711869652E-2</v>
      </c>
      <c r="E1404">
        <v>36.531599935757569</v>
      </c>
      <c r="F1404">
        <v>-6.746086796525097E-2</v>
      </c>
      <c r="G1404">
        <v>0.4</v>
      </c>
      <c r="H1404">
        <v>-0.1454238070052625</v>
      </c>
      <c r="I1404">
        <v>-0.195729238184292</v>
      </c>
      <c r="J1404">
        <v>-7.1431167981387822E-2</v>
      </c>
      <c r="K1404">
        <v>-2.8107432854467258E-3</v>
      </c>
      <c r="L1404">
        <v>0</v>
      </c>
      <c r="M1404">
        <v>140488425.38159999</v>
      </c>
      <c r="N1404">
        <v>0</v>
      </c>
      <c r="O1404" t="b">
        <v>1</v>
      </c>
    </row>
    <row r="1405" spans="1:15" x14ac:dyDescent="0.3">
      <c r="A1405" s="1" t="s">
        <v>1505</v>
      </c>
      <c r="B1405">
        <v>2.5722408065783688</v>
      </c>
      <c r="C1405">
        <v>3.3366724692935133E-2</v>
      </c>
      <c r="D1405">
        <v>2.1144117265533731E-2</v>
      </c>
      <c r="E1405">
        <v>36.663738724356463</v>
      </c>
      <c r="F1405">
        <v>-0.1119144470287898</v>
      </c>
      <c r="G1405">
        <v>0.2</v>
      </c>
      <c r="H1405">
        <v>5.7159122969625123E-2</v>
      </c>
      <c r="I1405">
        <v>0.24744012433973789</v>
      </c>
      <c r="J1405">
        <v>-0.15480758688740259</v>
      </c>
      <c r="K1405">
        <v>-5.5469556243549212E-3</v>
      </c>
      <c r="L1405">
        <v>0</v>
      </c>
      <c r="M1405">
        <v>39359654.413500004</v>
      </c>
      <c r="N1405">
        <v>0</v>
      </c>
      <c r="O1405" t="b">
        <v>0</v>
      </c>
    </row>
    <row r="1406" spans="1:15" x14ac:dyDescent="0.3">
      <c r="A1406" s="1" t="s">
        <v>1506</v>
      </c>
      <c r="B1406">
        <v>20.163804458047281</v>
      </c>
      <c r="C1406">
        <v>3.3569973292345429E-2</v>
      </c>
      <c r="D1406">
        <v>1.548322650461992E-2</v>
      </c>
      <c r="E1406">
        <v>69.699725445352087</v>
      </c>
      <c r="F1406">
        <v>0.16278844664704969</v>
      </c>
      <c r="G1406">
        <v>0.4</v>
      </c>
      <c r="H1406">
        <v>7.6739330161491023E-2</v>
      </c>
      <c r="I1406">
        <v>0.53344997985301668</v>
      </c>
      <c r="J1406">
        <v>-3.8476209429989532E-3</v>
      </c>
      <c r="K1406">
        <v>-3.8476209429989532E-3</v>
      </c>
      <c r="L1406">
        <v>0</v>
      </c>
      <c r="M1406">
        <v>305313272</v>
      </c>
      <c r="N1406">
        <v>0</v>
      </c>
      <c r="O1406" t="b">
        <v>1</v>
      </c>
    </row>
    <row r="1407" spans="1:15" x14ac:dyDescent="0.3">
      <c r="A1407" s="1" t="s">
        <v>1507</v>
      </c>
      <c r="B1407">
        <v>3.1028135880150209</v>
      </c>
      <c r="C1407">
        <v>2.6199557443342229E-2</v>
      </c>
      <c r="D1407">
        <v>5.328041881280083E-2</v>
      </c>
      <c r="E1407">
        <v>66.914672615549989</v>
      </c>
      <c r="F1407">
        <v>7.8459941355382812E-2</v>
      </c>
      <c r="G1407">
        <v>0.4</v>
      </c>
      <c r="H1407">
        <v>-5.5653639146893197E-2</v>
      </c>
      <c r="I1407">
        <v>1.2622852078605451</v>
      </c>
      <c r="J1407">
        <v>0</v>
      </c>
      <c r="K1407">
        <v>4.3252290345313638E-2</v>
      </c>
      <c r="L1407">
        <v>0</v>
      </c>
      <c r="M1407">
        <v>53653982.202000007</v>
      </c>
      <c r="N1407">
        <v>0</v>
      </c>
      <c r="O1407" t="b">
        <v>0</v>
      </c>
    </row>
    <row r="1408" spans="1:15" x14ac:dyDescent="0.3">
      <c r="A1408" s="1" t="s">
        <v>1508</v>
      </c>
      <c r="B1408">
        <v>0.1840095448019804</v>
      </c>
      <c r="C1408">
        <v>2.3001193100247549E-2</v>
      </c>
      <c r="D1408">
        <v>1.749999999999996E-2</v>
      </c>
      <c r="E1408">
        <v>64.43462047263813</v>
      </c>
      <c r="F1408">
        <v>7.6716016150740307E-2</v>
      </c>
      <c r="G1408">
        <v>0.8</v>
      </c>
      <c r="H1408">
        <v>0.1229380388327812</v>
      </c>
      <c r="I1408">
        <v>1.392895536523403</v>
      </c>
      <c r="J1408">
        <v>-1.1124845488257099E-2</v>
      </c>
      <c r="K1408">
        <v>-1.1124845488257099E-2</v>
      </c>
      <c r="L1408">
        <v>0</v>
      </c>
      <c r="M1408">
        <v>66034889.884439997</v>
      </c>
      <c r="N1408">
        <v>0</v>
      </c>
      <c r="O1408" t="b">
        <v>0</v>
      </c>
    </row>
    <row r="1409" spans="1:15" x14ac:dyDescent="0.3">
      <c r="A1409" s="1" t="s">
        <v>1509</v>
      </c>
      <c r="B1409">
        <v>8.8660775703654924</v>
      </c>
      <c r="C1409">
        <v>2.700026668199133E-2</v>
      </c>
      <c r="D1409">
        <v>2.7804001583579489E-2</v>
      </c>
      <c r="E1409">
        <v>50.398150492351569</v>
      </c>
      <c r="F1409">
        <v>2.7980916126123741E-2</v>
      </c>
      <c r="G1409">
        <v>0.2</v>
      </c>
      <c r="H1409">
        <v>-0.1065729913292634</v>
      </c>
      <c r="I1409">
        <v>0.95583308826615743</v>
      </c>
      <c r="J1409">
        <v>-2.6881736362801108E-2</v>
      </c>
      <c r="K1409">
        <v>1.4740420271940559E-2</v>
      </c>
      <c r="L1409">
        <v>0</v>
      </c>
      <c r="M1409">
        <v>3121556051.0609999</v>
      </c>
      <c r="N1409">
        <v>0</v>
      </c>
      <c r="O1409" t="b">
        <v>1</v>
      </c>
    </row>
    <row r="1410" spans="1:15" x14ac:dyDescent="0.3">
      <c r="A1410" s="1" t="s">
        <v>1510</v>
      </c>
      <c r="B1410">
        <v>1.548279880385443</v>
      </c>
      <c r="C1410">
        <v>2.0975934606818961E-2</v>
      </c>
      <c r="D1410">
        <v>1.9525227536911171E-2</v>
      </c>
      <c r="E1410">
        <v>45.576835689253137</v>
      </c>
      <c r="F1410">
        <v>-3.9700144541571558E-2</v>
      </c>
      <c r="G1410">
        <v>0.6</v>
      </c>
      <c r="H1410">
        <v>-4.921896839688137E-2</v>
      </c>
      <c r="I1410">
        <v>1.9832583959373519E-2</v>
      </c>
      <c r="J1410">
        <v>-3.9825063708394337E-2</v>
      </c>
      <c r="K1410">
        <v>1.199245929734372E-2</v>
      </c>
      <c r="L1410">
        <v>0</v>
      </c>
      <c r="M1410">
        <v>91704109.929299995</v>
      </c>
      <c r="N1410">
        <v>0</v>
      </c>
      <c r="O1410" t="b">
        <v>0</v>
      </c>
    </row>
    <row r="1411" spans="1:15" x14ac:dyDescent="0.3">
      <c r="A1411" s="1" t="s">
        <v>1511</v>
      </c>
      <c r="B1411">
        <v>3.5729082029638359</v>
      </c>
      <c r="C1411">
        <v>1.5174162078331079E-2</v>
      </c>
      <c r="D1411">
        <v>2.212690053512277E-2</v>
      </c>
      <c r="E1411">
        <v>65.191400780865223</v>
      </c>
      <c r="F1411">
        <v>5.7876339979692437E-2</v>
      </c>
      <c r="G1411">
        <v>0.6</v>
      </c>
      <c r="H1411">
        <v>6.7961486310299246E-2</v>
      </c>
      <c r="I1411">
        <v>0.44856154703589612</v>
      </c>
      <c r="J1411">
        <v>-1.907507100165295E-3</v>
      </c>
      <c r="K1411">
        <v>1.6842287096217049E-2</v>
      </c>
      <c r="L1411">
        <v>0</v>
      </c>
      <c r="M1411">
        <v>706214702.74900007</v>
      </c>
      <c r="N1411">
        <v>0</v>
      </c>
      <c r="O1411" t="b">
        <v>1</v>
      </c>
    </row>
    <row r="1412" spans="1:15" x14ac:dyDescent="0.3">
      <c r="A1412" s="1" t="s">
        <v>1512</v>
      </c>
      <c r="B1412">
        <v>3.629729109023712</v>
      </c>
      <c r="C1412">
        <v>3.062752387120049E-2</v>
      </c>
      <c r="D1412">
        <v>3.3068381260969448E-2</v>
      </c>
      <c r="E1412">
        <v>59.374495726089258</v>
      </c>
      <c r="F1412">
        <v>1.477047959105038E-2</v>
      </c>
      <c r="G1412">
        <v>0.6</v>
      </c>
      <c r="H1412">
        <v>7.520711735082386E-2</v>
      </c>
      <c r="I1412">
        <v>2.9759331775185118</v>
      </c>
      <c r="J1412">
        <v>0</v>
      </c>
      <c r="K1412">
        <v>1.921257675570609E-2</v>
      </c>
      <c r="L1412">
        <v>0</v>
      </c>
      <c r="M1412">
        <v>419431131.81559998</v>
      </c>
      <c r="N1412">
        <v>0</v>
      </c>
      <c r="O1412" t="b">
        <v>1</v>
      </c>
    </row>
    <row r="1413" spans="1:15" x14ac:dyDescent="0.3">
      <c r="A1413" s="1" t="s">
        <v>1513</v>
      </c>
      <c r="B1413">
        <v>2.2131191457108659</v>
      </c>
      <c r="C1413">
        <v>2.252089298939719E-2</v>
      </c>
      <c r="D1413">
        <v>3.1513306251373649E-2</v>
      </c>
      <c r="E1413">
        <v>65.785541282124413</v>
      </c>
      <c r="F1413">
        <v>8.9320909238037594E-2</v>
      </c>
      <c r="G1413">
        <v>0.8</v>
      </c>
      <c r="H1413">
        <v>0.13038097289952971</v>
      </c>
      <c r="I1413">
        <v>0.6723815657316965</v>
      </c>
      <c r="J1413">
        <v>0</v>
      </c>
      <c r="K1413">
        <v>2.7534524024873219E-2</v>
      </c>
      <c r="L1413">
        <v>0</v>
      </c>
      <c r="M1413">
        <v>590160276.77579999</v>
      </c>
      <c r="N1413">
        <v>0</v>
      </c>
      <c r="O1413" t="b">
        <v>1</v>
      </c>
    </row>
    <row r="1414" spans="1:15" x14ac:dyDescent="0.3">
      <c r="A1414" s="1" t="s">
        <v>1514</v>
      </c>
      <c r="B1414">
        <v>1.997081895830257</v>
      </c>
      <c r="C1414">
        <v>4.3875323961716818E-2</v>
      </c>
      <c r="D1414">
        <v>4.0887840201066859E-2</v>
      </c>
      <c r="E1414">
        <v>52.357186030422589</v>
      </c>
      <c r="F1414">
        <v>-2.4742886527253871E-2</v>
      </c>
      <c r="G1414">
        <v>0.4</v>
      </c>
      <c r="H1414">
        <v>4.9491016069787987E-2</v>
      </c>
      <c r="I1414">
        <v>2.014667144653524</v>
      </c>
      <c r="J1414">
        <v>-3.069099458243885E-2</v>
      </c>
      <c r="K1414">
        <v>-9.1407598651198629E-3</v>
      </c>
      <c r="L1414">
        <v>0</v>
      </c>
      <c r="M1414">
        <v>114145569.54595</v>
      </c>
      <c r="N1414">
        <v>0</v>
      </c>
      <c r="O1414" t="b">
        <v>1</v>
      </c>
    </row>
    <row r="1415" spans="1:15" x14ac:dyDescent="0.3">
      <c r="A1415" s="1" t="s">
        <v>1515</v>
      </c>
      <c r="B1415">
        <v>3.3130974625926299</v>
      </c>
      <c r="C1415">
        <v>4.1922022808966598E-2</v>
      </c>
      <c r="D1415">
        <v>4.2009363532835547E-2</v>
      </c>
      <c r="E1415">
        <v>66.198377901700951</v>
      </c>
      <c r="F1415">
        <v>0.27426636568848761</v>
      </c>
      <c r="G1415">
        <v>0.6</v>
      </c>
      <c r="H1415">
        <v>3.9884716390799747E-2</v>
      </c>
      <c r="I1415">
        <v>0.74246462622609144</v>
      </c>
      <c r="J1415">
        <v>-2.0204571284252459E-3</v>
      </c>
      <c r="K1415">
        <v>2.7831967746130951E-2</v>
      </c>
      <c r="L1415">
        <v>0</v>
      </c>
      <c r="M1415">
        <v>118221714</v>
      </c>
      <c r="N1415">
        <v>0</v>
      </c>
      <c r="O1415" t="b">
        <v>1</v>
      </c>
    </row>
    <row r="1416" spans="1:15" x14ac:dyDescent="0.3">
      <c r="A1416" s="1" t="s">
        <v>1516</v>
      </c>
      <c r="B1416">
        <v>22.228003192703071</v>
      </c>
      <c r="C1416">
        <v>2.738241404833322E-2</v>
      </c>
      <c r="D1416">
        <v>3.6590774143160303E-2</v>
      </c>
      <c r="E1416">
        <v>45.41591163842925</v>
      </c>
      <c r="F1416">
        <v>-4.5911909029471509E-2</v>
      </c>
      <c r="G1416">
        <v>0.4</v>
      </c>
      <c r="H1416">
        <v>-0.1904274858326461</v>
      </c>
      <c r="I1416">
        <v>1.021170142918141</v>
      </c>
      <c r="J1416">
        <v>-5.4745358510251863E-2</v>
      </c>
      <c r="K1416">
        <v>2.999143536875493E-2</v>
      </c>
      <c r="L1416">
        <v>0</v>
      </c>
      <c r="M1416">
        <v>435011584.75750011</v>
      </c>
      <c r="N1416">
        <v>0</v>
      </c>
      <c r="O1416" t="b">
        <v>1</v>
      </c>
    </row>
    <row r="1417" spans="1:15" x14ac:dyDescent="0.3">
      <c r="A1417" s="1" t="s">
        <v>1517</v>
      </c>
      <c r="B1417">
        <v>1.786909980567353</v>
      </c>
      <c r="C1417">
        <v>9.6262954972706326E-3</v>
      </c>
      <c r="D1417">
        <v>1.095201154998162E-2</v>
      </c>
      <c r="E1417">
        <v>61.362223012894461</v>
      </c>
      <c r="F1417">
        <v>1.058339321878865E-2</v>
      </c>
      <c r="G1417">
        <v>0.6</v>
      </c>
      <c r="H1417">
        <v>-6.5548992457633418E-2</v>
      </c>
      <c r="I1417">
        <v>0.92908782674940982</v>
      </c>
      <c r="J1417">
        <v>0</v>
      </c>
      <c r="K1417">
        <v>6.7249495628782796E-3</v>
      </c>
      <c r="L1417">
        <v>0</v>
      </c>
      <c r="M1417">
        <v>48450304.682999998</v>
      </c>
      <c r="N1417">
        <v>0</v>
      </c>
      <c r="O1417" t="b">
        <v>0</v>
      </c>
    </row>
    <row r="1418" spans="1:15" x14ac:dyDescent="0.3">
      <c r="A1418" s="1" t="s">
        <v>1518</v>
      </c>
      <c r="B1418">
        <v>0.98962537797016759</v>
      </c>
      <c r="C1418">
        <v>1.8655562932071209E-2</v>
      </c>
      <c r="D1418">
        <v>4.0330121099699932E-2</v>
      </c>
      <c r="E1418">
        <v>80.769454455415683</v>
      </c>
      <c r="F1418">
        <v>0.125684358845948</v>
      </c>
      <c r="G1418">
        <v>0.8</v>
      </c>
      <c r="H1418">
        <v>6.4378183314869789E-2</v>
      </c>
      <c r="I1418">
        <v>0.85924280701630829</v>
      </c>
      <c r="J1418">
        <v>0</v>
      </c>
      <c r="K1418">
        <v>3.8589401717433969E-2</v>
      </c>
      <c r="L1418">
        <v>0</v>
      </c>
      <c r="M1418">
        <v>412483174.82779998</v>
      </c>
      <c r="N1418">
        <v>0</v>
      </c>
      <c r="O1418" t="b">
        <v>1</v>
      </c>
    </row>
    <row r="1419" spans="1:15" x14ac:dyDescent="0.3">
      <c r="A1419" s="1" t="s">
        <v>1519</v>
      </c>
      <c r="B1419">
        <v>1.5182931560966539</v>
      </c>
      <c r="C1419">
        <v>2.008589967054708E-2</v>
      </c>
      <c r="D1419">
        <v>1.5081359968249769E-2</v>
      </c>
      <c r="E1419">
        <v>52.635858901866627</v>
      </c>
      <c r="F1419">
        <v>4.5504840940525648E-2</v>
      </c>
      <c r="G1419">
        <v>0.6</v>
      </c>
      <c r="H1419">
        <v>-0.10080079912952131</v>
      </c>
      <c r="I1419">
        <v>0.63098575896367515</v>
      </c>
      <c r="J1419">
        <v>-4.1708924949290023E-2</v>
      </c>
      <c r="K1419">
        <v>3.052016985138017E-3</v>
      </c>
      <c r="L1419">
        <v>0</v>
      </c>
      <c r="M1419">
        <v>137333163</v>
      </c>
      <c r="N1419">
        <v>0</v>
      </c>
      <c r="O1419" t="b">
        <v>1</v>
      </c>
    </row>
    <row r="1420" spans="1:15" x14ac:dyDescent="0.3">
      <c r="A1420" s="1" t="s">
        <v>1520</v>
      </c>
      <c r="B1420">
        <v>1.6210708265322091E-2</v>
      </c>
      <c r="C1420">
        <v>3.2408906692660809E-4</v>
      </c>
      <c r="D1420">
        <v>1.9792360148986079E-4</v>
      </c>
      <c r="E1420">
        <v>94.592881839903654</v>
      </c>
      <c r="F1420">
        <v>3.2452489595347078E-3</v>
      </c>
      <c r="G1420">
        <v>0.8</v>
      </c>
      <c r="H1420">
        <v>-8.1641930877876051E-2</v>
      </c>
      <c r="I1420">
        <v>3.8107478492427401E-3</v>
      </c>
      <c r="J1420">
        <v>0</v>
      </c>
      <c r="K1420">
        <v>0</v>
      </c>
      <c r="L1420">
        <v>0</v>
      </c>
      <c r="M1420">
        <v>201557330.34119999</v>
      </c>
      <c r="N1420">
        <v>0</v>
      </c>
      <c r="O1420" t="b">
        <v>1</v>
      </c>
    </row>
    <row r="1421" spans="1:15" x14ac:dyDescent="0.3">
      <c r="A1421" s="1" t="s">
        <v>1521</v>
      </c>
      <c r="B1421">
        <v>0.1094783553895223</v>
      </c>
      <c r="C1421">
        <v>2.9552562778415148E-3</v>
      </c>
      <c r="D1421">
        <v>4.8049280205587318E-3</v>
      </c>
      <c r="E1421">
        <v>61.984296701885803</v>
      </c>
      <c r="F1421">
        <v>6.5508827796827429E-3</v>
      </c>
      <c r="G1421">
        <v>0.4</v>
      </c>
      <c r="H1421">
        <v>-9.6807819652593247E-2</v>
      </c>
      <c r="I1421">
        <v>0.20718381198009431</v>
      </c>
      <c r="J1421">
        <v>-3.9935132393065231E-4</v>
      </c>
      <c r="K1421">
        <v>3.211768178580821E-3</v>
      </c>
      <c r="L1421">
        <v>0</v>
      </c>
      <c r="M1421">
        <v>384956280.48650002</v>
      </c>
      <c r="N1421">
        <v>0</v>
      </c>
      <c r="O1421" t="b">
        <v>1</v>
      </c>
    </row>
    <row r="1422" spans="1:15" x14ac:dyDescent="0.3">
      <c r="A1422" s="1" t="s">
        <v>1522</v>
      </c>
      <c r="B1422">
        <v>0.15942794391988979</v>
      </c>
      <c r="C1422">
        <v>3.0902457985623332E-3</v>
      </c>
      <c r="D1422">
        <v>4.6171112235344567E-3</v>
      </c>
      <c r="E1422">
        <v>53.965751896634572</v>
      </c>
      <c r="F1422">
        <v>4.8400730782864887E-3</v>
      </c>
      <c r="G1422">
        <v>0.2</v>
      </c>
      <c r="H1422">
        <v>-9.5305209370045094E-2</v>
      </c>
      <c r="I1422">
        <v>5.0552050920321188E-2</v>
      </c>
      <c r="J1422">
        <v>-4.3615282331758154E-3</v>
      </c>
      <c r="K1422">
        <v>3.4738903876712079E-3</v>
      </c>
      <c r="L1422">
        <v>0</v>
      </c>
      <c r="M1422">
        <v>56452305.057449996</v>
      </c>
      <c r="N1422">
        <v>0</v>
      </c>
      <c r="O1422" t="b">
        <v>0</v>
      </c>
    </row>
    <row r="1423" spans="1:15" x14ac:dyDescent="0.3">
      <c r="A1423" s="1" t="s">
        <v>1523</v>
      </c>
      <c r="B1423">
        <v>0.7205494767816476</v>
      </c>
      <c r="C1423">
        <v>7.7086540339183973E-3</v>
      </c>
      <c r="D1423">
        <v>6.8190960364940337E-3</v>
      </c>
      <c r="E1423">
        <v>48.02801120792072</v>
      </c>
      <c r="F1423">
        <v>5.0330789734283066E-3</v>
      </c>
      <c r="G1423">
        <v>0.4</v>
      </c>
      <c r="H1423">
        <v>-0.1304159919062696</v>
      </c>
      <c r="I1423">
        <v>0.3443250666598946</v>
      </c>
      <c r="J1423">
        <v>-1.5419748105843119E-2</v>
      </c>
      <c r="K1423">
        <v>2.1356525319062851E-3</v>
      </c>
      <c r="L1423">
        <v>0</v>
      </c>
      <c r="M1423">
        <v>189386802.55254999</v>
      </c>
      <c r="N1423">
        <v>0</v>
      </c>
      <c r="O1423" t="b">
        <v>1</v>
      </c>
    </row>
    <row r="1424" spans="1:15" x14ac:dyDescent="0.3">
      <c r="A1424" s="1" t="s">
        <v>1524</v>
      </c>
      <c r="B1424">
        <v>11.40289769505452</v>
      </c>
      <c r="C1424">
        <v>2.3517917945498731E-2</v>
      </c>
      <c r="D1424">
        <v>2.0356391535701041E-2</v>
      </c>
      <c r="E1424">
        <v>61.005582852193797</v>
      </c>
      <c r="F1424">
        <v>6.8138259202960905E-2</v>
      </c>
      <c r="G1424">
        <v>0.6</v>
      </c>
      <c r="H1424">
        <v>0.1135478919639331</v>
      </c>
      <c r="I1424">
        <v>0.1896185970560732</v>
      </c>
      <c r="J1424">
        <v>-9.094439108131791E-3</v>
      </c>
      <c r="K1424">
        <v>1.7843647661432541E-2</v>
      </c>
      <c r="L1424">
        <v>0</v>
      </c>
      <c r="M1424">
        <v>166758155</v>
      </c>
      <c r="N1424">
        <v>0</v>
      </c>
      <c r="O1424" t="b">
        <v>1</v>
      </c>
    </row>
    <row r="1425" spans="1:15" x14ac:dyDescent="0.3">
      <c r="A1425" s="1" t="s">
        <v>1525</v>
      </c>
      <c r="B1425">
        <v>0.2336861386958459</v>
      </c>
      <c r="C1425">
        <v>4.2532235722252933E-2</v>
      </c>
      <c r="D1425">
        <v>3.7433135614351437E-2</v>
      </c>
      <c r="E1425">
        <v>51.971607857427543</v>
      </c>
      <c r="F1425">
        <v>3.124906153337936E-2</v>
      </c>
      <c r="G1425">
        <v>0.4</v>
      </c>
      <c r="H1425">
        <v>-0.12614865175502421</v>
      </c>
      <c r="I1425">
        <v>1.5749805658061251</v>
      </c>
      <c r="J1425">
        <v>-4.2662889123533443E-2</v>
      </c>
      <c r="K1425">
        <v>1.081027380753063E-2</v>
      </c>
      <c r="L1425">
        <v>0</v>
      </c>
      <c r="M1425">
        <v>30289939.632155001</v>
      </c>
      <c r="N1425">
        <v>0</v>
      </c>
      <c r="O1425" t="b">
        <v>0</v>
      </c>
    </row>
    <row r="1426" spans="1:15" x14ac:dyDescent="0.3">
      <c r="A1426" s="1" t="s">
        <v>1526</v>
      </c>
      <c r="B1426">
        <v>5.4912284174367398</v>
      </c>
      <c r="C1426">
        <v>1.6892968736346339E-2</v>
      </c>
      <c r="D1426">
        <v>1.061957792407572E-2</v>
      </c>
      <c r="E1426">
        <v>40.519311519134433</v>
      </c>
      <c r="F1426">
        <v>-2.5307346326836622E-2</v>
      </c>
      <c r="G1426">
        <v>0.2</v>
      </c>
      <c r="H1426">
        <v>-0.13784616715935591</v>
      </c>
      <c r="I1426">
        <v>0.42082318004606312</v>
      </c>
      <c r="J1426">
        <v>-3.8804434285579108E-2</v>
      </c>
      <c r="K1426">
        <v>-2.3570718293086661E-3</v>
      </c>
      <c r="L1426">
        <v>0</v>
      </c>
      <c r="M1426">
        <v>1984950184.155</v>
      </c>
      <c r="N1426">
        <v>0</v>
      </c>
      <c r="O1426" t="b">
        <v>1</v>
      </c>
    </row>
    <row r="1427" spans="1:15" x14ac:dyDescent="0.3">
      <c r="A1427" s="1" t="s">
        <v>1527</v>
      </c>
      <c r="B1427">
        <v>0.29039352958784881</v>
      </c>
      <c r="C1427">
        <v>2.2355160091443331E-2</v>
      </c>
      <c r="D1427">
        <v>2.001539645881446E-2</v>
      </c>
      <c r="E1427">
        <v>61.926470187447123</v>
      </c>
      <c r="F1427">
        <v>5.6097560975609813E-2</v>
      </c>
      <c r="G1427">
        <v>0.4</v>
      </c>
      <c r="H1427">
        <v>0.19314389107175259</v>
      </c>
      <c r="I1427">
        <v>0.87461048402306896</v>
      </c>
      <c r="J1427">
        <v>-4.2035398230088512E-2</v>
      </c>
      <c r="K1427">
        <v>1.4843750000000039E-2</v>
      </c>
      <c r="L1427">
        <v>0</v>
      </c>
      <c r="M1427">
        <v>303912014.5</v>
      </c>
      <c r="N1427">
        <v>0</v>
      </c>
      <c r="O1427" t="b">
        <v>1</v>
      </c>
    </row>
    <row r="1428" spans="1:15" x14ac:dyDescent="0.3">
      <c r="A1428" s="1" t="s">
        <v>1528</v>
      </c>
      <c r="B1428">
        <v>3.7571282070179679</v>
      </c>
      <c r="C1428">
        <v>1.431565068648754E-2</v>
      </c>
      <c r="D1428">
        <v>2.012200465614274E-2</v>
      </c>
      <c r="E1428">
        <v>64.407630468119436</v>
      </c>
      <c r="F1428">
        <v>3.1850063692264063E-2</v>
      </c>
      <c r="G1428">
        <v>0.4</v>
      </c>
      <c r="H1428">
        <v>-5.8928803278721617E-2</v>
      </c>
      <c r="I1428">
        <v>1.1433216106403381</v>
      </c>
      <c r="J1428">
        <v>0</v>
      </c>
      <c r="K1428">
        <v>1.6086320239727E-2</v>
      </c>
      <c r="L1428">
        <v>0</v>
      </c>
      <c r="M1428">
        <v>171850706.40900001</v>
      </c>
      <c r="N1428">
        <v>0</v>
      </c>
      <c r="O1428" t="b">
        <v>1</v>
      </c>
    </row>
    <row r="1429" spans="1:15" x14ac:dyDescent="0.3">
      <c r="A1429" s="1" t="s">
        <v>1529</v>
      </c>
      <c r="B1429">
        <v>2.0802685212588191E-2</v>
      </c>
      <c r="C1429">
        <v>2.7725712428962952E-4</v>
      </c>
      <c r="D1429">
        <v>2.6389338707167101E-4</v>
      </c>
      <c r="E1429">
        <v>93.59787049013778</v>
      </c>
      <c r="F1429">
        <v>3.3028764443399079E-3</v>
      </c>
      <c r="G1429">
        <v>0.4</v>
      </c>
      <c r="H1429">
        <v>-8.1878266238491509E-2</v>
      </c>
      <c r="I1429">
        <v>1.184975052803105E-3</v>
      </c>
      <c r="J1429">
        <v>0</v>
      </c>
      <c r="K1429">
        <v>0</v>
      </c>
      <c r="L1429">
        <v>0</v>
      </c>
      <c r="M1429">
        <v>64282634.746200003</v>
      </c>
      <c r="N1429">
        <v>0</v>
      </c>
      <c r="O1429" t="b">
        <v>0</v>
      </c>
    </row>
    <row r="1430" spans="1:15" x14ac:dyDescent="0.3">
      <c r="A1430" s="1" t="s">
        <v>1530</v>
      </c>
      <c r="B1430">
        <v>5.1233764789151008</v>
      </c>
      <c r="C1430">
        <v>1.6599146870158722E-2</v>
      </c>
      <c r="D1430">
        <v>1.876864958383688E-2</v>
      </c>
      <c r="E1430">
        <v>62.172578925834273</v>
      </c>
      <c r="F1430">
        <v>2.141762718370788E-2</v>
      </c>
      <c r="G1430">
        <v>0.4</v>
      </c>
      <c r="H1430">
        <v>-3.7330344564145683E-2</v>
      </c>
      <c r="I1430">
        <v>1.3767149372739891</v>
      </c>
      <c r="J1430">
        <v>0</v>
      </c>
      <c r="K1430">
        <v>9.8051404192949221E-3</v>
      </c>
      <c r="L1430">
        <v>0</v>
      </c>
      <c r="M1430">
        <v>57862869.125500001</v>
      </c>
      <c r="N1430">
        <v>0</v>
      </c>
      <c r="O1430" t="b">
        <v>0</v>
      </c>
    </row>
    <row r="1431" spans="1:15" x14ac:dyDescent="0.3">
      <c r="A1431" s="1" t="s">
        <v>1531</v>
      </c>
      <c r="B1431">
        <v>2.8709833721128719</v>
      </c>
      <c r="C1431">
        <v>1.337013925382396E-2</v>
      </c>
      <c r="D1431">
        <v>2.3592308516236601E-2</v>
      </c>
      <c r="E1431">
        <v>65.888466266648635</v>
      </c>
      <c r="F1431">
        <v>3.9698448666550368E-2</v>
      </c>
      <c r="G1431">
        <v>0.6</v>
      </c>
      <c r="H1431">
        <v>-6.2486289734383797E-2</v>
      </c>
      <c r="I1431">
        <v>0.96179839360261365</v>
      </c>
      <c r="J1431">
        <v>0</v>
      </c>
      <c r="K1431">
        <v>2.0380912555478359E-2</v>
      </c>
      <c r="L1431">
        <v>0</v>
      </c>
      <c r="M1431">
        <v>73843239.338</v>
      </c>
      <c r="N1431">
        <v>0</v>
      </c>
      <c r="O1431" t="b">
        <v>0</v>
      </c>
    </row>
    <row r="1432" spans="1:15" x14ac:dyDescent="0.3">
      <c r="A1432" s="1" t="s">
        <v>1532</v>
      </c>
      <c r="B1432">
        <v>0.25440355824309419</v>
      </c>
      <c r="C1432">
        <v>3.052430010379728E-3</v>
      </c>
      <c r="D1432">
        <v>4.9997240373100549E-3</v>
      </c>
      <c r="E1432">
        <v>55.801534837927179</v>
      </c>
      <c r="F1432">
        <v>7.1806299425742903E-3</v>
      </c>
      <c r="G1432">
        <v>0.2</v>
      </c>
      <c r="H1432">
        <v>-9.0082092366340863E-2</v>
      </c>
      <c r="I1432">
        <v>4.2522146124121619E-2</v>
      </c>
      <c r="J1432">
        <v>-3.4126509625731489E-3</v>
      </c>
      <c r="K1432">
        <v>3.7043727494971979E-3</v>
      </c>
      <c r="L1432">
        <v>0</v>
      </c>
      <c r="M1432">
        <v>684976790.45319998</v>
      </c>
      <c r="N1432">
        <v>0</v>
      </c>
      <c r="O1432" t="b">
        <v>1</v>
      </c>
    </row>
    <row r="1433" spans="1:15" x14ac:dyDescent="0.3">
      <c r="A1433" s="1" t="s">
        <v>1533</v>
      </c>
      <c r="B1433">
        <v>0.44657114080467358</v>
      </c>
      <c r="C1433">
        <v>5.8666343600564056E-3</v>
      </c>
      <c r="D1433">
        <v>7.1597007376462537E-3</v>
      </c>
      <c r="E1433">
        <v>50.862020736755433</v>
      </c>
      <c r="F1433">
        <v>4.0017357561819011E-3</v>
      </c>
      <c r="G1433">
        <v>0.2</v>
      </c>
      <c r="H1433">
        <v>-0.11152288472792719</v>
      </c>
      <c r="I1433">
        <v>9.5961546310913859E-2</v>
      </c>
      <c r="J1433">
        <v>-1.003999089638119E-2</v>
      </c>
      <c r="K1433">
        <v>5.4963780176582322E-3</v>
      </c>
      <c r="L1433">
        <v>0</v>
      </c>
      <c r="M1433">
        <v>239646847.01640001</v>
      </c>
      <c r="N1433">
        <v>0</v>
      </c>
      <c r="O1433" t="b">
        <v>1</v>
      </c>
    </row>
    <row r="1434" spans="1:15" x14ac:dyDescent="0.3">
      <c r="A1434" s="1" t="s">
        <v>1534</v>
      </c>
      <c r="B1434">
        <v>5.9862869771776426</v>
      </c>
      <c r="C1434">
        <v>1.5119635330609719E-2</v>
      </c>
      <c r="D1434">
        <v>1.9261077771716151E-2</v>
      </c>
      <c r="E1434">
        <v>58.560339959714028</v>
      </c>
      <c r="F1434">
        <v>7.0583208064034508E-3</v>
      </c>
      <c r="G1434">
        <v>0.6</v>
      </c>
      <c r="H1434">
        <v>-8.1903141786167991E-2</v>
      </c>
      <c r="I1434">
        <v>1.354167188640472</v>
      </c>
      <c r="J1434">
        <v>0</v>
      </c>
      <c r="K1434">
        <v>1.494236078533917E-2</v>
      </c>
      <c r="L1434">
        <v>0</v>
      </c>
      <c r="M1434">
        <v>16238232.7305</v>
      </c>
      <c r="N1434">
        <v>0</v>
      </c>
      <c r="O1434" t="b">
        <v>0</v>
      </c>
    </row>
    <row r="1435" spans="1:15" x14ac:dyDescent="0.3">
      <c r="A1435" s="1" t="s">
        <v>1535</v>
      </c>
      <c r="B1435">
        <v>0.20924958175983119</v>
      </c>
      <c r="C1435">
        <v>2.6979719946702051E-3</v>
      </c>
      <c r="D1435">
        <v>3.9621909252547166E-3</v>
      </c>
      <c r="E1435">
        <v>52.568232570855983</v>
      </c>
      <c r="F1435">
        <v>3.7466707045292762E-3</v>
      </c>
      <c r="G1435">
        <v>0.2</v>
      </c>
      <c r="H1435">
        <v>-8.8339549118583924E-2</v>
      </c>
      <c r="I1435">
        <v>-2.9770143206127361E-3</v>
      </c>
      <c r="J1435">
        <v>-4.6508941806072679E-3</v>
      </c>
      <c r="K1435">
        <v>3.2312183814673379E-3</v>
      </c>
      <c r="L1435">
        <v>0</v>
      </c>
      <c r="M1435">
        <v>20383935.785549998</v>
      </c>
      <c r="N1435">
        <v>0</v>
      </c>
      <c r="O1435" t="b">
        <v>0</v>
      </c>
    </row>
    <row r="1436" spans="1:15" x14ac:dyDescent="0.3">
      <c r="A1436" s="1" t="s">
        <v>1536</v>
      </c>
      <c r="B1436">
        <v>0.1072959757071552</v>
      </c>
      <c r="C1436">
        <v>1.355525910809306E-3</v>
      </c>
      <c r="D1436">
        <v>2.509017175271135E-3</v>
      </c>
      <c r="E1436">
        <v>60.473957146493753</v>
      </c>
      <c r="F1436">
        <v>4.9080907323921794E-3</v>
      </c>
      <c r="G1436">
        <v>0.2</v>
      </c>
      <c r="H1436">
        <v>-8.5379654927612555E-2</v>
      </c>
      <c r="I1436">
        <v>1.959431489026554E-2</v>
      </c>
      <c r="J1436">
        <v>-5.0129933757769862E-4</v>
      </c>
      <c r="K1436">
        <v>2.1358269461093649E-3</v>
      </c>
      <c r="L1436">
        <v>0</v>
      </c>
      <c r="M1436">
        <v>312746899.42559999</v>
      </c>
      <c r="N1436">
        <v>0</v>
      </c>
      <c r="O1436" t="b">
        <v>1</v>
      </c>
    </row>
    <row r="1437" spans="1:15" x14ac:dyDescent="0.3">
      <c r="A1437" s="1" t="s">
        <v>1537</v>
      </c>
      <c r="B1437">
        <v>2.0106896331542168</v>
      </c>
      <c r="C1437">
        <v>9.5046946217824755E-3</v>
      </c>
      <c r="D1437">
        <v>6.7691813166813426E-3</v>
      </c>
      <c r="E1437">
        <v>50.486132022930811</v>
      </c>
      <c r="F1437">
        <v>2.0285423529355029E-2</v>
      </c>
      <c r="G1437">
        <v>0.4</v>
      </c>
      <c r="H1437">
        <v>-0.1144282351454711</v>
      </c>
      <c r="I1437">
        <v>-5.0752738299539593E-2</v>
      </c>
      <c r="J1437">
        <v>-1.5180998845480629E-2</v>
      </c>
      <c r="K1437">
        <v>4.2088736297518642E-4</v>
      </c>
      <c r="L1437">
        <v>0</v>
      </c>
      <c r="M1437">
        <v>24823244.0255</v>
      </c>
      <c r="N1437">
        <v>0</v>
      </c>
      <c r="O1437" t="b">
        <v>0</v>
      </c>
    </row>
    <row r="1438" spans="1:15" x14ac:dyDescent="0.3">
      <c r="A1438" s="1" t="s">
        <v>1538</v>
      </c>
      <c r="B1438">
        <v>2.1094786478537961</v>
      </c>
      <c r="C1438">
        <v>1.6330394022479551E-2</v>
      </c>
      <c r="D1438">
        <v>1.3586220243855199E-2</v>
      </c>
      <c r="E1438">
        <v>59.637259681899224</v>
      </c>
      <c r="F1438">
        <v>2.2690386274929031E-2</v>
      </c>
      <c r="G1438">
        <v>0.6</v>
      </c>
      <c r="H1438">
        <v>-1.0668841323069449E-5</v>
      </c>
      <c r="I1438">
        <v>0.46341847460148072</v>
      </c>
      <c r="J1438">
        <v>-1.1521450001547029E-3</v>
      </c>
      <c r="K1438">
        <v>8.5178476624716559E-3</v>
      </c>
      <c r="L1438">
        <v>0</v>
      </c>
      <c r="M1438">
        <v>50146352.520000003</v>
      </c>
      <c r="N1438">
        <v>0</v>
      </c>
      <c r="O1438" t="b">
        <v>0</v>
      </c>
    </row>
    <row r="1439" spans="1:15" x14ac:dyDescent="0.3">
      <c r="A1439" s="1" t="s">
        <v>1539</v>
      </c>
      <c r="B1439">
        <v>0.53821576973263652</v>
      </c>
      <c r="C1439">
        <v>8.7515470814012557E-3</v>
      </c>
      <c r="D1439">
        <v>1.279197391848708E-2</v>
      </c>
      <c r="E1439">
        <v>64.079653482858461</v>
      </c>
      <c r="F1439">
        <v>1.9396876807786571E-2</v>
      </c>
      <c r="G1439">
        <v>0.6</v>
      </c>
      <c r="H1439">
        <v>-8.6386256075505659E-3</v>
      </c>
      <c r="I1439">
        <v>0.77298112317965151</v>
      </c>
      <c r="J1439">
        <v>0</v>
      </c>
      <c r="K1439">
        <v>1.132030172123177E-2</v>
      </c>
      <c r="L1439">
        <v>0</v>
      </c>
      <c r="M1439">
        <v>658303065.59790003</v>
      </c>
      <c r="N1439">
        <v>0</v>
      </c>
      <c r="O1439" t="b">
        <v>1</v>
      </c>
    </row>
    <row r="1440" spans="1:15" x14ac:dyDescent="0.3">
      <c r="A1440" s="1" t="s">
        <v>1540</v>
      </c>
      <c r="B1440">
        <v>7.8082772312782316</v>
      </c>
      <c r="C1440">
        <v>3.4073473692085153E-2</v>
      </c>
      <c r="D1440">
        <v>2.6051666957584211E-2</v>
      </c>
      <c r="E1440">
        <v>20.473981280213081</v>
      </c>
      <c r="F1440">
        <v>-0.22515638207945901</v>
      </c>
      <c r="G1440">
        <v>0.2</v>
      </c>
      <c r="H1440">
        <v>-0.18389309412986141</v>
      </c>
      <c r="I1440">
        <v>0.42103555173170082</v>
      </c>
      <c r="J1440">
        <v>-0.23383483784687401</v>
      </c>
      <c r="K1440">
        <v>-1.2241379310344859E-2</v>
      </c>
      <c r="L1440">
        <v>0</v>
      </c>
      <c r="M1440">
        <v>289276319.5</v>
      </c>
      <c r="N1440">
        <v>0</v>
      </c>
      <c r="O1440" t="b">
        <v>1</v>
      </c>
    </row>
    <row r="1441" spans="1:15" x14ac:dyDescent="0.3">
      <c r="A1441" s="1" t="s">
        <v>1541</v>
      </c>
      <c r="B1441">
        <v>0.61907070064792769</v>
      </c>
      <c r="C1441">
        <v>8.5136822304115213E-3</v>
      </c>
      <c r="D1441">
        <v>1.257103093180487E-2</v>
      </c>
      <c r="E1441">
        <v>62.420030881653013</v>
      </c>
      <c r="F1441">
        <v>1.010314290675463E-2</v>
      </c>
      <c r="G1441">
        <v>0.6</v>
      </c>
      <c r="H1441">
        <v>-2.0692510227090701E-2</v>
      </c>
      <c r="I1441">
        <v>0.79754899225277709</v>
      </c>
      <c r="J1441">
        <v>0</v>
      </c>
      <c r="K1441">
        <v>1.106944369127905E-2</v>
      </c>
      <c r="L1441">
        <v>0</v>
      </c>
      <c r="M1441">
        <v>152838967.2956</v>
      </c>
      <c r="N1441">
        <v>0</v>
      </c>
      <c r="O1441" t="b">
        <v>1</v>
      </c>
    </row>
    <row r="1442" spans="1:15" x14ac:dyDescent="0.3">
      <c r="A1442" s="1" t="s">
        <v>1542</v>
      </c>
      <c r="B1442">
        <v>0.81375799832251983</v>
      </c>
      <c r="C1442">
        <v>4.2449556511346881E-2</v>
      </c>
      <c r="D1442">
        <v>6.7814293166405873E-2</v>
      </c>
      <c r="E1442">
        <v>69.019136302993203</v>
      </c>
      <c r="F1442">
        <v>0.31684698608964479</v>
      </c>
      <c r="G1442">
        <v>0.6</v>
      </c>
      <c r="H1442">
        <v>9.7361479801482256E-2</v>
      </c>
      <c r="I1442">
        <v>1.7549212392324429</v>
      </c>
      <c r="J1442">
        <v>0</v>
      </c>
      <c r="K1442">
        <v>6.028761061946919E-2</v>
      </c>
      <c r="L1442">
        <v>0</v>
      </c>
      <c r="M1442">
        <v>103061368.4234</v>
      </c>
      <c r="N1442">
        <v>0</v>
      </c>
      <c r="O1442" t="b">
        <v>1</v>
      </c>
    </row>
    <row r="1443" spans="1:15" x14ac:dyDescent="0.3">
      <c r="A1443" s="1" t="s">
        <v>1543</v>
      </c>
      <c r="B1443">
        <v>1.610181320666134</v>
      </c>
      <c r="C1443">
        <v>1.2254696373978319E-2</v>
      </c>
      <c r="D1443">
        <v>1.7565623739468562E-2</v>
      </c>
      <c r="E1443">
        <v>63.004509699510677</v>
      </c>
      <c r="F1443">
        <v>2.3405614231859721E-2</v>
      </c>
      <c r="G1443">
        <v>0.4</v>
      </c>
      <c r="H1443">
        <v>-9.6999313169544243E-2</v>
      </c>
      <c r="I1443">
        <v>0.70865902052962637</v>
      </c>
      <c r="J1443">
        <v>0</v>
      </c>
      <c r="K1443">
        <v>1.335009486202576E-2</v>
      </c>
      <c r="L1443">
        <v>0</v>
      </c>
      <c r="M1443">
        <v>57255827.5625</v>
      </c>
      <c r="N1443">
        <v>0</v>
      </c>
      <c r="O1443" t="b">
        <v>0</v>
      </c>
    </row>
    <row r="1444" spans="1:15" x14ac:dyDescent="0.3">
      <c r="A1444" s="1" t="s">
        <v>1544</v>
      </c>
      <c r="B1444">
        <v>0.49633988052011441</v>
      </c>
      <c r="C1444">
        <v>1.248653787471986E-2</v>
      </c>
      <c r="D1444">
        <v>1.8948427672955969E-2</v>
      </c>
      <c r="E1444">
        <v>69.373561704891515</v>
      </c>
      <c r="F1444">
        <v>5.1937947569824949E-2</v>
      </c>
      <c r="G1444">
        <v>0.8</v>
      </c>
      <c r="H1444">
        <v>1.9537708463098651E-2</v>
      </c>
      <c r="I1444">
        <v>0.80353824310257771</v>
      </c>
      <c r="J1444">
        <v>0</v>
      </c>
      <c r="K1444">
        <v>1.681908294429868E-2</v>
      </c>
      <c r="L1444">
        <v>0</v>
      </c>
      <c r="M1444">
        <v>34500380.845799997</v>
      </c>
      <c r="N1444">
        <v>0</v>
      </c>
      <c r="O1444" t="b">
        <v>0</v>
      </c>
    </row>
    <row r="1445" spans="1:15" x14ac:dyDescent="0.3">
      <c r="A1445" s="1" t="s">
        <v>1545</v>
      </c>
      <c r="B1445">
        <v>0.1227341829477079</v>
      </c>
      <c r="C1445">
        <v>3.7418958215764603E-2</v>
      </c>
      <c r="D1445">
        <v>1.8292682926829149E-2</v>
      </c>
      <c r="E1445">
        <v>46.254568052530537</v>
      </c>
      <c r="F1445">
        <v>-7.0821529745042522E-2</v>
      </c>
      <c r="G1445">
        <v>0.6</v>
      </c>
      <c r="H1445">
        <v>-1.9459753837453079E-2</v>
      </c>
      <c r="I1445">
        <v>0.65552304659790028</v>
      </c>
      <c r="J1445">
        <v>-8.3798882681564324E-2</v>
      </c>
      <c r="K1445">
        <v>3.0581039755350758E-3</v>
      </c>
      <c r="L1445">
        <v>0</v>
      </c>
      <c r="M1445">
        <v>1790040</v>
      </c>
      <c r="N1445">
        <v>1</v>
      </c>
      <c r="O1445" t="b">
        <v>0</v>
      </c>
    </row>
    <row r="1446" spans="1:15" x14ac:dyDescent="0.3">
      <c r="A1446" s="1" t="s">
        <v>1546</v>
      </c>
      <c r="B1446">
        <v>0.48399209075357108</v>
      </c>
      <c r="C1446">
        <v>7.9956137519133816E-2</v>
      </c>
      <c r="D1446">
        <v>0.1037893881273108</v>
      </c>
      <c r="E1446">
        <v>29.674290376725139</v>
      </c>
      <c r="F1446">
        <v>-0.28504121523221448</v>
      </c>
      <c r="G1446">
        <v>0.4</v>
      </c>
      <c r="H1446">
        <v>-0.26924940106806933</v>
      </c>
      <c r="I1446">
        <v>2.842154991566046</v>
      </c>
      <c r="J1446">
        <v>-0.2533829662054905</v>
      </c>
      <c r="K1446">
        <v>-8.4464288145052691E-2</v>
      </c>
      <c r="L1446">
        <v>1.8018018018018021E-2</v>
      </c>
      <c r="M1446">
        <v>75636955.58465001</v>
      </c>
      <c r="N1446">
        <v>3</v>
      </c>
      <c r="O1446" t="b">
        <v>0</v>
      </c>
    </row>
    <row r="1447" spans="1:15" x14ac:dyDescent="0.3">
      <c r="A1447" s="1" t="s">
        <v>1547</v>
      </c>
      <c r="B1447">
        <v>0.14342190676714289</v>
      </c>
      <c r="C1447">
        <v>2.406177710640809E-3</v>
      </c>
      <c r="D1447">
        <v>3.3335738025055042E-3</v>
      </c>
      <c r="E1447">
        <v>49.442611857774502</v>
      </c>
      <c r="F1447">
        <v>2.418355282962636E-3</v>
      </c>
      <c r="G1447">
        <v>0.2</v>
      </c>
      <c r="H1447">
        <v>-8.8342755588388125E-2</v>
      </c>
      <c r="I1447">
        <v>-4.4002178564913307E-2</v>
      </c>
      <c r="J1447">
        <v>-6.0266379398037362E-3</v>
      </c>
      <c r="K1447">
        <v>2.6746648678563911E-3</v>
      </c>
      <c r="L1447">
        <v>0</v>
      </c>
      <c r="M1447">
        <v>143052940.877</v>
      </c>
      <c r="N1447">
        <v>0</v>
      </c>
      <c r="O1447" t="b">
        <v>1</v>
      </c>
    </row>
    <row r="1448" spans="1:15" x14ac:dyDescent="0.3">
      <c r="A1448" s="1" t="s">
        <v>1548</v>
      </c>
      <c r="B1448">
        <v>0.74297991784956208</v>
      </c>
      <c r="C1448">
        <v>9.0788441066513449E-3</v>
      </c>
      <c r="D1448">
        <v>1.379948287070302E-2</v>
      </c>
      <c r="E1448">
        <v>62.138972221541543</v>
      </c>
      <c r="F1448">
        <v>2.0757818795043681E-2</v>
      </c>
      <c r="G1448">
        <v>0.4</v>
      </c>
      <c r="H1448">
        <v>-2.1580729405277319E-2</v>
      </c>
      <c r="I1448">
        <v>0.64305477513847176</v>
      </c>
      <c r="J1448">
        <v>0</v>
      </c>
      <c r="K1448">
        <v>1.2252955626637309E-2</v>
      </c>
      <c r="L1448">
        <v>0</v>
      </c>
      <c r="M1448">
        <v>232479752.08109999</v>
      </c>
      <c r="N1448">
        <v>0</v>
      </c>
      <c r="O1448" t="b">
        <v>1</v>
      </c>
    </row>
    <row r="1449" spans="1:15" x14ac:dyDescent="0.3">
      <c r="A1449" s="1" t="s">
        <v>1549</v>
      </c>
      <c r="B1449">
        <v>0.35201209825192342</v>
      </c>
      <c r="C1449">
        <v>6.3029482863002136E-3</v>
      </c>
      <c r="D1449">
        <v>6.7521594018134443E-3</v>
      </c>
      <c r="E1449">
        <v>43.112667608424623</v>
      </c>
      <c r="F1449">
        <v>-8.0670656980977862E-3</v>
      </c>
      <c r="G1449">
        <v>0.4</v>
      </c>
      <c r="H1449">
        <v>-9.449486926865773E-2</v>
      </c>
      <c r="I1449">
        <v>-0.10250473685938941</v>
      </c>
      <c r="J1449">
        <v>-2.0452548368935178E-2</v>
      </c>
      <c r="K1449">
        <v>3.9241063804926757E-3</v>
      </c>
      <c r="L1449">
        <v>0</v>
      </c>
      <c r="M1449">
        <v>107723269.9237</v>
      </c>
      <c r="N1449">
        <v>0</v>
      </c>
      <c r="O1449" t="b">
        <v>1</v>
      </c>
    </row>
    <row r="1450" spans="1:15" x14ac:dyDescent="0.3">
      <c r="A1450" s="1" t="s">
        <v>1550</v>
      </c>
      <c r="B1450">
        <v>4.9896826783558827E-2</v>
      </c>
      <c r="C1450">
        <v>8.5489103786875E-4</v>
      </c>
      <c r="D1450">
        <v>1.701324223053363E-3</v>
      </c>
      <c r="E1450">
        <v>62.360364368780573</v>
      </c>
      <c r="F1450">
        <v>3.3193979358192571E-3</v>
      </c>
      <c r="G1450">
        <v>0.2</v>
      </c>
      <c r="H1450">
        <v>-8.2866739033640086E-2</v>
      </c>
      <c r="I1450">
        <v>-2.151828005183867E-2</v>
      </c>
      <c r="J1450">
        <v>-5.1030805139373747E-4</v>
      </c>
      <c r="K1450">
        <v>1.1938926217092141E-3</v>
      </c>
      <c r="L1450">
        <v>0</v>
      </c>
      <c r="M1450">
        <v>139279980.53549999</v>
      </c>
      <c r="N1450">
        <v>0</v>
      </c>
      <c r="O1450" t="b">
        <v>1</v>
      </c>
    </row>
    <row r="1451" spans="1:15" x14ac:dyDescent="0.3">
      <c r="A1451" s="1" t="s">
        <v>1551</v>
      </c>
      <c r="B1451">
        <v>13.90594978772868</v>
      </c>
      <c r="C1451">
        <v>1.7865475015389449E-2</v>
      </c>
      <c r="D1451">
        <v>1.494019553682684E-2</v>
      </c>
      <c r="E1451">
        <v>61.789731962104902</v>
      </c>
      <c r="F1451">
        <v>-1.5508370543587671E-3</v>
      </c>
      <c r="G1451">
        <v>1</v>
      </c>
      <c r="H1451">
        <v>8.8415308469790413E-2</v>
      </c>
      <c r="I1451">
        <v>1.5671349131914509</v>
      </c>
      <c r="J1451">
        <v>0</v>
      </c>
      <c r="K1451">
        <v>3.6063658740055349E-3</v>
      </c>
      <c r="L1451">
        <v>0</v>
      </c>
      <c r="M1451">
        <v>335111852.22299987</v>
      </c>
      <c r="N1451">
        <v>1</v>
      </c>
      <c r="O1451" t="b">
        <v>1</v>
      </c>
    </row>
    <row r="1452" spans="1:15" x14ac:dyDescent="0.3">
      <c r="A1452" s="1" t="s">
        <v>1552</v>
      </c>
      <c r="B1452">
        <v>3.533736429599954</v>
      </c>
      <c r="C1452">
        <v>1.2482202279037071E-2</v>
      </c>
      <c r="D1452">
        <v>1.369471074029838E-2</v>
      </c>
      <c r="E1452">
        <v>52.700157483407381</v>
      </c>
      <c r="F1452">
        <v>3.6244509516837331E-2</v>
      </c>
      <c r="G1452">
        <v>0.2</v>
      </c>
      <c r="H1452">
        <v>8.5071721190617428E-2</v>
      </c>
      <c r="I1452">
        <v>0.49526183622278258</v>
      </c>
      <c r="J1452">
        <v>-3.8105172314205522E-2</v>
      </c>
      <c r="K1452">
        <v>1.294890923598202E-2</v>
      </c>
      <c r="L1452">
        <v>0</v>
      </c>
      <c r="M1452">
        <v>64763132.604000002</v>
      </c>
      <c r="N1452">
        <v>0</v>
      </c>
      <c r="O1452" t="b">
        <v>0</v>
      </c>
    </row>
    <row r="1453" spans="1:15" x14ac:dyDescent="0.3">
      <c r="A1453" s="1" t="s">
        <v>1553</v>
      </c>
      <c r="B1453">
        <v>0.42683367337050498</v>
      </c>
      <c r="C1453">
        <v>1.5624230778569439E-2</v>
      </c>
      <c r="D1453">
        <v>6.4827389297440717E-3</v>
      </c>
      <c r="E1453">
        <v>23.624180355195261</v>
      </c>
      <c r="F1453">
        <v>-8.7743727939678773E-2</v>
      </c>
      <c r="G1453">
        <v>0.2</v>
      </c>
      <c r="H1453">
        <v>-0.30897465915400502</v>
      </c>
      <c r="I1453">
        <v>0.18986011669201269</v>
      </c>
      <c r="J1453">
        <v>-9.3699719007003246E-2</v>
      </c>
      <c r="K1453">
        <v>0</v>
      </c>
      <c r="L1453">
        <v>0</v>
      </c>
      <c r="M1453">
        <v>217577871.48245001</v>
      </c>
      <c r="N1453">
        <v>0</v>
      </c>
      <c r="O1453" t="b">
        <v>1</v>
      </c>
    </row>
    <row r="1454" spans="1:15" x14ac:dyDescent="0.3">
      <c r="A1454" s="1" t="s">
        <v>1554</v>
      </c>
      <c r="B1454">
        <v>2.1069949595227069</v>
      </c>
      <c r="C1454">
        <v>9.4957589392968833E-3</v>
      </c>
      <c r="D1454">
        <v>1.3421185462936301E-2</v>
      </c>
      <c r="E1454">
        <v>61.614537206585283</v>
      </c>
      <c r="F1454">
        <v>2.5455217672613051E-2</v>
      </c>
      <c r="G1454">
        <v>0.4</v>
      </c>
      <c r="H1454">
        <v>-5.9433180995577262E-2</v>
      </c>
      <c r="I1454">
        <v>0.6782484339700835</v>
      </c>
      <c r="J1454">
        <v>0</v>
      </c>
      <c r="K1454">
        <v>1.075494130562538E-2</v>
      </c>
      <c r="L1454">
        <v>0</v>
      </c>
      <c r="M1454">
        <v>198330660.014</v>
      </c>
      <c r="N1454">
        <v>0</v>
      </c>
      <c r="O1454" t="b">
        <v>1</v>
      </c>
    </row>
    <row r="1455" spans="1:15" x14ac:dyDescent="0.3">
      <c r="A1455" s="1" t="s">
        <v>1555</v>
      </c>
      <c r="B1455">
        <v>0.78563359082461737</v>
      </c>
      <c r="C1455">
        <v>8.6582071006673818E-3</v>
      </c>
      <c r="D1455">
        <v>1.292834581975026E-2</v>
      </c>
      <c r="E1455">
        <v>57.473170160388918</v>
      </c>
      <c r="F1455">
        <v>1.7956427113015701E-2</v>
      </c>
      <c r="G1455">
        <v>0.6</v>
      </c>
      <c r="H1455">
        <v>-0.100687118925536</v>
      </c>
      <c r="I1455">
        <v>0.67934138178277192</v>
      </c>
      <c r="J1455">
        <v>-1.4218458023633751E-3</v>
      </c>
      <c r="K1455">
        <v>1.096660549968087E-2</v>
      </c>
      <c r="L1455">
        <v>0</v>
      </c>
      <c r="M1455">
        <v>23831528.278700002</v>
      </c>
      <c r="N1455">
        <v>0</v>
      </c>
      <c r="O1455" t="b">
        <v>0</v>
      </c>
    </row>
    <row r="1456" spans="1:15" x14ac:dyDescent="0.3">
      <c r="A1456" s="1" t="s">
        <v>1556</v>
      </c>
      <c r="B1456">
        <v>2.0006518931007919</v>
      </c>
      <c r="C1456">
        <v>2.9058124809016591E-2</v>
      </c>
      <c r="D1456">
        <v>2.6448801742919571E-2</v>
      </c>
      <c r="E1456">
        <v>67.507247480364839</v>
      </c>
      <c r="F1456">
        <v>0.15462015763877221</v>
      </c>
      <c r="G1456">
        <v>0.6</v>
      </c>
      <c r="H1456">
        <v>1.360263465157761E-2</v>
      </c>
      <c r="I1456">
        <v>0.98662242678110901</v>
      </c>
      <c r="J1456">
        <v>0</v>
      </c>
      <c r="K1456">
        <v>1.5936254980079671E-2</v>
      </c>
      <c r="L1456">
        <v>0</v>
      </c>
      <c r="M1456">
        <v>129985504</v>
      </c>
      <c r="N1456">
        <v>0</v>
      </c>
      <c r="O1456" t="b">
        <v>1</v>
      </c>
    </row>
    <row r="1457" spans="1:15" x14ac:dyDescent="0.3">
      <c r="A1457" s="1" t="s">
        <v>1557</v>
      </c>
      <c r="B1457">
        <v>0.59706335021758505</v>
      </c>
      <c r="C1457">
        <v>2.957223131340193E-2</v>
      </c>
      <c r="D1457">
        <v>1.9811788013868351E-2</v>
      </c>
      <c r="E1457">
        <v>59.658547193083713</v>
      </c>
      <c r="F1457">
        <v>2.5393600812595229E-2</v>
      </c>
      <c r="G1457">
        <v>1</v>
      </c>
      <c r="H1457">
        <v>5.8347541790364783E-2</v>
      </c>
      <c r="I1457">
        <v>1.3118924824199809</v>
      </c>
      <c r="J1457">
        <v>-4.928536224741098E-3</v>
      </c>
      <c r="K1457">
        <v>1.488095238095344E-3</v>
      </c>
      <c r="L1457">
        <v>0</v>
      </c>
      <c r="M1457">
        <v>46468117</v>
      </c>
      <c r="N1457">
        <v>0</v>
      </c>
      <c r="O1457" t="b">
        <v>0</v>
      </c>
    </row>
    <row r="1458" spans="1:15" x14ac:dyDescent="0.3">
      <c r="A1458" s="1" t="s">
        <v>1558</v>
      </c>
      <c r="B1458">
        <v>4.0229556504346267</v>
      </c>
      <c r="C1458">
        <v>1.33629482198637E-2</v>
      </c>
      <c r="D1458">
        <v>2.3155391243402341E-2</v>
      </c>
      <c r="E1458">
        <v>59.912407409266677</v>
      </c>
      <c r="F1458">
        <v>1.285187041815683E-2</v>
      </c>
      <c r="G1458">
        <v>0.4</v>
      </c>
      <c r="H1458">
        <v>-4.3713140668916968E-2</v>
      </c>
      <c r="I1458">
        <v>0.972008379571488</v>
      </c>
      <c r="J1458">
        <v>0</v>
      </c>
      <c r="K1458">
        <v>1.9761600709981449E-2</v>
      </c>
      <c r="L1458">
        <v>0</v>
      </c>
      <c r="M1458">
        <v>16967445.480999999</v>
      </c>
      <c r="N1458">
        <v>0</v>
      </c>
      <c r="O1458" t="b">
        <v>0</v>
      </c>
    </row>
    <row r="1459" spans="1:15" x14ac:dyDescent="0.3">
      <c r="A1459" s="1" t="s">
        <v>1559</v>
      </c>
      <c r="B1459">
        <v>0.3041319897256668</v>
      </c>
      <c r="C1459">
        <v>2.4408666912172299E-2</v>
      </c>
      <c r="D1459">
        <v>2.086677367576242E-2</v>
      </c>
      <c r="E1459">
        <v>45.984602410305627</v>
      </c>
      <c r="F1459">
        <v>-1.0325655281969709E-2</v>
      </c>
      <c r="G1459">
        <v>0.6</v>
      </c>
      <c r="H1459">
        <v>-3.227794261457629E-2</v>
      </c>
      <c r="I1459">
        <v>0.59945048680917135</v>
      </c>
      <c r="J1459">
        <v>-5.7488653555219371E-2</v>
      </c>
      <c r="K1459">
        <v>1.714285714285713E-2</v>
      </c>
      <c r="L1459">
        <v>0</v>
      </c>
      <c r="M1459">
        <v>8662455.6401400007</v>
      </c>
      <c r="N1459">
        <v>0</v>
      </c>
      <c r="O1459" t="b">
        <v>0</v>
      </c>
    </row>
    <row r="1460" spans="1:15" x14ac:dyDescent="0.3">
      <c r="A1460" s="1" t="s">
        <v>1560</v>
      </c>
      <c r="B1460">
        <v>5.5363024165696171</v>
      </c>
      <c r="C1460">
        <v>3.1648673278280547E-2</v>
      </c>
      <c r="D1460">
        <v>3.5740010289830107E-2</v>
      </c>
      <c r="E1460">
        <v>53.017731731762069</v>
      </c>
      <c r="F1460">
        <v>-1.155530442152841E-2</v>
      </c>
      <c r="G1460">
        <v>0.4</v>
      </c>
      <c r="H1460">
        <v>6.5600926107609828E-2</v>
      </c>
      <c r="I1460">
        <v>0.63727417151297516</v>
      </c>
      <c r="J1460">
        <v>-4.4870814860113128E-2</v>
      </c>
      <c r="K1460">
        <v>3.879394447186435E-3</v>
      </c>
      <c r="L1460">
        <v>0</v>
      </c>
      <c r="M1460">
        <v>395221021.26549989</v>
      </c>
      <c r="N1460">
        <v>0</v>
      </c>
      <c r="O1460" t="b">
        <v>1</v>
      </c>
    </row>
    <row r="1461" spans="1:15" x14ac:dyDescent="0.3">
      <c r="A1461" s="1" t="s">
        <v>1561</v>
      </c>
      <c r="B1461">
        <v>1.9399411829451101</v>
      </c>
      <c r="C1461">
        <v>1.987143796691725E-2</v>
      </c>
      <c r="D1461">
        <v>1.5243084222624241E-2</v>
      </c>
      <c r="E1461">
        <v>40.452263509129793</v>
      </c>
      <c r="F1461">
        <v>-5.1908614751258186E-3</v>
      </c>
      <c r="G1461">
        <v>0.2</v>
      </c>
      <c r="H1461">
        <v>-0.1823072448982154</v>
      </c>
      <c r="I1461">
        <v>0.24290422016244209</v>
      </c>
      <c r="J1461">
        <v>-5.9737833126258022E-2</v>
      </c>
      <c r="K1461">
        <v>-6.7071073768006917E-3</v>
      </c>
      <c r="L1461">
        <v>0</v>
      </c>
      <c r="M1461">
        <v>130327957.126</v>
      </c>
      <c r="N1461">
        <v>0</v>
      </c>
      <c r="O1461" t="b">
        <v>1</v>
      </c>
    </row>
    <row r="1462" spans="1:15" x14ac:dyDescent="0.3">
      <c r="A1462" s="1" t="s">
        <v>1562</v>
      </c>
      <c r="B1462">
        <v>1.88453296227664</v>
      </c>
      <c r="C1462">
        <v>1.3710779723945901E-2</v>
      </c>
      <c r="D1462">
        <v>2.3652409257251612E-2</v>
      </c>
      <c r="E1462">
        <v>71.544506357284632</v>
      </c>
      <c r="F1462">
        <v>5.1717805493916913E-2</v>
      </c>
      <c r="G1462">
        <v>0.6</v>
      </c>
      <c r="H1462">
        <v>0.22417301145018501</v>
      </c>
      <c r="I1462">
        <v>1.068726916708765</v>
      </c>
      <c r="J1462">
        <v>0</v>
      </c>
      <c r="K1462">
        <v>2.051438159868146E-2</v>
      </c>
      <c r="L1462">
        <v>0</v>
      </c>
      <c r="M1462">
        <v>44496295.440500014</v>
      </c>
      <c r="N1462">
        <v>0</v>
      </c>
      <c r="O1462" t="b">
        <v>0</v>
      </c>
    </row>
    <row r="1463" spans="1:15" x14ac:dyDescent="0.3">
      <c r="A1463" s="1" t="s">
        <v>1563</v>
      </c>
      <c r="B1463">
        <v>0.29310258813561252</v>
      </c>
      <c r="C1463">
        <v>2.5007046288274899E-2</v>
      </c>
      <c r="D1463">
        <v>4.1422087229540647E-2</v>
      </c>
      <c r="E1463">
        <v>68.52645088900573</v>
      </c>
      <c r="F1463">
        <v>7.3500453367282503E-2</v>
      </c>
      <c r="G1463">
        <v>0.8</v>
      </c>
      <c r="H1463">
        <v>6.2766255116055145E-2</v>
      </c>
      <c r="I1463">
        <v>1.629650627546269</v>
      </c>
      <c r="J1463">
        <v>0</v>
      </c>
      <c r="K1463">
        <v>3.2287611632699782E-2</v>
      </c>
      <c r="L1463">
        <v>0</v>
      </c>
      <c r="M1463">
        <v>78975461.385975003</v>
      </c>
      <c r="N1463">
        <v>0</v>
      </c>
      <c r="O1463" t="b">
        <v>0</v>
      </c>
    </row>
    <row r="1464" spans="1:15" x14ac:dyDescent="0.3">
      <c r="A1464" s="1" t="s">
        <v>1564</v>
      </c>
      <c r="B1464">
        <v>0.14747595411017</v>
      </c>
      <c r="C1464">
        <v>3.1568212179433012E-3</v>
      </c>
      <c r="D1464">
        <v>4.6771383191415022E-3</v>
      </c>
      <c r="E1464">
        <v>53.466583992701501</v>
      </c>
      <c r="F1464">
        <v>3.8636090148012059E-3</v>
      </c>
      <c r="G1464">
        <v>0.2</v>
      </c>
      <c r="H1464">
        <v>-8.190788112564136E-2</v>
      </c>
      <c r="I1464">
        <v>-3.2621797722478521E-3</v>
      </c>
      <c r="J1464">
        <v>-4.1843501467613287E-3</v>
      </c>
      <c r="K1464">
        <v>2.9864204819922691E-3</v>
      </c>
      <c r="L1464">
        <v>0</v>
      </c>
      <c r="M1464">
        <v>69421289.754950002</v>
      </c>
      <c r="N1464">
        <v>0</v>
      </c>
      <c r="O1464" t="b">
        <v>0</v>
      </c>
    </row>
    <row r="1465" spans="1:15" x14ac:dyDescent="0.3">
      <c r="A1465" s="1" t="s">
        <v>1565</v>
      </c>
      <c r="B1465">
        <v>5.9506442346151669</v>
      </c>
      <c r="C1465">
        <v>2.005136716856545E-2</v>
      </c>
      <c r="D1465">
        <v>2.6687333625366499E-2</v>
      </c>
      <c r="E1465">
        <v>56.689620091288681</v>
      </c>
      <c r="F1465">
        <v>1.342029777352827E-2</v>
      </c>
      <c r="G1465">
        <v>0.8</v>
      </c>
      <c r="H1465">
        <v>-7.8183208289692552E-2</v>
      </c>
      <c r="I1465">
        <v>0.55130888035117231</v>
      </c>
      <c r="J1465">
        <v>-1.5812138339389441E-3</v>
      </c>
      <c r="K1465">
        <v>1.968801539307297E-2</v>
      </c>
      <c r="L1465">
        <v>0</v>
      </c>
      <c r="M1465">
        <v>224031071.73800001</v>
      </c>
      <c r="N1465">
        <v>0</v>
      </c>
      <c r="O1465" t="b">
        <v>1</v>
      </c>
    </row>
    <row r="1466" spans="1:15" x14ac:dyDescent="0.3">
      <c r="A1466" s="1" t="s">
        <v>1566</v>
      </c>
      <c r="B1466">
        <v>11.60239684001264</v>
      </c>
      <c r="C1466">
        <v>2.7412049926906799E-2</v>
      </c>
      <c r="D1466">
        <v>3.1701629498723023E-2</v>
      </c>
      <c r="E1466">
        <v>63.727255462478517</v>
      </c>
      <c r="F1466">
        <v>3.2915945735545023E-2</v>
      </c>
      <c r="G1466">
        <v>0.6</v>
      </c>
      <c r="H1466">
        <v>6.4158794654749954E-2</v>
      </c>
      <c r="I1466">
        <v>1.464703732806462</v>
      </c>
      <c r="J1466">
        <v>0</v>
      </c>
      <c r="K1466">
        <v>2.4478029558558049E-2</v>
      </c>
      <c r="L1466">
        <v>0</v>
      </c>
      <c r="M1466">
        <v>52165737.242000014</v>
      </c>
      <c r="N1466">
        <v>0</v>
      </c>
      <c r="O1466" t="b">
        <v>0</v>
      </c>
    </row>
    <row r="1467" spans="1:15" x14ac:dyDescent="0.3">
      <c r="A1467" s="1" t="s">
        <v>1567</v>
      </c>
      <c r="B1467">
        <v>1.1431270002656351</v>
      </c>
      <c r="C1467">
        <v>3.317459857581672E-2</v>
      </c>
      <c r="D1467">
        <v>3.0379100293401441E-2</v>
      </c>
      <c r="E1467">
        <v>46.216491748043147</v>
      </c>
      <c r="F1467">
        <v>-2.8681847139144231E-2</v>
      </c>
      <c r="G1467">
        <v>0.4</v>
      </c>
      <c r="H1467">
        <v>-0.18024754223181241</v>
      </c>
      <c r="I1467">
        <v>1.1852042829174909</v>
      </c>
      <c r="J1467">
        <v>-5.2208713829904219E-2</v>
      </c>
      <c r="K1467">
        <v>2.0276492237905289E-2</v>
      </c>
      <c r="L1467">
        <v>0</v>
      </c>
      <c r="M1467">
        <v>49470033.068499997</v>
      </c>
      <c r="N1467">
        <v>0</v>
      </c>
      <c r="O1467" t="b">
        <v>0</v>
      </c>
    </row>
    <row r="1468" spans="1:15" x14ac:dyDescent="0.3">
      <c r="A1468" s="1" t="s">
        <v>1568</v>
      </c>
      <c r="B1468">
        <v>1.127972553472337</v>
      </c>
      <c r="C1468">
        <v>2.7659944911043101E-2</v>
      </c>
      <c r="D1468">
        <v>3.0897498773908731E-2</v>
      </c>
      <c r="E1468">
        <v>69.247173055121522</v>
      </c>
      <c r="F1468">
        <v>9.828846904835653E-2</v>
      </c>
      <c r="G1468">
        <v>0.8</v>
      </c>
      <c r="H1468">
        <v>1.8937573712428459E-2</v>
      </c>
      <c r="I1468">
        <v>0.53632867946053397</v>
      </c>
      <c r="J1468">
        <v>0</v>
      </c>
      <c r="K1468">
        <v>1.0656753407682681E-2</v>
      </c>
      <c r="L1468">
        <v>0</v>
      </c>
      <c r="M1468">
        <v>56899139.104000002</v>
      </c>
      <c r="N1468">
        <v>0</v>
      </c>
      <c r="O1468" t="b">
        <v>0</v>
      </c>
    </row>
    <row r="1469" spans="1:15" x14ac:dyDescent="0.3">
      <c r="A1469" s="1" t="s">
        <v>1569</v>
      </c>
      <c r="B1469">
        <v>0.98157231910906995</v>
      </c>
      <c r="C1469">
        <v>1.110830814325629E-2</v>
      </c>
      <c r="D1469">
        <v>1.076685248936789E-2</v>
      </c>
      <c r="E1469">
        <v>44.85307778028956</v>
      </c>
      <c r="F1469">
        <v>-1.119906540173621E-2</v>
      </c>
      <c r="G1469">
        <v>0.2</v>
      </c>
      <c r="H1469">
        <v>-0.15321732209060879</v>
      </c>
      <c r="I1469">
        <v>0.39203911351215098</v>
      </c>
      <c r="J1469">
        <v>-2.3756519702455181E-2</v>
      </c>
      <c r="K1469">
        <v>3.6026376941300509E-3</v>
      </c>
      <c r="L1469">
        <v>0</v>
      </c>
      <c r="M1469">
        <v>298162728.09855002</v>
      </c>
      <c r="N1469">
        <v>0</v>
      </c>
      <c r="O1469" t="b">
        <v>1</v>
      </c>
    </row>
    <row r="1470" spans="1:15" x14ac:dyDescent="0.3">
      <c r="A1470" s="1" t="s">
        <v>1570</v>
      </c>
      <c r="B1470">
        <v>3.2786484987876419</v>
      </c>
      <c r="C1470">
        <v>1.114758102765822E-2</v>
      </c>
      <c r="D1470">
        <v>1.5412443516607619E-2</v>
      </c>
      <c r="E1470">
        <v>61.229836520708908</v>
      </c>
      <c r="F1470">
        <v>1.3696883218043739E-2</v>
      </c>
      <c r="G1470">
        <v>0.6</v>
      </c>
      <c r="H1470">
        <v>-0.12603437267947909</v>
      </c>
      <c r="I1470">
        <v>0.84363998854559086</v>
      </c>
      <c r="J1470">
        <v>0</v>
      </c>
      <c r="K1470">
        <v>1.3595572220231E-2</v>
      </c>
      <c r="L1470">
        <v>0</v>
      </c>
      <c r="M1470">
        <v>166965614.095</v>
      </c>
      <c r="N1470">
        <v>0</v>
      </c>
      <c r="O1470" t="b">
        <v>1</v>
      </c>
    </row>
    <row r="1471" spans="1:15" x14ac:dyDescent="0.3">
      <c r="A1471" s="1" t="s">
        <v>1571</v>
      </c>
      <c r="B1471">
        <v>0.23754202694172299</v>
      </c>
      <c r="C1471">
        <v>1.8912581762876031E-2</v>
      </c>
      <c r="D1471">
        <v>8.7579617834394451E-3</v>
      </c>
      <c r="E1471">
        <v>61.330045703124853</v>
      </c>
      <c r="F1471">
        <v>9.6780390684352513E-2</v>
      </c>
      <c r="G1471">
        <v>0.6</v>
      </c>
      <c r="H1471">
        <v>3.4048717655700007E-2</v>
      </c>
      <c r="I1471">
        <v>0.34668019361590141</v>
      </c>
      <c r="J1471">
        <v>-6.3291139240506666E-3</v>
      </c>
      <c r="K1471">
        <v>4.8000000000001366E-3</v>
      </c>
      <c r="L1471">
        <v>0</v>
      </c>
      <c r="M1471">
        <v>77364586.072490007</v>
      </c>
      <c r="N1471">
        <v>0</v>
      </c>
      <c r="O1471" t="b">
        <v>0</v>
      </c>
    </row>
    <row r="1472" spans="1:15" x14ac:dyDescent="0.3">
      <c r="A1472" s="1" t="s">
        <v>1572</v>
      </c>
      <c r="B1472">
        <v>1.865516677553233</v>
      </c>
      <c r="C1472">
        <v>1.044732800314304E-2</v>
      </c>
      <c r="D1472">
        <v>1.6879102170650351E-2</v>
      </c>
      <c r="E1472">
        <v>65.675633534415596</v>
      </c>
      <c r="F1472">
        <v>2.8475982029720018E-2</v>
      </c>
      <c r="G1472">
        <v>0.8</v>
      </c>
      <c r="H1472">
        <v>-3.6074887957170697E-2</v>
      </c>
      <c r="I1472">
        <v>0.64162797442260944</v>
      </c>
      <c r="J1472">
        <v>0</v>
      </c>
      <c r="K1472">
        <v>1.5156511159876819E-2</v>
      </c>
      <c r="L1472">
        <v>0</v>
      </c>
      <c r="M1472">
        <v>46139048.797000013</v>
      </c>
      <c r="N1472">
        <v>0</v>
      </c>
      <c r="O1472" t="b">
        <v>0</v>
      </c>
    </row>
    <row r="1473" spans="1:15" x14ac:dyDescent="0.3">
      <c r="A1473" s="1" t="s">
        <v>1573</v>
      </c>
      <c r="B1473">
        <v>3.1667211605092902</v>
      </c>
      <c r="C1473">
        <v>1.019447885275227E-2</v>
      </c>
      <c r="D1473">
        <v>1.1013066950819441E-2</v>
      </c>
      <c r="E1473">
        <v>60.425875980434462</v>
      </c>
      <c r="F1473">
        <v>9.2663891948443489E-3</v>
      </c>
      <c r="G1473">
        <v>0.6</v>
      </c>
      <c r="H1473">
        <v>-0.1057812480672002</v>
      </c>
      <c r="I1473">
        <v>1.0038432083913471</v>
      </c>
      <c r="J1473">
        <v>0</v>
      </c>
      <c r="K1473">
        <v>6.5258880748628734E-3</v>
      </c>
      <c r="L1473">
        <v>0</v>
      </c>
      <c r="M1473">
        <v>20370402.831</v>
      </c>
      <c r="N1473">
        <v>2</v>
      </c>
      <c r="O1473" t="b">
        <v>0</v>
      </c>
    </row>
    <row r="1474" spans="1:15" x14ac:dyDescent="0.3">
      <c r="A1474" s="1" t="s">
        <v>1574</v>
      </c>
      <c r="B1474">
        <v>1.6833179070834601</v>
      </c>
      <c r="C1474">
        <v>1.3659968409343991E-2</v>
      </c>
      <c r="D1474">
        <v>1.077659660796886E-2</v>
      </c>
      <c r="E1474">
        <v>57.261770306419983</v>
      </c>
      <c r="F1474">
        <v>-4.764981424648651E-3</v>
      </c>
      <c r="G1474">
        <v>0.8</v>
      </c>
      <c r="H1474">
        <v>-1.9791738098975929E-3</v>
      </c>
      <c r="I1474">
        <v>1.2519019689023589</v>
      </c>
      <c r="J1474">
        <v>-3.3966841892438811E-3</v>
      </c>
      <c r="K1474">
        <v>1.780328588500302E-3</v>
      </c>
      <c r="L1474">
        <v>0</v>
      </c>
      <c r="M1474">
        <v>104363173.3945</v>
      </c>
      <c r="N1474">
        <v>0</v>
      </c>
      <c r="O1474" t="b">
        <v>1</v>
      </c>
    </row>
    <row r="1475" spans="1:15" x14ac:dyDescent="0.3">
      <c r="A1475" s="1" t="s">
        <v>1575</v>
      </c>
      <c r="B1475">
        <v>0.91249906778420509</v>
      </c>
      <c r="C1475">
        <v>9.8844313037735835E-3</v>
      </c>
      <c r="D1475">
        <v>1.5300573676730499E-2</v>
      </c>
      <c r="E1475">
        <v>63.476633763433107</v>
      </c>
      <c r="F1475">
        <v>2.7227136115651529E-2</v>
      </c>
      <c r="G1475">
        <v>0.4</v>
      </c>
      <c r="H1475">
        <v>-2.344586167075598E-2</v>
      </c>
      <c r="I1475">
        <v>0.72752108538564764</v>
      </c>
      <c r="J1475">
        <v>0</v>
      </c>
      <c r="K1475">
        <v>1.332004438917145E-2</v>
      </c>
      <c r="L1475">
        <v>0</v>
      </c>
      <c r="M1475">
        <v>44984114.576199993</v>
      </c>
      <c r="N1475">
        <v>0</v>
      </c>
      <c r="O1475" t="b">
        <v>0</v>
      </c>
    </row>
    <row r="1476" spans="1:15" x14ac:dyDescent="0.3">
      <c r="A1476" s="1" t="s">
        <v>1576</v>
      </c>
      <c r="B1476">
        <v>6.685364321627465</v>
      </c>
      <c r="C1476">
        <v>1.060535985130694E-2</v>
      </c>
      <c r="D1476">
        <v>1.113621076944551E-2</v>
      </c>
      <c r="E1476">
        <v>61.011159732560891</v>
      </c>
      <c r="F1476">
        <v>9.0827306459719814E-3</v>
      </c>
      <c r="G1476">
        <v>0.6</v>
      </c>
      <c r="H1476">
        <v>1.5695101334256889E-2</v>
      </c>
      <c r="I1476">
        <v>0.99162957379707461</v>
      </c>
      <c r="J1476">
        <v>0</v>
      </c>
      <c r="K1476">
        <v>6.4646742037306471E-3</v>
      </c>
      <c r="L1476">
        <v>0</v>
      </c>
      <c r="M1476">
        <v>3608441746.2480001</v>
      </c>
      <c r="N1476">
        <v>0</v>
      </c>
      <c r="O1476" t="b">
        <v>1</v>
      </c>
    </row>
    <row r="1477" spans="1:15" x14ac:dyDescent="0.3">
      <c r="A1477" s="1" t="s">
        <v>1577</v>
      </c>
      <c r="B1477">
        <v>6.0581167132491824</v>
      </c>
      <c r="C1477">
        <v>1.3501485877533279E-2</v>
      </c>
      <c r="D1477">
        <v>1.1016269222197421E-2</v>
      </c>
      <c r="E1477">
        <v>59.077608134906647</v>
      </c>
      <c r="F1477">
        <v>1.7167822722696791E-3</v>
      </c>
      <c r="G1477">
        <v>0.8</v>
      </c>
      <c r="H1477">
        <v>9.7410636775442649E-3</v>
      </c>
      <c r="I1477">
        <v>1.226380352892688</v>
      </c>
      <c r="J1477">
        <v>0</v>
      </c>
      <c r="K1477">
        <v>3.8413094010285591E-3</v>
      </c>
      <c r="L1477">
        <v>0</v>
      </c>
      <c r="M1477">
        <v>92039340.913500011</v>
      </c>
      <c r="N1477">
        <v>0</v>
      </c>
      <c r="O1477" t="b">
        <v>0</v>
      </c>
    </row>
    <row r="1478" spans="1:15" x14ac:dyDescent="0.3">
      <c r="A1478" s="1" t="s">
        <v>1578</v>
      </c>
      <c r="B1478">
        <v>1.808482260840256</v>
      </c>
      <c r="C1478">
        <v>8.8234572134495304E-3</v>
      </c>
      <c r="D1478">
        <v>1.2724247791064611E-2</v>
      </c>
      <c r="E1478">
        <v>61.221668978788941</v>
      </c>
      <c r="F1478">
        <v>1.819672131147532E-2</v>
      </c>
      <c r="G1478">
        <v>0.4</v>
      </c>
      <c r="H1478">
        <v>-6.6107297781104997E-3</v>
      </c>
      <c r="I1478">
        <v>0.71579249622597763</v>
      </c>
      <c r="J1478">
        <v>0</v>
      </c>
      <c r="K1478">
        <v>9.8589883820616731E-3</v>
      </c>
      <c r="L1478">
        <v>0</v>
      </c>
      <c r="M1478">
        <v>15961487.528000001</v>
      </c>
      <c r="N1478">
        <v>0</v>
      </c>
      <c r="O1478" t="b">
        <v>0</v>
      </c>
    </row>
    <row r="1479" spans="1:15" x14ac:dyDescent="0.3">
      <c r="A1479" s="1" t="s">
        <v>1579</v>
      </c>
      <c r="B1479">
        <v>3.7690538287999109</v>
      </c>
      <c r="C1479">
        <v>1.321422526198401E-2</v>
      </c>
      <c r="D1479">
        <v>1.5682246070673578E-2</v>
      </c>
      <c r="E1479">
        <v>54.164370143616168</v>
      </c>
      <c r="F1479">
        <v>-8.2579397917955655E-3</v>
      </c>
      <c r="G1479">
        <v>0.4</v>
      </c>
      <c r="H1479">
        <v>-0.25198927797530368</v>
      </c>
      <c r="I1479">
        <v>1.114008509575253</v>
      </c>
      <c r="J1479">
        <v>-6.6726334962022849E-3</v>
      </c>
      <c r="K1479">
        <v>9.220829308508538E-3</v>
      </c>
      <c r="L1479">
        <v>0</v>
      </c>
      <c r="M1479">
        <v>49751449.928499997</v>
      </c>
      <c r="N1479">
        <v>0</v>
      </c>
      <c r="O1479" t="b">
        <v>0</v>
      </c>
    </row>
    <row r="1480" spans="1:15" x14ac:dyDescent="0.3">
      <c r="A1480" s="1" t="s">
        <v>1580</v>
      </c>
      <c r="B1480">
        <v>2.6576605932453101</v>
      </c>
      <c r="C1480">
        <v>1.376591125729852E-2</v>
      </c>
      <c r="D1480">
        <v>8.9816172090686815E-3</v>
      </c>
      <c r="E1480">
        <v>64.361428152052369</v>
      </c>
      <c r="F1480">
        <v>4.4600634137367479E-2</v>
      </c>
      <c r="G1480">
        <v>0.6</v>
      </c>
      <c r="H1480">
        <v>-3.1510806135867243E-2</v>
      </c>
      <c r="I1480">
        <v>1.038640323952603</v>
      </c>
      <c r="J1480">
        <v>-4.6247125666381006E-3</v>
      </c>
      <c r="K1480">
        <v>4.0461195217467161E-3</v>
      </c>
      <c r="L1480">
        <v>0</v>
      </c>
      <c r="M1480">
        <v>28118780.664999999</v>
      </c>
      <c r="N1480">
        <v>3</v>
      </c>
      <c r="O1480" t="b">
        <v>0</v>
      </c>
    </row>
    <row r="1481" spans="1:15" x14ac:dyDescent="0.3">
      <c r="A1481" s="1" t="s">
        <v>1581</v>
      </c>
      <c r="B1481">
        <v>1.6719309238407061</v>
      </c>
      <c r="C1481">
        <v>2.3108927765593729E-2</v>
      </c>
      <c r="D1481">
        <v>2.6537664132688349E-2</v>
      </c>
      <c r="E1481">
        <v>56.241824734558051</v>
      </c>
      <c r="F1481">
        <v>2.51026165266095E-2</v>
      </c>
      <c r="G1481">
        <v>0.6</v>
      </c>
      <c r="H1481">
        <v>-0.1052411305318459</v>
      </c>
      <c r="I1481">
        <v>0.56199832574034592</v>
      </c>
      <c r="J1481">
        <v>0</v>
      </c>
      <c r="K1481">
        <v>1.5296098793151639E-2</v>
      </c>
      <c r="L1481">
        <v>0</v>
      </c>
      <c r="M1481">
        <v>55858631.710000001</v>
      </c>
      <c r="N1481">
        <v>1</v>
      </c>
      <c r="O1481" t="b">
        <v>0</v>
      </c>
    </row>
    <row r="1482" spans="1:15" x14ac:dyDescent="0.3">
      <c r="A1482" s="1" t="s">
        <v>1582</v>
      </c>
      <c r="B1482">
        <v>0.88758860402517448</v>
      </c>
      <c r="C1482">
        <v>9.8735708837735248E-3</v>
      </c>
      <c r="D1482">
        <v>1.093604344604945E-2</v>
      </c>
      <c r="E1482">
        <v>61.173724124915353</v>
      </c>
      <c r="F1482">
        <v>4.5694043235571247E-3</v>
      </c>
      <c r="G1482">
        <v>0.8</v>
      </c>
      <c r="H1482">
        <v>-1.5568902502127519E-2</v>
      </c>
      <c r="I1482">
        <v>0.95724536301689878</v>
      </c>
      <c r="J1482">
        <v>-4.3253797494391399E-4</v>
      </c>
      <c r="K1482">
        <v>7.8581078429722506E-3</v>
      </c>
      <c r="L1482">
        <v>0</v>
      </c>
      <c r="M1482">
        <v>34659308.242200002</v>
      </c>
      <c r="N1482">
        <v>0</v>
      </c>
      <c r="O1482" t="b">
        <v>0</v>
      </c>
    </row>
    <row r="1483" spans="1:15" x14ac:dyDescent="0.3">
      <c r="A1483" s="1" t="s">
        <v>1583</v>
      </c>
      <c r="B1483">
        <v>2.3825896450578981</v>
      </c>
      <c r="C1483">
        <v>1.294133110125035E-2</v>
      </c>
      <c r="D1483">
        <v>9.3260984101635712E-3</v>
      </c>
      <c r="E1483">
        <v>32.324206595831157</v>
      </c>
      <c r="F1483">
        <v>-4.5939307257011452E-2</v>
      </c>
      <c r="G1483">
        <v>0.2</v>
      </c>
      <c r="H1483">
        <v>-6.3126131276494871E-2</v>
      </c>
      <c r="I1483">
        <v>0.43017408057600409</v>
      </c>
      <c r="J1483">
        <v>-5.5943840793366673E-2</v>
      </c>
      <c r="K1483">
        <v>-9.7131632354063857E-4</v>
      </c>
      <c r="L1483">
        <v>0</v>
      </c>
      <c r="M1483">
        <v>29742651.752500001</v>
      </c>
      <c r="N1483">
        <v>0</v>
      </c>
      <c r="O1483" t="b">
        <v>0</v>
      </c>
    </row>
    <row r="1484" spans="1:15" x14ac:dyDescent="0.3">
      <c r="A1484" s="1" t="s">
        <v>1584</v>
      </c>
      <c r="B1484">
        <v>4.8913639253423584</v>
      </c>
      <c r="C1484">
        <v>2.285299634333644E-2</v>
      </c>
      <c r="D1484">
        <v>2.0561961539180371E-2</v>
      </c>
      <c r="E1484">
        <v>36.976307721170002</v>
      </c>
      <c r="F1484">
        <v>7.232975214001014E-3</v>
      </c>
      <c r="G1484">
        <v>0</v>
      </c>
      <c r="H1484">
        <v>-0.18267938882825471</v>
      </c>
      <c r="I1484">
        <v>-0.3252858021171332</v>
      </c>
      <c r="J1484">
        <v>-4.7051699880678921E-2</v>
      </c>
      <c r="K1484">
        <v>-7.171285172231423E-3</v>
      </c>
      <c r="L1484">
        <v>0</v>
      </c>
      <c r="M1484">
        <v>249844489.26300001</v>
      </c>
      <c r="N1484">
        <v>0</v>
      </c>
      <c r="O1484" t="b">
        <v>1</v>
      </c>
    </row>
    <row r="1485" spans="1:15" x14ac:dyDescent="0.3">
      <c r="A1485" s="1" t="s">
        <v>1585</v>
      </c>
      <c r="B1485">
        <v>6.0559812214494091</v>
      </c>
      <c r="C1485">
        <v>2.5084628664535171E-2</v>
      </c>
      <c r="D1485">
        <v>1.6382102708120981E-2</v>
      </c>
      <c r="E1485">
        <v>39.531318221509039</v>
      </c>
      <c r="F1485">
        <v>-1.8502030710687789E-2</v>
      </c>
      <c r="G1485">
        <v>0.4</v>
      </c>
      <c r="H1485">
        <v>-0.22983651552394699</v>
      </c>
      <c r="I1485">
        <v>0.39185382847727779</v>
      </c>
      <c r="J1485">
        <v>-5.225099320069726E-2</v>
      </c>
      <c r="K1485">
        <v>-1.030326352768784E-3</v>
      </c>
      <c r="L1485">
        <v>0</v>
      </c>
      <c r="M1485">
        <v>189661350.021</v>
      </c>
      <c r="N1485">
        <v>0</v>
      </c>
      <c r="O1485" t="b">
        <v>1</v>
      </c>
    </row>
    <row r="1486" spans="1:15" x14ac:dyDescent="0.3">
      <c r="A1486" s="1" t="s">
        <v>1586</v>
      </c>
      <c r="B1486">
        <v>9.8724601576854987</v>
      </c>
      <c r="C1486">
        <v>5.4297987887391368E-2</v>
      </c>
      <c r="D1486">
        <v>5.4201957980420143E-2</v>
      </c>
      <c r="E1486">
        <v>54.119909103749201</v>
      </c>
      <c r="F1486">
        <v>-3.1687703040954467E-2</v>
      </c>
      <c r="G1486">
        <v>0.6</v>
      </c>
      <c r="H1486">
        <v>0.15030390947677061</v>
      </c>
      <c r="I1486">
        <v>2.7443367561175012</v>
      </c>
      <c r="J1486">
        <v>-3.8091207279652983E-2</v>
      </c>
      <c r="K1486">
        <v>1.9284673169637889E-2</v>
      </c>
      <c r="L1486">
        <v>0</v>
      </c>
      <c r="M1486">
        <v>889807248.74949992</v>
      </c>
      <c r="N1486">
        <v>0</v>
      </c>
      <c r="O1486" t="b">
        <v>1</v>
      </c>
    </row>
    <row r="1487" spans="1:15" x14ac:dyDescent="0.3">
      <c r="A1487" s="1" t="s">
        <v>1587</v>
      </c>
      <c r="B1487">
        <v>11.661450209535991</v>
      </c>
      <c r="C1487">
        <v>2.622672321324215E-2</v>
      </c>
      <c r="D1487">
        <v>2.8045160129542931E-2</v>
      </c>
      <c r="E1487">
        <v>56.469650591048271</v>
      </c>
      <c r="F1487">
        <v>5.5650522317189033E-2</v>
      </c>
      <c r="G1487">
        <v>0.2</v>
      </c>
      <c r="H1487">
        <v>7.0523779573506029E-2</v>
      </c>
      <c r="I1487">
        <v>0.49944220113840437</v>
      </c>
      <c r="J1487">
        <v>-3.9923995422451619E-2</v>
      </c>
      <c r="K1487">
        <v>1.7459554701265478E-2</v>
      </c>
      <c r="L1487">
        <v>0</v>
      </c>
      <c r="M1487">
        <v>606003000</v>
      </c>
      <c r="N1487">
        <v>0</v>
      </c>
      <c r="O1487" t="b">
        <v>1</v>
      </c>
    </row>
    <row r="1488" spans="1:15" x14ac:dyDescent="0.3">
      <c r="A1488" s="1" t="s">
        <v>1588</v>
      </c>
      <c r="B1488">
        <v>0.69455748294955877</v>
      </c>
      <c r="C1488">
        <v>9.7961177432509521E-3</v>
      </c>
      <c r="D1488">
        <v>1.4910869053176861E-2</v>
      </c>
      <c r="E1488">
        <v>62.556979063881784</v>
      </c>
      <c r="F1488">
        <v>1.384610984799739E-2</v>
      </c>
      <c r="G1488">
        <v>0.6</v>
      </c>
      <c r="H1488">
        <v>-3.2542326273162357E-2</v>
      </c>
      <c r="I1488">
        <v>0.81938631826439923</v>
      </c>
      <c r="J1488">
        <v>0</v>
      </c>
      <c r="K1488">
        <v>1.341572009084846E-2</v>
      </c>
      <c r="L1488">
        <v>0</v>
      </c>
      <c r="M1488">
        <v>8445278.7458999995</v>
      </c>
      <c r="N1488">
        <v>0</v>
      </c>
      <c r="O1488" t="b">
        <v>0</v>
      </c>
    </row>
    <row r="1489" spans="1:15" x14ac:dyDescent="0.3">
      <c r="A1489" s="1" t="s">
        <v>1589</v>
      </c>
      <c r="B1489">
        <v>1.2658669609846529</v>
      </c>
      <c r="C1489">
        <v>8.9703999616248566E-3</v>
      </c>
      <c r="D1489">
        <v>1.113977153547438E-2</v>
      </c>
      <c r="E1489">
        <v>61.278004624692223</v>
      </c>
      <c r="F1489">
        <v>1.8182342924759839E-2</v>
      </c>
      <c r="G1489">
        <v>0.6</v>
      </c>
      <c r="H1489">
        <v>-0.1193558112765775</v>
      </c>
      <c r="I1489">
        <v>0.7551753449357842</v>
      </c>
      <c r="J1489">
        <v>0</v>
      </c>
      <c r="K1489">
        <v>9.6445538320646396E-3</v>
      </c>
      <c r="L1489">
        <v>0</v>
      </c>
      <c r="M1489">
        <v>33862175.626999997</v>
      </c>
      <c r="N1489">
        <v>0</v>
      </c>
      <c r="O1489" t="b">
        <v>0</v>
      </c>
    </row>
    <row r="1490" spans="1:15" x14ac:dyDescent="0.3">
      <c r="A1490" s="1" t="s">
        <v>1590</v>
      </c>
      <c r="B1490">
        <v>7.8321201291560421</v>
      </c>
      <c r="C1490">
        <v>4.7484661871929443E-2</v>
      </c>
      <c r="D1490">
        <v>4.4622286892203128E-2</v>
      </c>
      <c r="E1490">
        <v>38.578631230915661</v>
      </c>
      <c r="F1490">
        <v>-0.1227435671052771</v>
      </c>
      <c r="G1490">
        <v>0.4</v>
      </c>
      <c r="H1490">
        <v>-0.13635540104695401</v>
      </c>
      <c r="I1490">
        <v>1.765527634371459</v>
      </c>
      <c r="J1490">
        <v>-7.8089105756493526E-2</v>
      </c>
      <c r="K1490">
        <v>2.1812967474983398E-3</v>
      </c>
      <c r="L1490">
        <v>0</v>
      </c>
      <c r="M1490">
        <v>861037087.14450002</v>
      </c>
      <c r="N1490">
        <v>0</v>
      </c>
      <c r="O1490" t="b">
        <v>1</v>
      </c>
    </row>
    <row r="1491" spans="1:15" x14ac:dyDescent="0.3">
      <c r="A1491" s="1" t="s">
        <v>1591</v>
      </c>
      <c r="B1491">
        <v>1.3591499908606881</v>
      </c>
      <c r="C1491">
        <v>9.6365595171665538E-3</v>
      </c>
      <c r="D1491">
        <v>1.1677455491665481E-2</v>
      </c>
      <c r="E1491">
        <v>61.554590607785073</v>
      </c>
      <c r="F1491">
        <v>9.9461518632029122E-3</v>
      </c>
      <c r="G1491">
        <v>0.6</v>
      </c>
      <c r="H1491">
        <v>-6.1708925630714423E-2</v>
      </c>
      <c r="I1491">
        <v>0.94601889358867197</v>
      </c>
      <c r="J1491">
        <v>0</v>
      </c>
      <c r="K1491">
        <v>8.5090560668139581E-3</v>
      </c>
      <c r="L1491">
        <v>0</v>
      </c>
      <c r="M1491">
        <v>294485576.38950002</v>
      </c>
      <c r="N1491">
        <v>0</v>
      </c>
      <c r="O1491" t="b">
        <v>1</v>
      </c>
    </row>
    <row r="1492" spans="1:15" x14ac:dyDescent="0.3">
      <c r="A1492" s="1" t="s">
        <v>1592</v>
      </c>
      <c r="B1492">
        <v>8.9169866674754378E-2</v>
      </c>
      <c r="C1492">
        <v>1.7841323960422571E-3</v>
      </c>
      <c r="D1492">
        <v>1.9908202179297679E-3</v>
      </c>
      <c r="E1492">
        <v>54.324974399132358</v>
      </c>
      <c r="F1492">
        <v>3.4015170766066298E-5</v>
      </c>
      <c r="G1492">
        <v>0.4</v>
      </c>
      <c r="H1492">
        <v>-7.3270161651923876E-2</v>
      </c>
      <c r="I1492">
        <v>-5.2686698026847383E-3</v>
      </c>
      <c r="J1492">
        <v>-2.73562599144006E-3</v>
      </c>
      <c r="K1492">
        <v>1.394515706334198E-3</v>
      </c>
      <c r="L1492">
        <v>0</v>
      </c>
      <c r="M1492">
        <v>288697076.75844997</v>
      </c>
      <c r="N1492">
        <v>0</v>
      </c>
      <c r="O1492" t="b">
        <v>1</v>
      </c>
    </row>
    <row r="1493" spans="1:15" x14ac:dyDescent="0.3">
      <c r="A1493" s="1" t="s">
        <v>1593</v>
      </c>
      <c r="B1493">
        <v>3.653147184910293</v>
      </c>
      <c r="C1493">
        <v>1.081542337704219E-2</v>
      </c>
      <c r="D1493">
        <v>1.2073232831614321E-2</v>
      </c>
      <c r="E1493">
        <v>61.426060565483873</v>
      </c>
      <c r="F1493">
        <v>1.1375171046761111E-2</v>
      </c>
      <c r="G1493">
        <v>0.6</v>
      </c>
      <c r="H1493">
        <v>-4.9102147083363579E-2</v>
      </c>
      <c r="I1493">
        <v>1.023521923444648</v>
      </c>
      <c r="J1493">
        <v>0</v>
      </c>
      <c r="K1493">
        <v>7.4355984120686447E-3</v>
      </c>
      <c r="L1493">
        <v>0</v>
      </c>
      <c r="M1493">
        <v>1047005517.284</v>
      </c>
      <c r="N1493">
        <v>0</v>
      </c>
      <c r="O1493" t="b">
        <v>1</v>
      </c>
    </row>
    <row r="1494" spans="1:15" x14ac:dyDescent="0.3">
      <c r="A1494" s="1" t="s">
        <v>1594</v>
      </c>
      <c r="B1494">
        <v>5.5770006956102222E-2</v>
      </c>
      <c r="C1494">
        <v>1.128741868001826E-3</v>
      </c>
      <c r="D1494">
        <v>2.3943006334877829E-3</v>
      </c>
      <c r="E1494">
        <v>51.898298387047113</v>
      </c>
      <c r="F1494">
        <v>1.3984596676124279E-3</v>
      </c>
      <c r="G1494">
        <v>0.2</v>
      </c>
      <c r="H1494">
        <v>-9.7614463237383417E-2</v>
      </c>
      <c r="I1494">
        <v>-1.0406404487209449E-2</v>
      </c>
      <c r="J1494">
        <v>-1.1947093177219199E-3</v>
      </c>
      <c r="K1494">
        <v>1.1975708157463409E-3</v>
      </c>
      <c r="L1494">
        <v>0</v>
      </c>
      <c r="M1494">
        <v>70200575.044799998</v>
      </c>
      <c r="N1494">
        <v>0</v>
      </c>
      <c r="O1494" t="b">
        <v>0</v>
      </c>
    </row>
    <row r="1495" spans="1:15" x14ac:dyDescent="0.3">
      <c r="A1495" s="1" t="s">
        <v>1595</v>
      </c>
      <c r="B1495">
        <v>1.3660355566176681</v>
      </c>
      <c r="C1495">
        <v>1.7681751724348771E-2</v>
      </c>
      <c r="D1495">
        <v>3.9109825931180023E-2</v>
      </c>
      <c r="E1495">
        <v>48.542418275389359</v>
      </c>
      <c r="F1495">
        <v>2.3167235042876651E-2</v>
      </c>
      <c r="G1495">
        <v>0.6</v>
      </c>
      <c r="H1495">
        <v>7.4214541554632446E-2</v>
      </c>
      <c r="I1495">
        <v>-0.29355817690407482</v>
      </c>
      <c r="J1495">
        <v>-4.037045271895956E-2</v>
      </c>
      <c r="K1495">
        <v>-2.8496194178029292E-2</v>
      </c>
      <c r="L1495">
        <v>0</v>
      </c>
      <c r="M1495">
        <v>185733845.39335001</v>
      </c>
      <c r="N1495">
        <v>0</v>
      </c>
      <c r="O1495" t="b">
        <v>1</v>
      </c>
    </row>
    <row r="1496" spans="1:15" x14ac:dyDescent="0.3">
      <c r="A1496" s="1" t="s">
        <v>1596</v>
      </c>
      <c r="B1496">
        <v>0.29751332514407752</v>
      </c>
      <c r="C1496">
        <v>2.5647700443454959E-2</v>
      </c>
      <c r="D1496">
        <v>4.5689655172413891E-2</v>
      </c>
      <c r="E1496">
        <v>72.995692134005736</v>
      </c>
      <c r="F1496">
        <v>0.1538499796086856</v>
      </c>
      <c r="G1496">
        <v>0.8</v>
      </c>
      <c r="H1496">
        <v>8.7608074068315084E-2</v>
      </c>
      <c r="I1496">
        <v>0.94551428332648668</v>
      </c>
      <c r="J1496">
        <v>0</v>
      </c>
      <c r="K1496">
        <v>3.6639857015192227E-2</v>
      </c>
      <c r="L1496">
        <v>0</v>
      </c>
      <c r="M1496">
        <v>93923870.664069995</v>
      </c>
      <c r="N1496">
        <v>0</v>
      </c>
      <c r="O1496" t="b">
        <v>1</v>
      </c>
    </row>
    <row r="1497" spans="1:15" x14ac:dyDescent="0.3">
      <c r="A1497" s="1" t="s">
        <v>1597</v>
      </c>
      <c r="B1497">
        <v>1.838849921838162</v>
      </c>
      <c r="C1497">
        <v>9.6490579559442395E-3</v>
      </c>
      <c r="D1497">
        <v>1.561081580286831E-2</v>
      </c>
      <c r="E1497">
        <v>62.574910208325072</v>
      </c>
      <c r="F1497">
        <v>2.44978926543955E-2</v>
      </c>
      <c r="G1497">
        <v>0.2</v>
      </c>
      <c r="H1497">
        <v>-3.8605782357906272E-2</v>
      </c>
      <c r="I1497">
        <v>0.56465609765861846</v>
      </c>
      <c r="J1497">
        <v>0</v>
      </c>
      <c r="K1497">
        <v>1.392347145076522E-2</v>
      </c>
      <c r="L1497">
        <v>0</v>
      </c>
      <c r="M1497">
        <v>470471436.16549999</v>
      </c>
      <c r="N1497">
        <v>0</v>
      </c>
      <c r="O1497" t="b">
        <v>1</v>
      </c>
    </row>
    <row r="1498" spans="1:15" x14ac:dyDescent="0.3">
      <c r="A1498" s="1" t="s">
        <v>1598</v>
      </c>
      <c r="B1498">
        <v>1.7114912765299399</v>
      </c>
      <c r="C1498">
        <v>1.6676000433879689E-2</v>
      </c>
      <c r="D1498">
        <v>2.338451944812539E-2</v>
      </c>
      <c r="E1498">
        <v>65.04620862521935</v>
      </c>
      <c r="F1498">
        <v>4.4713220968369161E-2</v>
      </c>
      <c r="G1498">
        <v>0.8</v>
      </c>
      <c r="H1498">
        <v>3.2153556193377827E-2</v>
      </c>
      <c r="I1498">
        <v>1.342613715434237</v>
      </c>
      <c r="J1498">
        <v>0</v>
      </c>
      <c r="K1498">
        <v>1.3679417661757841E-2</v>
      </c>
      <c r="L1498">
        <v>0</v>
      </c>
      <c r="M1498">
        <v>145629251.69400001</v>
      </c>
      <c r="N1498">
        <v>0</v>
      </c>
      <c r="O1498" t="b">
        <v>1</v>
      </c>
    </row>
    <row r="1499" spans="1:15" x14ac:dyDescent="0.3">
      <c r="A1499" s="1" t="s">
        <v>1599</v>
      </c>
      <c r="B1499">
        <v>6.8720976295803178</v>
      </c>
      <c r="C1499">
        <v>1.3945682479626281E-2</v>
      </c>
      <c r="D1499">
        <v>1.0682338425572689E-2</v>
      </c>
      <c r="E1499">
        <v>57.088563910354978</v>
      </c>
      <c r="F1499">
        <v>-4.8025462785314943E-3</v>
      </c>
      <c r="G1499">
        <v>0.6</v>
      </c>
      <c r="H1499">
        <v>1.6523725363406291E-2</v>
      </c>
      <c r="I1499">
        <v>1.2691416982870369</v>
      </c>
      <c r="J1499">
        <v>-3.2747094934212351E-3</v>
      </c>
      <c r="K1499">
        <v>4.8727402667014807E-4</v>
      </c>
      <c r="L1499">
        <v>0</v>
      </c>
      <c r="M1499">
        <v>456584805.54949999</v>
      </c>
      <c r="N1499">
        <v>0</v>
      </c>
      <c r="O1499" t="b">
        <v>1</v>
      </c>
    </row>
    <row r="1500" spans="1:15" x14ac:dyDescent="0.3">
      <c r="A1500" s="1" t="s">
        <v>1600</v>
      </c>
      <c r="B1500">
        <v>2.6237527314175339E-2</v>
      </c>
      <c r="C1500">
        <v>5.2997182874025585E-4</v>
      </c>
      <c r="D1500">
        <v>1.0018704274512109E-3</v>
      </c>
      <c r="E1500">
        <v>84.149752417965573</v>
      </c>
      <c r="F1500">
        <v>3.9177356623447679E-3</v>
      </c>
      <c r="G1500">
        <v>0.4</v>
      </c>
      <c r="H1500">
        <v>-7.927094570628504E-2</v>
      </c>
      <c r="I1500">
        <v>2.3606026832658929E-3</v>
      </c>
      <c r="J1500">
        <v>0</v>
      </c>
      <c r="K1500">
        <v>8.0254388216949302E-4</v>
      </c>
      <c r="L1500">
        <v>0</v>
      </c>
      <c r="M1500">
        <v>46805330.303450003</v>
      </c>
      <c r="N1500">
        <v>0</v>
      </c>
      <c r="O1500" t="b">
        <v>0</v>
      </c>
    </row>
    <row r="1501" spans="1:15" x14ac:dyDescent="0.3">
      <c r="A1501" s="1" t="s">
        <v>1601</v>
      </c>
      <c r="B1501">
        <v>3.3214457104582258</v>
      </c>
      <c r="C1501">
        <v>1.049217760218542E-2</v>
      </c>
      <c r="D1501">
        <v>1.0740324231435139E-2</v>
      </c>
      <c r="E1501">
        <v>60.421035112287228</v>
      </c>
      <c r="F1501">
        <v>7.7772578082968558E-3</v>
      </c>
      <c r="G1501">
        <v>0.6</v>
      </c>
      <c r="H1501">
        <v>-2.9786903584572831E-2</v>
      </c>
      <c r="I1501">
        <v>1.0159861440879641</v>
      </c>
      <c r="J1501">
        <v>0</v>
      </c>
      <c r="K1501">
        <v>6.2108642446203621E-3</v>
      </c>
      <c r="L1501">
        <v>0</v>
      </c>
      <c r="M1501">
        <v>67567601.258000001</v>
      </c>
      <c r="N1501">
        <v>1</v>
      </c>
      <c r="O1501" t="b">
        <v>0</v>
      </c>
    </row>
    <row r="1502" spans="1:15" x14ac:dyDescent="0.3">
      <c r="A1502" s="1" t="s">
        <v>1602</v>
      </c>
      <c r="B1502">
        <v>0.48312251838480491</v>
      </c>
      <c r="C1502">
        <v>9.0289604449570234E-3</v>
      </c>
      <c r="D1502">
        <v>1.044701643302598E-2</v>
      </c>
      <c r="E1502">
        <v>54.28087658196506</v>
      </c>
      <c r="F1502">
        <v>-1.284582063448725E-2</v>
      </c>
      <c r="G1502">
        <v>0.6</v>
      </c>
      <c r="H1502">
        <v>-7.1040967255587797E-2</v>
      </c>
      <c r="I1502">
        <v>0.88415266662550929</v>
      </c>
      <c r="J1502">
        <v>-1.3917325337751359E-2</v>
      </c>
      <c r="K1502">
        <v>8.3159338795630866E-3</v>
      </c>
      <c r="L1502">
        <v>0</v>
      </c>
      <c r="M1502">
        <v>395514397.56335002</v>
      </c>
      <c r="N1502">
        <v>0</v>
      </c>
      <c r="O1502" t="b">
        <v>1</v>
      </c>
    </row>
    <row r="1503" spans="1:15" x14ac:dyDescent="0.3">
      <c r="A1503" s="1" t="s">
        <v>1603</v>
      </c>
      <c r="B1503">
        <v>0.2207564523598366</v>
      </c>
      <c r="C1503">
        <v>3.3033724443169671E-3</v>
      </c>
      <c r="D1503">
        <v>5.0383374533874226E-3</v>
      </c>
      <c r="E1503">
        <v>55.098729434633221</v>
      </c>
      <c r="F1503">
        <v>3.232135806750414E-3</v>
      </c>
      <c r="G1503">
        <v>0.2</v>
      </c>
      <c r="H1503">
        <v>-6.9525252177727759E-2</v>
      </c>
      <c r="I1503">
        <v>0.149839554068917</v>
      </c>
      <c r="J1503">
        <v>-3.838408230739665E-3</v>
      </c>
      <c r="K1503">
        <v>3.420430691984055E-3</v>
      </c>
      <c r="L1503">
        <v>0</v>
      </c>
      <c r="M1503">
        <v>33053672.40735</v>
      </c>
      <c r="N1503">
        <v>0</v>
      </c>
      <c r="O1503" t="b">
        <v>0</v>
      </c>
    </row>
    <row r="1504" spans="1:15" x14ac:dyDescent="0.3">
      <c r="A1504" s="1" t="s">
        <v>1604</v>
      </c>
      <c r="B1504">
        <v>3.2531260947254239</v>
      </c>
      <c r="C1504">
        <v>1.514801027550068E-2</v>
      </c>
      <c r="D1504">
        <v>2.0050662146808389E-2</v>
      </c>
      <c r="E1504">
        <v>63.402730354087772</v>
      </c>
      <c r="F1504">
        <v>2.4736128872177469E-2</v>
      </c>
      <c r="G1504">
        <v>0.4</v>
      </c>
      <c r="H1504">
        <v>-5.2662343452986211E-2</v>
      </c>
      <c r="I1504">
        <v>1.3078812231070061</v>
      </c>
      <c r="J1504">
        <v>0</v>
      </c>
      <c r="K1504">
        <v>1.297610905403168E-2</v>
      </c>
      <c r="L1504">
        <v>0</v>
      </c>
      <c r="M1504">
        <v>81368775.956</v>
      </c>
      <c r="N1504">
        <v>0</v>
      </c>
      <c r="O1504" t="b">
        <v>0</v>
      </c>
    </row>
    <row r="1505" spans="1:15" x14ac:dyDescent="0.3">
      <c r="A1505" s="1" t="s">
        <v>1605</v>
      </c>
      <c r="B1505">
        <v>0.62843445782238061</v>
      </c>
      <c r="C1505">
        <v>8.4285172151793587E-3</v>
      </c>
      <c r="D1505">
        <v>1.2380550023135451E-2</v>
      </c>
      <c r="E1505">
        <v>62.606748272543399</v>
      </c>
      <c r="F1505">
        <v>1.064860813094981E-2</v>
      </c>
      <c r="G1505">
        <v>0.6</v>
      </c>
      <c r="H1505">
        <v>-3.0405779912226261E-2</v>
      </c>
      <c r="I1505">
        <v>0.79174340326086434</v>
      </c>
      <c r="J1505">
        <v>0</v>
      </c>
      <c r="K1505">
        <v>1.0782876997387669E-2</v>
      </c>
      <c r="L1505">
        <v>0</v>
      </c>
      <c r="M1505">
        <v>277363578.40705001</v>
      </c>
      <c r="N1505">
        <v>0</v>
      </c>
      <c r="O1505" t="b">
        <v>1</v>
      </c>
    </row>
    <row r="1506" spans="1:15" x14ac:dyDescent="0.3">
      <c r="A1506" s="1" t="s">
        <v>1606</v>
      </c>
      <c r="B1506">
        <v>1.460902763684035</v>
      </c>
      <c r="C1506">
        <v>1.001832882113271E-2</v>
      </c>
      <c r="D1506">
        <v>1.628686832667E-2</v>
      </c>
      <c r="E1506">
        <v>67.508361068834176</v>
      </c>
      <c r="F1506">
        <v>4.0841964011677279E-2</v>
      </c>
      <c r="G1506">
        <v>0.6</v>
      </c>
      <c r="H1506">
        <v>-2.8728076494177641E-2</v>
      </c>
      <c r="I1506">
        <v>0.66893420680166094</v>
      </c>
      <c r="J1506">
        <v>0</v>
      </c>
      <c r="K1506">
        <v>1.423037064342703E-2</v>
      </c>
      <c r="L1506">
        <v>0</v>
      </c>
      <c r="M1506">
        <v>155670836.40599999</v>
      </c>
      <c r="N1506">
        <v>0</v>
      </c>
      <c r="O1506" t="b">
        <v>1</v>
      </c>
    </row>
    <row r="1507" spans="1:15" x14ac:dyDescent="0.3">
      <c r="A1507" s="1" t="s">
        <v>1607</v>
      </c>
      <c r="B1507">
        <v>0.67486638245386987</v>
      </c>
      <c r="C1507">
        <v>7.6527349764517827E-3</v>
      </c>
      <c r="D1507">
        <v>1.166961308048982E-2</v>
      </c>
      <c r="E1507">
        <v>67.492659520376861</v>
      </c>
      <c r="F1507">
        <v>2.342641152079028E-2</v>
      </c>
      <c r="G1507">
        <v>0.6</v>
      </c>
      <c r="H1507">
        <v>-2.4419903379217241E-4</v>
      </c>
      <c r="I1507">
        <v>0.57065320877682602</v>
      </c>
      <c r="J1507">
        <v>0</v>
      </c>
      <c r="K1507">
        <v>1.054475907597574E-2</v>
      </c>
      <c r="L1507">
        <v>0</v>
      </c>
      <c r="M1507">
        <v>63797244.114800014</v>
      </c>
      <c r="N1507">
        <v>0</v>
      </c>
      <c r="O1507" t="b">
        <v>0</v>
      </c>
    </row>
    <row r="1508" spans="1:15" x14ac:dyDescent="0.3">
      <c r="A1508" s="1" t="s">
        <v>1608</v>
      </c>
      <c r="B1508">
        <v>0.72872300569226645</v>
      </c>
      <c r="C1508">
        <v>1.857130129289758E-2</v>
      </c>
      <c r="D1508">
        <v>1.452883850843026E-2</v>
      </c>
      <c r="E1508">
        <v>42.797219890488947</v>
      </c>
      <c r="F1508">
        <v>1.756428323427706E-3</v>
      </c>
      <c r="G1508">
        <v>0.4</v>
      </c>
      <c r="H1508">
        <v>-0.13513895251007871</v>
      </c>
      <c r="I1508">
        <v>0.12079368909739301</v>
      </c>
      <c r="J1508">
        <v>-4.2455892042265631E-2</v>
      </c>
      <c r="K1508">
        <v>-5.4821254324493029E-3</v>
      </c>
      <c r="L1508">
        <v>0</v>
      </c>
      <c r="M1508">
        <v>839877288.43404996</v>
      </c>
      <c r="N1508">
        <v>0</v>
      </c>
      <c r="O1508" t="b">
        <v>1</v>
      </c>
    </row>
    <row r="1509" spans="1:15" x14ac:dyDescent="0.3">
      <c r="A1509" s="1" t="s">
        <v>1609</v>
      </c>
      <c r="B1509">
        <v>5.5415946253456241</v>
      </c>
      <c r="C1509">
        <v>5.9389075397552497E-2</v>
      </c>
      <c r="D1509">
        <v>4.4261065266316679E-2</v>
      </c>
      <c r="E1509">
        <v>41.816238497885472</v>
      </c>
      <c r="F1509">
        <v>-0.17057777777777769</v>
      </c>
      <c r="G1509">
        <v>0.4</v>
      </c>
      <c r="H1509">
        <v>1.514497944864529E-2</v>
      </c>
      <c r="I1509">
        <v>2.003249707391725</v>
      </c>
      <c r="J1509">
        <v>-0.17094624611283871</v>
      </c>
      <c r="K1509">
        <v>-9.6582466567607383E-3</v>
      </c>
      <c r="L1509">
        <v>0</v>
      </c>
      <c r="M1509">
        <v>217283868</v>
      </c>
      <c r="N1509">
        <v>0</v>
      </c>
      <c r="O1509" t="b">
        <v>1</v>
      </c>
    </row>
    <row r="1510" spans="1:15" x14ac:dyDescent="0.3">
      <c r="A1510" s="1" t="s">
        <v>1610</v>
      </c>
      <c r="B1510">
        <v>4.6107338539767753</v>
      </c>
      <c r="C1510">
        <v>2.1413502078203851E-2</v>
      </c>
      <c r="D1510">
        <v>3.4465142416600453E-2</v>
      </c>
      <c r="E1510">
        <v>64.434796796308632</v>
      </c>
      <c r="F1510">
        <v>2.7805092269945542E-2</v>
      </c>
      <c r="G1510">
        <v>0.6</v>
      </c>
      <c r="H1510">
        <v>9.7900041646426419E-2</v>
      </c>
      <c r="I1510">
        <v>1.1562145064528171</v>
      </c>
      <c r="J1510">
        <v>0</v>
      </c>
      <c r="K1510">
        <v>2.8433461020414001E-2</v>
      </c>
      <c r="L1510">
        <v>0</v>
      </c>
      <c r="M1510">
        <v>183765839.51100001</v>
      </c>
      <c r="N1510">
        <v>0</v>
      </c>
      <c r="O1510" t="b">
        <v>1</v>
      </c>
    </row>
    <row r="1511" spans="1:15" x14ac:dyDescent="0.3">
      <c r="A1511" s="1" t="s">
        <v>1611</v>
      </c>
      <c r="B1511">
        <v>2.6045594313191001</v>
      </c>
      <c r="C1511">
        <v>2.9999532726550329E-2</v>
      </c>
      <c r="D1511">
        <v>5.7360055286800327E-2</v>
      </c>
      <c r="E1511">
        <v>66.116354637785875</v>
      </c>
      <c r="F1511">
        <v>9.6291020944689221E-2</v>
      </c>
      <c r="G1511">
        <v>0.6</v>
      </c>
      <c r="H1511">
        <v>-3.4037580485429923E-2</v>
      </c>
      <c r="I1511">
        <v>1.44731094738874</v>
      </c>
      <c r="J1511">
        <v>0</v>
      </c>
      <c r="K1511">
        <v>4.7791455467052879E-2</v>
      </c>
      <c r="L1511">
        <v>0</v>
      </c>
      <c r="M1511">
        <v>76597978.182899997</v>
      </c>
      <c r="N1511">
        <v>0</v>
      </c>
      <c r="O1511" t="b">
        <v>0</v>
      </c>
    </row>
    <row r="1512" spans="1:15" x14ac:dyDescent="0.3">
      <c r="A1512" s="1" t="s">
        <v>1612</v>
      </c>
      <c r="B1512">
        <v>10.04415279217015</v>
      </c>
      <c r="C1512">
        <v>2.5375556546334579E-2</v>
      </c>
      <c r="D1512">
        <v>2.877570612904852E-2</v>
      </c>
      <c r="E1512">
        <v>60.202777159224098</v>
      </c>
      <c r="F1512">
        <v>5.1119313806198052E-2</v>
      </c>
      <c r="G1512">
        <v>0.2</v>
      </c>
      <c r="H1512">
        <v>0.19622915415240849</v>
      </c>
      <c r="I1512">
        <v>0.55224498395135757</v>
      </c>
      <c r="J1512">
        <v>-4.0529403209385813E-2</v>
      </c>
      <c r="K1512">
        <v>2.5015537600994401E-2</v>
      </c>
      <c r="L1512">
        <v>0</v>
      </c>
      <c r="M1512">
        <v>185611935.5</v>
      </c>
      <c r="N1512">
        <v>0</v>
      </c>
      <c r="O1512" t="b">
        <v>1</v>
      </c>
    </row>
    <row r="1513" spans="1:15" x14ac:dyDescent="0.3">
      <c r="A1513" s="1" t="s">
        <v>1613</v>
      </c>
      <c r="B1513">
        <v>1.3274462189542999</v>
      </c>
      <c r="C1513">
        <v>4.3665994044549357E-2</v>
      </c>
      <c r="D1513">
        <v>4.243421052631588E-2</v>
      </c>
      <c r="E1513">
        <v>24.766566663543191</v>
      </c>
      <c r="F1513">
        <v>-0.15812794239822769</v>
      </c>
      <c r="G1513">
        <v>0.2</v>
      </c>
      <c r="H1513">
        <v>-0.209606605228736</v>
      </c>
      <c r="I1513">
        <v>1.2231439708974681</v>
      </c>
      <c r="J1513">
        <v>-0.1792656587473003</v>
      </c>
      <c r="K1513">
        <v>-9.8586920801846389E-4</v>
      </c>
      <c r="L1513">
        <v>0</v>
      </c>
      <c r="M1513">
        <v>60584883.75</v>
      </c>
      <c r="N1513">
        <v>0</v>
      </c>
      <c r="O1513" t="b">
        <v>0</v>
      </c>
    </row>
    <row r="1514" spans="1:15" x14ac:dyDescent="0.3">
      <c r="A1514" s="1" t="s">
        <v>1614</v>
      </c>
      <c r="B1514">
        <v>0.99761096105846414</v>
      </c>
      <c r="C1514">
        <v>3.378296515606042E-2</v>
      </c>
      <c r="D1514">
        <v>5.2488994243142469E-2</v>
      </c>
      <c r="E1514">
        <v>86.272359221848774</v>
      </c>
      <c r="F1514">
        <v>0.28503046127067022</v>
      </c>
      <c r="G1514">
        <v>0.8</v>
      </c>
      <c r="H1514">
        <v>0.27679288270211932</v>
      </c>
      <c r="I1514">
        <v>0.64811376819860278</v>
      </c>
      <c r="J1514">
        <v>0</v>
      </c>
      <c r="K1514">
        <v>4.4939844302901648E-2</v>
      </c>
      <c r="L1514">
        <v>0</v>
      </c>
      <c r="M1514">
        <v>479673772.5</v>
      </c>
      <c r="N1514">
        <v>0</v>
      </c>
      <c r="O1514" t="b">
        <v>1</v>
      </c>
    </row>
    <row r="1515" spans="1:15" x14ac:dyDescent="0.3">
      <c r="A1515" s="1" t="s">
        <v>1615</v>
      </c>
      <c r="B1515">
        <v>1.45681256769314</v>
      </c>
      <c r="C1515">
        <v>2.2891460837415781E-2</v>
      </c>
      <c r="D1515">
        <v>2.8598365807668141E-2</v>
      </c>
      <c r="E1515">
        <v>74.936614486524718</v>
      </c>
      <c r="F1515">
        <v>0.1167537631653757</v>
      </c>
      <c r="G1515">
        <v>0.8</v>
      </c>
      <c r="H1515">
        <v>1.685465384898918E-3</v>
      </c>
      <c r="I1515">
        <v>1.1770192573759011</v>
      </c>
      <c r="J1515">
        <v>0</v>
      </c>
      <c r="K1515">
        <v>2.1063035079387449E-2</v>
      </c>
      <c r="L1515">
        <v>0</v>
      </c>
      <c r="M1515">
        <v>66688252.976099998</v>
      </c>
      <c r="N1515">
        <v>0</v>
      </c>
      <c r="O1515" t="b">
        <v>0</v>
      </c>
    </row>
    <row r="1516" spans="1:15" x14ac:dyDescent="0.3">
      <c r="A1516" s="1" t="s">
        <v>1616</v>
      </c>
      <c r="B1516">
        <v>8.6645410220126049</v>
      </c>
      <c r="C1516">
        <v>3.1333435874300181E-2</v>
      </c>
      <c r="D1516">
        <v>5.0942584268443912E-2</v>
      </c>
      <c r="E1516">
        <v>66.524685993953341</v>
      </c>
      <c r="F1516">
        <v>6.2894943189680363E-2</v>
      </c>
      <c r="G1516">
        <v>0.6</v>
      </c>
      <c r="H1516">
        <v>0.14188080475983161</v>
      </c>
      <c r="I1516">
        <v>1.38729437382154</v>
      </c>
      <c r="J1516">
        <v>0</v>
      </c>
      <c r="K1516">
        <v>4.2102089653482937E-2</v>
      </c>
      <c r="L1516">
        <v>0</v>
      </c>
      <c r="M1516">
        <v>116964195.264</v>
      </c>
      <c r="N1516">
        <v>0</v>
      </c>
      <c r="O1516" t="b">
        <v>1</v>
      </c>
    </row>
    <row r="1517" spans="1:15" x14ac:dyDescent="0.3">
      <c r="A1517" s="1" t="s">
        <v>1617</v>
      </c>
      <c r="B1517">
        <v>2.6953397376615218</v>
      </c>
      <c r="C1517">
        <v>1.6042733990009651E-2</v>
      </c>
      <c r="D1517">
        <v>1.267781679661922E-2</v>
      </c>
      <c r="E1517">
        <v>39.834288463629207</v>
      </c>
      <c r="F1517">
        <v>1.247438833313241E-2</v>
      </c>
      <c r="G1517">
        <v>0</v>
      </c>
      <c r="H1517">
        <v>-0.1144663725270588</v>
      </c>
      <c r="I1517">
        <v>-0.20462272485388261</v>
      </c>
      <c r="J1517">
        <v>-5.0951816076371337E-2</v>
      </c>
      <c r="K1517">
        <v>-1.841730038022793E-3</v>
      </c>
      <c r="L1517">
        <v>0</v>
      </c>
      <c r="M1517">
        <v>188595005</v>
      </c>
      <c r="N1517">
        <v>0</v>
      </c>
      <c r="O1517" t="b">
        <v>1</v>
      </c>
    </row>
    <row r="1518" spans="1:15" x14ac:dyDescent="0.3">
      <c r="A1518" s="1" t="s">
        <v>1618</v>
      </c>
      <c r="B1518">
        <v>6.4035922250078219</v>
      </c>
      <c r="C1518">
        <v>2.8747888776690558E-2</v>
      </c>
      <c r="D1518">
        <v>1.4949494949495009E-2</v>
      </c>
      <c r="E1518">
        <v>48.963013581899659</v>
      </c>
      <c r="F1518">
        <v>-2.2897749703908451E-2</v>
      </c>
      <c r="G1518">
        <v>1</v>
      </c>
      <c r="H1518">
        <v>-3.8563566756972652E-2</v>
      </c>
      <c r="I1518">
        <v>0.93633250655137079</v>
      </c>
      <c r="J1518">
        <v>-4.6814155505156441E-2</v>
      </c>
      <c r="K1518">
        <v>2.249718785151789E-3</v>
      </c>
      <c r="L1518">
        <v>0</v>
      </c>
      <c r="M1518">
        <v>521701971</v>
      </c>
      <c r="N1518">
        <v>0</v>
      </c>
      <c r="O1518" t="b">
        <v>1</v>
      </c>
    </row>
    <row r="1519" spans="1:15" x14ac:dyDescent="0.3">
      <c r="A1519" s="1" t="s">
        <v>1619</v>
      </c>
      <c r="B1519">
        <v>9.6144154214273669</v>
      </c>
      <c r="C1519">
        <v>5.2840975110895118E-2</v>
      </c>
      <c r="D1519">
        <v>7.4580928826600681E-2</v>
      </c>
      <c r="E1519">
        <v>69.046728680229052</v>
      </c>
      <c r="F1519">
        <v>4.5209099264705843E-2</v>
      </c>
      <c r="G1519">
        <v>0.8</v>
      </c>
      <c r="H1519">
        <v>0.26027223306157171</v>
      </c>
      <c r="I1519">
        <v>2.5810845142900072</v>
      </c>
      <c r="J1519">
        <v>0</v>
      </c>
      <c r="K1519">
        <v>7.3198065353308861E-2</v>
      </c>
      <c r="L1519">
        <v>0</v>
      </c>
      <c r="M1519">
        <v>441040275.58749998</v>
      </c>
      <c r="N1519">
        <v>0</v>
      </c>
      <c r="O1519" t="b">
        <v>1</v>
      </c>
    </row>
    <row r="1520" spans="1:15" x14ac:dyDescent="0.3">
      <c r="A1520" s="1" t="s">
        <v>1620</v>
      </c>
      <c r="B1520">
        <v>0.27447004848158751</v>
      </c>
      <c r="C1520">
        <v>1.6654735951552639E-2</v>
      </c>
      <c r="D1520">
        <v>1.8203883495145678E-2</v>
      </c>
      <c r="E1520">
        <v>49.507724112511831</v>
      </c>
      <c r="F1520">
        <v>-4.2417199302731023E-2</v>
      </c>
      <c r="G1520">
        <v>0.4</v>
      </c>
      <c r="H1520">
        <v>-4.6902641311449028E-2</v>
      </c>
      <c r="I1520">
        <v>0.51834804398565459</v>
      </c>
      <c r="J1520">
        <v>-6.3636363636363713E-2</v>
      </c>
      <c r="K1520">
        <v>0</v>
      </c>
      <c r="L1520">
        <v>0</v>
      </c>
      <c r="M1520">
        <v>11753141.5</v>
      </c>
      <c r="N1520">
        <v>0</v>
      </c>
      <c r="O1520" t="b">
        <v>0</v>
      </c>
    </row>
    <row r="1521" spans="1:15" x14ac:dyDescent="0.3">
      <c r="A1521" s="1" t="s">
        <v>1621</v>
      </c>
      <c r="B1521">
        <v>1.536029415269881</v>
      </c>
      <c r="C1521">
        <v>1.4942792529426629E-2</v>
      </c>
      <c r="D1521">
        <v>1.100258769967119E-2</v>
      </c>
      <c r="E1521">
        <v>23.684373492011829</v>
      </c>
      <c r="F1521">
        <v>-7.0494619766705902E-2</v>
      </c>
      <c r="G1521">
        <v>0</v>
      </c>
      <c r="H1521">
        <v>-0.1247973519919697</v>
      </c>
      <c r="I1521">
        <v>-1.1306421651401831E-2</v>
      </c>
      <c r="J1521">
        <v>-7.6440674920486673E-2</v>
      </c>
      <c r="K1521">
        <v>-9.3576832265215293E-3</v>
      </c>
      <c r="L1521">
        <v>0</v>
      </c>
      <c r="M1521">
        <v>222347681.646</v>
      </c>
      <c r="N1521">
        <v>0</v>
      </c>
      <c r="O1521" t="b">
        <v>1</v>
      </c>
    </row>
    <row r="1522" spans="1:15" x14ac:dyDescent="0.3">
      <c r="A1522" s="1" t="s">
        <v>1622</v>
      </c>
      <c r="B1522">
        <v>4.1328088080098002</v>
      </c>
      <c r="C1522">
        <v>2.1629815292875911E-2</v>
      </c>
      <c r="D1522">
        <v>3.3966609096142818E-2</v>
      </c>
      <c r="E1522">
        <v>42.665639449597542</v>
      </c>
      <c r="F1522">
        <v>5.2339579189819567E-5</v>
      </c>
      <c r="G1522">
        <v>0.4</v>
      </c>
      <c r="H1522">
        <v>9.6771552597821081E-2</v>
      </c>
      <c r="I1522">
        <v>0.228293285946917</v>
      </c>
      <c r="J1522">
        <v>-8.2364806454711337E-2</v>
      </c>
      <c r="K1522">
        <v>-2.415730337078659E-2</v>
      </c>
      <c r="L1522">
        <v>0</v>
      </c>
      <c r="M1522">
        <v>416948891.88700002</v>
      </c>
      <c r="N1522">
        <v>0</v>
      </c>
      <c r="O1522" t="b">
        <v>1</v>
      </c>
    </row>
    <row r="1523" spans="1:15" x14ac:dyDescent="0.3">
      <c r="A1523" s="1" t="s">
        <v>1623</v>
      </c>
      <c r="B1523">
        <v>0.70123971192124313</v>
      </c>
      <c r="C1523">
        <v>1.8464512382825791E-2</v>
      </c>
      <c r="D1523">
        <v>1.5709218831050909E-2</v>
      </c>
      <c r="E1523">
        <v>49.397573464925188</v>
      </c>
      <c r="F1523">
        <v>-8.6817383314670149E-3</v>
      </c>
      <c r="G1523">
        <v>0.2</v>
      </c>
      <c r="H1523">
        <v>-1.1295784806749891E-2</v>
      </c>
      <c r="I1523">
        <v>0.33297584184017193</v>
      </c>
      <c r="J1523">
        <v>-3.6478035290685162E-2</v>
      </c>
      <c r="K1523">
        <v>-7.7353968074389545E-4</v>
      </c>
      <c r="L1523">
        <v>0</v>
      </c>
      <c r="M1523">
        <v>44186221.572149999</v>
      </c>
      <c r="N1523">
        <v>0</v>
      </c>
      <c r="O1523" t="b">
        <v>0</v>
      </c>
    </row>
    <row r="1524" spans="1:15" x14ac:dyDescent="0.3">
      <c r="A1524" s="1" t="s">
        <v>1624</v>
      </c>
      <c r="B1524">
        <v>1.40265350210693</v>
      </c>
      <c r="C1524">
        <v>2.4534782265295259E-2</v>
      </c>
      <c r="D1524">
        <v>1.7491691446562881E-2</v>
      </c>
      <c r="E1524">
        <v>56.011589042431531</v>
      </c>
      <c r="F1524">
        <v>4.2107181917608427E-2</v>
      </c>
      <c r="G1524">
        <v>0.4</v>
      </c>
      <c r="H1524">
        <v>-6.4570471485827846E-3</v>
      </c>
      <c r="I1524">
        <v>0.8986520071883195</v>
      </c>
      <c r="J1524">
        <v>-3.7217918491074482E-2</v>
      </c>
      <c r="K1524">
        <v>-5.566185423551917E-3</v>
      </c>
      <c r="L1524">
        <v>0</v>
      </c>
      <c r="M1524">
        <v>2196898.4215000002</v>
      </c>
      <c r="N1524">
        <v>1</v>
      </c>
      <c r="O1524" t="b">
        <v>0</v>
      </c>
    </row>
    <row r="1525" spans="1:15" x14ac:dyDescent="0.3">
      <c r="A1525" s="1" t="s">
        <v>1625</v>
      </c>
      <c r="B1525">
        <v>1.981441915695334</v>
      </c>
      <c r="C1525">
        <v>2.195588655178133E-2</v>
      </c>
      <c r="D1525">
        <v>2.955128453735046E-2</v>
      </c>
      <c r="E1525">
        <v>66.959187619291043</v>
      </c>
      <c r="F1525">
        <v>5.3310675090366473E-2</v>
      </c>
      <c r="G1525">
        <v>0.6</v>
      </c>
      <c r="H1525">
        <v>8.2046619805998755E-2</v>
      </c>
      <c r="I1525">
        <v>0.94999772383652048</v>
      </c>
      <c r="J1525">
        <v>0</v>
      </c>
      <c r="K1525">
        <v>2.0249775875498699E-2</v>
      </c>
      <c r="L1525">
        <v>0</v>
      </c>
      <c r="M1525">
        <v>1183553922.0255001</v>
      </c>
      <c r="N1525">
        <v>0</v>
      </c>
      <c r="O1525" t="b">
        <v>1</v>
      </c>
    </row>
    <row r="1526" spans="1:15" x14ac:dyDescent="0.3">
      <c r="A1526" s="1" t="s">
        <v>1626</v>
      </c>
      <c r="B1526">
        <v>12.90743764901058</v>
      </c>
      <c r="C1526">
        <v>5.2193439745291469E-2</v>
      </c>
      <c r="D1526">
        <v>4.4245855236554707E-2</v>
      </c>
      <c r="E1526">
        <v>47.736622155674659</v>
      </c>
      <c r="F1526">
        <v>4.0439567836828123E-2</v>
      </c>
      <c r="G1526">
        <v>0.2</v>
      </c>
      <c r="H1526">
        <v>-5.8509991515010552E-2</v>
      </c>
      <c r="I1526">
        <v>1.289945756811292</v>
      </c>
      <c r="J1526">
        <v>-0.1004328689389256</v>
      </c>
      <c r="K1526">
        <v>-7.6770778617318847E-4</v>
      </c>
      <c r="L1526">
        <v>0</v>
      </c>
      <c r="M1526">
        <v>198717833.02000001</v>
      </c>
      <c r="N1526">
        <v>0</v>
      </c>
      <c r="O1526" t="b">
        <v>1</v>
      </c>
    </row>
    <row r="1527" spans="1:15" x14ac:dyDescent="0.3">
      <c r="A1527" s="1" t="s">
        <v>1627</v>
      </c>
      <c r="B1527">
        <v>4.8096747343692639E-2</v>
      </c>
      <c r="C1527">
        <v>1.6642473129305412E-2</v>
      </c>
      <c r="D1527">
        <v>2.0761245674740501E-2</v>
      </c>
      <c r="E1527">
        <v>76.11060676673236</v>
      </c>
      <c r="F1527">
        <v>0.10305343511450379</v>
      </c>
      <c r="G1527">
        <v>0.8</v>
      </c>
      <c r="H1527">
        <v>-1.170277933038423E-2</v>
      </c>
      <c r="I1527">
        <v>0.39193342467567072</v>
      </c>
      <c r="J1527">
        <v>0</v>
      </c>
      <c r="K1527">
        <v>1.048951048951063E-2</v>
      </c>
      <c r="L1527">
        <v>0</v>
      </c>
      <c r="M1527">
        <v>17001371.548390001</v>
      </c>
      <c r="N1527">
        <v>0</v>
      </c>
      <c r="O1527" t="b">
        <v>0</v>
      </c>
    </row>
    <row r="1528" spans="1:15" x14ac:dyDescent="0.3">
      <c r="A1528" s="1" t="s">
        <v>1628</v>
      </c>
      <c r="B1528">
        <v>2.950211432502396</v>
      </c>
      <c r="C1528">
        <v>4.0563886051181032E-2</v>
      </c>
      <c r="D1528">
        <v>6.3110133369998475E-2</v>
      </c>
      <c r="E1528">
        <v>64.26909708883683</v>
      </c>
      <c r="F1528">
        <v>0.12567539749977169</v>
      </c>
      <c r="G1528">
        <v>0.6</v>
      </c>
      <c r="H1528">
        <v>-0.14894360425607281</v>
      </c>
      <c r="I1528">
        <v>1.810860289405315</v>
      </c>
      <c r="J1528">
        <v>0</v>
      </c>
      <c r="K1528">
        <v>6.2682641729982613E-2</v>
      </c>
      <c r="L1528">
        <v>0</v>
      </c>
      <c r="M1528">
        <v>83881520.408600003</v>
      </c>
      <c r="N1528">
        <v>0</v>
      </c>
      <c r="O1528" t="b">
        <v>0</v>
      </c>
    </row>
    <row r="1529" spans="1:15" x14ac:dyDescent="0.3">
      <c r="A1529" s="1" t="s">
        <v>1629</v>
      </c>
      <c r="B1529">
        <v>3.501081812824629</v>
      </c>
      <c r="C1529">
        <v>1.6739573573151461E-2</v>
      </c>
      <c r="D1529">
        <v>1.0662204159693951E-2</v>
      </c>
      <c r="E1529">
        <v>45.829077322927184</v>
      </c>
      <c r="F1529">
        <v>4.7331470520485919E-2</v>
      </c>
      <c r="G1529">
        <v>0.2</v>
      </c>
      <c r="H1529">
        <v>-9.114466968090984E-2</v>
      </c>
      <c r="I1529">
        <v>-0.31907272415857751</v>
      </c>
      <c r="J1529">
        <v>-3.6312784809543357E-2</v>
      </c>
      <c r="K1529">
        <v>-7.6441641584246156E-4</v>
      </c>
      <c r="L1529">
        <v>0</v>
      </c>
      <c r="M1529">
        <v>359787731.58749998</v>
      </c>
      <c r="N1529">
        <v>0</v>
      </c>
      <c r="O1529" t="b">
        <v>1</v>
      </c>
    </row>
    <row r="1530" spans="1:15" x14ac:dyDescent="0.3">
      <c r="A1530" s="1" t="s">
        <v>1630</v>
      </c>
      <c r="B1530">
        <v>1.4448331647147501</v>
      </c>
      <c r="C1530">
        <v>2.4079188257911222E-2</v>
      </c>
      <c r="D1530">
        <v>2.5785205505021329E-2</v>
      </c>
      <c r="E1530">
        <v>49.337418200440837</v>
      </c>
      <c r="F1530">
        <v>-1.650510959592455E-3</v>
      </c>
      <c r="G1530">
        <v>0.2</v>
      </c>
      <c r="H1530">
        <v>-1.2671305437141161E-2</v>
      </c>
      <c r="I1530">
        <v>0.32924057104898707</v>
      </c>
      <c r="J1530">
        <v>-4.9639279350623733E-2</v>
      </c>
      <c r="K1530">
        <v>-1.7059602128273069E-2</v>
      </c>
      <c r="L1530">
        <v>0</v>
      </c>
      <c r="M1530">
        <v>402127121.99204999</v>
      </c>
      <c r="N1530">
        <v>0</v>
      </c>
      <c r="O1530" t="b">
        <v>1</v>
      </c>
    </row>
    <row r="1531" spans="1:15" x14ac:dyDescent="0.3">
      <c r="A1531" s="1" t="s">
        <v>1631</v>
      </c>
      <c r="B1531">
        <v>0.87886416908422926</v>
      </c>
      <c r="C1531">
        <v>3.1625308802270942E-2</v>
      </c>
      <c r="D1531">
        <v>2.6815497716796411E-2</v>
      </c>
      <c r="E1531">
        <v>38.954092341252071</v>
      </c>
      <c r="F1531">
        <v>-5.54271496842349E-2</v>
      </c>
      <c r="G1531">
        <v>0.6</v>
      </c>
      <c r="H1531">
        <v>-0.2193820469458248</v>
      </c>
      <c r="I1531">
        <v>8.3839249475622005E-2</v>
      </c>
      <c r="J1531">
        <v>-8.8628641891094206E-2</v>
      </c>
      <c r="K1531">
        <v>1.30394208266198E-2</v>
      </c>
      <c r="L1531">
        <v>0</v>
      </c>
      <c r="M1531">
        <v>50831469.633699998</v>
      </c>
      <c r="N1531">
        <v>0</v>
      </c>
      <c r="O1531" t="b">
        <v>0</v>
      </c>
    </row>
    <row r="1532" spans="1:15" x14ac:dyDescent="0.3">
      <c r="A1532" s="1" t="s">
        <v>1632</v>
      </c>
      <c r="B1532">
        <v>4.3181444009054522</v>
      </c>
      <c r="C1532">
        <v>2.8864601610330561E-2</v>
      </c>
      <c r="D1532">
        <v>4.0594919786096119E-2</v>
      </c>
      <c r="E1532">
        <v>54.780572145832593</v>
      </c>
      <c r="F1532">
        <v>1.6124869248638211E-2</v>
      </c>
      <c r="G1532">
        <v>0.2</v>
      </c>
      <c r="H1532">
        <v>-1.241548773773174E-2</v>
      </c>
      <c r="I1532">
        <v>0.74970926212996658</v>
      </c>
      <c r="J1532">
        <v>-2.4192969753895729E-2</v>
      </c>
      <c r="K1532">
        <v>3.3149171270718147E-2</v>
      </c>
      <c r="L1532">
        <v>0</v>
      </c>
      <c r="M1532">
        <v>80872306.344999999</v>
      </c>
      <c r="N1532">
        <v>1</v>
      </c>
      <c r="O1532" t="b">
        <v>0</v>
      </c>
    </row>
    <row r="1533" spans="1:15" x14ac:dyDescent="0.3">
      <c r="A1533" s="1" t="s">
        <v>1633</v>
      </c>
      <c r="B1533">
        <v>2.3366384102804481</v>
      </c>
      <c r="C1533">
        <v>2.068736972359848E-2</v>
      </c>
      <c r="D1533">
        <v>2.8632138114209778E-2</v>
      </c>
      <c r="E1533">
        <v>63.125244408458677</v>
      </c>
      <c r="F1533">
        <v>0.105056157789692</v>
      </c>
      <c r="G1533">
        <v>0.6</v>
      </c>
      <c r="H1533">
        <v>5.0410713345714488E-2</v>
      </c>
      <c r="I1533">
        <v>-0.31265603101507577</v>
      </c>
      <c r="J1533">
        <v>-1.6765904105296211E-2</v>
      </c>
      <c r="K1533">
        <v>-1.6337763224356761E-2</v>
      </c>
      <c r="L1533">
        <v>0</v>
      </c>
      <c r="M1533">
        <v>1573054612.4495001</v>
      </c>
      <c r="N1533">
        <v>0</v>
      </c>
      <c r="O1533" t="b">
        <v>1</v>
      </c>
    </row>
    <row r="1534" spans="1:15" x14ac:dyDescent="0.3">
      <c r="A1534" s="1" t="s">
        <v>1634</v>
      </c>
      <c r="B1534">
        <v>0.96550065215569059</v>
      </c>
      <c r="C1534">
        <v>1.483789973790786E-2</v>
      </c>
      <c r="D1534">
        <v>1.81819858336957E-2</v>
      </c>
      <c r="E1534">
        <v>44.7915405705537</v>
      </c>
      <c r="F1534">
        <v>-1.2861492436780919E-2</v>
      </c>
      <c r="G1534">
        <v>0.4</v>
      </c>
      <c r="H1534">
        <v>-0.1055718048948074</v>
      </c>
      <c r="I1534">
        <v>0.16391075722504139</v>
      </c>
      <c r="J1534">
        <v>-2.7838202864945871E-2</v>
      </c>
      <c r="K1534">
        <v>1.4760602213856441E-2</v>
      </c>
      <c r="L1534">
        <v>0</v>
      </c>
      <c r="M1534">
        <v>71706224.723250002</v>
      </c>
      <c r="N1534">
        <v>0</v>
      </c>
      <c r="O1534" t="b">
        <v>0</v>
      </c>
    </row>
    <row r="1535" spans="1:15" x14ac:dyDescent="0.3">
      <c r="A1535" s="1" t="s">
        <v>1635</v>
      </c>
      <c r="B1535">
        <v>3.6626385251226852</v>
      </c>
      <c r="C1535">
        <v>3.2461566295512577E-2</v>
      </c>
      <c r="D1535">
        <v>4.1744216963573458E-2</v>
      </c>
      <c r="E1535">
        <v>63.212662274286608</v>
      </c>
      <c r="F1535">
        <v>0.10282474831394769</v>
      </c>
      <c r="G1535">
        <v>0.6</v>
      </c>
      <c r="H1535">
        <v>1.3326877649512891E-2</v>
      </c>
      <c r="I1535">
        <v>0.65880527592302496</v>
      </c>
      <c r="J1535">
        <v>0</v>
      </c>
      <c r="K1535">
        <v>3.2579848082730838E-2</v>
      </c>
      <c r="L1535">
        <v>0</v>
      </c>
      <c r="M1535">
        <v>154026220</v>
      </c>
      <c r="N1535">
        <v>0</v>
      </c>
      <c r="O1535" t="b">
        <v>1</v>
      </c>
    </row>
    <row r="1536" spans="1:15" x14ac:dyDescent="0.3">
      <c r="A1536" s="1" t="s">
        <v>1636</v>
      </c>
      <c r="B1536">
        <v>1.6732191835795831</v>
      </c>
      <c r="C1536">
        <v>2.5150827833036959E-2</v>
      </c>
      <c r="D1536">
        <v>1.9973725111758479E-2</v>
      </c>
      <c r="E1536">
        <v>27.016091216394742</v>
      </c>
      <c r="F1536">
        <v>-0.1087804564379833</v>
      </c>
      <c r="G1536">
        <v>0.4</v>
      </c>
      <c r="H1536">
        <v>-0.1126106510604017</v>
      </c>
      <c r="I1536">
        <v>-8.6413546075962883E-2</v>
      </c>
      <c r="J1536">
        <v>-0.13457027972437341</v>
      </c>
      <c r="K1536">
        <v>9.7104766298969913E-3</v>
      </c>
      <c r="L1536">
        <v>0</v>
      </c>
      <c r="M1536">
        <v>119539307.71179999</v>
      </c>
      <c r="N1536">
        <v>0</v>
      </c>
      <c r="O1536" t="b">
        <v>1</v>
      </c>
    </row>
    <row r="1537" spans="1:15" x14ac:dyDescent="0.3">
      <c r="A1537" s="1" t="s">
        <v>1637</v>
      </c>
      <c r="B1537">
        <v>6.1207584397686583</v>
      </c>
      <c r="C1537">
        <v>3.2816968558423372E-2</v>
      </c>
      <c r="D1537">
        <v>4.5696791627348347E-2</v>
      </c>
      <c r="E1537">
        <v>55.265473589384023</v>
      </c>
      <c r="F1537">
        <v>-3.8786217132726668E-2</v>
      </c>
      <c r="G1537">
        <v>0.8</v>
      </c>
      <c r="H1537">
        <v>-9.7513181172322022E-2</v>
      </c>
      <c r="I1537">
        <v>1.0377021863517</v>
      </c>
      <c r="J1537">
        <v>-2.496249091679004E-2</v>
      </c>
      <c r="K1537">
        <v>3.6678839216732539E-2</v>
      </c>
      <c r="L1537">
        <v>0</v>
      </c>
      <c r="M1537">
        <v>243801010.66249999</v>
      </c>
      <c r="N1537">
        <v>0</v>
      </c>
      <c r="O1537" t="b">
        <v>1</v>
      </c>
    </row>
    <row r="1538" spans="1:15" x14ac:dyDescent="0.3">
      <c r="A1538" s="1" t="s">
        <v>1638</v>
      </c>
      <c r="B1538">
        <v>11.01010566082415</v>
      </c>
      <c r="C1538">
        <v>3.1262012507025087E-2</v>
      </c>
      <c r="D1538">
        <v>4.6395675037195973E-2</v>
      </c>
      <c r="E1538">
        <v>53.867062345137157</v>
      </c>
      <c r="F1538">
        <v>1.1711781586907669E-2</v>
      </c>
      <c r="G1538">
        <v>0.2</v>
      </c>
      <c r="H1538">
        <v>-0.111688003134294</v>
      </c>
      <c r="I1538">
        <v>1.1881688082491131</v>
      </c>
      <c r="J1538">
        <v>-2.4444060489844381E-3</v>
      </c>
      <c r="K1538">
        <v>4.7227962712418803E-2</v>
      </c>
      <c r="L1538">
        <v>0</v>
      </c>
      <c r="M1538">
        <v>129805044.846</v>
      </c>
      <c r="N1538">
        <v>0</v>
      </c>
      <c r="O1538" t="b">
        <v>1</v>
      </c>
    </row>
    <row r="1539" spans="1:15" x14ac:dyDescent="0.3">
      <c r="A1539" s="1" t="s">
        <v>1639</v>
      </c>
      <c r="B1539">
        <v>8.1666233692879526</v>
      </c>
      <c r="C1539">
        <v>3.0619173087808579E-2</v>
      </c>
      <c r="D1539">
        <v>1.9852577273204521E-2</v>
      </c>
      <c r="E1539">
        <v>44.835739937325258</v>
      </c>
      <c r="F1539">
        <v>-3.0123636363636349E-2</v>
      </c>
      <c r="G1539">
        <v>0.2</v>
      </c>
      <c r="H1539">
        <v>-1.3986514299052901E-2</v>
      </c>
      <c r="I1539">
        <v>0.78112007831979224</v>
      </c>
      <c r="J1539">
        <v>-6.1024467523323363E-2</v>
      </c>
      <c r="K1539">
        <v>3.34428030260292E-3</v>
      </c>
      <c r="L1539">
        <v>0</v>
      </c>
      <c r="M1539">
        <v>154495669.24900001</v>
      </c>
      <c r="N1539">
        <v>0</v>
      </c>
      <c r="O1539" t="b">
        <v>1</v>
      </c>
    </row>
    <row r="1540" spans="1:15" x14ac:dyDescent="0.3">
      <c r="A1540" s="1" t="s">
        <v>1640</v>
      </c>
      <c r="B1540">
        <v>3.267716393431412</v>
      </c>
      <c r="C1540">
        <v>2.3251313823432731E-2</v>
      </c>
      <c r="D1540">
        <v>3.829541977671682E-2</v>
      </c>
      <c r="E1540">
        <v>66.934283972743174</v>
      </c>
      <c r="F1540">
        <v>7.1581612034982367E-2</v>
      </c>
      <c r="G1540">
        <v>0.6</v>
      </c>
      <c r="H1540">
        <v>9.523388768090769E-4</v>
      </c>
      <c r="I1540">
        <v>1.2128786751142691</v>
      </c>
      <c r="J1540">
        <v>0</v>
      </c>
      <c r="K1540">
        <v>3.5774035449754882E-2</v>
      </c>
      <c r="L1540">
        <v>0</v>
      </c>
      <c r="M1540">
        <v>50709739.162</v>
      </c>
      <c r="N1540">
        <v>0</v>
      </c>
      <c r="O1540" t="b">
        <v>0</v>
      </c>
    </row>
    <row r="1541" spans="1:15" x14ac:dyDescent="0.3">
      <c r="A1541" s="1" t="s">
        <v>1641</v>
      </c>
      <c r="B1541">
        <v>0.84189377648190233</v>
      </c>
      <c r="C1541">
        <v>2.2865494181923181E-2</v>
      </c>
      <c r="D1541">
        <v>1.372374346132741E-2</v>
      </c>
      <c r="E1541">
        <v>34.955018115738312</v>
      </c>
      <c r="F1541">
        <v>-4.5189564856594422E-2</v>
      </c>
      <c r="G1541">
        <v>0.2</v>
      </c>
      <c r="H1541">
        <v>-5.7896434469208807E-2</v>
      </c>
      <c r="I1541">
        <v>-0.23145451298533279</v>
      </c>
      <c r="J1541">
        <v>-7.3779378803238926E-2</v>
      </c>
      <c r="K1541">
        <v>-1.8786240772918909E-3</v>
      </c>
      <c r="L1541">
        <v>0</v>
      </c>
      <c r="M1541">
        <v>63040645.340750001</v>
      </c>
      <c r="N1541">
        <v>0</v>
      </c>
      <c r="O1541" t="b">
        <v>0</v>
      </c>
    </row>
    <row r="1542" spans="1:15" x14ac:dyDescent="0.3">
      <c r="A1542" s="1" t="s">
        <v>1642</v>
      </c>
      <c r="B1542">
        <v>6.1687866306412582</v>
      </c>
      <c r="C1542">
        <v>2.2436846696156469E-2</v>
      </c>
      <c r="D1542">
        <v>3.7099003418927717E-2</v>
      </c>
      <c r="E1542">
        <v>52.855140731883303</v>
      </c>
      <c r="F1542">
        <v>-1.416482039734102E-3</v>
      </c>
      <c r="G1542">
        <v>0.2</v>
      </c>
      <c r="H1542">
        <v>-8.3456068994065519E-2</v>
      </c>
      <c r="I1542">
        <v>0.89176373827769173</v>
      </c>
      <c r="J1542">
        <v>-8.460578608368241E-3</v>
      </c>
      <c r="K1542">
        <v>2.850516235223699E-2</v>
      </c>
      <c r="L1542">
        <v>0</v>
      </c>
      <c r="M1542">
        <v>38669317.762000002</v>
      </c>
      <c r="N1542">
        <v>0</v>
      </c>
      <c r="O1542" t="b">
        <v>0</v>
      </c>
    </row>
    <row r="1543" spans="1:15" x14ac:dyDescent="0.3">
      <c r="A1543" s="1" t="s">
        <v>1643</v>
      </c>
      <c r="B1543">
        <v>5.7612239935243013</v>
      </c>
      <c r="C1543">
        <v>1.8340195630244392E-2</v>
      </c>
      <c r="D1543">
        <v>3.2604231992385227E-2</v>
      </c>
      <c r="E1543">
        <v>40.772816227930583</v>
      </c>
      <c r="F1543">
        <v>-2.0553561796316622E-2</v>
      </c>
      <c r="G1543">
        <v>0.6</v>
      </c>
      <c r="H1543">
        <v>-0.13937871352501319</v>
      </c>
      <c r="I1543">
        <v>-0.11268527838433259</v>
      </c>
      <c r="J1543">
        <v>-2.8679121599475721E-2</v>
      </c>
      <c r="K1543">
        <v>-2.2406801709141218E-2</v>
      </c>
      <c r="L1543">
        <v>0</v>
      </c>
      <c r="M1543">
        <v>187140213.43450001</v>
      </c>
      <c r="N1543">
        <v>0</v>
      </c>
      <c r="O1543" t="b">
        <v>1</v>
      </c>
    </row>
    <row r="1544" spans="1:15" x14ac:dyDescent="0.3">
      <c r="A1544" s="1" t="s">
        <v>1644</v>
      </c>
      <c r="B1544">
        <v>9.371912808260829</v>
      </c>
      <c r="C1544">
        <v>3.2322179140277317E-2</v>
      </c>
      <c r="D1544">
        <v>2.0334330046593619E-2</v>
      </c>
      <c r="E1544">
        <v>57.638625977605543</v>
      </c>
      <c r="F1544">
        <v>7.0032032357109086E-2</v>
      </c>
      <c r="G1544">
        <v>0.6</v>
      </c>
      <c r="H1544">
        <v>0.119217404453983</v>
      </c>
      <c r="I1544">
        <v>1.244551130512499</v>
      </c>
      <c r="J1544">
        <v>-4.3700095315679643E-2</v>
      </c>
      <c r="K1544">
        <v>8.4444830884271571E-3</v>
      </c>
      <c r="L1544">
        <v>0</v>
      </c>
      <c r="M1544">
        <v>103658339.7</v>
      </c>
      <c r="N1544">
        <v>0</v>
      </c>
      <c r="O1544" t="b">
        <v>1</v>
      </c>
    </row>
    <row r="1545" spans="1:15" x14ac:dyDescent="0.3">
      <c r="A1545" s="1" t="s">
        <v>1645</v>
      </c>
      <c r="B1545">
        <v>0.57346452135324011</v>
      </c>
      <c r="C1545">
        <v>2.4900760805611811E-2</v>
      </c>
      <c r="D1545">
        <v>4.2987407729048993E-2</v>
      </c>
      <c r="E1545">
        <v>59.81593313333785</v>
      </c>
      <c r="F1545">
        <v>2.5104602510460209E-2</v>
      </c>
      <c r="G1545">
        <v>0.6</v>
      </c>
      <c r="H1545">
        <v>-0.15110093103875541</v>
      </c>
      <c r="I1545">
        <v>0.24912183567496729</v>
      </c>
      <c r="J1545">
        <v>0</v>
      </c>
      <c r="K1545">
        <v>4.1139240506329111E-2</v>
      </c>
      <c r="L1545">
        <v>0</v>
      </c>
      <c r="M1545">
        <v>103621077.61489999</v>
      </c>
      <c r="N1545">
        <v>0</v>
      </c>
      <c r="O1545" t="b">
        <v>1</v>
      </c>
    </row>
    <row r="1546" spans="1:15" x14ac:dyDescent="0.3">
      <c r="A1546" s="1" t="s">
        <v>1646</v>
      </c>
      <c r="B1546">
        <v>4.5470194658186474</v>
      </c>
      <c r="C1546">
        <v>3.6788183380409768E-2</v>
      </c>
      <c r="D1546">
        <v>1.3915857605177979E-2</v>
      </c>
      <c r="E1546">
        <v>47.6704851958144</v>
      </c>
      <c r="F1546">
        <v>-3.897739730820371E-2</v>
      </c>
      <c r="G1546">
        <v>0.2</v>
      </c>
      <c r="H1546">
        <v>-1.808793748093751E-2</v>
      </c>
      <c r="I1546">
        <v>0.96333232923557932</v>
      </c>
      <c r="J1546">
        <v>-7.1305131865654903E-2</v>
      </c>
      <c r="K1546">
        <v>-4.9911447431976166E-3</v>
      </c>
      <c r="L1546">
        <v>0</v>
      </c>
      <c r="M1546">
        <v>187929209.04069999</v>
      </c>
      <c r="N1546">
        <v>0</v>
      </c>
      <c r="O1546" t="b">
        <v>1</v>
      </c>
    </row>
    <row r="1547" spans="1:15" x14ac:dyDescent="0.3">
      <c r="A1547" s="1" t="s">
        <v>1647</v>
      </c>
      <c r="B1547">
        <v>5.0522243058469396</v>
      </c>
      <c r="C1547">
        <v>2.1624154914213191E-2</v>
      </c>
      <c r="D1547">
        <v>2.5496708583363979E-2</v>
      </c>
      <c r="E1547">
        <v>53.442785505270827</v>
      </c>
      <c r="F1547">
        <v>-1.4085814597258771E-2</v>
      </c>
      <c r="G1547">
        <v>0.6</v>
      </c>
      <c r="H1547">
        <v>2.470998653596564E-2</v>
      </c>
      <c r="I1547">
        <v>1.3933796416585751</v>
      </c>
      <c r="J1547">
        <v>-9.9916947744876916E-3</v>
      </c>
      <c r="K1547">
        <v>1.124918303836164E-2</v>
      </c>
      <c r="L1547">
        <v>0</v>
      </c>
      <c r="M1547">
        <v>26426027.2465</v>
      </c>
      <c r="N1547">
        <v>0</v>
      </c>
      <c r="O1547" t="b">
        <v>0</v>
      </c>
    </row>
    <row r="1548" spans="1:15" x14ac:dyDescent="0.3">
      <c r="A1548" s="1" t="s">
        <v>1648</v>
      </c>
      <c r="B1548">
        <v>2.5768989219232599</v>
      </c>
      <c r="C1548">
        <v>2.1183241170617359E-2</v>
      </c>
      <c r="D1548">
        <v>1.6227147178745259E-2</v>
      </c>
      <c r="E1548">
        <v>62.605231779712831</v>
      </c>
      <c r="F1548">
        <v>0.1086423578517592</v>
      </c>
      <c r="G1548">
        <v>0.8</v>
      </c>
      <c r="H1548">
        <v>0.25485786276191558</v>
      </c>
      <c r="I1548">
        <v>0.95740714303126706</v>
      </c>
      <c r="J1548">
        <v>-1.301398760263528E-2</v>
      </c>
      <c r="K1548">
        <v>7.1032370229322517E-3</v>
      </c>
      <c r="L1548">
        <v>0</v>
      </c>
      <c r="M1548">
        <v>879242060.38415003</v>
      </c>
      <c r="N1548">
        <v>0</v>
      </c>
      <c r="O1548" t="b">
        <v>1</v>
      </c>
    </row>
    <row r="1549" spans="1:15" x14ac:dyDescent="0.3">
      <c r="A1549" s="1" t="s">
        <v>1649</v>
      </c>
      <c r="B1549">
        <v>1.3655974981883729</v>
      </c>
      <c r="C1549">
        <v>1.8441933303015891E-2</v>
      </c>
      <c r="D1549">
        <v>1.661748718745136E-2</v>
      </c>
      <c r="E1549">
        <v>26.748681151952042</v>
      </c>
      <c r="F1549">
        <v>-7.1890173743673458E-2</v>
      </c>
      <c r="G1549">
        <v>0</v>
      </c>
      <c r="H1549">
        <v>-1.334344647362614E-2</v>
      </c>
      <c r="I1549">
        <v>2.2839935932346268E-2</v>
      </c>
      <c r="J1549">
        <v>-9.1218699796639879E-2</v>
      </c>
      <c r="K1549">
        <v>-1.4526217726909761E-2</v>
      </c>
      <c r="L1549">
        <v>0</v>
      </c>
      <c r="M1549">
        <v>255365187.49395001</v>
      </c>
      <c r="N1549">
        <v>0</v>
      </c>
      <c r="O1549" t="b">
        <v>1</v>
      </c>
    </row>
    <row r="1550" spans="1:15" x14ac:dyDescent="0.3">
      <c r="A1550" s="1" t="s">
        <v>1650</v>
      </c>
      <c r="B1550">
        <v>0.61308507217249175</v>
      </c>
      <c r="C1550">
        <v>1.392969936410525E-2</v>
      </c>
      <c r="D1550">
        <v>2.2377581067325781E-2</v>
      </c>
      <c r="E1550">
        <v>54.462109672469381</v>
      </c>
      <c r="F1550">
        <v>2.135401437833884E-2</v>
      </c>
      <c r="G1550">
        <v>0.2</v>
      </c>
      <c r="H1550">
        <v>-0.18064751106303731</v>
      </c>
      <c r="I1550">
        <v>0.78495609676116196</v>
      </c>
      <c r="J1550">
        <v>-1.0289990645462989E-2</v>
      </c>
      <c r="K1550">
        <v>1.9588947163587059E-2</v>
      </c>
      <c r="L1550">
        <v>0</v>
      </c>
      <c r="M1550">
        <v>513667034.70370001</v>
      </c>
      <c r="N1550">
        <v>0</v>
      </c>
      <c r="O1550" t="b">
        <v>1</v>
      </c>
    </row>
    <row r="1551" spans="1:15" x14ac:dyDescent="0.3">
      <c r="A1551" s="1" t="s">
        <v>1651</v>
      </c>
      <c r="B1551">
        <v>1.384122419920911</v>
      </c>
      <c r="C1551">
        <v>1.186133085319397E-2</v>
      </c>
      <c r="D1551">
        <v>8.7923765125287982E-3</v>
      </c>
      <c r="E1551">
        <v>62.290930822371323</v>
      </c>
      <c r="F1551">
        <v>3.345909276086223E-2</v>
      </c>
      <c r="G1551">
        <v>0.8</v>
      </c>
      <c r="H1551">
        <v>-0.1007900491795206</v>
      </c>
      <c r="I1551">
        <v>0.75207636259223021</v>
      </c>
      <c r="J1551">
        <v>-5.1390982595589385E-4</v>
      </c>
      <c r="K1551">
        <v>5.8441222611063104E-3</v>
      </c>
      <c r="L1551">
        <v>0</v>
      </c>
      <c r="M1551">
        <v>535414038.11809999</v>
      </c>
      <c r="N1551">
        <v>0</v>
      </c>
      <c r="O1551" t="b">
        <v>1</v>
      </c>
    </row>
    <row r="1552" spans="1:15" x14ac:dyDescent="0.3">
      <c r="A1552" s="1" t="s">
        <v>1652</v>
      </c>
      <c r="B1552">
        <v>0.75689053621302982</v>
      </c>
      <c r="C1552">
        <v>1.652971162102022E-2</v>
      </c>
      <c r="D1552">
        <v>1.3859011961205229E-2</v>
      </c>
      <c r="E1552">
        <v>59.619791170029558</v>
      </c>
      <c r="F1552">
        <v>2.2246680299688348E-2</v>
      </c>
      <c r="G1552">
        <v>0.6</v>
      </c>
      <c r="H1552">
        <v>-2.0639130927131628E-3</v>
      </c>
      <c r="I1552">
        <v>0.39831117474841349</v>
      </c>
      <c r="J1552">
        <v>0</v>
      </c>
      <c r="K1552">
        <v>1.0504549396761041E-2</v>
      </c>
      <c r="L1552">
        <v>0</v>
      </c>
      <c r="M1552">
        <v>1291223441.90905</v>
      </c>
      <c r="N1552">
        <v>0</v>
      </c>
      <c r="O1552" t="b">
        <v>1</v>
      </c>
    </row>
    <row r="1553" spans="1:15" x14ac:dyDescent="0.3">
      <c r="A1553" s="1" t="s">
        <v>1653</v>
      </c>
      <c r="B1553">
        <v>0.66687877813575658</v>
      </c>
      <c r="C1553">
        <v>1.241806734787442E-2</v>
      </c>
      <c r="D1553">
        <v>1.6142697798790628E-2</v>
      </c>
      <c r="E1553">
        <v>60.631601801581503</v>
      </c>
      <c r="F1553">
        <v>1.7368406096371251E-2</v>
      </c>
      <c r="G1553">
        <v>0.6</v>
      </c>
      <c r="H1553">
        <v>-0.1020707682784264</v>
      </c>
      <c r="I1553">
        <v>0.66211820234002794</v>
      </c>
      <c r="J1553">
        <v>0</v>
      </c>
      <c r="K1553">
        <v>1.1449418394406941E-2</v>
      </c>
      <c r="L1553">
        <v>0</v>
      </c>
      <c r="M1553">
        <v>1967763621.61555</v>
      </c>
      <c r="N1553">
        <v>0</v>
      </c>
      <c r="O1553" t="b">
        <v>1</v>
      </c>
    </row>
    <row r="1554" spans="1:15" x14ac:dyDescent="0.3">
      <c r="A1554" s="1" t="s">
        <v>1654</v>
      </c>
      <c r="B1554">
        <v>0.73217442462083548</v>
      </c>
      <c r="C1554">
        <v>1.227409683867826E-2</v>
      </c>
      <c r="D1554">
        <v>9.0390934084356098E-3</v>
      </c>
      <c r="E1554">
        <v>58.776457441426047</v>
      </c>
      <c r="F1554">
        <v>1.507667614695229E-3</v>
      </c>
      <c r="G1554">
        <v>0.6</v>
      </c>
      <c r="H1554">
        <v>7.365670428523366E-2</v>
      </c>
      <c r="I1554">
        <v>1.115083544716549</v>
      </c>
      <c r="J1554">
        <v>0</v>
      </c>
      <c r="K1554">
        <v>2.684381003928316E-3</v>
      </c>
      <c r="L1554">
        <v>0</v>
      </c>
      <c r="M1554">
        <v>85809634.288199991</v>
      </c>
      <c r="N1554">
        <v>0</v>
      </c>
      <c r="O1554" t="b">
        <v>0</v>
      </c>
    </row>
    <row r="1555" spans="1:15" x14ac:dyDescent="0.3">
      <c r="A1555" s="1" t="s">
        <v>1655</v>
      </c>
      <c r="B1555">
        <v>2.010777997042354</v>
      </c>
      <c r="C1555">
        <v>1.2928803339885379E-2</v>
      </c>
      <c r="D1555">
        <v>2.2169784024638858E-2</v>
      </c>
      <c r="E1555">
        <v>59.934216187937238</v>
      </c>
      <c r="F1555">
        <v>1.2057992894048301E-2</v>
      </c>
      <c r="G1555">
        <v>0.4</v>
      </c>
      <c r="H1555">
        <v>-6.1760144151935932E-2</v>
      </c>
      <c r="I1555">
        <v>0.8325360889968384</v>
      </c>
      <c r="J1555">
        <v>0</v>
      </c>
      <c r="K1555">
        <v>1.8266693728435038E-2</v>
      </c>
      <c r="L1555">
        <v>0</v>
      </c>
      <c r="M1555">
        <v>1380073560.2025001</v>
      </c>
      <c r="N1555">
        <v>0</v>
      </c>
      <c r="O1555" t="b">
        <v>1</v>
      </c>
    </row>
    <row r="1556" spans="1:15" x14ac:dyDescent="0.3">
      <c r="A1556" s="1" t="s">
        <v>1656</v>
      </c>
      <c r="B1556">
        <v>2.6575144915602649</v>
      </c>
      <c r="C1556">
        <v>1.7895117952663311E-2</v>
      </c>
      <c r="D1556">
        <v>1.613413689774746E-2</v>
      </c>
      <c r="E1556">
        <v>63.201121022284042</v>
      </c>
      <c r="F1556">
        <v>6.5337770518025806E-3</v>
      </c>
      <c r="G1556">
        <v>1</v>
      </c>
      <c r="H1556">
        <v>0.1182706747264896</v>
      </c>
      <c r="I1556">
        <v>1.5284461027578109</v>
      </c>
      <c r="J1556">
        <v>0</v>
      </c>
      <c r="K1556">
        <v>4.7971528322823254E-3</v>
      </c>
      <c r="L1556">
        <v>0</v>
      </c>
      <c r="M1556">
        <v>1460986324.5495</v>
      </c>
      <c r="N1556">
        <v>0</v>
      </c>
      <c r="O1556" t="b">
        <v>1</v>
      </c>
    </row>
    <row r="1557" spans="1:15" x14ac:dyDescent="0.3">
      <c r="A1557" s="1" t="s">
        <v>1657</v>
      </c>
      <c r="B1557">
        <v>0.80003021236088301</v>
      </c>
      <c r="C1557">
        <v>1.030999983711953E-2</v>
      </c>
      <c r="D1557">
        <v>5.7527626534361453E-3</v>
      </c>
      <c r="E1557">
        <v>52.034175669859167</v>
      </c>
      <c r="F1557">
        <v>2.3420735752429641E-2</v>
      </c>
      <c r="G1557">
        <v>0.6</v>
      </c>
      <c r="H1557">
        <v>-0.10165015377180429</v>
      </c>
      <c r="I1557">
        <v>-6.5476583635553587E-2</v>
      </c>
      <c r="J1557">
        <v>-1.448850178375705E-2</v>
      </c>
      <c r="K1557">
        <v>2.9494903017088792E-3</v>
      </c>
      <c r="L1557">
        <v>0</v>
      </c>
      <c r="M1557">
        <v>1061443383.0157501</v>
      </c>
      <c r="N1557">
        <v>0</v>
      </c>
      <c r="O1557" t="b">
        <v>1</v>
      </c>
    </row>
    <row r="1558" spans="1:15" x14ac:dyDescent="0.3">
      <c r="A1558" s="1" t="s">
        <v>1658</v>
      </c>
      <c r="B1558">
        <v>0.44931174542300989</v>
      </c>
      <c r="C1558">
        <v>1.119325346770059E-2</v>
      </c>
      <c r="D1558">
        <v>9.314596188962642E-3</v>
      </c>
      <c r="E1558">
        <v>41.812573454706651</v>
      </c>
      <c r="F1558">
        <v>-1.6004726162052289E-2</v>
      </c>
      <c r="G1558">
        <v>0.2</v>
      </c>
      <c r="H1558">
        <v>-0.15507227961849729</v>
      </c>
      <c r="I1558">
        <v>0.34414576323912122</v>
      </c>
      <c r="J1558">
        <v>-2.685870271423452E-2</v>
      </c>
      <c r="K1558">
        <v>1.9744297617205748E-3</v>
      </c>
      <c r="L1558">
        <v>0</v>
      </c>
      <c r="M1558">
        <v>239652159.21430001</v>
      </c>
      <c r="N1558">
        <v>0</v>
      </c>
      <c r="O1558" t="b">
        <v>1</v>
      </c>
    </row>
    <row r="1559" spans="1:15" x14ac:dyDescent="0.3">
      <c r="A1559" s="1" t="s">
        <v>1659</v>
      </c>
      <c r="B1559">
        <v>0.57371745816926445</v>
      </c>
      <c r="C1559">
        <v>1.352714797757406E-2</v>
      </c>
      <c r="D1559">
        <v>9.5939149727791283E-3</v>
      </c>
      <c r="E1559">
        <v>32.426133802950631</v>
      </c>
      <c r="F1559">
        <v>-4.6841781169797203E-2</v>
      </c>
      <c r="G1559">
        <v>0.2</v>
      </c>
      <c r="H1559">
        <v>-6.3136627209568794E-2</v>
      </c>
      <c r="I1559">
        <v>0.39865769638861542</v>
      </c>
      <c r="J1559">
        <v>-5.7043443461247678E-2</v>
      </c>
      <c r="K1559">
        <v>-4.6662785956852471E-4</v>
      </c>
      <c r="L1559">
        <v>0</v>
      </c>
      <c r="M1559">
        <v>861830051.0589</v>
      </c>
      <c r="N1559">
        <v>0</v>
      </c>
      <c r="O1559" t="b">
        <v>1</v>
      </c>
    </row>
    <row r="1560" spans="1:15" x14ac:dyDescent="0.3">
      <c r="A1560" s="1" t="s">
        <v>1660</v>
      </c>
      <c r="B1560">
        <v>2.01241417922343</v>
      </c>
      <c r="C1560">
        <v>1.3283700315016529E-2</v>
      </c>
      <c r="D1560">
        <v>1.518862008647142E-2</v>
      </c>
      <c r="E1560">
        <v>51.715512645928563</v>
      </c>
      <c r="F1560">
        <v>3.3002625208823362E-2</v>
      </c>
      <c r="G1560">
        <v>0.2</v>
      </c>
      <c r="H1560">
        <v>6.9633737113483474E-2</v>
      </c>
      <c r="I1560">
        <v>0.42303832248360368</v>
      </c>
      <c r="J1560">
        <v>-4.1759173165841212E-2</v>
      </c>
      <c r="K1560">
        <v>1.453885510701558E-2</v>
      </c>
      <c r="L1560">
        <v>0</v>
      </c>
      <c r="M1560">
        <v>1555399968.9614999</v>
      </c>
      <c r="N1560">
        <v>0</v>
      </c>
      <c r="O1560" t="b">
        <v>1</v>
      </c>
    </row>
    <row r="1561" spans="1:15" x14ac:dyDescent="0.3">
      <c r="A1561" s="1" t="s">
        <v>1661</v>
      </c>
      <c r="B1561">
        <v>1.8577749519673159</v>
      </c>
      <c r="C1561">
        <v>1.55497472396886E-2</v>
      </c>
      <c r="D1561">
        <v>1.920936111087862E-2</v>
      </c>
      <c r="E1561">
        <v>57.3857658875325</v>
      </c>
      <c r="F1561">
        <v>1.920432055281696E-3</v>
      </c>
      <c r="G1561">
        <v>0.4</v>
      </c>
      <c r="H1561">
        <v>-7.6065695330329267E-2</v>
      </c>
      <c r="I1561">
        <v>1.273712930874662</v>
      </c>
      <c r="J1561">
        <v>-5.4376014321799726E-4</v>
      </c>
      <c r="K1561">
        <v>1.465854756384455E-2</v>
      </c>
      <c r="L1561">
        <v>0</v>
      </c>
      <c r="M1561">
        <v>1006353873.0285</v>
      </c>
      <c r="N1561">
        <v>0</v>
      </c>
      <c r="O1561" t="b">
        <v>1</v>
      </c>
    </row>
    <row r="1562" spans="1:15" x14ac:dyDescent="0.3">
      <c r="A1562" s="1" t="s">
        <v>1662</v>
      </c>
      <c r="B1562">
        <v>1.3810656630802409</v>
      </c>
      <c r="C1562">
        <v>1.336183267137106E-2</v>
      </c>
      <c r="D1562">
        <v>2.1246335587612089E-2</v>
      </c>
      <c r="E1562">
        <v>56.121559439538458</v>
      </c>
      <c r="F1562">
        <v>1.0836079842739821E-2</v>
      </c>
      <c r="G1562">
        <v>0.4</v>
      </c>
      <c r="H1562">
        <v>-0.19178524520190049</v>
      </c>
      <c r="I1562">
        <v>0.94829471428401158</v>
      </c>
      <c r="J1562">
        <v>0</v>
      </c>
      <c r="K1562">
        <v>1.709275550569744E-2</v>
      </c>
      <c r="L1562">
        <v>0</v>
      </c>
      <c r="M1562">
        <v>27896146.856249999</v>
      </c>
      <c r="N1562">
        <v>0</v>
      </c>
      <c r="O1562" t="b">
        <v>0</v>
      </c>
    </row>
    <row r="1563" spans="1:15" x14ac:dyDescent="0.3">
      <c r="A1563" s="1" t="s">
        <v>1663</v>
      </c>
      <c r="B1563">
        <v>2.109607809170118</v>
      </c>
      <c r="C1563">
        <v>1.5083926619643631E-2</v>
      </c>
      <c r="D1563">
        <v>1.677415664459669E-2</v>
      </c>
      <c r="E1563">
        <v>60.919183329819468</v>
      </c>
      <c r="F1563">
        <v>1.7430271638707581E-2</v>
      </c>
      <c r="G1563">
        <v>0.8</v>
      </c>
      <c r="H1563">
        <v>-3.6815795580414347E-2</v>
      </c>
      <c r="I1563">
        <v>1.1858300267957</v>
      </c>
      <c r="J1563">
        <v>0</v>
      </c>
      <c r="K1563">
        <v>1.3382991210845629E-2</v>
      </c>
      <c r="L1563">
        <v>0</v>
      </c>
      <c r="M1563">
        <v>32235164.960999999</v>
      </c>
      <c r="N1563">
        <v>0</v>
      </c>
      <c r="O1563" t="b">
        <v>0</v>
      </c>
    </row>
    <row r="1564" spans="1:15" x14ac:dyDescent="0.3">
      <c r="A1564" s="1" t="s">
        <v>1664</v>
      </c>
      <c r="B1564">
        <v>2.2653532113390931</v>
      </c>
      <c r="C1564">
        <v>1.9076979918306779E-2</v>
      </c>
      <c r="D1564">
        <v>1.3549701889715989E-2</v>
      </c>
      <c r="E1564">
        <v>61.101216986568303</v>
      </c>
      <c r="F1564">
        <v>2.000532559118362E-2</v>
      </c>
      <c r="G1564">
        <v>0.4</v>
      </c>
      <c r="H1564">
        <v>3.3446382918871399E-2</v>
      </c>
      <c r="I1564">
        <v>0.13091723190268831</v>
      </c>
      <c r="J1564">
        <v>0</v>
      </c>
      <c r="K1564">
        <v>1.090519039389792E-2</v>
      </c>
      <c r="L1564">
        <v>0</v>
      </c>
      <c r="M1564">
        <v>1682098508.253</v>
      </c>
      <c r="N1564">
        <v>0</v>
      </c>
      <c r="O1564" t="b">
        <v>1</v>
      </c>
    </row>
    <row r="1565" spans="1:15" x14ac:dyDescent="0.3">
      <c r="A1565" s="1" t="s">
        <v>1665</v>
      </c>
      <c r="B1565">
        <v>0.7771810577757553</v>
      </c>
      <c r="C1565">
        <v>4.3515176807153153E-2</v>
      </c>
      <c r="D1565">
        <v>2.9115341545352721E-2</v>
      </c>
      <c r="E1565">
        <v>46.539435178997138</v>
      </c>
      <c r="F1565">
        <v>-4.6520815315459707E-2</v>
      </c>
      <c r="G1565">
        <v>0.4</v>
      </c>
      <c r="H1565">
        <v>-4.7544805873120738E-2</v>
      </c>
      <c r="I1565">
        <v>1.234720636079101</v>
      </c>
      <c r="J1565">
        <v>-9.8912741858177111E-2</v>
      </c>
      <c r="K1565">
        <v>-1.1185682326622091E-3</v>
      </c>
      <c r="L1565">
        <v>0</v>
      </c>
      <c r="M1565">
        <v>103033978.507</v>
      </c>
      <c r="N1565">
        <v>0</v>
      </c>
      <c r="O1565" t="b">
        <v>1</v>
      </c>
    </row>
    <row r="1566" spans="1:15" x14ac:dyDescent="0.3">
      <c r="A1566" s="1" t="s">
        <v>1666</v>
      </c>
      <c r="B1566">
        <v>1.0968555252696131</v>
      </c>
      <c r="C1566">
        <v>5.5819619606596073E-2</v>
      </c>
      <c r="D1566">
        <v>1.679389312977091E-2</v>
      </c>
      <c r="E1566">
        <v>41.649620148560707</v>
      </c>
      <c r="F1566">
        <v>-0.24539170506912439</v>
      </c>
      <c r="G1566">
        <v>0.6</v>
      </c>
      <c r="H1566">
        <v>-1.6613258254352468E-2</v>
      </c>
      <c r="I1566">
        <v>2.5525690743625509</v>
      </c>
      <c r="J1566">
        <v>-0.29996437477734239</v>
      </c>
      <c r="K1566">
        <v>-8.0767289247855034E-3</v>
      </c>
      <c r="L1566">
        <v>0</v>
      </c>
      <c r="M1566">
        <v>149719655</v>
      </c>
      <c r="N1566">
        <v>0</v>
      </c>
      <c r="O1566" t="b">
        <v>1</v>
      </c>
    </row>
    <row r="1567" spans="1:15" x14ac:dyDescent="0.3">
      <c r="A1567" s="1" t="s">
        <v>1667</v>
      </c>
      <c r="B1567">
        <v>5.7148468552932963</v>
      </c>
      <c r="C1567">
        <v>3.7990074156041317E-2</v>
      </c>
      <c r="D1567">
        <v>5.4045070797048428E-2</v>
      </c>
      <c r="E1567">
        <v>64.736839600699255</v>
      </c>
      <c r="F1567">
        <v>7.9124820659971284E-2</v>
      </c>
      <c r="G1567">
        <v>0.8</v>
      </c>
      <c r="H1567">
        <v>5.1247238092767038E-2</v>
      </c>
      <c r="I1567">
        <v>0.96693530600896727</v>
      </c>
      <c r="J1567">
        <v>0</v>
      </c>
      <c r="K1567">
        <v>5.38741768249964E-2</v>
      </c>
      <c r="L1567">
        <v>0</v>
      </c>
      <c r="M1567">
        <v>164855881</v>
      </c>
      <c r="N1567">
        <v>0</v>
      </c>
      <c r="O1567" t="b">
        <v>1</v>
      </c>
    </row>
    <row r="1568" spans="1:15" x14ac:dyDescent="0.3">
      <c r="A1568" s="1" t="s">
        <v>1668</v>
      </c>
      <c r="B1568">
        <v>2.4278068174808798</v>
      </c>
      <c r="C1568">
        <v>1.7534355174641629E-2</v>
      </c>
      <c r="D1568">
        <v>1.8489094323270269E-2</v>
      </c>
      <c r="E1568">
        <v>38.389756949989213</v>
      </c>
      <c r="F1568">
        <v>-8.0757382621627238E-2</v>
      </c>
      <c r="G1568">
        <v>0.2</v>
      </c>
      <c r="H1568">
        <v>-0.1275815410793843</v>
      </c>
      <c r="I1568">
        <v>0.67448788471608412</v>
      </c>
      <c r="J1568">
        <v>-7.3517701927773738E-2</v>
      </c>
      <c r="K1568">
        <v>1.1025921869295409E-2</v>
      </c>
      <c r="L1568">
        <v>0</v>
      </c>
      <c r="M1568">
        <v>169254702.50999999</v>
      </c>
      <c r="N1568">
        <v>0</v>
      </c>
      <c r="O1568" t="b">
        <v>1</v>
      </c>
    </row>
    <row r="1569" spans="1:15" x14ac:dyDescent="0.3">
      <c r="A1569" s="1" t="s">
        <v>1669</v>
      </c>
      <c r="B1569">
        <v>2.689569342429408</v>
      </c>
      <c r="C1569">
        <v>4.2495960537674328E-2</v>
      </c>
      <c r="D1569">
        <v>3.7415073471322523E-2</v>
      </c>
      <c r="E1569">
        <v>46.026744851743558</v>
      </c>
      <c r="F1569">
        <v>-5.2544910179640691E-2</v>
      </c>
      <c r="G1569">
        <v>0.6</v>
      </c>
      <c r="H1569">
        <v>-0.114741367856963</v>
      </c>
      <c r="I1569">
        <v>2.0676594951172111</v>
      </c>
      <c r="J1569">
        <v>-5.2544910179640691E-2</v>
      </c>
      <c r="K1569">
        <v>2.7935682962481719E-2</v>
      </c>
      <c r="L1569">
        <v>0</v>
      </c>
      <c r="M1569">
        <v>494030340.5</v>
      </c>
      <c r="N1569">
        <v>0</v>
      </c>
      <c r="O1569" t="b">
        <v>1</v>
      </c>
    </row>
    <row r="1570" spans="1:15" x14ac:dyDescent="0.3">
      <c r="A1570" s="1" t="s">
        <v>1670</v>
      </c>
      <c r="B1570">
        <v>0.3518358464182415</v>
      </c>
      <c r="C1570">
        <v>3.04883749062601E-2</v>
      </c>
      <c r="D1570">
        <v>1.8630849220103971E-2</v>
      </c>
      <c r="E1570">
        <v>47.89327204587137</v>
      </c>
      <c r="F1570">
        <v>-8.9905362776025233E-2</v>
      </c>
      <c r="G1570">
        <v>0.6</v>
      </c>
      <c r="H1570">
        <v>-0.13325872028381089</v>
      </c>
      <c r="I1570">
        <v>2.3657538364005051</v>
      </c>
      <c r="J1570">
        <v>-8.7747035573122578E-2</v>
      </c>
      <c r="K1570">
        <v>6.1028770706188507E-3</v>
      </c>
      <c r="L1570">
        <v>0</v>
      </c>
      <c r="M1570">
        <v>85401733.5</v>
      </c>
      <c r="N1570">
        <v>0</v>
      </c>
      <c r="O1570" t="b">
        <v>0</v>
      </c>
    </row>
    <row r="1571" spans="1:15" x14ac:dyDescent="0.3">
      <c r="A1571" s="1" t="s">
        <v>1671</v>
      </c>
      <c r="B1571">
        <v>1.4889214389688561</v>
      </c>
      <c r="C1571">
        <v>4.1278664789821347E-2</v>
      </c>
      <c r="D1571">
        <v>2.8555586359855872E-2</v>
      </c>
      <c r="E1571">
        <v>53.368472651868601</v>
      </c>
      <c r="F1571">
        <v>-3.0636925557645859E-2</v>
      </c>
      <c r="G1571">
        <v>0.4</v>
      </c>
      <c r="H1571">
        <v>9.179607391134216E-2</v>
      </c>
      <c r="I1571">
        <v>1.469147004570351</v>
      </c>
      <c r="J1571">
        <v>-6.7235583139384603E-2</v>
      </c>
      <c r="K1571">
        <v>9.5158130422614562E-3</v>
      </c>
      <c r="L1571">
        <v>0</v>
      </c>
      <c r="M1571">
        <v>61891739.5</v>
      </c>
      <c r="N1571">
        <v>0</v>
      </c>
      <c r="O1571" t="b">
        <v>0</v>
      </c>
    </row>
    <row r="1572" spans="1:15" x14ac:dyDescent="0.3">
      <c r="A1572" s="1" t="s">
        <v>1672</v>
      </c>
      <c r="B1572">
        <v>2.6425274381374422</v>
      </c>
      <c r="C1572">
        <v>1.8364913740617429E-2</v>
      </c>
      <c r="D1572">
        <v>1.897282646466044E-2</v>
      </c>
      <c r="E1572">
        <v>42.22165506513619</v>
      </c>
      <c r="F1572">
        <v>-2.4877847127628749E-2</v>
      </c>
      <c r="G1572">
        <v>0.4</v>
      </c>
      <c r="H1572">
        <v>-6.8846121713656352E-2</v>
      </c>
      <c r="I1572">
        <v>-7.5811439593295393E-2</v>
      </c>
      <c r="J1572">
        <v>-6.1223690906481283E-2</v>
      </c>
      <c r="K1572">
        <v>5.9423937360179044E-3</v>
      </c>
      <c r="L1572">
        <v>0</v>
      </c>
      <c r="M1572">
        <v>273522782.43599999</v>
      </c>
      <c r="N1572">
        <v>0</v>
      </c>
      <c r="O1572" t="b">
        <v>1</v>
      </c>
    </row>
    <row r="1573" spans="1:15" x14ac:dyDescent="0.3">
      <c r="A1573" s="1" t="s">
        <v>1673</v>
      </c>
      <c r="B1573">
        <v>1.0627125641996771</v>
      </c>
      <c r="C1573">
        <v>2.263980750318869E-2</v>
      </c>
      <c r="D1573">
        <v>2.79079676182361E-2</v>
      </c>
      <c r="E1573">
        <v>54.248611856029292</v>
      </c>
      <c r="F1573">
        <v>4.8001786112971567E-2</v>
      </c>
      <c r="G1573">
        <v>0.2</v>
      </c>
      <c r="H1573">
        <v>-4.1066064152895472E-3</v>
      </c>
      <c r="I1573">
        <v>0.1892053965595126</v>
      </c>
      <c r="J1573">
        <v>-2.8760604179598581E-2</v>
      </c>
      <c r="K1573">
        <v>2.0212997174527288E-2</v>
      </c>
      <c r="L1573">
        <v>0</v>
      </c>
      <c r="M1573">
        <v>89362160.5</v>
      </c>
      <c r="N1573">
        <v>0</v>
      </c>
      <c r="O1573" t="b">
        <v>0</v>
      </c>
    </row>
    <row r="1574" spans="1:15" x14ac:dyDescent="0.3">
      <c r="A1574" s="1" t="s">
        <v>1674</v>
      </c>
      <c r="B1574">
        <v>2.408333249723166</v>
      </c>
      <c r="C1574">
        <v>3.1885783790853509E-2</v>
      </c>
      <c r="D1574">
        <v>3.4291010194624702E-2</v>
      </c>
      <c r="E1574">
        <v>55.940787389951552</v>
      </c>
      <c r="F1574">
        <v>3.3949349760438167E-2</v>
      </c>
      <c r="G1574">
        <v>0.4</v>
      </c>
      <c r="H1574">
        <v>-0.12940201851492131</v>
      </c>
      <c r="I1574">
        <v>0.71710567229385735</v>
      </c>
      <c r="J1574">
        <v>-6.3149585580845047E-3</v>
      </c>
      <c r="K1574">
        <v>1.260222549939671E-2</v>
      </c>
      <c r="L1574">
        <v>0</v>
      </c>
      <c r="M1574">
        <v>173409547</v>
      </c>
      <c r="N1574">
        <v>0</v>
      </c>
      <c r="O1574" t="b">
        <v>1</v>
      </c>
    </row>
    <row r="1575" spans="1:15" x14ac:dyDescent="0.3">
      <c r="A1575" s="1" t="s">
        <v>1675</v>
      </c>
      <c r="B1575">
        <v>2.32647572342192</v>
      </c>
      <c r="C1575">
        <v>2.5058116517116171E-2</v>
      </c>
      <c r="D1575">
        <v>2.0517388457097531E-2</v>
      </c>
      <c r="E1575">
        <v>47.206111065247519</v>
      </c>
      <c r="F1575">
        <v>4.9137350443189787E-2</v>
      </c>
      <c r="G1575">
        <v>0.6</v>
      </c>
      <c r="H1575">
        <v>-9.22251493862348E-2</v>
      </c>
      <c r="I1575">
        <v>0.380438999281832</v>
      </c>
      <c r="J1575">
        <v>-4.5720382274281213E-2</v>
      </c>
      <c r="K1575">
        <v>8.8866769391928724E-3</v>
      </c>
      <c r="L1575">
        <v>0</v>
      </c>
      <c r="M1575">
        <v>171017182.50960001</v>
      </c>
      <c r="N1575">
        <v>0</v>
      </c>
      <c r="O1575" t="b">
        <v>1</v>
      </c>
    </row>
    <row r="1576" spans="1:15" x14ac:dyDescent="0.3">
      <c r="A1576" s="1" t="s">
        <v>1676</v>
      </c>
      <c r="B1576">
        <v>7.7828698587361904</v>
      </c>
      <c r="C1576">
        <v>2.8687319788928089E-2</v>
      </c>
      <c r="D1576">
        <v>3.7854773313675039E-2</v>
      </c>
      <c r="E1576">
        <v>60.594552909534059</v>
      </c>
      <c r="F1576">
        <v>4.093926255611402E-2</v>
      </c>
      <c r="G1576">
        <v>0.8</v>
      </c>
      <c r="H1576">
        <v>-0.1207125846983588</v>
      </c>
      <c r="I1576">
        <v>2.0250811822242958</v>
      </c>
      <c r="J1576">
        <v>0</v>
      </c>
      <c r="K1576">
        <v>2.2847232694917841E-2</v>
      </c>
      <c r="L1576">
        <v>0</v>
      </c>
      <c r="M1576">
        <v>146584302</v>
      </c>
      <c r="N1576">
        <v>0</v>
      </c>
      <c r="O1576" t="b">
        <v>1</v>
      </c>
    </row>
    <row r="1577" spans="1:15" x14ac:dyDescent="0.3">
      <c r="A1577" s="1" t="s">
        <v>1677</v>
      </c>
      <c r="B1577">
        <v>2.275039049419247</v>
      </c>
      <c r="C1577">
        <v>3.1016210626029269E-2</v>
      </c>
      <c r="D1577">
        <v>3.4083162917518749E-2</v>
      </c>
      <c r="E1577">
        <v>56.058260836494519</v>
      </c>
      <c r="F1577">
        <v>3.57243716464275E-2</v>
      </c>
      <c r="G1577">
        <v>0.4</v>
      </c>
      <c r="H1577">
        <v>-0.1252146749984043</v>
      </c>
      <c r="I1577">
        <v>0.70097382415140397</v>
      </c>
      <c r="J1577">
        <v>-7.0393935291730436E-3</v>
      </c>
      <c r="K1577">
        <v>1.3821700069108539E-2</v>
      </c>
      <c r="L1577">
        <v>0</v>
      </c>
      <c r="M1577">
        <v>36844536</v>
      </c>
      <c r="N1577">
        <v>0</v>
      </c>
      <c r="O1577" t="b">
        <v>0</v>
      </c>
    </row>
    <row r="1578" spans="1:15" x14ac:dyDescent="0.3">
      <c r="A1578" s="1" t="s">
        <v>1678</v>
      </c>
      <c r="B1578">
        <v>1.4353839574515339</v>
      </c>
      <c r="C1578">
        <v>2.457045653650149E-2</v>
      </c>
      <c r="D1578">
        <v>5.2515358846678482E-2</v>
      </c>
      <c r="E1578">
        <v>75.766123988008303</v>
      </c>
      <c r="F1578">
        <v>0.1280976335074491</v>
      </c>
      <c r="G1578">
        <v>0.8</v>
      </c>
      <c r="H1578">
        <v>-5.8862771084909277E-3</v>
      </c>
      <c r="I1578">
        <v>1.4986389547223651</v>
      </c>
      <c r="J1578">
        <v>0</v>
      </c>
      <c r="K1578">
        <v>4.8841355363769663E-2</v>
      </c>
      <c r="L1578">
        <v>0</v>
      </c>
      <c r="M1578">
        <v>73386003.22330001</v>
      </c>
      <c r="N1578">
        <v>0</v>
      </c>
      <c r="O1578" t="b">
        <v>0</v>
      </c>
    </row>
    <row r="1579" spans="1:15" x14ac:dyDescent="0.3">
      <c r="A1579" s="1" t="s">
        <v>1679</v>
      </c>
      <c r="B1579">
        <v>2.5002608026068982</v>
      </c>
      <c r="C1579">
        <v>2.839592052932309E-2</v>
      </c>
      <c r="D1579">
        <v>1.837592277115286E-2</v>
      </c>
      <c r="E1579">
        <v>61.136402566256258</v>
      </c>
      <c r="F1579">
        <v>5.8802308802308863E-2</v>
      </c>
      <c r="G1579">
        <v>0.8</v>
      </c>
      <c r="H1579">
        <v>5.9708314308424095E-4</v>
      </c>
      <c r="I1579">
        <v>0.95925669640435063</v>
      </c>
      <c r="J1579">
        <v>-1.167358850600519E-2</v>
      </c>
      <c r="K1579">
        <v>4.7928791509757041E-3</v>
      </c>
      <c r="L1579">
        <v>0</v>
      </c>
      <c r="M1579">
        <v>197077347.5</v>
      </c>
      <c r="N1579">
        <v>0</v>
      </c>
      <c r="O1579" t="b">
        <v>1</v>
      </c>
    </row>
    <row r="1580" spans="1:15" x14ac:dyDescent="0.3">
      <c r="A1580" s="1" t="s">
        <v>1680</v>
      </c>
      <c r="B1580">
        <v>9.515656753541764</v>
      </c>
      <c r="C1580">
        <v>3.9112403935804042E-2</v>
      </c>
      <c r="D1580">
        <v>2.5771712770767442E-2</v>
      </c>
      <c r="E1580">
        <v>28.571519300292859</v>
      </c>
      <c r="F1580">
        <v>-0.26029188203101239</v>
      </c>
      <c r="G1580">
        <v>0.6</v>
      </c>
      <c r="H1580">
        <v>-0.12149771413203091</v>
      </c>
      <c r="I1580">
        <v>1.278087692455377</v>
      </c>
      <c r="J1580">
        <v>-0.26562830148812222</v>
      </c>
      <c r="K1580">
        <v>1.152215958190927E-3</v>
      </c>
      <c r="L1580">
        <v>0</v>
      </c>
      <c r="M1580">
        <v>420709050</v>
      </c>
      <c r="N1580">
        <v>0</v>
      </c>
      <c r="O1580" t="b">
        <v>1</v>
      </c>
    </row>
    <row r="1581" spans="1:15" x14ac:dyDescent="0.3">
      <c r="A1581" s="1" t="s">
        <v>1681</v>
      </c>
      <c r="B1581">
        <v>0.46560022844277021</v>
      </c>
      <c r="C1581">
        <v>2.230954616400432E-2</v>
      </c>
      <c r="D1581">
        <v>1.485385721130804E-2</v>
      </c>
      <c r="E1581">
        <v>61.970173234182411</v>
      </c>
      <c r="F1581">
        <v>0.1030655391120507</v>
      </c>
      <c r="G1581">
        <v>0.4</v>
      </c>
      <c r="H1581">
        <v>4.2169242930752693E-2</v>
      </c>
      <c r="I1581">
        <v>0.77121816501595231</v>
      </c>
      <c r="J1581">
        <v>-3.7361623616236073E-2</v>
      </c>
      <c r="K1581">
        <v>-9.5739588319765367E-4</v>
      </c>
      <c r="L1581">
        <v>0</v>
      </c>
      <c r="M1581">
        <v>36049670</v>
      </c>
      <c r="N1581">
        <v>0</v>
      </c>
      <c r="O1581" t="b">
        <v>0</v>
      </c>
    </row>
    <row r="1582" spans="1:15" x14ac:dyDescent="0.3">
      <c r="A1582" s="1" t="s">
        <v>1682</v>
      </c>
      <c r="B1582">
        <v>3.2984768019371939</v>
      </c>
      <c r="C1582">
        <v>2.8055906385557241E-2</v>
      </c>
      <c r="D1582">
        <v>2.40541643984758E-2</v>
      </c>
      <c r="E1582">
        <v>36.453119901185467</v>
      </c>
      <c r="F1582">
        <v>-1.436104660423709E-2</v>
      </c>
      <c r="G1582">
        <v>0.2</v>
      </c>
      <c r="H1582">
        <v>-0.21266894070516451</v>
      </c>
      <c r="I1582">
        <v>1.086615273164184</v>
      </c>
      <c r="J1582">
        <v>-7.8873349786500624E-2</v>
      </c>
      <c r="K1582">
        <v>2.0041992746707479E-2</v>
      </c>
      <c r="L1582">
        <v>0</v>
      </c>
      <c r="M1582">
        <v>456223010.63150001</v>
      </c>
      <c r="N1582">
        <v>0</v>
      </c>
      <c r="O1582" t="b">
        <v>1</v>
      </c>
    </row>
    <row r="1583" spans="1:15" x14ac:dyDescent="0.3">
      <c r="A1583" s="1" t="s">
        <v>1683</v>
      </c>
      <c r="B1583">
        <v>1.0686627831254789</v>
      </c>
      <c r="C1583">
        <v>2.2805437113219789E-2</v>
      </c>
      <c r="D1583">
        <v>2.5181391378574471E-2</v>
      </c>
      <c r="E1583">
        <v>50.343682489965708</v>
      </c>
      <c r="F1583">
        <v>-1.315789473684215E-2</v>
      </c>
      <c r="G1583">
        <v>0.2</v>
      </c>
      <c r="H1583">
        <v>-6.9345887480744578E-2</v>
      </c>
      <c r="I1583">
        <v>0.95556656081146818</v>
      </c>
      <c r="J1583">
        <v>-2.6386868896738021E-2</v>
      </c>
      <c r="K1583">
        <v>2.024820378837355E-2</v>
      </c>
      <c r="L1583">
        <v>0</v>
      </c>
      <c r="M1583">
        <v>32573136.101500001</v>
      </c>
      <c r="N1583">
        <v>0</v>
      </c>
      <c r="O158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9"/>
  <sheetViews>
    <sheetView workbookViewId="0"/>
  </sheetViews>
  <sheetFormatPr defaultRowHeight="14.4" x14ac:dyDescent="0.3"/>
  <sheetData>
    <row r="1" spans="1:5" x14ac:dyDescent="0.3">
      <c r="A1" s="1" t="s">
        <v>90</v>
      </c>
      <c r="B1" s="1" t="s">
        <v>1684</v>
      </c>
      <c r="C1" s="1" t="s">
        <v>1685</v>
      </c>
      <c r="D1" s="1" t="s">
        <v>1686</v>
      </c>
      <c r="E1" s="1" t="s">
        <v>1687</v>
      </c>
    </row>
    <row r="2" spans="1:5" x14ac:dyDescent="0.3">
      <c r="A2" s="1" t="s">
        <v>107</v>
      </c>
      <c r="B2">
        <v>-0.32370895391027599</v>
      </c>
      <c r="C2">
        <v>-2.2734942125229169</v>
      </c>
      <c r="D2">
        <v>2.787010467788022E-2</v>
      </c>
      <c r="E2" t="b">
        <v>0</v>
      </c>
    </row>
    <row r="3" spans="1:5" x14ac:dyDescent="0.3">
      <c r="A3" s="1" t="s">
        <v>108</v>
      </c>
      <c r="B3">
        <v>0.31805294469414508</v>
      </c>
      <c r="C3">
        <v>3.387913231279585</v>
      </c>
      <c r="D3">
        <v>4.2270006765866681E-2</v>
      </c>
      <c r="E3" t="b">
        <v>0</v>
      </c>
    </row>
    <row r="4" spans="1:5" x14ac:dyDescent="0.3">
      <c r="A4" s="1" t="s">
        <v>109</v>
      </c>
      <c r="B4">
        <v>0.31547529289947229</v>
      </c>
      <c r="C4">
        <v>3.0103104582432518</v>
      </c>
      <c r="D4">
        <v>3.7865648088665861E-2</v>
      </c>
      <c r="E4" t="b">
        <v>0</v>
      </c>
    </row>
    <row r="5" spans="1:5" x14ac:dyDescent="0.3">
      <c r="A5" s="1" t="s">
        <v>111</v>
      </c>
      <c r="B5">
        <v>3.5325837325443747E-2</v>
      </c>
      <c r="C5">
        <v>0.17257324413143091</v>
      </c>
      <c r="D5">
        <v>1.9385654033620539E-2</v>
      </c>
      <c r="E5" t="b">
        <v>0</v>
      </c>
    </row>
    <row r="6" spans="1:5" x14ac:dyDescent="0.3">
      <c r="A6" s="1" t="s">
        <v>112</v>
      </c>
      <c r="B6">
        <v>-0.1170713266320544</v>
      </c>
      <c r="C6">
        <v>-0.71019369776600061</v>
      </c>
      <c r="D6">
        <v>2.4072751547835058E-2</v>
      </c>
      <c r="E6" t="b">
        <v>0</v>
      </c>
    </row>
    <row r="7" spans="1:5" x14ac:dyDescent="0.3">
      <c r="A7" s="1" t="s">
        <v>114</v>
      </c>
      <c r="B7">
        <v>0.28188320523001381</v>
      </c>
      <c r="C7">
        <v>1.8827393118009199</v>
      </c>
      <c r="D7">
        <v>2.650455084454334E-2</v>
      </c>
      <c r="E7" t="b">
        <v>0</v>
      </c>
    </row>
    <row r="8" spans="1:5" x14ac:dyDescent="0.3">
      <c r="A8" s="1" t="s">
        <v>115</v>
      </c>
      <c r="B8">
        <v>-0.2083048245259187</v>
      </c>
      <c r="C8">
        <v>-1.0930799721433631</v>
      </c>
      <c r="D8">
        <v>2.0823420422204961E-2</v>
      </c>
      <c r="E8" t="b">
        <v>0</v>
      </c>
    </row>
    <row r="9" spans="1:5" x14ac:dyDescent="0.3">
      <c r="A9" s="1" t="s">
        <v>117</v>
      </c>
      <c r="B9">
        <v>-0.11431316890800911</v>
      </c>
      <c r="C9">
        <v>-0.49466401489005207</v>
      </c>
      <c r="D9">
        <v>1.7171708726048271E-2</v>
      </c>
      <c r="E9" t="b">
        <v>0</v>
      </c>
    </row>
    <row r="10" spans="1:5" x14ac:dyDescent="0.3">
      <c r="A10" s="1" t="s">
        <v>118</v>
      </c>
      <c r="B10">
        <v>-0.2304250922212544</v>
      </c>
      <c r="C10">
        <v>-1.3320905645616761</v>
      </c>
      <c r="D10">
        <v>2.294052968771234E-2</v>
      </c>
      <c r="E10" t="b">
        <v>0</v>
      </c>
    </row>
    <row r="11" spans="1:5" x14ac:dyDescent="0.3">
      <c r="A11" s="1" t="s">
        <v>119</v>
      </c>
      <c r="B11">
        <v>-0.12975501963109029</v>
      </c>
      <c r="C11">
        <v>-1.1526794125164901</v>
      </c>
      <c r="D11">
        <v>3.5252005401008923E-2</v>
      </c>
      <c r="E11" t="b">
        <v>0</v>
      </c>
    </row>
    <row r="12" spans="1:5" x14ac:dyDescent="0.3">
      <c r="A12" s="1" t="s">
        <v>120</v>
      </c>
      <c r="B12">
        <v>0.34659807137112553</v>
      </c>
      <c r="C12">
        <v>2.26959451083777</v>
      </c>
      <c r="D12">
        <v>2.5984932311743109E-2</v>
      </c>
      <c r="E12" t="b">
        <v>0</v>
      </c>
    </row>
    <row r="13" spans="1:5" x14ac:dyDescent="0.3">
      <c r="A13" s="1" t="s">
        <v>121</v>
      </c>
      <c r="B13">
        <v>0.19669327909084161</v>
      </c>
      <c r="C13">
        <v>0.57008421225371952</v>
      </c>
      <c r="D13">
        <v>1.150135351838818E-2</v>
      </c>
      <c r="E13" t="b">
        <v>0</v>
      </c>
    </row>
    <row r="14" spans="1:5" x14ac:dyDescent="0.3">
      <c r="A14" s="1" t="s">
        <v>123</v>
      </c>
      <c r="B14">
        <v>0.28959552062546451</v>
      </c>
      <c r="C14">
        <v>1.8418505897546971</v>
      </c>
      <c r="D14">
        <v>2.523841147797886E-2</v>
      </c>
      <c r="E14" t="b">
        <v>0</v>
      </c>
    </row>
    <row r="15" spans="1:5" x14ac:dyDescent="0.3">
      <c r="A15" s="1" t="s">
        <v>125</v>
      </c>
      <c r="B15">
        <v>0.4091392913058946</v>
      </c>
      <c r="C15">
        <v>2.921043854439568</v>
      </c>
      <c r="D15">
        <v>2.8331289888648931E-2</v>
      </c>
      <c r="E15" t="b">
        <v>0</v>
      </c>
    </row>
    <row r="16" spans="1:5" x14ac:dyDescent="0.3">
      <c r="A16" s="1" t="s">
        <v>126</v>
      </c>
      <c r="B16">
        <v>-9.1791510683891575E-2</v>
      </c>
      <c r="C16">
        <v>-0.62761390347312473</v>
      </c>
      <c r="D16">
        <v>2.713248038334826E-2</v>
      </c>
      <c r="E16" t="b">
        <v>0</v>
      </c>
    </row>
    <row r="17" spans="1:5" x14ac:dyDescent="0.3">
      <c r="A17" s="1" t="s">
        <v>127</v>
      </c>
      <c r="B17">
        <v>6.6611428584073637E-2</v>
      </c>
      <c r="C17">
        <v>0.30211719246023738</v>
      </c>
      <c r="D17">
        <v>1.799807890841015E-2</v>
      </c>
      <c r="E17" t="b">
        <v>0</v>
      </c>
    </row>
    <row r="18" spans="1:5" x14ac:dyDescent="0.3">
      <c r="A18" s="1" t="s">
        <v>128</v>
      </c>
      <c r="B18">
        <v>8.2585099887877253E-2</v>
      </c>
      <c r="C18">
        <v>0.49762664746522889</v>
      </c>
      <c r="D18">
        <v>2.391120094537395E-2</v>
      </c>
      <c r="E18" t="b">
        <v>0</v>
      </c>
    </row>
    <row r="19" spans="1:5" x14ac:dyDescent="0.3">
      <c r="A19" s="1" t="s">
        <v>130</v>
      </c>
      <c r="B19">
        <v>-0.40119845722513992</v>
      </c>
      <c r="C19">
        <v>-1.578322388245434</v>
      </c>
      <c r="D19">
        <v>1.561118685165911E-2</v>
      </c>
      <c r="E19" t="b">
        <v>0</v>
      </c>
    </row>
    <row r="20" spans="1:5" x14ac:dyDescent="0.3">
      <c r="A20" s="1" t="s">
        <v>133</v>
      </c>
      <c r="B20">
        <v>-1.900170358068265E-2</v>
      </c>
      <c r="C20">
        <v>-0.167397078156237</v>
      </c>
      <c r="D20">
        <v>3.4958661303553643E-2</v>
      </c>
      <c r="E20" t="b">
        <v>0</v>
      </c>
    </row>
    <row r="21" spans="1:5" x14ac:dyDescent="0.3">
      <c r="A21" s="1" t="s">
        <v>134</v>
      </c>
      <c r="B21">
        <v>-0.37288003707882722</v>
      </c>
      <c r="C21">
        <v>-1.566559566836919</v>
      </c>
      <c r="D21">
        <v>1.66715983679562E-2</v>
      </c>
      <c r="E21" t="b">
        <v>0</v>
      </c>
    </row>
    <row r="22" spans="1:5" x14ac:dyDescent="0.3">
      <c r="A22" s="1" t="s">
        <v>135</v>
      </c>
      <c r="B22">
        <v>0.29513247709402762</v>
      </c>
      <c r="C22">
        <v>1.440075361255224</v>
      </c>
      <c r="D22">
        <v>1.9362778448354819E-2</v>
      </c>
      <c r="E22" t="b">
        <v>0</v>
      </c>
    </row>
    <row r="23" spans="1:5" x14ac:dyDescent="0.3">
      <c r="A23" s="1" t="s">
        <v>136</v>
      </c>
      <c r="B23">
        <v>-8.28789681173102E-4</v>
      </c>
      <c r="C23">
        <v>-5.9432290901070498E-3</v>
      </c>
      <c r="D23">
        <v>2.845624524146783E-2</v>
      </c>
      <c r="E23" t="b">
        <v>0</v>
      </c>
    </row>
    <row r="24" spans="1:5" x14ac:dyDescent="0.3">
      <c r="A24" s="1" t="s">
        <v>138</v>
      </c>
      <c r="B24">
        <v>-0.25816227294256838</v>
      </c>
      <c r="C24">
        <v>-1.0180843837817479</v>
      </c>
      <c r="D24">
        <v>1.5649139395585009E-2</v>
      </c>
      <c r="E24" t="b">
        <v>0</v>
      </c>
    </row>
    <row r="25" spans="1:5" x14ac:dyDescent="0.3">
      <c r="A25" s="1" t="s">
        <v>139</v>
      </c>
      <c r="B25">
        <v>5.6226136676736212E-2</v>
      </c>
      <c r="C25">
        <v>0.80325943406620359</v>
      </c>
      <c r="D25">
        <v>5.6691382783364969E-2</v>
      </c>
      <c r="E25" t="b">
        <v>0</v>
      </c>
    </row>
    <row r="26" spans="1:5" x14ac:dyDescent="0.3">
      <c r="A26" s="1" t="s">
        <v>140</v>
      </c>
      <c r="B26">
        <v>0.43436158224103483</v>
      </c>
      <c r="C26">
        <v>6.3238403426877827</v>
      </c>
      <c r="D26">
        <v>5.7773536059526308E-2</v>
      </c>
      <c r="E26" t="b">
        <v>0</v>
      </c>
    </row>
    <row r="27" spans="1:5" x14ac:dyDescent="0.3">
      <c r="A27" s="1" t="s">
        <v>142</v>
      </c>
      <c r="B27">
        <v>-0.14039886637916851</v>
      </c>
      <c r="C27">
        <v>-9.3374956801440673E-2</v>
      </c>
      <c r="D27">
        <v>2.639163352374743E-3</v>
      </c>
      <c r="E27" t="b">
        <v>0</v>
      </c>
    </row>
    <row r="28" spans="1:5" x14ac:dyDescent="0.3">
      <c r="A28" s="1" t="s">
        <v>144</v>
      </c>
      <c r="B28">
        <v>6.6971322744669506E-2</v>
      </c>
      <c r="C28">
        <v>0.24950096301235289</v>
      </c>
      <c r="D28">
        <v>1.478368868913763E-2</v>
      </c>
      <c r="E28" t="b">
        <v>0</v>
      </c>
    </row>
    <row r="29" spans="1:5" x14ac:dyDescent="0.3">
      <c r="A29" s="1" t="s">
        <v>146</v>
      </c>
      <c r="B29">
        <v>0.38479800898569561</v>
      </c>
      <c r="C29">
        <v>2.0104104162231931</v>
      </c>
      <c r="D29">
        <v>2.073248542274387E-2</v>
      </c>
      <c r="E29" t="b">
        <v>0</v>
      </c>
    </row>
    <row r="30" spans="1:5" x14ac:dyDescent="0.3">
      <c r="A30" s="1" t="s">
        <v>151</v>
      </c>
      <c r="B30">
        <v>-0.16138091350300851</v>
      </c>
      <c r="C30">
        <v>-0.92937570965637417</v>
      </c>
      <c r="D30">
        <v>2.2852757291983009E-2</v>
      </c>
      <c r="E30" t="b">
        <v>0</v>
      </c>
    </row>
    <row r="31" spans="1:5" x14ac:dyDescent="0.3">
      <c r="A31" s="1" t="s">
        <v>152</v>
      </c>
      <c r="B31">
        <v>-0.15680988789335831</v>
      </c>
      <c r="C31">
        <v>-1.1740730226453819</v>
      </c>
      <c r="D31">
        <v>2.971126370743233E-2</v>
      </c>
      <c r="E31" t="b">
        <v>0</v>
      </c>
    </row>
    <row r="32" spans="1:5" x14ac:dyDescent="0.3">
      <c r="A32" s="1" t="s">
        <v>155</v>
      </c>
      <c r="B32">
        <v>0.1693730326751024</v>
      </c>
      <c r="C32">
        <v>3.7518613389965081</v>
      </c>
      <c r="D32">
        <v>8.7902651394162035E-2</v>
      </c>
      <c r="E32" t="b">
        <v>0</v>
      </c>
    </row>
    <row r="33" spans="1:5" x14ac:dyDescent="0.3">
      <c r="A33" s="1" t="s">
        <v>156</v>
      </c>
      <c r="B33">
        <v>0.12993396768880541</v>
      </c>
      <c r="C33">
        <v>1.6579886962105981</v>
      </c>
      <c r="D33">
        <v>5.0635875591943262E-2</v>
      </c>
      <c r="E33" t="b">
        <v>0</v>
      </c>
    </row>
    <row r="34" spans="1:5" x14ac:dyDescent="0.3">
      <c r="A34" s="1" t="s">
        <v>157</v>
      </c>
      <c r="B34">
        <v>3.9540646642504847E-2</v>
      </c>
      <c r="C34">
        <v>0.1996306726674702</v>
      </c>
      <c r="D34">
        <v>2.003470545538134E-2</v>
      </c>
      <c r="E34" t="b">
        <v>0</v>
      </c>
    </row>
    <row r="35" spans="1:5" x14ac:dyDescent="0.3">
      <c r="A35" s="1" t="s">
        <v>158</v>
      </c>
      <c r="B35">
        <v>0.34139967164008328</v>
      </c>
      <c r="C35">
        <v>2.798468234190604</v>
      </c>
      <c r="D35">
        <v>3.2527953591785792E-2</v>
      </c>
      <c r="E35" t="b">
        <v>0</v>
      </c>
    </row>
    <row r="36" spans="1:5" x14ac:dyDescent="0.3">
      <c r="A36" s="1" t="s">
        <v>159</v>
      </c>
      <c r="B36">
        <v>-0.28878451788552623</v>
      </c>
      <c r="C36">
        <v>-1.2682387333406571</v>
      </c>
      <c r="D36">
        <v>1.7427157879244069E-2</v>
      </c>
      <c r="E36" t="b">
        <v>0</v>
      </c>
    </row>
    <row r="37" spans="1:5" x14ac:dyDescent="0.3">
      <c r="A37" s="1" t="s">
        <v>160</v>
      </c>
      <c r="B37">
        <v>-0.17924370961388589</v>
      </c>
      <c r="C37">
        <v>-0.88193945632761883</v>
      </c>
      <c r="D37">
        <v>1.9525146823120069E-2</v>
      </c>
      <c r="E37" t="b">
        <v>0</v>
      </c>
    </row>
    <row r="38" spans="1:5" x14ac:dyDescent="0.3">
      <c r="A38" s="1" t="s">
        <v>161</v>
      </c>
      <c r="B38">
        <v>0.33025492956327718</v>
      </c>
      <c r="C38">
        <v>2.2592123819569641</v>
      </c>
      <c r="D38">
        <v>2.714608533378907E-2</v>
      </c>
      <c r="E38" t="b">
        <v>0</v>
      </c>
    </row>
    <row r="39" spans="1:5" x14ac:dyDescent="0.3">
      <c r="A39" s="1" t="s">
        <v>162</v>
      </c>
      <c r="B39">
        <v>-0.15281582447448289</v>
      </c>
      <c r="C39">
        <v>-1.4221831891585459</v>
      </c>
      <c r="D39">
        <v>3.6930626153215212E-2</v>
      </c>
      <c r="E39" t="b">
        <v>0</v>
      </c>
    </row>
    <row r="40" spans="1:5" x14ac:dyDescent="0.3">
      <c r="A40" s="1" t="s">
        <v>166</v>
      </c>
      <c r="B40">
        <v>0.34482483765465871</v>
      </c>
      <c r="C40">
        <v>3.2362267569456389</v>
      </c>
      <c r="D40">
        <v>3.7242588897498763E-2</v>
      </c>
      <c r="E40" t="b">
        <v>0</v>
      </c>
    </row>
    <row r="41" spans="1:5" x14ac:dyDescent="0.3">
      <c r="A41" s="1" t="s">
        <v>167</v>
      </c>
      <c r="B41">
        <v>-0.1865694118965123</v>
      </c>
      <c r="C41">
        <v>-0.91795582690868605</v>
      </c>
      <c r="D41">
        <v>1.9524539504003981E-2</v>
      </c>
      <c r="E41" t="b">
        <v>0</v>
      </c>
    </row>
    <row r="42" spans="1:5" x14ac:dyDescent="0.3">
      <c r="A42" s="1" t="s">
        <v>168</v>
      </c>
      <c r="B42">
        <v>0.1221260146493716</v>
      </c>
      <c r="C42">
        <v>1.8377729657443</v>
      </c>
      <c r="D42">
        <v>5.9714958233939283E-2</v>
      </c>
      <c r="E42" t="b">
        <v>0</v>
      </c>
    </row>
    <row r="43" spans="1:5" x14ac:dyDescent="0.3">
      <c r="A43" s="1" t="s">
        <v>169</v>
      </c>
      <c r="B43">
        <v>0.1056389976991694</v>
      </c>
      <c r="C43">
        <v>0.49087469519182492</v>
      </c>
      <c r="D43">
        <v>1.843935951245523E-2</v>
      </c>
      <c r="E43" t="b">
        <v>0</v>
      </c>
    </row>
    <row r="44" spans="1:5" x14ac:dyDescent="0.3">
      <c r="A44" s="1" t="s">
        <v>171</v>
      </c>
      <c r="B44">
        <v>-0.33093630032654459</v>
      </c>
      <c r="C44">
        <v>-1.9321160238118951</v>
      </c>
      <c r="D44">
        <v>2.316798450654476E-2</v>
      </c>
      <c r="E44" t="b">
        <v>0</v>
      </c>
    </row>
    <row r="45" spans="1:5" x14ac:dyDescent="0.3">
      <c r="A45" s="1" t="s">
        <v>175</v>
      </c>
      <c r="B45">
        <v>0.4161112114984451</v>
      </c>
      <c r="C45">
        <v>2.3912847713625109</v>
      </c>
      <c r="D45">
        <v>2.280454124034105E-2</v>
      </c>
      <c r="E45" t="b">
        <v>0</v>
      </c>
    </row>
    <row r="46" spans="1:5" x14ac:dyDescent="0.3">
      <c r="A46" s="1" t="s">
        <v>177</v>
      </c>
      <c r="B46">
        <v>1.818050965717409E-2</v>
      </c>
      <c r="C46">
        <v>9.612126744474897E-2</v>
      </c>
      <c r="D46">
        <v>2.098035798576808E-2</v>
      </c>
      <c r="E46" t="b">
        <v>0</v>
      </c>
    </row>
    <row r="47" spans="1:5" x14ac:dyDescent="0.3">
      <c r="A47" s="1" t="s">
        <v>180</v>
      </c>
      <c r="B47">
        <v>3.5730752425001823E-2</v>
      </c>
      <c r="C47">
        <v>0.24362966028415189</v>
      </c>
      <c r="D47">
        <v>2.7057486915122039E-2</v>
      </c>
      <c r="E47" t="b">
        <v>0</v>
      </c>
    </row>
    <row r="48" spans="1:5" x14ac:dyDescent="0.3">
      <c r="A48" s="1" t="s">
        <v>182</v>
      </c>
      <c r="B48">
        <v>0.1300527920466869</v>
      </c>
      <c r="C48">
        <v>1.4571398379200331</v>
      </c>
      <c r="D48">
        <v>4.4461182671505901E-2</v>
      </c>
      <c r="E48" t="b">
        <v>0</v>
      </c>
    </row>
    <row r="49" spans="1:5" x14ac:dyDescent="0.3">
      <c r="A49" s="1" t="s">
        <v>183</v>
      </c>
      <c r="B49">
        <v>-0.17294131295710621</v>
      </c>
      <c r="C49">
        <v>-0.78436239734340929</v>
      </c>
      <c r="D49">
        <v>1.7997719241203931E-2</v>
      </c>
      <c r="E49" t="b">
        <v>0</v>
      </c>
    </row>
    <row r="50" spans="1:5" x14ac:dyDescent="0.3">
      <c r="A50" s="1" t="s">
        <v>185</v>
      </c>
      <c r="B50">
        <v>0.2270269797014236</v>
      </c>
      <c r="C50">
        <v>2.316468899290494</v>
      </c>
      <c r="D50">
        <v>4.0490063841908952E-2</v>
      </c>
      <c r="E50" t="b">
        <v>0</v>
      </c>
    </row>
    <row r="51" spans="1:5" x14ac:dyDescent="0.3">
      <c r="A51" s="1" t="s">
        <v>186</v>
      </c>
      <c r="B51">
        <v>-0.36148616735402411</v>
      </c>
      <c r="C51">
        <v>-2.1192871748156721</v>
      </c>
      <c r="D51">
        <v>2.3264706926104221E-2</v>
      </c>
      <c r="E51" t="b">
        <v>0</v>
      </c>
    </row>
    <row r="52" spans="1:5" x14ac:dyDescent="0.3">
      <c r="A52" s="1" t="s">
        <v>188</v>
      </c>
      <c r="B52">
        <v>2.2011898376781119E-2</v>
      </c>
      <c r="C52">
        <v>0.1745987998594766</v>
      </c>
      <c r="D52">
        <v>3.1476266541626052E-2</v>
      </c>
      <c r="E52" t="b">
        <v>0</v>
      </c>
    </row>
    <row r="53" spans="1:5" x14ac:dyDescent="0.3">
      <c r="A53" s="1" t="s">
        <v>189</v>
      </c>
      <c r="B53">
        <v>0.27764371291335871</v>
      </c>
      <c r="C53">
        <v>6.9825400070168486</v>
      </c>
      <c r="D53">
        <v>9.9798737744093605E-2</v>
      </c>
      <c r="E53" t="b">
        <v>0</v>
      </c>
    </row>
    <row r="54" spans="1:5" x14ac:dyDescent="0.3">
      <c r="A54" s="1" t="s">
        <v>190</v>
      </c>
      <c r="B54">
        <v>0.43729517979184879</v>
      </c>
      <c r="C54">
        <v>3.386402106384574</v>
      </c>
      <c r="D54">
        <v>3.073005195977847E-2</v>
      </c>
      <c r="E54" t="b">
        <v>0</v>
      </c>
    </row>
    <row r="55" spans="1:5" x14ac:dyDescent="0.3">
      <c r="A55" s="1" t="s">
        <v>191</v>
      </c>
      <c r="B55">
        <v>0.44849422423776841</v>
      </c>
      <c r="C55">
        <v>6.0695023845238438</v>
      </c>
      <c r="D55">
        <v>5.3702646814789028E-2</v>
      </c>
      <c r="E55" t="b">
        <v>0</v>
      </c>
    </row>
    <row r="56" spans="1:5" x14ac:dyDescent="0.3">
      <c r="A56" s="1" t="s">
        <v>193</v>
      </c>
      <c r="B56">
        <v>9.952712539610091E-2</v>
      </c>
      <c r="C56">
        <v>0.72787965508680674</v>
      </c>
      <c r="D56">
        <v>2.9021347880933648E-2</v>
      </c>
      <c r="E56" t="b">
        <v>0</v>
      </c>
    </row>
    <row r="57" spans="1:5" x14ac:dyDescent="0.3">
      <c r="A57" s="1" t="s">
        <v>194</v>
      </c>
      <c r="B57">
        <v>0.23617284656615531</v>
      </c>
      <c r="C57">
        <v>2.29732913285671</v>
      </c>
      <c r="D57">
        <v>3.8600480878272607E-2</v>
      </c>
      <c r="E57" t="b">
        <v>0</v>
      </c>
    </row>
    <row r="58" spans="1:5" x14ac:dyDescent="0.3">
      <c r="A58" s="1" t="s">
        <v>196</v>
      </c>
      <c r="B58">
        <v>-0.27165377764413862</v>
      </c>
      <c r="C58">
        <v>-2.9659251776978111</v>
      </c>
      <c r="D58">
        <v>4.3325531704409358E-2</v>
      </c>
      <c r="E58" t="b">
        <v>0</v>
      </c>
    </row>
    <row r="59" spans="1:5" x14ac:dyDescent="0.3">
      <c r="A59" s="1" t="s">
        <v>197</v>
      </c>
      <c r="B59">
        <v>0.4984897005875395</v>
      </c>
      <c r="C59">
        <v>3.9541856932943031</v>
      </c>
      <c r="D59">
        <v>3.1477507058087467E-2</v>
      </c>
      <c r="E59" t="b">
        <v>0</v>
      </c>
    </row>
    <row r="60" spans="1:5" x14ac:dyDescent="0.3">
      <c r="A60" s="1" t="s">
        <v>198</v>
      </c>
      <c r="B60">
        <v>-0.13247834842944381</v>
      </c>
      <c r="C60">
        <v>-0.75763318430298821</v>
      </c>
      <c r="D60">
        <v>2.2694130216247631E-2</v>
      </c>
      <c r="E60" t="b">
        <v>0</v>
      </c>
    </row>
    <row r="61" spans="1:5" x14ac:dyDescent="0.3">
      <c r="A61" s="1" t="s">
        <v>199</v>
      </c>
      <c r="B61">
        <v>0.21085467636104149</v>
      </c>
      <c r="C61">
        <v>1.87971531551989</v>
      </c>
      <c r="D61">
        <v>3.5375965516777873E-2</v>
      </c>
      <c r="E61" t="b">
        <v>0</v>
      </c>
    </row>
    <row r="62" spans="1:5" x14ac:dyDescent="0.3">
      <c r="A62" s="1" t="s">
        <v>200</v>
      </c>
      <c r="B62">
        <v>0.15763950850499939</v>
      </c>
      <c r="C62">
        <v>1.8818372749279979</v>
      </c>
      <c r="D62">
        <v>4.737142550532903E-2</v>
      </c>
      <c r="E62" t="b">
        <v>0</v>
      </c>
    </row>
    <row r="63" spans="1:5" x14ac:dyDescent="0.3">
      <c r="A63" s="1" t="s">
        <v>203</v>
      </c>
      <c r="B63">
        <v>0.21727774933289079</v>
      </c>
      <c r="C63">
        <v>1.9570589236764431</v>
      </c>
      <c r="D63">
        <v>3.574276180524795E-2</v>
      </c>
      <c r="E63" t="b">
        <v>0</v>
      </c>
    </row>
    <row r="64" spans="1:5" x14ac:dyDescent="0.3">
      <c r="A64" s="1" t="s">
        <v>204</v>
      </c>
      <c r="B64">
        <v>0.38549803534284732</v>
      </c>
      <c r="C64">
        <v>2.8208184277846229</v>
      </c>
      <c r="D64">
        <v>2.903704531159278E-2</v>
      </c>
      <c r="E64" t="b">
        <v>0</v>
      </c>
    </row>
    <row r="65" spans="1:5" x14ac:dyDescent="0.3">
      <c r="A65" s="1" t="s">
        <v>207</v>
      </c>
      <c r="B65">
        <v>0.42938316787444553</v>
      </c>
      <c r="C65">
        <v>9.5880626011357908</v>
      </c>
      <c r="D65">
        <v>8.8610523913107878E-2</v>
      </c>
      <c r="E65" t="b">
        <v>0</v>
      </c>
    </row>
    <row r="66" spans="1:5" x14ac:dyDescent="0.3">
      <c r="A66" s="1" t="s">
        <v>208</v>
      </c>
      <c r="B66">
        <v>0.46567625396118911</v>
      </c>
      <c r="C66">
        <v>3.7759983803435802</v>
      </c>
      <c r="D66">
        <v>3.2177119682309997E-2</v>
      </c>
      <c r="E66" t="b">
        <v>0</v>
      </c>
    </row>
    <row r="67" spans="1:5" x14ac:dyDescent="0.3">
      <c r="A67" s="1" t="s">
        <v>209</v>
      </c>
      <c r="B67">
        <v>0.1658566442107422</v>
      </c>
      <c r="C67">
        <v>1.390466232484791</v>
      </c>
      <c r="D67">
        <v>3.3268025957223273E-2</v>
      </c>
      <c r="E67" t="b">
        <v>0</v>
      </c>
    </row>
    <row r="68" spans="1:5" x14ac:dyDescent="0.3">
      <c r="A68" s="1" t="s">
        <v>210</v>
      </c>
      <c r="B68">
        <v>-0.24823816664714321</v>
      </c>
      <c r="C68">
        <v>-0.94780733483227664</v>
      </c>
      <c r="D68">
        <v>1.5151337396616581E-2</v>
      </c>
      <c r="E68" t="b">
        <v>0</v>
      </c>
    </row>
    <row r="69" spans="1:5" x14ac:dyDescent="0.3">
      <c r="A69" s="1" t="s">
        <v>211</v>
      </c>
      <c r="B69">
        <v>-2.435463785000367E-2</v>
      </c>
      <c r="C69">
        <v>-0.26698816772115341</v>
      </c>
      <c r="D69">
        <v>4.3502057495638902E-2</v>
      </c>
      <c r="E69" t="b">
        <v>0</v>
      </c>
    </row>
    <row r="70" spans="1:5" x14ac:dyDescent="0.3">
      <c r="A70" s="1" t="s">
        <v>213</v>
      </c>
      <c r="B70">
        <v>-0.19320186293442951</v>
      </c>
      <c r="C70">
        <v>-2.819646062114503</v>
      </c>
      <c r="D70">
        <v>5.791389122813477E-2</v>
      </c>
      <c r="E70" t="b">
        <v>0</v>
      </c>
    </row>
    <row r="71" spans="1:5" x14ac:dyDescent="0.3">
      <c r="A71" s="1" t="s">
        <v>214</v>
      </c>
      <c r="B71">
        <v>-0.17654540483252371</v>
      </c>
      <c r="C71">
        <v>-0.73840821428743064</v>
      </c>
      <c r="D71">
        <v>1.6597380879536869E-2</v>
      </c>
      <c r="E71" t="b">
        <v>0</v>
      </c>
    </row>
    <row r="72" spans="1:5" x14ac:dyDescent="0.3">
      <c r="A72" s="1" t="s">
        <v>218</v>
      </c>
      <c r="B72">
        <v>0.17818539165222599</v>
      </c>
      <c r="C72">
        <v>1.8275499021564929</v>
      </c>
      <c r="D72">
        <v>4.0700206027939313E-2</v>
      </c>
      <c r="E72" t="b">
        <v>0</v>
      </c>
    </row>
    <row r="73" spans="1:5" x14ac:dyDescent="0.3">
      <c r="A73" s="1" t="s">
        <v>220</v>
      </c>
      <c r="B73">
        <v>-6.2628796616197704E-2</v>
      </c>
      <c r="C73">
        <v>-0.62506978088125464</v>
      </c>
      <c r="D73">
        <v>3.9605353646155833E-2</v>
      </c>
      <c r="E73" t="b">
        <v>0</v>
      </c>
    </row>
    <row r="74" spans="1:5" x14ac:dyDescent="0.3">
      <c r="A74" s="1" t="s">
        <v>223</v>
      </c>
      <c r="B74">
        <v>0.2053841308864498</v>
      </c>
      <c r="C74">
        <v>1.1295620734538601</v>
      </c>
      <c r="D74">
        <v>2.1824418279183539E-2</v>
      </c>
      <c r="E74" t="b">
        <v>0</v>
      </c>
    </row>
    <row r="75" spans="1:5" x14ac:dyDescent="0.3">
      <c r="A75" s="1" t="s">
        <v>225</v>
      </c>
      <c r="B75">
        <v>-5.4479004609506977E-2</v>
      </c>
      <c r="C75">
        <v>-0.31943940319225589</v>
      </c>
      <c r="D75">
        <v>2.32679853169186E-2</v>
      </c>
      <c r="E75" t="b">
        <v>0</v>
      </c>
    </row>
    <row r="76" spans="1:5" x14ac:dyDescent="0.3">
      <c r="A76" s="1" t="s">
        <v>227</v>
      </c>
      <c r="B76">
        <v>0.1801984887091162</v>
      </c>
      <c r="C76">
        <v>1.845959841914695</v>
      </c>
      <c r="D76">
        <v>4.0650937310246563E-2</v>
      </c>
      <c r="E76" t="b">
        <v>0</v>
      </c>
    </row>
    <row r="77" spans="1:5" x14ac:dyDescent="0.3">
      <c r="A77" s="1" t="s">
        <v>228</v>
      </c>
      <c r="B77">
        <v>0.16394036937023879</v>
      </c>
      <c r="C77">
        <v>0.91076454458630174</v>
      </c>
      <c r="D77">
        <v>2.204548539254244E-2</v>
      </c>
      <c r="E77" t="b">
        <v>0</v>
      </c>
    </row>
    <row r="78" spans="1:5" x14ac:dyDescent="0.3">
      <c r="A78" s="1" t="s">
        <v>234</v>
      </c>
      <c r="B78">
        <v>-0.6281446798533018</v>
      </c>
      <c r="C78">
        <v>-3.520272843776469</v>
      </c>
      <c r="D78">
        <v>2.223904321678739E-2</v>
      </c>
      <c r="E78" t="b">
        <v>0</v>
      </c>
    </row>
    <row r="79" spans="1:5" x14ac:dyDescent="0.3">
      <c r="A79" s="1" t="s">
        <v>235</v>
      </c>
      <c r="B79">
        <v>0.18648892280464421</v>
      </c>
      <c r="C79">
        <v>1.8255171538997881</v>
      </c>
      <c r="D79">
        <v>3.8844750568199013E-2</v>
      </c>
      <c r="E79" t="b">
        <v>0</v>
      </c>
    </row>
    <row r="80" spans="1:5" x14ac:dyDescent="0.3">
      <c r="A80" s="1" t="s">
        <v>236</v>
      </c>
      <c r="B80">
        <v>0.33001980088500033</v>
      </c>
      <c r="C80">
        <v>2.306659144492492</v>
      </c>
      <c r="D80">
        <v>2.7735939719360239E-2</v>
      </c>
      <c r="E80" t="b">
        <v>0</v>
      </c>
    </row>
    <row r="81" spans="1:5" x14ac:dyDescent="0.3">
      <c r="A81" s="1" t="s">
        <v>237</v>
      </c>
      <c r="B81">
        <v>3.3111151278987512E-2</v>
      </c>
      <c r="C81">
        <v>0.32943344775986672</v>
      </c>
      <c r="D81">
        <v>3.9481429544199531E-2</v>
      </c>
      <c r="E81" t="b">
        <v>0</v>
      </c>
    </row>
    <row r="82" spans="1:5" x14ac:dyDescent="0.3">
      <c r="A82" s="1" t="s">
        <v>238</v>
      </c>
      <c r="B82">
        <v>0.1868994657669607</v>
      </c>
      <c r="C82">
        <v>0.89675486180456088</v>
      </c>
      <c r="D82">
        <v>1.903992087031451E-2</v>
      </c>
      <c r="E82" t="b">
        <v>0</v>
      </c>
    </row>
    <row r="83" spans="1:5" x14ac:dyDescent="0.3">
      <c r="A83" s="1" t="s">
        <v>239</v>
      </c>
      <c r="B83">
        <v>0.38339022585690341</v>
      </c>
      <c r="C83">
        <v>2.7558932722747538</v>
      </c>
      <c r="D83">
        <v>2.8524682363369611E-2</v>
      </c>
      <c r="E83" t="b">
        <v>0</v>
      </c>
    </row>
    <row r="84" spans="1:5" x14ac:dyDescent="0.3">
      <c r="A84" s="1" t="s">
        <v>241</v>
      </c>
      <c r="B84">
        <v>-0.12354098630559759</v>
      </c>
      <c r="C84">
        <v>-0.71171426888159939</v>
      </c>
      <c r="D84">
        <v>2.2860939160434829E-2</v>
      </c>
      <c r="E84" t="b">
        <v>0</v>
      </c>
    </row>
    <row r="85" spans="1:5" x14ac:dyDescent="0.3">
      <c r="A85" s="1" t="s">
        <v>242</v>
      </c>
      <c r="B85">
        <v>0.35696113815755631</v>
      </c>
      <c r="C85">
        <v>2.292905001068152</v>
      </c>
      <c r="D85">
        <v>2.5489691724654911E-2</v>
      </c>
      <c r="E85" t="b">
        <v>0</v>
      </c>
    </row>
    <row r="86" spans="1:5" x14ac:dyDescent="0.3">
      <c r="A86" s="1" t="s">
        <v>244</v>
      </c>
      <c r="B86">
        <v>-6.293230711556784E-2</v>
      </c>
      <c r="C86">
        <v>-0.5114431792019114</v>
      </c>
      <c r="D86">
        <v>3.2249515684804053E-2</v>
      </c>
      <c r="E86" t="b">
        <v>0</v>
      </c>
    </row>
    <row r="87" spans="1:5" x14ac:dyDescent="0.3">
      <c r="A87" s="1" t="s">
        <v>247</v>
      </c>
      <c r="B87">
        <v>-0.21761062842053311</v>
      </c>
      <c r="C87">
        <v>-1.4732472346130761</v>
      </c>
      <c r="D87">
        <v>2.686550389291965E-2</v>
      </c>
      <c r="E87" t="b">
        <v>0</v>
      </c>
    </row>
    <row r="88" spans="1:5" x14ac:dyDescent="0.3">
      <c r="A88" s="1" t="s">
        <v>250</v>
      </c>
      <c r="B88">
        <v>8.4545289887191066E-2</v>
      </c>
      <c r="C88">
        <v>0.77148327913619275</v>
      </c>
      <c r="D88">
        <v>3.6210669901997707E-2</v>
      </c>
      <c r="E88" t="b">
        <v>0</v>
      </c>
    </row>
    <row r="89" spans="1:5" x14ac:dyDescent="0.3">
      <c r="A89" s="1" t="s">
        <v>254</v>
      </c>
      <c r="B89">
        <v>-0.20841005025681181</v>
      </c>
      <c r="C89">
        <v>-1.7771589138879631</v>
      </c>
      <c r="D89">
        <v>3.3838185363727777E-2</v>
      </c>
      <c r="E89" t="b">
        <v>0</v>
      </c>
    </row>
    <row r="90" spans="1:5" x14ac:dyDescent="0.3">
      <c r="A90" s="1" t="s">
        <v>257</v>
      </c>
      <c r="B90">
        <v>0.49088860957452979</v>
      </c>
      <c r="C90">
        <v>2.3930109394504009</v>
      </c>
      <c r="D90">
        <v>1.9344663883685932E-2</v>
      </c>
      <c r="E90" t="b">
        <v>0</v>
      </c>
    </row>
    <row r="91" spans="1:5" x14ac:dyDescent="0.3">
      <c r="A91" s="1" t="s">
        <v>258</v>
      </c>
      <c r="B91">
        <v>0.10260420627521399</v>
      </c>
      <c r="C91">
        <v>0.55115006809849643</v>
      </c>
      <c r="D91">
        <v>2.1315923822546441E-2</v>
      </c>
      <c r="E91" t="b">
        <v>0</v>
      </c>
    </row>
    <row r="92" spans="1:5" x14ac:dyDescent="0.3">
      <c r="A92" s="1" t="s">
        <v>259</v>
      </c>
      <c r="B92">
        <v>8.1905841196942858E-2</v>
      </c>
      <c r="C92">
        <v>2.51324733622209</v>
      </c>
      <c r="D92">
        <v>0.1217642547762427</v>
      </c>
      <c r="E92" t="b">
        <v>0</v>
      </c>
    </row>
    <row r="93" spans="1:5" x14ac:dyDescent="0.3">
      <c r="A93" s="1" t="s">
        <v>260</v>
      </c>
      <c r="B93">
        <v>-6.9652955089244253E-2</v>
      </c>
      <c r="C93">
        <v>-0.51005559162813707</v>
      </c>
      <c r="D93">
        <v>2.9058783262176761E-2</v>
      </c>
      <c r="E93" t="b">
        <v>0</v>
      </c>
    </row>
    <row r="94" spans="1:5" x14ac:dyDescent="0.3">
      <c r="A94" s="1" t="s">
        <v>266</v>
      </c>
      <c r="B94">
        <v>0.21833048113564749</v>
      </c>
      <c r="C94">
        <v>1.5802069485361221</v>
      </c>
      <c r="D94">
        <v>2.872096677282102E-2</v>
      </c>
      <c r="E94" t="b">
        <v>0</v>
      </c>
    </row>
    <row r="95" spans="1:5" x14ac:dyDescent="0.3">
      <c r="A95" s="1" t="s">
        <v>267</v>
      </c>
      <c r="B95">
        <v>-0.20207221936777159</v>
      </c>
      <c r="C95">
        <v>-1.335405229316625</v>
      </c>
      <c r="D95">
        <v>2.6224421729234351E-2</v>
      </c>
      <c r="E95" t="b">
        <v>0</v>
      </c>
    </row>
    <row r="96" spans="1:5" x14ac:dyDescent="0.3">
      <c r="A96" s="1" t="s">
        <v>268</v>
      </c>
      <c r="B96">
        <v>0.62177130883982168</v>
      </c>
      <c r="C96">
        <v>3.0641277772524762</v>
      </c>
      <c r="D96">
        <v>1.955580297522504E-2</v>
      </c>
      <c r="E96" t="b">
        <v>0</v>
      </c>
    </row>
    <row r="97" spans="1:5" x14ac:dyDescent="0.3">
      <c r="A97" s="1" t="s">
        <v>269</v>
      </c>
      <c r="B97">
        <v>0.17497710557294829</v>
      </c>
      <c r="C97">
        <v>1.796356210224374</v>
      </c>
      <c r="D97">
        <v>4.0739030607913972E-2</v>
      </c>
      <c r="E97" t="b">
        <v>0</v>
      </c>
    </row>
    <row r="98" spans="1:5" x14ac:dyDescent="0.3">
      <c r="A98" s="1" t="s">
        <v>270</v>
      </c>
      <c r="B98">
        <v>-8.1418631886456039E-2</v>
      </c>
      <c r="C98">
        <v>-0.59813332164147992</v>
      </c>
      <c r="D98">
        <v>2.9152355820210831E-2</v>
      </c>
      <c r="E98" t="b">
        <v>0</v>
      </c>
    </row>
    <row r="99" spans="1:5" x14ac:dyDescent="0.3">
      <c r="A99" s="1" t="s">
        <v>271</v>
      </c>
      <c r="B99">
        <v>0.74484064273816808</v>
      </c>
      <c r="C99">
        <v>4.158961993820505E-2</v>
      </c>
      <c r="D99">
        <v>2.215751462638324E-4</v>
      </c>
      <c r="E99" t="b">
        <v>0</v>
      </c>
    </row>
    <row r="100" spans="1:5" x14ac:dyDescent="0.3">
      <c r="A100" s="1" t="s">
        <v>277</v>
      </c>
      <c r="B100">
        <v>-0.18256177369354659</v>
      </c>
      <c r="C100">
        <v>-0.13013179115434481</v>
      </c>
      <c r="D100">
        <v>2.8286096601529659E-3</v>
      </c>
      <c r="E100" t="b">
        <v>0</v>
      </c>
    </row>
    <row r="101" spans="1:5" x14ac:dyDescent="0.3">
      <c r="A101" s="1" t="s">
        <v>278</v>
      </c>
      <c r="B101">
        <v>1.4983772897900901E-2</v>
      </c>
      <c r="C101">
        <v>0.1088594615548029</v>
      </c>
      <c r="D101">
        <v>2.8829987830191559E-2</v>
      </c>
      <c r="E101" t="b">
        <v>0</v>
      </c>
    </row>
    <row r="102" spans="1:5" x14ac:dyDescent="0.3">
      <c r="A102" s="1" t="s">
        <v>279</v>
      </c>
      <c r="B102">
        <v>0.44807016502750502</v>
      </c>
      <c r="C102">
        <v>2.065803481567476</v>
      </c>
      <c r="D102">
        <v>1.8295422242317311E-2</v>
      </c>
      <c r="E102" t="b">
        <v>0</v>
      </c>
    </row>
    <row r="103" spans="1:5" x14ac:dyDescent="0.3">
      <c r="A103" s="1" t="s">
        <v>281</v>
      </c>
      <c r="B103">
        <v>0.35224486139878958</v>
      </c>
      <c r="C103">
        <v>0.15654038159595399</v>
      </c>
      <c r="D103">
        <v>1.76352321505369E-3</v>
      </c>
      <c r="E103" t="b">
        <v>0</v>
      </c>
    </row>
    <row r="104" spans="1:5" x14ac:dyDescent="0.3">
      <c r="A104" s="1" t="s">
        <v>282</v>
      </c>
      <c r="B104">
        <v>0.28433292578610703</v>
      </c>
      <c r="C104">
        <v>1.9384733869493831</v>
      </c>
      <c r="D104">
        <v>2.7054041275203101E-2</v>
      </c>
      <c r="E104" t="b">
        <v>0</v>
      </c>
    </row>
    <row r="105" spans="1:5" x14ac:dyDescent="0.3">
      <c r="A105" s="1" t="s">
        <v>283</v>
      </c>
      <c r="B105">
        <v>-9.3779486484362073E-2</v>
      </c>
      <c r="C105">
        <v>-0.680193792846018</v>
      </c>
      <c r="D105">
        <v>2.8782218999386641E-2</v>
      </c>
      <c r="E105" t="b">
        <v>0</v>
      </c>
    </row>
    <row r="106" spans="1:5" x14ac:dyDescent="0.3">
      <c r="A106" s="1" t="s">
        <v>284</v>
      </c>
      <c r="B106">
        <v>-3.829014481348101E-2</v>
      </c>
      <c r="C106">
        <v>-0.31635304662135261</v>
      </c>
      <c r="D106">
        <v>3.2785700830842257E-2</v>
      </c>
      <c r="E106" t="b">
        <v>0</v>
      </c>
    </row>
    <row r="107" spans="1:5" x14ac:dyDescent="0.3">
      <c r="A107" s="1" t="s">
        <v>285</v>
      </c>
      <c r="B107">
        <v>2.003192633310228E-2</v>
      </c>
      <c r="C107">
        <v>0.2057354616793908</v>
      </c>
      <c r="D107">
        <v>4.0755469476278262E-2</v>
      </c>
      <c r="E107" t="b">
        <v>0</v>
      </c>
    </row>
    <row r="108" spans="1:5" x14ac:dyDescent="0.3">
      <c r="A108" s="1" t="s">
        <v>286</v>
      </c>
      <c r="B108">
        <v>0.26551721803480999</v>
      </c>
      <c r="C108">
        <v>1.426630061288396</v>
      </c>
      <c r="D108">
        <v>2.132151897281432E-2</v>
      </c>
      <c r="E108" t="b">
        <v>0</v>
      </c>
    </row>
    <row r="109" spans="1:5" x14ac:dyDescent="0.3">
      <c r="A109" s="1" t="s">
        <v>289</v>
      </c>
      <c r="B109">
        <v>0.33537476058270749</v>
      </c>
      <c r="C109">
        <v>9.2327233642742019</v>
      </c>
      <c r="D109">
        <v>0.10924433032591579</v>
      </c>
      <c r="E109" t="b">
        <v>0</v>
      </c>
    </row>
    <row r="110" spans="1:5" x14ac:dyDescent="0.3">
      <c r="A110" s="1" t="s">
        <v>291</v>
      </c>
      <c r="B110">
        <v>-0.16333354136293621</v>
      </c>
      <c r="C110">
        <v>-1.171704032677477</v>
      </c>
      <c r="D110">
        <v>2.8467019930461579E-2</v>
      </c>
      <c r="E110" t="b">
        <v>0</v>
      </c>
    </row>
    <row r="111" spans="1:5" x14ac:dyDescent="0.3">
      <c r="A111" s="1" t="s">
        <v>292</v>
      </c>
      <c r="B111">
        <v>0.18099774068828969</v>
      </c>
      <c r="C111">
        <v>1.1415641036336139</v>
      </c>
      <c r="D111">
        <v>2.502802668715003E-2</v>
      </c>
      <c r="E111" t="b">
        <v>0</v>
      </c>
    </row>
    <row r="112" spans="1:5" x14ac:dyDescent="0.3">
      <c r="A112" s="1" t="s">
        <v>293</v>
      </c>
      <c r="B112">
        <v>0.1254564958907767</v>
      </c>
      <c r="C112">
        <v>0.75346478755933854</v>
      </c>
      <c r="D112">
        <v>2.3832481625941801E-2</v>
      </c>
      <c r="E112" t="b">
        <v>0</v>
      </c>
    </row>
    <row r="113" spans="1:5" x14ac:dyDescent="0.3">
      <c r="A113" s="1" t="s">
        <v>294</v>
      </c>
      <c r="B113">
        <v>-0.16396275949136141</v>
      </c>
      <c r="C113">
        <v>-0.10818457211216299</v>
      </c>
      <c r="D113">
        <v>2.618301002738166E-3</v>
      </c>
      <c r="E113" t="b">
        <v>0</v>
      </c>
    </row>
    <row r="114" spans="1:5" x14ac:dyDescent="0.3">
      <c r="A114" s="1" t="s">
        <v>295</v>
      </c>
      <c r="B114">
        <v>-0.35559145709353729</v>
      </c>
      <c r="C114">
        <v>-0.16099337384476711</v>
      </c>
      <c r="D114">
        <v>1.7966196371642319E-3</v>
      </c>
      <c r="E114" t="b">
        <v>0</v>
      </c>
    </row>
    <row r="115" spans="1:5" x14ac:dyDescent="0.3">
      <c r="A115" s="1" t="s">
        <v>301</v>
      </c>
      <c r="B115">
        <v>0.53589168283835176</v>
      </c>
      <c r="C115">
        <v>4.178217472384374E-2</v>
      </c>
      <c r="D115">
        <v>3.0939513703963698E-4</v>
      </c>
      <c r="E115" t="b">
        <v>0</v>
      </c>
    </row>
    <row r="116" spans="1:5" x14ac:dyDescent="0.3">
      <c r="A116" s="1" t="s">
        <v>302</v>
      </c>
      <c r="B116">
        <v>3.6487475444274581E-2</v>
      </c>
      <c r="C116">
        <v>0.1636420177579512</v>
      </c>
      <c r="D116">
        <v>1.7797150349106231E-2</v>
      </c>
      <c r="E116" t="b">
        <v>0</v>
      </c>
    </row>
    <row r="117" spans="1:5" x14ac:dyDescent="0.3">
      <c r="A117" s="1" t="s">
        <v>304</v>
      </c>
      <c r="B117">
        <v>-3.024618496475423E-2</v>
      </c>
      <c r="C117">
        <v>-0.13521802445363329</v>
      </c>
      <c r="D117">
        <v>1.7740401400800351E-2</v>
      </c>
      <c r="E117" t="b">
        <v>0</v>
      </c>
    </row>
    <row r="118" spans="1:5" x14ac:dyDescent="0.3">
      <c r="A118" s="1" t="s">
        <v>306</v>
      </c>
      <c r="B118">
        <v>-0.25747143143501439</v>
      </c>
      <c r="C118">
        <v>-0.90826803171217474</v>
      </c>
      <c r="D118">
        <v>1.3998594721720671E-2</v>
      </c>
      <c r="E118" t="b">
        <v>0</v>
      </c>
    </row>
    <row r="119" spans="1:5" x14ac:dyDescent="0.3">
      <c r="A119" s="1" t="s">
        <v>307</v>
      </c>
      <c r="B119">
        <v>-0.1233361984360133</v>
      </c>
      <c r="C119">
        <v>-1.1855434942730161</v>
      </c>
      <c r="D119">
        <v>3.8144013966242701E-2</v>
      </c>
      <c r="E119" t="b">
        <v>0</v>
      </c>
    </row>
    <row r="120" spans="1:5" x14ac:dyDescent="0.3">
      <c r="A120" s="1" t="s">
        <v>308</v>
      </c>
      <c r="B120">
        <v>-0.16866975002490089</v>
      </c>
      <c r="C120">
        <v>-0.94506645511490373</v>
      </c>
      <c r="D120">
        <v>2.2234358622217509E-2</v>
      </c>
      <c r="E120" t="b">
        <v>0</v>
      </c>
    </row>
    <row r="121" spans="1:5" x14ac:dyDescent="0.3">
      <c r="A121" s="1" t="s">
        <v>309</v>
      </c>
      <c r="B121">
        <v>0.1355945004600721</v>
      </c>
      <c r="C121">
        <v>1.614870872884721</v>
      </c>
      <c r="D121">
        <v>4.7260159724763627E-2</v>
      </c>
      <c r="E121" t="b">
        <v>0</v>
      </c>
    </row>
    <row r="122" spans="1:5" x14ac:dyDescent="0.3">
      <c r="A122" s="1" t="s">
        <v>315</v>
      </c>
      <c r="B122">
        <v>-8.1080573692601798E-2</v>
      </c>
      <c r="C122">
        <v>-2.5433549430859161E-2</v>
      </c>
      <c r="D122">
        <v>1.244771452141309E-3</v>
      </c>
      <c r="E122" t="b">
        <v>0</v>
      </c>
    </row>
    <row r="123" spans="1:5" x14ac:dyDescent="0.3">
      <c r="A123" s="1" t="s">
        <v>316</v>
      </c>
      <c r="B123">
        <v>-0.39842952855682617</v>
      </c>
      <c r="C123">
        <v>-2.222405567594774</v>
      </c>
      <c r="D123">
        <v>2.2134578590652449E-2</v>
      </c>
      <c r="E123" t="b">
        <v>0</v>
      </c>
    </row>
    <row r="124" spans="1:5" x14ac:dyDescent="0.3">
      <c r="A124" s="1" t="s">
        <v>319</v>
      </c>
      <c r="B124">
        <v>0.23658165416222529</v>
      </c>
      <c r="C124">
        <v>0.94067067985259878</v>
      </c>
      <c r="D124">
        <v>1.5778147174444979E-2</v>
      </c>
      <c r="E124" t="b">
        <v>0</v>
      </c>
    </row>
    <row r="125" spans="1:5" x14ac:dyDescent="0.3">
      <c r="A125" s="1" t="s">
        <v>320</v>
      </c>
      <c r="B125">
        <v>-2.5958882009072801E-2</v>
      </c>
      <c r="C125">
        <v>-0.10377104790127931</v>
      </c>
      <c r="D125">
        <v>1.5863158994297251E-2</v>
      </c>
      <c r="E125" t="b">
        <v>0</v>
      </c>
    </row>
    <row r="126" spans="1:5" x14ac:dyDescent="0.3">
      <c r="A126" s="1" t="s">
        <v>322</v>
      </c>
      <c r="B126">
        <v>0.18741914801639101</v>
      </c>
      <c r="C126">
        <v>2.128917381496426</v>
      </c>
      <c r="D126">
        <v>4.5075889718958699E-2</v>
      </c>
      <c r="E126" t="b">
        <v>0</v>
      </c>
    </row>
    <row r="127" spans="1:5" x14ac:dyDescent="0.3">
      <c r="A127" s="1" t="s">
        <v>325</v>
      </c>
      <c r="B127">
        <v>6.1657816680199443E-2</v>
      </c>
      <c r="C127">
        <v>0.64409839158755622</v>
      </c>
      <c r="D127">
        <v>4.1453722106642887E-2</v>
      </c>
      <c r="E127" t="b">
        <v>0</v>
      </c>
    </row>
    <row r="128" spans="1:5" x14ac:dyDescent="0.3">
      <c r="A128" s="1" t="s">
        <v>326</v>
      </c>
      <c r="B128">
        <v>0.32857179960733601</v>
      </c>
      <c r="C128">
        <v>2.2421692121583172</v>
      </c>
      <c r="D128">
        <v>2.7079307732060961E-2</v>
      </c>
      <c r="E128" t="b">
        <v>0</v>
      </c>
    </row>
    <row r="129" spans="1:5" x14ac:dyDescent="0.3">
      <c r="A129" s="1" t="s">
        <v>327</v>
      </c>
      <c r="B129">
        <v>-0.12896408863284681</v>
      </c>
      <c r="C129">
        <v>-0.72407848405622932</v>
      </c>
      <c r="D129">
        <v>2.2280057558221829E-2</v>
      </c>
      <c r="E129" t="b">
        <v>0</v>
      </c>
    </row>
    <row r="130" spans="1:5" x14ac:dyDescent="0.3">
      <c r="A130" s="1" t="s">
        <v>330</v>
      </c>
      <c r="B130">
        <v>0.37036987778581693</v>
      </c>
      <c r="C130">
        <v>2.3822890191632911</v>
      </c>
      <c r="D130">
        <v>2.5524559152430629E-2</v>
      </c>
      <c r="E130" t="b">
        <v>0</v>
      </c>
    </row>
    <row r="131" spans="1:5" x14ac:dyDescent="0.3">
      <c r="A131" s="1" t="s">
        <v>331</v>
      </c>
      <c r="B131">
        <v>-0.11789654103734561</v>
      </c>
      <c r="C131">
        <v>-0.87271899883599313</v>
      </c>
      <c r="D131">
        <v>2.9374658491503551E-2</v>
      </c>
      <c r="E131" t="b">
        <v>0</v>
      </c>
    </row>
    <row r="132" spans="1:5" x14ac:dyDescent="0.3">
      <c r="A132" s="1" t="s">
        <v>333</v>
      </c>
      <c r="B132">
        <v>-7.5627650182638478E-2</v>
      </c>
      <c r="C132">
        <v>-0.41291235014339273</v>
      </c>
      <c r="D132">
        <v>2.166589954918027E-2</v>
      </c>
      <c r="E132" t="b">
        <v>0</v>
      </c>
    </row>
    <row r="133" spans="1:5" x14ac:dyDescent="0.3">
      <c r="A133" s="1" t="s">
        <v>334</v>
      </c>
      <c r="B133">
        <v>-0.3518545696444616</v>
      </c>
      <c r="C133">
        <v>-1.8825890924378379</v>
      </c>
      <c r="D133">
        <v>2.123204380777801E-2</v>
      </c>
      <c r="E133" t="b">
        <v>0</v>
      </c>
    </row>
    <row r="134" spans="1:5" x14ac:dyDescent="0.3">
      <c r="A134" s="1" t="s">
        <v>336</v>
      </c>
      <c r="B134">
        <v>-3.2643978589938748E-2</v>
      </c>
      <c r="C134">
        <v>-0.2424411398051366</v>
      </c>
      <c r="D134">
        <v>2.947153063616666E-2</v>
      </c>
      <c r="E134" t="b">
        <v>0</v>
      </c>
    </row>
    <row r="135" spans="1:5" x14ac:dyDescent="0.3">
      <c r="A135" s="1" t="s">
        <v>337</v>
      </c>
      <c r="B135">
        <v>9.979509669231329E-2</v>
      </c>
      <c r="C135">
        <v>0.86125039020413063</v>
      </c>
      <c r="D135">
        <v>3.4246775561780331E-2</v>
      </c>
      <c r="E135" t="b">
        <v>0</v>
      </c>
    </row>
    <row r="136" spans="1:5" x14ac:dyDescent="0.3">
      <c r="A136" s="1" t="s">
        <v>338</v>
      </c>
      <c r="B136">
        <v>-0.2479465255287773</v>
      </c>
      <c r="C136">
        <v>-1.432781442446577</v>
      </c>
      <c r="D136">
        <v>2.2930914770852011E-2</v>
      </c>
      <c r="E136" t="b">
        <v>0</v>
      </c>
    </row>
    <row r="137" spans="1:5" x14ac:dyDescent="0.3">
      <c r="A137" s="1" t="s">
        <v>339</v>
      </c>
      <c r="B137">
        <v>0.30141221277320901</v>
      </c>
      <c r="C137">
        <v>2.1146330930217041</v>
      </c>
      <c r="D137">
        <v>2.7840282533934561E-2</v>
      </c>
      <c r="E137" t="b">
        <v>0</v>
      </c>
    </row>
    <row r="138" spans="1:5" x14ac:dyDescent="0.3">
      <c r="A138" s="1" t="s">
        <v>340</v>
      </c>
      <c r="B138">
        <v>-2.6538597904907729E-2</v>
      </c>
      <c r="C138">
        <v>-9.6938207682052718E-2</v>
      </c>
      <c r="D138">
        <v>1.4494941620054311E-2</v>
      </c>
      <c r="E138" t="b">
        <v>0</v>
      </c>
    </row>
    <row r="139" spans="1:5" x14ac:dyDescent="0.3">
      <c r="A139" s="1" t="s">
        <v>341</v>
      </c>
      <c r="B139">
        <v>-0.17116707113578361</v>
      </c>
      <c r="C139">
        <v>-0.81598968996755072</v>
      </c>
      <c r="D139">
        <v>1.8917507344034488E-2</v>
      </c>
      <c r="E139" t="b">
        <v>0</v>
      </c>
    </row>
    <row r="140" spans="1:5" x14ac:dyDescent="0.3">
      <c r="A140" s="1" t="s">
        <v>342</v>
      </c>
      <c r="B140">
        <v>-0.15087255367622371</v>
      </c>
      <c r="C140">
        <v>-0.85575461409651066</v>
      </c>
      <c r="D140">
        <v>2.250808089672628E-2</v>
      </c>
      <c r="E140" t="b">
        <v>0</v>
      </c>
    </row>
    <row r="141" spans="1:5" x14ac:dyDescent="0.3">
      <c r="A141" s="1" t="s">
        <v>344</v>
      </c>
      <c r="B141">
        <v>-7.7661275639819963E-2</v>
      </c>
      <c r="C141">
        <v>-0.3463499548883916</v>
      </c>
      <c r="D141">
        <v>1.7697424766297969E-2</v>
      </c>
      <c r="E141" t="b">
        <v>0</v>
      </c>
    </row>
    <row r="142" spans="1:5" x14ac:dyDescent="0.3">
      <c r="A142" s="1" t="s">
        <v>345</v>
      </c>
      <c r="B142">
        <v>6.2337540479004513E-2</v>
      </c>
      <c r="C142">
        <v>0.36745784721028629</v>
      </c>
      <c r="D142">
        <v>2.3391459610912851E-2</v>
      </c>
      <c r="E142" t="b">
        <v>0</v>
      </c>
    </row>
    <row r="143" spans="1:5" x14ac:dyDescent="0.3">
      <c r="A143" s="1" t="s">
        <v>346</v>
      </c>
      <c r="B143">
        <v>0.15356784697664511</v>
      </c>
      <c r="C143">
        <v>1.895252695296564</v>
      </c>
      <c r="D143">
        <v>4.8974080037069261E-2</v>
      </c>
      <c r="E143" t="b">
        <v>0</v>
      </c>
    </row>
    <row r="144" spans="1:5" x14ac:dyDescent="0.3">
      <c r="A144" s="1" t="s">
        <v>347</v>
      </c>
      <c r="B144">
        <v>-8.7808467312295815E-2</v>
      </c>
      <c r="C144">
        <v>-0.50945158925020251</v>
      </c>
      <c r="D144">
        <v>2.3023215784935099E-2</v>
      </c>
      <c r="E144" t="b">
        <v>0</v>
      </c>
    </row>
    <row r="145" spans="1:5" x14ac:dyDescent="0.3">
      <c r="A145" s="1" t="s">
        <v>348</v>
      </c>
      <c r="B145">
        <v>5.7477269169779743E-2</v>
      </c>
      <c r="C145">
        <v>0.56536565952252182</v>
      </c>
      <c r="D145">
        <v>3.903307436697704E-2</v>
      </c>
      <c r="E145" t="b">
        <v>0</v>
      </c>
    </row>
    <row r="146" spans="1:5" x14ac:dyDescent="0.3">
      <c r="A146" s="1" t="s">
        <v>349</v>
      </c>
      <c r="B146">
        <v>0.1045154525345981</v>
      </c>
      <c r="C146">
        <v>1.6498568092825621</v>
      </c>
      <c r="D146">
        <v>6.2641941183951361E-2</v>
      </c>
      <c r="E146" t="b">
        <v>0</v>
      </c>
    </row>
    <row r="147" spans="1:5" x14ac:dyDescent="0.3">
      <c r="A147" s="1" t="s">
        <v>350</v>
      </c>
      <c r="B147">
        <v>0.40700731336677959</v>
      </c>
      <c r="C147">
        <v>2.7602571211363891</v>
      </c>
      <c r="D147">
        <v>2.6912050262055009E-2</v>
      </c>
      <c r="E147" t="b">
        <v>0</v>
      </c>
    </row>
    <row r="148" spans="1:5" x14ac:dyDescent="0.3">
      <c r="A148" s="1" t="s">
        <v>352</v>
      </c>
      <c r="B148">
        <v>0.14816372271073391</v>
      </c>
      <c r="C148">
        <v>1.095501321136831</v>
      </c>
      <c r="D148">
        <v>2.9340700849667278E-2</v>
      </c>
      <c r="E148" t="b">
        <v>0</v>
      </c>
    </row>
    <row r="149" spans="1:5" x14ac:dyDescent="0.3">
      <c r="A149" s="1" t="s">
        <v>354</v>
      </c>
      <c r="B149">
        <v>6.7172579791829265E-2</v>
      </c>
      <c r="C149">
        <v>0.76742406020370635</v>
      </c>
      <c r="D149">
        <v>4.5335962704939288E-2</v>
      </c>
      <c r="E149" t="b">
        <v>0</v>
      </c>
    </row>
    <row r="150" spans="1:5" x14ac:dyDescent="0.3">
      <c r="A150" s="1" t="s">
        <v>355</v>
      </c>
      <c r="B150">
        <v>0.16110203901326761</v>
      </c>
      <c r="C150">
        <v>2.4213695515710492</v>
      </c>
      <c r="D150">
        <v>5.9643002599363913E-2</v>
      </c>
      <c r="E150" t="b">
        <v>0</v>
      </c>
    </row>
    <row r="151" spans="1:5" x14ac:dyDescent="0.3">
      <c r="A151" s="1" t="s">
        <v>356</v>
      </c>
      <c r="B151">
        <v>-7.5023914151944218E-2</v>
      </c>
      <c r="C151">
        <v>-0.50079323638848772</v>
      </c>
      <c r="D151">
        <v>2.6488550617988049E-2</v>
      </c>
      <c r="E151" t="b">
        <v>0</v>
      </c>
    </row>
    <row r="152" spans="1:5" x14ac:dyDescent="0.3">
      <c r="A152" s="1" t="s">
        <v>357</v>
      </c>
      <c r="B152">
        <v>0.3388508112869878</v>
      </c>
      <c r="C152">
        <v>1.9431650478050271</v>
      </c>
      <c r="D152">
        <v>2.2756245979278309E-2</v>
      </c>
      <c r="E152" t="b">
        <v>0</v>
      </c>
    </row>
    <row r="153" spans="1:5" x14ac:dyDescent="0.3">
      <c r="A153" s="1" t="s">
        <v>358</v>
      </c>
      <c r="B153">
        <v>0.80342187590340874</v>
      </c>
      <c r="C153">
        <v>8.9628194068422733</v>
      </c>
      <c r="D153">
        <v>4.4269075494057793E-2</v>
      </c>
      <c r="E153" t="b">
        <v>0</v>
      </c>
    </row>
    <row r="154" spans="1:5" x14ac:dyDescent="0.3">
      <c r="A154" s="1" t="s">
        <v>360</v>
      </c>
      <c r="B154">
        <v>0.39599609009804337</v>
      </c>
      <c r="C154">
        <v>3.2368799081870132</v>
      </c>
      <c r="D154">
        <v>3.2436586778532242E-2</v>
      </c>
      <c r="E154" t="b">
        <v>0</v>
      </c>
    </row>
    <row r="155" spans="1:5" x14ac:dyDescent="0.3">
      <c r="A155" s="1" t="s">
        <v>363</v>
      </c>
      <c r="B155">
        <v>9.5617352929153618E-2</v>
      </c>
      <c r="C155">
        <v>0.27030735164965169</v>
      </c>
      <c r="D155">
        <v>1.121813340332393E-2</v>
      </c>
      <c r="E155" t="b">
        <v>0</v>
      </c>
    </row>
    <row r="156" spans="1:5" x14ac:dyDescent="0.3">
      <c r="A156" s="1" t="s">
        <v>365</v>
      </c>
      <c r="B156">
        <v>0.14530757491980509</v>
      </c>
      <c r="C156">
        <v>0.61959631159251849</v>
      </c>
      <c r="D156">
        <v>1.692076633685129E-2</v>
      </c>
      <c r="E156" t="b">
        <v>0</v>
      </c>
    </row>
    <row r="157" spans="1:5" x14ac:dyDescent="0.3">
      <c r="A157" s="1" t="s">
        <v>369</v>
      </c>
      <c r="B157">
        <v>-4.8008121285505849E-2</v>
      </c>
      <c r="C157">
        <v>-0.23332278211890581</v>
      </c>
      <c r="D157">
        <v>1.9285988104411369E-2</v>
      </c>
      <c r="E157" t="b">
        <v>0</v>
      </c>
    </row>
    <row r="158" spans="1:5" x14ac:dyDescent="0.3">
      <c r="A158" s="1" t="s">
        <v>371</v>
      </c>
      <c r="B158">
        <v>0.2183454664704135</v>
      </c>
      <c r="C158">
        <v>1.5529455006148021</v>
      </c>
      <c r="D158">
        <v>2.8223540634546979E-2</v>
      </c>
      <c r="E158" t="b">
        <v>0</v>
      </c>
    </row>
    <row r="159" spans="1:5" x14ac:dyDescent="0.3">
      <c r="A159" s="1" t="s">
        <v>372</v>
      </c>
      <c r="B159">
        <v>4.838154561022364E-2</v>
      </c>
      <c r="C159">
        <v>0.28955811347001897</v>
      </c>
      <c r="D159">
        <v>2.374955405671722E-2</v>
      </c>
      <c r="E159" t="b">
        <v>0</v>
      </c>
    </row>
    <row r="160" spans="1:5" x14ac:dyDescent="0.3">
      <c r="A160" s="1" t="s">
        <v>374</v>
      </c>
      <c r="B160">
        <v>0.17984071413329089</v>
      </c>
      <c r="C160">
        <v>1.558680170041419</v>
      </c>
      <c r="D160">
        <v>3.4392872602926672E-2</v>
      </c>
      <c r="E160" t="b">
        <v>0</v>
      </c>
    </row>
    <row r="161" spans="1:5" x14ac:dyDescent="0.3">
      <c r="A161" s="1" t="s">
        <v>375</v>
      </c>
      <c r="B161">
        <v>0.14858141985722581</v>
      </c>
      <c r="C161">
        <v>1.3913967031928269</v>
      </c>
      <c r="D161">
        <v>3.7160874449618533E-2</v>
      </c>
      <c r="E161" t="b">
        <v>0</v>
      </c>
    </row>
    <row r="162" spans="1:5" x14ac:dyDescent="0.3">
      <c r="A162" s="1" t="s">
        <v>377</v>
      </c>
      <c r="B162">
        <v>-0.17664517770670909</v>
      </c>
      <c r="C162">
        <v>-1.3057908989313509</v>
      </c>
      <c r="D162">
        <v>2.9334001548559929E-2</v>
      </c>
      <c r="E162" t="b">
        <v>0</v>
      </c>
    </row>
    <row r="163" spans="1:5" x14ac:dyDescent="0.3">
      <c r="A163" s="1" t="s">
        <v>380</v>
      </c>
      <c r="B163">
        <v>0.24488190862443071</v>
      </c>
      <c r="C163">
        <v>3.1984278035829852</v>
      </c>
      <c r="D163">
        <v>5.1829773359075189E-2</v>
      </c>
      <c r="E163" t="b">
        <v>0</v>
      </c>
    </row>
    <row r="164" spans="1:5" x14ac:dyDescent="0.3">
      <c r="A164" s="1" t="s">
        <v>381</v>
      </c>
      <c r="B164">
        <v>6.2754994628708788E-2</v>
      </c>
      <c r="C164">
        <v>1.7946923130172689</v>
      </c>
      <c r="D164">
        <v>0.1134857063579069</v>
      </c>
      <c r="E164" t="b">
        <v>0</v>
      </c>
    </row>
    <row r="165" spans="1:5" x14ac:dyDescent="0.3">
      <c r="A165" s="1" t="s">
        <v>384</v>
      </c>
      <c r="B165">
        <v>-0.14231631823664589</v>
      </c>
      <c r="C165">
        <v>-0.64270158475046579</v>
      </c>
      <c r="D165">
        <v>1.7920665357912782E-2</v>
      </c>
      <c r="E165" t="b">
        <v>0</v>
      </c>
    </row>
    <row r="166" spans="1:5" x14ac:dyDescent="0.3">
      <c r="A166" s="1" t="s">
        <v>385</v>
      </c>
      <c r="B166">
        <v>5.5260193947371118E-2</v>
      </c>
      <c r="C166">
        <v>0.75863126416090543</v>
      </c>
      <c r="D166">
        <v>5.4477577970774613E-2</v>
      </c>
      <c r="E166" t="b">
        <v>0</v>
      </c>
    </row>
    <row r="167" spans="1:5" x14ac:dyDescent="0.3">
      <c r="A167" s="1" t="s">
        <v>387</v>
      </c>
      <c r="B167">
        <v>9.3454248869362364E-2</v>
      </c>
      <c r="C167">
        <v>1.7413547552323549</v>
      </c>
      <c r="D167">
        <v>7.3941399146530404E-2</v>
      </c>
      <c r="E167" t="b">
        <v>0</v>
      </c>
    </row>
    <row r="168" spans="1:5" x14ac:dyDescent="0.3">
      <c r="A168" s="1" t="s">
        <v>388</v>
      </c>
      <c r="B168">
        <v>-0.170289573340315</v>
      </c>
      <c r="C168">
        <v>-1.0224372814108831</v>
      </c>
      <c r="D168">
        <v>2.3825832196673891E-2</v>
      </c>
      <c r="E168" t="b">
        <v>0</v>
      </c>
    </row>
    <row r="169" spans="1:5" x14ac:dyDescent="0.3">
      <c r="A169" s="1" t="s">
        <v>391</v>
      </c>
      <c r="B169">
        <v>0.1376158217013731</v>
      </c>
      <c r="C169">
        <v>0.86267794624103566</v>
      </c>
      <c r="D169">
        <v>2.487595642109236E-2</v>
      </c>
      <c r="E169" t="b">
        <v>0</v>
      </c>
    </row>
    <row r="170" spans="1:5" x14ac:dyDescent="0.3">
      <c r="A170" s="1" t="s">
        <v>392</v>
      </c>
      <c r="B170">
        <v>-0.19818525291846181</v>
      </c>
      <c r="C170">
        <v>-0.97887421550388187</v>
      </c>
      <c r="D170">
        <v>1.9599952231021511E-2</v>
      </c>
      <c r="E170" t="b">
        <v>0</v>
      </c>
    </row>
    <row r="171" spans="1:5" x14ac:dyDescent="0.3">
      <c r="A171" s="1" t="s">
        <v>393</v>
      </c>
      <c r="B171">
        <v>4.8844296462324251E-2</v>
      </c>
      <c r="C171">
        <v>0.41545288181875589</v>
      </c>
      <c r="D171">
        <v>3.3752611180948827E-2</v>
      </c>
      <c r="E171" t="b">
        <v>0</v>
      </c>
    </row>
    <row r="172" spans="1:5" x14ac:dyDescent="0.3">
      <c r="A172" s="1" t="s">
        <v>394</v>
      </c>
      <c r="B172">
        <v>0.2360326303828976</v>
      </c>
      <c r="C172">
        <v>1.499771660837665</v>
      </c>
      <c r="D172">
        <v>2.521462746459795E-2</v>
      </c>
      <c r="E172" t="b">
        <v>0</v>
      </c>
    </row>
    <row r="173" spans="1:5" x14ac:dyDescent="0.3">
      <c r="A173" s="1" t="s">
        <v>395</v>
      </c>
      <c r="B173">
        <v>-0.42597255336680118</v>
      </c>
      <c r="C173">
        <v>-1.65488770073643</v>
      </c>
      <c r="D173">
        <v>1.5416520697302359E-2</v>
      </c>
      <c r="E173" t="b">
        <v>0</v>
      </c>
    </row>
    <row r="174" spans="1:5" x14ac:dyDescent="0.3">
      <c r="A174" s="1" t="s">
        <v>397</v>
      </c>
      <c r="B174">
        <v>-6.0541671515239627E-2</v>
      </c>
      <c r="C174">
        <v>-0.60435650879278069</v>
      </c>
      <c r="D174">
        <v>3.9613047579193088E-2</v>
      </c>
      <c r="E174" t="b">
        <v>0</v>
      </c>
    </row>
    <row r="175" spans="1:5" x14ac:dyDescent="0.3">
      <c r="A175" s="1" t="s">
        <v>398</v>
      </c>
      <c r="B175">
        <v>3.7091471317494733E-2</v>
      </c>
      <c r="C175">
        <v>0.31852569553174498</v>
      </c>
      <c r="D175">
        <v>3.4077668272181019E-2</v>
      </c>
      <c r="E175" t="b">
        <v>0</v>
      </c>
    </row>
    <row r="176" spans="1:5" x14ac:dyDescent="0.3">
      <c r="A176" s="1" t="s">
        <v>399</v>
      </c>
      <c r="B176">
        <v>0.31850327918981908</v>
      </c>
      <c r="C176">
        <v>1.5046482287655669</v>
      </c>
      <c r="D176">
        <v>1.8746514383818379E-2</v>
      </c>
      <c r="E176" t="b">
        <v>0</v>
      </c>
    </row>
    <row r="177" spans="1:5" x14ac:dyDescent="0.3">
      <c r="A177" s="1" t="s">
        <v>400</v>
      </c>
      <c r="B177">
        <v>0.50552644507656186</v>
      </c>
      <c r="C177">
        <v>4.1097046566966329</v>
      </c>
      <c r="D177">
        <v>3.2260135886300327E-2</v>
      </c>
      <c r="E177" t="b">
        <v>0</v>
      </c>
    </row>
    <row r="178" spans="1:5" x14ac:dyDescent="0.3">
      <c r="A178" s="1" t="s">
        <v>401</v>
      </c>
      <c r="B178">
        <v>-0.3255448844103685</v>
      </c>
      <c r="C178">
        <v>-1.2488568371868869</v>
      </c>
      <c r="D178">
        <v>1.5223034786505539E-2</v>
      </c>
      <c r="E178" t="b">
        <v>0</v>
      </c>
    </row>
    <row r="179" spans="1:5" x14ac:dyDescent="0.3">
      <c r="A179" s="1" t="s">
        <v>402</v>
      </c>
      <c r="B179">
        <v>6.6503147040975916E-2</v>
      </c>
      <c r="C179">
        <v>0.37752572682407459</v>
      </c>
      <c r="D179">
        <v>2.2527023610845541E-2</v>
      </c>
      <c r="E179" t="b">
        <v>0</v>
      </c>
    </row>
    <row r="180" spans="1:5" x14ac:dyDescent="0.3">
      <c r="A180" s="1" t="s">
        <v>403</v>
      </c>
      <c r="B180">
        <v>0.40738557730635472</v>
      </c>
      <c r="C180">
        <v>2.622750211719421</v>
      </c>
      <c r="D180">
        <v>2.554763721438251E-2</v>
      </c>
      <c r="E180" t="b">
        <v>0</v>
      </c>
    </row>
    <row r="181" spans="1:5" x14ac:dyDescent="0.3">
      <c r="A181" s="1" t="s">
        <v>404</v>
      </c>
      <c r="B181">
        <v>0.44482930119417818</v>
      </c>
      <c r="C181">
        <v>7.2617203212156447</v>
      </c>
      <c r="D181">
        <v>6.4780693186475738E-2</v>
      </c>
      <c r="E181" t="b">
        <v>0</v>
      </c>
    </row>
    <row r="182" spans="1:5" x14ac:dyDescent="0.3">
      <c r="A182" s="1" t="s">
        <v>405</v>
      </c>
      <c r="B182">
        <v>0.12858204755018579</v>
      </c>
      <c r="C182">
        <v>2.1062088910150272</v>
      </c>
      <c r="D182">
        <v>6.5001078680754679E-2</v>
      </c>
      <c r="E182" t="b">
        <v>0</v>
      </c>
    </row>
    <row r="183" spans="1:5" x14ac:dyDescent="0.3">
      <c r="A183" s="1" t="s">
        <v>408</v>
      </c>
      <c r="B183">
        <v>0.123632709875868</v>
      </c>
      <c r="C183">
        <v>0.88226907475957073</v>
      </c>
      <c r="D183">
        <v>2.831829667486566E-2</v>
      </c>
      <c r="E183" t="b">
        <v>0</v>
      </c>
    </row>
    <row r="184" spans="1:5" x14ac:dyDescent="0.3">
      <c r="A184" s="1" t="s">
        <v>409</v>
      </c>
      <c r="B184">
        <v>0.4723856605086873</v>
      </c>
      <c r="C184">
        <v>2.8403307976330119</v>
      </c>
      <c r="D184">
        <v>2.3860067951097089E-2</v>
      </c>
      <c r="E184" t="b">
        <v>0</v>
      </c>
    </row>
    <row r="185" spans="1:5" x14ac:dyDescent="0.3">
      <c r="A185" s="1" t="s">
        <v>411</v>
      </c>
      <c r="B185">
        <v>-0.42826776950311007</v>
      </c>
      <c r="C185">
        <v>-2.3464501993514788</v>
      </c>
      <c r="D185">
        <v>2.174179561933904E-2</v>
      </c>
      <c r="E185" t="b">
        <v>0</v>
      </c>
    </row>
    <row r="186" spans="1:5" x14ac:dyDescent="0.3">
      <c r="A186" s="1" t="s">
        <v>413</v>
      </c>
      <c r="B186">
        <v>-0.12830132536635161</v>
      </c>
      <c r="C186">
        <v>-0.54807457844039709</v>
      </c>
      <c r="D186">
        <v>1.695149379466673E-2</v>
      </c>
      <c r="E186" t="b">
        <v>0</v>
      </c>
    </row>
    <row r="187" spans="1:5" x14ac:dyDescent="0.3">
      <c r="A187" s="1" t="s">
        <v>414</v>
      </c>
      <c r="B187">
        <v>0.29938622150357741</v>
      </c>
      <c r="C187">
        <v>0.89878469272420447</v>
      </c>
      <c r="D187">
        <v>1.1913059677885449E-2</v>
      </c>
      <c r="E187" t="b">
        <v>0</v>
      </c>
    </row>
    <row r="188" spans="1:5" x14ac:dyDescent="0.3">
      <c r="A188" s="1" t="s">
        <v>415</v>
      </c>
      <c r="B188">
        <v>0.25082838820763359</v>
      </c>
      <c r="C188">
        <v>1.1824114700405759</v>
      </c>
      <c r="D188">
        <v>1.8706451218007399E-2</v>
      </c>
      <c r="E188" t="b">
        <v>0</v>
      </c>
    </row>
    <row r="189" spans="1:5" x14ac:dyDescent="0.3">
      <c r="A189" s="1" t="s">
        <v>416</v>
      </c>
      <c r="B189">
        <v>0.2519362025377842</v>
      </c>
      <c r="C189">
        <v>1.691932989223484</v>
      </c>
      <c r="D189">
        <v>2.6649682462761379E-2</v>
      </c>
      <c r="E189" t="b">
        <v>0</v>
      </c>
    </row>
    <row r="190" spans="1:5" x14ac:dyDescent="0.3">
      <c r="A190" s="1" t="s">
        <v>417</v>
      </c>
      <c r="B190">
        <v>-0.30244702616639568</v>
      </c>
      <c r="C190">
        <v>-1.8754610022914191</v>
      </c>
      <c r="D190">
        <v>2.4606972199336469E-2</v>
      </c>
      <c r="E190" t="b">
        <v>0</v>
      </c>
    </row>
    <row r="191" spans="1:5" x14ac:dyDescent="0.3">
      <c r="A191" s="1" t="s">
        <v>418</v>
      </c>
      <c r="B191">
        <v>-0.20606041019719129</v>
      </c>
      <c r="C191">
        <v>-1.532145376350232</v>
      </c>
      <c r="D191">
        <v>2.950562878053831E-2</v>
      </c>
      <c r="E191" t="b">
        <v>0</v>
      </c>
    </row>
    <row r="192" spans="1:5" x14ac:dyDescent="0.3">
      <c r="A192" s="1" t="s">
        <v>419</v>
      </c>
      <c r="B192">
        <v>1.517870599884432E-2</v>
      </c>
      <c r="C192">
        <v>9.1238278657795824E-2</v>
      </c>
      <c r="D192">
        <v>2.3852933271652142E-2</v>
      </c>
      <c r="E192" t="b">
        <v>0</v>
      </c>
    </row>
    <row r="193" spans="1:5" x14ac:dyDescent="0.3">
      <c r="A193" s="1" t="s">
        <v>420</v>
      </c>
      <c r="B193">
        <v>-0.17666803609262141</v>
      </c>
      <c r="C193">
        <v>-0.72678615252720191</v>
      </c>
      <c r="D193">
        <v>1.6324809499360011E-2</v>
      </c>
      <c r="E193" t="b">
        <v>0</v>
      </c>
    </row>
    <row r="194" spans="1:5" x14ac:dyDescent="0.3">
      <c r="A194" s="1" t="s">
        <v>423</v>
      </c>
      <c r="B194">
        <v>0.1985260693238205</v>
      </c>
      <c r="C194">
        <v>1.468128097120331</v>
      </c>
      <c r="D194">
        <v>2.9345794066975309E-2</v>
      </c>
      <c r="E194" t="b">
        <v>0</v>
      </c>
    </row>
    <row r="195" spans="1:5" x14ac:dyDescent="0.3">
      <c r="A195" s="1" t="s">
        <v>424</v>
      </c>
      <c r="B195">
        <v>0.28335413618614569</v>
      </c>
      <c r="C195">
        <v>6.2244986074255042</v>
      </c>
      <c r="D195">
        <v>8.7171451356831312E-2</v>
      </c>
      <c r="E195" t="b">
        <v>0</v>
      </c>
    </row>
    <row r="196" spans="1:5" x14ac:dyDescent="0.3">
      <c r="A196" s="1" t="s">
        <v>425</v>
      </c>
      <c r="B196">
        <v>4.6853153379517211E-2</v>
      </c>
      <c r="C196">
        <v>1.020031074552245</v>
      </c>
      <c r="D196">
        <v>8.6392101008592015E-2</v>
      </c>
      <c r="E196" t="b">
        <v>0</v>
      </c>
    </row>
    <row r="197" spans="1:5" x14ac:dyDescent="0.3">
      <c r="A197" s="1" t="s">
        <v>426</v>
      </c>
      <c r="B197">
        <v>0.32628137846736421</v>
      </c>
      <c r="C197">
        <v>1.9236030164133271</v>
      </c>
      <c r="D197">
        <v>2.3394976872671891E-2</v>
      </c>
      <c r="E197" t="b">
        <v>0</v>
      </c>
    </row>
    <row r="198" spans="1:5" x14ac:dyDescent="0.3">
      <c r="A198" s="1" t="s">
        <v>428</v>
      </c>
      <c r="B198">
        <v>0.26311003310127429</v>
      </c>
      <c r="C198">
        <v>2.3454422117169909</v>
      </c>
      <c r="D198">
        <v>3.5374213040267513E-2</v>
      </c>
      <c r="E198" t="b">
        <v>0</v>
      </c>
    </row>
    <row r="199" spans="1:5" x14ac:dyDescent="0.3">
      <c r="A199" s="1" t="s">
        <v>429</v>
      </c>
      <c r="B199">
        <v>0.41789306788949199</v>
      </c>
      <c r="C199">
        <v>3.1144555887705581</v>
      </c>
      <c r="D199">
        <v>2.9574433506414911E-2</v>
      </c>
      <c r="E199" t="b">
        <v>0</v>
      </c>
    </row>
    <row r="200" spans="1:5" x14ac:dyDescent="0.3">
      <c r="A200" s="1" t="s">
        <v>430</v>
      </c>
      <c r="B200">
        <v>-0.13749844317137641</v>
      </c>
      <c r="C200">
        <v>-1.439544394091343</v>
      </c>
      <c r="D200">
        <v>4.1545763156101777E-2</v>
      </c>
      <c r="E200" t="b">
        <v>0</v>
      </c>
    </row>
    <row r="201" spans="1:5" x14ac:dyDescent="0.3">
      <c r="A201" s="1" t="s">
        <v>431</v>
      </c>
      <c r="B201">
        <v>4.0565025573965303E-2</v>
      </c>
      <c r="C201">
        <v>0.3784067636399423</v>
      </c>
      <c r="D201">
        <v>3.7017458270557108E-2</v>
      </c>
      <c r="E201" t="b">
        <v>0</v>
      </c>
    </row>
    <row r="202" spans="1:5" x14ac:dyDescent="0.3">
      <c r="A202" s="1" t="s">
        <v>432</v>
      </c>
      <c r="B202">
        <v>0.22732688896851971</v>
      </c>
      <c r="C202">
        <v>5.5755713662747839</v>
      </c>
      <c r="D202">
        <v>9.7328051687572359E-2</v>
      </c>
      <c r="E202" t="b">
        <v>0</v>
      </c>
    </row>
    <row r="203" spans="1:5" x14ac:dyDescent="0.3">
      <c r="A203" s="1" t="s">
        <v>433</v>
      </c>
      <c r="B203">
        <v>0.23151014792964891</v>
      </c>
      <c r="C203">
        <v>1.2756364860339491</v>
      </c>
      <c r="D203">
        <v>2.1865346262454191E-2</v>
      </c>
      <c r="E203" t="b">
        <v>0</v>
      </c>
    </row>
    <row r="204" spans="1:5" x14ac:dyDescent="0.3">
      <c r="A204" s="1" t="s">
        <v>434</v>
      </c>
      <c r="B204">
        <v>-6.847159004398129E-2</v>
      </c>
      <c r="C204">
        <v>-0.46087095474685652</v>
      </c>
      <c r="D204">
        <v>2.6709661537763069E-2</v>
      </c>
      <c r="E204" t="b">
        <v>0</v>
      </c>
    </row>
    <row r="205" spans="1:5" x14ac:dyDescent="0.3">
      <c r="A205" s="1" t="s">
        <v>435</v>
      </c>
      <c r="B205">
        <v>0.1758695436813866</v>
      </c>
      <c r="C205">
        <v>1.30985340738074</v>
      </c>
      <c r="D205">
        <v>2.9555037631110458E-2</v>
      </c>
      <c r="E205" t="b">
        <v>0</v>
      </c>
    </row>
    <row r="206" spans="1:5" x14ac:dyDescent="0.3">
      <c r="A206" s="1" t="s">
        <v>436</v>
      </c>
      <c r="B206">
        <v>0.36518566007475328</v>
      </c>
      <c r="C206">
        <v>1.646714553935301</v>
      </c>
      <c r="D206">
        <v>1.7893861335896089E-2</v>
      </c>
      <c r="E206" t="b">
        <v>0</v>
      </c>
    </row>
    <row r="207" spans="1:5" x14ac:dyDescent="0.3">
      <c r="A207" s="1" t="s">
        <v>437</v>
      </c>
      <c r="B207">
        <v>6.2560559725742274E-2</v>
      </c>
      <c r="C207">
        <v>0.26726749327688798</v>
      </c>
      <c r="D207">
        <v>1.695293800808011E-2</v>
      </c>
      <c r="E207" t="b">
        <v>0</v>
      </c>
    </row>
    <row r="208" spans="1:5" x14ac:dyDescent="0.3">
      <c r="A208" s="1" t="s">
        <v>438</v>
      </c>
      <c r="B208">
        <v>0.18802515444992049</v>
      </c>
      <c r="C208">
        <v>1.164826211220626</v>
      </c>
      <c r="D208">
        <v>2.4583552389707601E-2</v>
      </c>
      <c r="E208" t="b">
        <v>0</v>
      </c>
    </row>
    <row r="209" spans="1:5" x14ac:dyDescent="0.3">
      <c r="A209" s="1" t="s">
        <v>440</v>
      </c>
      <c r="B209">
        <v>0.39803816028537342</v>
      </c>
      <c r="C209">
        <v>2.1574103005856489</v>
      </c>
      <c r="D209">
        <v>2.1508369901803059E-2</v>
      </c>
      <c r="E209" t="b">
        <v>0</v>
      </c>
    </row>
    <row r="210" spans="1:5" x14ac:dyDescent="0.3">
      <c r="A210" s="1" t="s">
        <v>441</v>
      </c>
      <c r="B210">
        <v>-5.4154476598543687E-2</v>
      </c>
      <c r="C210">
        <v>-0.28167388544234018</v>
      </c>
      <c r="D210">
        <v>2.0640094482791822E-2</v>
      </c>
      <c r="E210" t="b">
        <v>0</v>
      </c>
    </row>
    <row r="211" spans="1:5" x14ac:dyDescent="0.3">
      <c r="A211" s="1" t="s">
        <v>443</v>
      </c>
      <c r="B211">
        <v>8.8077229543871871E-2</v>
      </c>
      <c r="C211">
        <v>0.63219011251710056</v>
      </c>
      <c r="D211">
        <v>2.8482854600204138E-2</v>
      </c>
      <c r="E211" t="b">
        <v>0</v>
      </c>
    </row>
    <row r="212" spans="1:5" x14ac:dyDescent="0.3">
      <c r="A212" s="1" t="s">
        <v>444</v>
      </c>
      <c r="B212">
        <v>0.56484889214173351</v>
      </c>
      <c r="C212">
        <v>7.4483678495468038</v>
      </c>
      <c r="D212">
        <v>5.2327296179883187E-2</v>
      </c>
      <c r="E212" t="b">
        <v>0</v>
      </c>
    </row>
    <row r="213" spans="1:5" x14ac:dyDescent="0.3">
      <c r="A213" s="1" t="s">
        <v>445</v>
      </c>
      <c r="B213">
        <v>3.3005767139911088E-2</v>
      </c>
      <c r="C213">
        <v>0.2052946824668706</v>
      </c>
      <c r="D213">
        <v>2.4682396712891321E-2</v>
      </c>
      <c r="E213" t="b">
        <v>0</v>
      </c>
    </row>
    <row r="214" spans="1:5" x14ac:dyDescent="0.3">
      <c r="A214" s="1" t="s">
        <v>446</v>
      </c>
      <c r="B214">
        <v>0.1126129361111215</v>
      </c>
      <c r="C214">
        <v>0.49973001333709138</v>
      </c>
      <c r="D214">
        <v>1.7609483217129952E-2</v>
      </c>
      <c r="E214" t="b">
        <v>0</v>
      </c>
    </row>
    <row r="215" spans="1:5" x14ac:dyDescent="0.3">
      <c r="A215" s="1" t="s">
        <v>447</v>
      </c>
      <c r="B215">
        <v>5.0770087308823451E-3</v>
      </c>
      <c r="C215">
        <v>4.4480604696872608E-2</v>
      </c>
      <c r="D215">
        <v>3.4766600857908052E-2</v>
      </c>
      <c r="E215" t="b">
        <v>0</v>
      </c>
    </row>
    <row r="216" spans="1:5" x14ac:dyDescent="0.3">
      <c r="A216" s="1" t="s">
        <v>452</v>
      </c>
      <c r="B216">
        <v>0.1521832250599664</v>
      </c>
      <c r="C216">
        <v>1.021411320006419</v>
      </c>
      <c r="D216">
        <v>2.66338127756056E-2</v>
      </c>
      <c r="E216" t="b">
        <v>0</v>
      </c>
    </row>
    <row r="217" spans="1:5" x14ac:dyDescent="0.3">
      <c r="A217" s="1" t="s">
        <v>454</v>
      </c>
      <c r="B217">
        <v>-0.25867632079679281</v>
      </c>
      <c r="C217">
        <v>-1.164396726542386</v>
      </c>
      <c r="D217">
        <v>1.7862562435135131E-2</v>
      </c>
      <c r="E217" t="b">
        <v>0</v>
      </c>
    </row>
    <row r="218" spans="1:5" x14ac:dyDescent="0.3">
      <c r="A218" s="1" t="s">
        <v>455</v>
      </c>
      <c r="B218">
        <v>0.35201407819735048</v>
      </c>
      <c r="C218">
        <v>3.0231540828164261</v>
      </c>
      <c r="D218">
        <v>3.4080009661016333E-2</v>
      </c>
      <c r="E218" t="b">
        <v>0</v>
      </c>
    </row>
    <row r="219" spans="1:5" x14ac:dyDescent="0.3">
      <c r="A219" s="1" t="s">
        <v>456</v>
      </c>
      <c r="B219">
        <v>0.26942098105106771</v>
      </c>
      <c r="C219">
        <v>3.106713417901402</v>
      </c>
      <c r="D219">
        <v>4.5758232342262617E-2</v>
      </c>
      <c r="E219" t="b">
        <v>0</v>
      </c>
    </row>
    <row r="220" spans="1:5" x14ac:dyDescent="0.3">
      <c r="A220" s="1" t="s">
        <v>457</v>
      </c>
      <c r="B220">
        <v>3.5402947092315638E-2</v>
      </c>
      <c r="C220">
        <v>2.934332201345469E-2</v>
      </c>
      <c r="D220">
        <v>3.289041268740018E-3</v>
      </c>
      <c r="E220" t="b">
        <v>0</v>
      </c>
    </row>
    <row r="221" spans="1:5" x14ac:dyDescent="0.3">
      <c r="A221" s="1" t="s">
        <v>460</v>
      </c>
      <c r="B221">
        <v>-0.33643726429104148</v>
      </c>
      <c r="C221">
        <v>-2.2413626076976532</v>
      </c>
      <c r="D221">
        <v>2.643671497280424E-2</v>
      </c>
      <c r="E221" t="b">
        <v>0</v>
      </c>
    </row>
    <row r="222" spans="1:5" x14ac:dyDescent="0.3">
      <c r="A222" s="1" t="s">
        <v>462</v>
      </c>
      <c r="B222">
        <v>0.22985017158470999</v>
      </c>
      <c r="C222">
        <v>1.5186979224141119</v>
      </c>
      <c r="D222">
        <v>2.6219597817345081E-2</v>
      </c>
      <c r="E222" t="b">
        <v>0</v>
      </c>
    </row>
    <row r="223" spans="1:5" x14ac:dyDescent="0.3">
      <c r="A223" s="1" t="s">
        <v>463</v>
      </c>
      <c r="B223">
        <v>-0.1157221267126574</v>
      </c>
      <c r="C223">
        <v>-1.2484439253359221</v>
      </c>
      <c r="D223">
        <v>4.2810676761568377E-2</v>
      </c>
      <c r="E223" t="b">
        <v>0</v>
      </c>
    </row>
    <row r="224" spans="1:5" x14ac:dyDescent="0.3">
      <c r="A224" s="1" t="s">
        <v>465</v>
      </c>
      <c r="B224">
        <v>-0.23584816999732069</v>
      </c>
      <c r="C224">
        <v>-1.4595198543855139</v>
      </c>
      <c r="D224">
        <v>2.4557093039884789E-2</v>
      </c>
      <c r="E224" t="b">
        <v>0</v>
      </c>
    </row>
    <row r="225" spans="1:5" x14ac:dyDescent="0.3">
      <c r="A225" s="1" t="s">
        <v>466</v>
      </c>
      <c r="B225">
        <v>0.49369990313263951</v>
      </c>
      <c r="C225">
        <v>4.2023515212298301</v>
      </c>
      <c r="D225">
        <v>3.377760051056386E-2</v>
      </c>
      <c r="E225" t="b">
        <v>0</v>
      </c>
    </row>
    <row r="226" spans="1:5" x14ac:dyDescent="0.3">
      <c r="A226" s="1" t="s">
        <v>467</v>
      </c>
      <c r="B226">
        <v>0.24111741104414511</v>
      </c>
      <c r="C226">
        <v>2.8687704285824691</v>
      </c>
      <c r="D226">
        <v>4.7213552882532289E-2</v>
      </c>
      <c r="E226" t="b">
        <v>0</v>
      </c>
    </row>
    <row r="227" spans="1:5" x14ac:dyDescent="0.3">
      <c r="A227" s="1" t="s">
        <v>468</v>
      </c>
      <c r="B227">
        <v>-0.24451813003853329</v>
      </c>
      <c r="C227">
        <v>-1.423693140187013</v>
      </c>
      <c r="D227">
        <v>2.310493684960193E-2</v>
      </c>
      <c r="E227" t="b">
        <v>0</v>
      </c>
    </row>
    <row r="228" spans="1:5" x14ac:dyDescent="0.3">
      <c r="A228" s="1" t="s">
        <v>486</v>
      </c>
      <c r="B228">
        <v>0.66862303785600319</v>
      </c>
      <c r="C228">
        <v>5.077985181661357</v>
      </c>
      <c r="D228">
        <v>3.0137661592513441E-2</v>
      </c>
      <c r="E228" t="b">
        <v>0</v>
      </c>
    </row>
    <row r="229" spans="1:5" x14ac:dyDescent="0.3">
      <c r="A229" s="1" t="s">
        <v>487</v>
      </c>
      <c r="B229">
        <v>0.14396397982282541</v>
      </c>
      <c r="C229">
        <v>0.35291591533331701</v>
      </c>
      <c r="D229">
        <v>9.7278498635904962E-3</v>
      </c>
      <c r="E229" t="b">
        <v>0</v>
      </c>
    </row>
    <row r="230" spans="1:5" x14ac:dyDescent="0.3">
      <c r="A230" s="1" t="s">
        <v>489</v>
      </c>
      <c r="B230">
        <v>-0.34114349441614561</v>
      </c>
      <c r="C230">
        <v>-1.723273089832501</v>
      </c>
      <c r="D230">
        <v>2.004548053544666E-2</v>
      </c>
      <c r="E230" t="b">
        <v>0</v>
      </c>
    </row>
    <row r="231" spans="1:5" x14ac:dyDescent="0.3">
      <c r="A231" s="1" t="s">
        <v>490</v>
      </c>
      <c r="B231">
        <v>2.7414343766100129E-2</v>
      </c>
      <c r="C231">
        <v>0.2034097438073981</v>
      </c>
      <c r="D231">
        <v>2.9443766005567151E-2</v>
      </c>
      <c r="E231" t="b">
        <v>0</v>
      </c>
    </row>
    <row r="232" spans="1:5" x14ac:dyDescent="0.3">
      <c r="A232" s="1" t="s">
        <v>491</v>
      </c>
      <c r="B232">
        <v>-3.1273006517108051E-3</v>
      </c>
      <c r="C232">
        <v>-1.7694278042804389E-2</v>
      </c>
      <c r="D232">
        <v>2.2452394853796971E-2</v>
      </c>
      <c r="E232" t="b">
        <v>0</v>
      </c>
    </row>
    <row r="233" spans="1:5" x14ac:dyDescent="0.3">
      <c r="A233" s="1" t="s">
        <v>492</v>
      </c>
      <c r="B233">
        <v>0.18588203841994411</v>
      </c>
      <c r="C233">
        <v>0.54288584570897069</v>
      </c>
      <c r="D233">
        <v>1.158965615965824E-2</v>
      </c>
      <c r="E233" t="b">
        <v>0</v>
      </c>
    </row>
    <row r="234" spans="1:5" x14ac:dyDescent="0.3">
      <c r="A234" s="1" t="s">
        <v>494</v>
      </c>
      <c r="B234">
        <v>-0.1288902311844754</v>
      </c>
      <c r="C234">
        <v>-1.0824851841824861</v>
      </c>
      <c r="D234">
        <v>3.3327398734821052E-2</v>
      </c>
      <c r="E234" t="b">
        <v>0</v>
      </c>
    </row>
    <row r="235" spans="1:5" x14ac:dyDescent="0.3">
      <c r="A235" s="1" t="s">
        <v>495</v>
      </c>
      <c r="B235">
        <v>0.228644413130737</v>
      </c>
      <c r="C235">
        <v>1.3343674565391299</v>
      </c>
      <c r="D235">
        <v>2.3158706928442008E-2</v>
      </c>
      <c r="E235" t="b">
        <v>0</v>
      </c>
    </row>
    <row r="236" spans="1:5" x14ac:dyDescent="0.3">
      <c r="A236" s="1" t="s">
        <v>497</v>
      </c>
      <c r="B236">
        <v>0.2099988425103268</v>
      </c>
      <c r="C236">
        <v>2.3318485860330722</v>
      </c>
      <c r="D236">
        <v>4.4063897182852821E-2</v>
      </c>
      <c r="E236" t="b">
        <v>0</v>
      </c>
    </row>
    <row r="237" spans="1:5" x14ac:dyDescent="0.3">
      <c r="A237" s="1" t="s">
        <v>498</v>
      </c>
      <c r="B237">
        <v>0.169561347785847</v>
      </c>
      <c r="C237">
        <v>1.6540174775916501</v>
      </c>
      <c r="D237">
        <v>3.8709066097446607E-2</v>
      </c>
      <c r="E237" t="b">
        <v>0</v>
      </c>
    </row>
    <row r="238" spans="1:5" x14ac:dyDescent="0.3">
      <c r="A238" s="1" t="s">
        <v>500</v>
      </c>
      <c r="B238">
        <v>6.0248701608977218E-2</v>
      </c>
      <c r="C238">
        <v>0.36787698104016631</v>
      </c>
      <c r="D238">
        <v>2.4230053940687932E-2</v>
      </c>
      <c r="E238" t="b">
        <v>0</v>
      </c>
    </row>
    <row r="239" spans="1:5" x14ac:dyDescent="0.3">
      <c r="A239" s="1" t="s">
        <v>501</v>
      </c>
      <c r="B239">
        <v>0.48088542653681871</v>
      </c>
      <c r="C239">
        <v>4.1889016310010714</v>
      </c>
      <c r="D239">
        <v>3.4566706750828978E-2</v>
      </c>
      <c r="E239" t="b">
        <v>0</v>
      </c>
    </row>
    <row r="240" spans="1:5" x14ac:dyDescent="0.3">
      <c r="A240" s="1" t="s">
        <v>502</v>
      </c>
      <c r="B240">
        <v>-0.38710567172108901</v>
      </c>
      <c r="C240">
        <v>-2.1156942410007011</v>
      </c>
      <c r="D240">
        <v>2.1688165999056111E-2</v>
      </c>
      <c r="E240" t="b">
        <v>0</v>
      </c>
    </row>
    <row r="241" spans="1:5" x14ac:dyDescent="0.3">
      <c r="A241" s="1" t="s">
        <v>503</v>
      </c>
      <c r="B241">
        <v>-0.25893751452006031</v>
      </c>
      <c r="C241">
        <v>-3.0071360719888349</v>
      </c>
      <c r="D241">
        <v>4.6084784867373378E-2</v>
      </c>
      <c r="E241" t="b">
        <v>0</v>
      </c>
    </row>
    <row r="242" spans="1:5" x14ac:dyDescent="0.3">
      <c r="A242" s="1" t="s">
        <v>504</v>
      </c>
      <c r="B242">
        <v>5.0858464877825763E-2</v>
      </c>
      <c r="C242">
        <v>0.43836925181732311</v>
      </c>
      <c r="D242">
        <v>3.4203952621524411E-2</v>
      </c>
      <c r="E242" t="b">
        <v>0</v>
      </c>
    </row>
    <row r="243" spans="1:5" x14ac:dyDescent="0.3">
      <c r="A243" s="1" t="s">
        <v>506</v>
      </c>
      <c r="B243">
        <v>0.2955268487249888</v>
      </c>
      <c r="C243">
        <v>1.3656706316456331</v>
      </c>
      <c r="D243">
        <v>1.8337852979303421E-2</v>
      </c>
      <c r="E243" t="b">
        <v>0</v>
      </c>
    </row>
    <row r="244" spans="1:5" x14ac:dyDescent="0.3">
      <c r="A244" s="1" t="s">
        <v>507</v>
      </c>
      <c r="B244">
        <v>0.2138647008516342</v>
      </c>
      <c r="C244">
        <v>1.9212557658784031</v>
      </c>
      <c r="D244">
        <v>3.5648850823057812E-2</v>
      </c>
      <c r="E244" t="b">
        <v>0</v>
      </c>
    </row>
    <row r="245" spans="1:5" x14ac:dyDescent="0.3">
      <c r="A245" s="1" t="s">
        <v>509</v>
      </c>
      <c r="B245">
        <v>1.6547211683964919E-2</v>
      </c>
      <c r="C245">
        <v>9.1965218363986245E-2</v>
      </c>
      <c r="D245">
        <v>2.2054552131455331E-2</v>
      </c>
      <c r="E245" t="b">
        <v>0</v>
      </c>
    </row>
    <row r="246" spans="1:5" x14ac:dyDescent="0.3">
      <c r="A246" s="1" t="s">
        <v>510</v>
      </c>
      <c r="B246">
        <v>2.3522064166373469E-4</v>
      </c>
      <c r="C246">
        <v>1.254393682654298E-3</v>
      </c>
      <c r="D246">
        <v>2.116205735065417E-2</v>
      </c>
      <c r="E246" t="b">
        <v>0</v>
      </c>
    </row>
    <row r="247" spans="1:5" x14ac:dyDescent="0.3">
      <c r="A247" s="1" t="s">
        <v>514</v>
      </c>
      <c r="B247">
        <v>6.8638580097570179E-2</v>
      </c>
      <c r="C247">
        <v>0.51549656457739035</v>
      </c>
      <c r="D247">
        <v>2.9802791449031339E-2</v>
      </c>
      <c r="E247" t="b">
        <v>0</v>
      </c>
    </row>
    <row r="248" spans="1:5" x14ac:dyDescent="0.3">
      <c r="A248" s="1" t="s">
        <v>515</v>
      </c>
      <c r="B248">
        <v>-0.29108782910874542</v>
      </c>
      <c r="C248">
        <v>-1.1353842507441929</v>
      </c>
      <c r="D248">
        <v>1.5478122435773589E-2</v>
      </c>
      <c r="E248" t="b">
        <v>0</v>
      </c>
    </row>
    <row r="249" spans="1:5" x14ac:dyDescent="0.3">
      <c r="A249" s="1" t="s">
        <v>518</v>
      </c>
      <c r="B249">
        <v>-0.43584216409729443</v>
      </c>
      <c r="C249">
        <v>-1.6767241064011029</v>
      </c>
      <c r="D249">
        <v>1.52662308445402E-2</v>
      </c>
      <c r="E249" t="b">
        <v>0</v>
      </c>
    </row>
    <row r="250" spans="1:5" x14ac:dyDescent="0.3">
      <c r="A250" s="1" t="s">
        <v>519</v>
      </c>
      <c r="B250">
        <v>0.1908988645944954</v>
      </c>
      <c r="C250">
        <v>3.123968659665644</v>
      </c>
      <c r="D250">
        <v>6.4938579162071589E-2</v>
      </c>
      <c r="E250" t="b">
        <v>0</v>
      </c>
    </row>
    <row r="251" spans="1:5" x14ac:dyDescent="0.3">
      <c r="A251" s="1" t="s">
        <v>520</v>
      </c>
      <c r="B251">
        <v>-9.0443757923029014E-2</v>
      </c>
      <c r="C251">
        <v>-0.55751712305418466</v>
      </c>
      <c r="D251">
        <v>2.446127390916366E-2</v>
      </c>
      <c r="E251" t="b">
        <v>0</v>
      </c>
    </row>
    <row r="252" spans="1:5" x14ac:dyDescent="0.3">
      <c r="A252" s="1" t="s">
        <v>521</v>
      </c>
      <c r="B252">
        <v>0.25626887292657707</v>
      </c>
      <c r="C252">
        <v>1.787127879290241</v>
      </c>
      <c r="D252">
        <v>2.7673190340219912E-2</v>
      </c>
      <c r="E252" t="b">
        <v>0</v>
      </c>
    </row>
    <row r="253" spans="1:5" x14ac:dyDescent="0.3">
      <c r="A253" s="1" t="s">
        <v>523</v>
      </c>
      <c r="B253">
        <v>0.25172721053558489</v>
      </c>
      <c r="C253">
        <v>2.3052768807973298</v>
      </c>
      <c r="D253">
        <v>3.634062487994303E-2</v>
      </c>
      <c r="E253" t="b">
        <v>0</v>
      </c>
    </row>
    <row r="254" spans="1:5" x14ac:dyDescent="0.3">
      <c r="A254" s="1" t="s">
        <v>526</v>
      </c>
      <c r="B254">
        <v>0.16125643586785171</v>
      </c>
      <c r="C254">
        <v>0.5213773910563424</v>
      </c>
      <c r="D254">
        <v>1.28302345880491E-2</v>
      </c>
      <c r="E254" t="b">
        <v>0</v>
      </c>
    </row>
    <row r="255" spans="1:5" x14ac:dyDescent="0.3">
      <c r="A255" s="1" t="s">
        <v>528</v>
      </c>
      <c r="B255">
        <v>0.2134926231966329</v>
      </c>
      <c r="C255">
        <v>0.25420086774338418</v>
      </c>
      <c r="D255">
        <v>4.7249108051251659E-3</v>
      </c>
      <c r="E255" t="b">
        <v>0</v>
      </c>
    </row>
    <row r="256" spans="1:5" x14ac:dyDescent="0.3">
      <c r="A256" s="1" t="s">
        <v>530</v>
      </c>
      <c r="B256">
        <v>6.7605171102897163E-3</v>
      </c>
      <c r="C256">
        <v>4.9031209528592343E-2</v>
      </c>
      <c r="D256">
        <v>2.8780090133044611E-2</v>
      </c>
      <c r="E256" t="b">
        <v>0</v>
      </c>
    </row>
    <row r="257" spans="1:5" x14ac:dyDescent="0.3">
      <c r="A257" s="1" t="s">
        <v>532</v>
      </c>
      <c r="B257">
        <v>-0.31991886150130983</v>
      </c>
      <c r="C257">
        <v>-1.499311648233459</v>
      </c>
      <c r="D257">
        <v>1.8597369876322409E-2</v>
      </c>
      <c r="E257" t="b">
        <v>0</v>
      </c>
    </row>
    <row r="258" spans="1:5" x14ac:dyDescent="0.3">
      <c r="A258" s="1" t="s">
        <v>533</v>
      </c>
      <c r="B258">
        <v>-0.1912335468795493</v>
      </c>
      <c r="C258">
        <v>-0.87850407161648181</v>
      </c>
      <c r="D258">
        <v>1.8229684724276701E-2</v>
      </c>
      <c r="E258" t="b">
        <v>0</v>
      </c>
    </row>
    <row r="259" spans="1:5" x14ac:dyDescent="0.3">
      <c r="A259" s="1" t="s">
        <v>536</v>
      </c>
      <c r="B259">
        <v>0.20738093296545609</v>
      </c>
      <c r="C259">
        <v>0.59963453190626614</v>
      </c>
      <c r="D259">
        <v>1.147406406516413E-2</v>
      </c>
      <c r="E259" t="b">
        <v>0</v>
      </c>
    </row>
    <row r="260" spans="1:5" x14ac:dyDescent="0.3">
      <c r="A260" s="1" t="s">
        <v>537</v>
      </c>
      <c r="B260">
        <v>0.28871481847035368</v>
      </c>
      <c r="C260">
        <v>0.69298088900627564</v>
      </c>
      <c r="D260">
        <v>9.5247073818127831E-3</v>
      </c>
      <c r="E260" t="b">
        <v>0</v>
      </c>
    </row>
    <row r="261" spans="1:5" x14ac:dyDescent="0.3">
      <c r="A261" s="1" t="s">
        <v>540</v>
      </c>
      <c r="B261">
        <v>0.30579819283986998</v>
      </c>
      <c r="C261">
        <v>0.70848647292921374</v>
      </c>
      <c r="D261">
        <v>9.1938223425925125E-3</v>
      </c>
      <c r="E261" t="b">
        <v>0</v>
      </c>
    </row>
    <row r="262" spans="1:5" x14ac:dyDescent="0.3">
      <c r="A262" s="1" t="s">
        <v>541</v>
      </c>
      <c r="B262">
        <v>8.0495434181941435E-3</v>
      </c>
      <c r="C262">
        <v>5.2471460527127659E-2</v>
      </c>
      <c r="D262">
        <v>2.586731577672121E-2</v>
      </c>
      <c r="E262" t="b">
        <v>0</v>
      </c>
    </row>
    <row r="263" spans="1:5" x14ac:dyDescent="0.3">
      <c r="A263" s="1" t="s">
        <v>542</v>
      </c>
      <c r="B263">
        <v>2.1333833795675571E-2</v>
      </c>
      <c r="C263">
        <v>0.1225886505580204</v>
      </c>
      <c r="D263">
        <v>2.2802413466742721E-2</v>
      </c>
      <c r="E263" t="b">
        <v>0</v>
      </c>
    </row>
    <row r="264" spans="1:5" x14ac:dyDescent="0.3">
      <c r="A264" s="1" t="s">
        <v>546</v>
      </c>
      <c r="B264">
        <v>-6.9660045489426933E-2</v>
      </c>
      <c r="C264">
        <v>-0.40957076426899103</v>
      </c>
      <c r="D264">
        <v>2.3331607080818242E-2</v>
      </c>
      <c r="E264" t="b">
        <v>0</v>
      </c>
    </row>
    <row r="265" spans="1:5" x14ac:dyDescent="0.3">
      <c r="A265" s="1" t="s">
        <v>547</v>
      </c>
      <c r="B265">
        <v>0.50698599301080771</v>
      </c>
      <c r="C265">
        <v>4.066069461178075</v>
      </c>
      <c r="D265">
        <v>3.1825723978477258E-2</v>
      </c>
      <c r="E265" t="b">
        <v>0</v>
      </c>
    </row>
    <row r="266" spans="1:5" x14ac:dyDescent="0.3">
      <c r="A266" s="1" t="s">
        <v>550</v>
      </c>
      <c r="B266">
        <v>7.0961443788090051E-2</v>
      </c>
      <c r="C266">
        <v>0.5088186491107467</v>
      </c>
      <c r="D266">
        <v>2.8453784416858599E-2</v>
      </c>
      <c r="E266" t="b">
        <v>0</v>
      </c>
    </row>
    <row r="267" spans="1:5" x14ac:dyDescent="0.3">
      <c r="A267" s="1" t="s">
        <v>552</v>
      </c>
      <c r="B267">
        <v>4.3127601563962229E-3</v>
      </c>
      <c r="C267">
        <v>3.8840402911806569E-3</v>
      </c>
      <c r="D267">
        <v>3.5737805348338798E-3</v>
      </c>
      <c r="E267" t="b">
        <v>0</v>
      </c>
    </row>
    <row r="268" spans="1:5" x14ac:dyDescent="0.3">
      <c r="A268" s="1" t="s">
        <v>554</v>
      </c>
      <c r="B268">
        <v>9.2824922592664769E-2</v>
      </c>
      <c r="C268">
        <v>0.90453215687923127</v>
      </c>
      <c r="D268">
        <v>3.8668637912044689E-2</v>
      </c>
      <c r="E268" t="b">
        <v>0</v>
      </c>
    </row>
    <row r="269" spans="1:5" x14ac:dyDescent="0.3">
      <c r="A269" s="1" t="s">
        <v>556</v>
      </c>
      <c r="B269">
        <v>0.22578269446633659</v>
      </c>
      <c r="C269">
        <v>1.8076334549169331</v>
      </c>
      <c r="D269">
        <v>3.1770143622288298E-2</v>
      </c>
      <c r="E269" t="b">
        <v>0</v>
      </c>
    </row>
    <row r="270" spans="1:5" x14ac:dyDescent="0.3">
      <c r="A270" s="1" t="s">
        <v>557</v>
      </c>
      <c r="B270">
        <v>0.18622727240100409</v>
      </c>
      <c r="C270">
        <v>1.16710750920982</v>
      </c>
      <c r="D270">
        <v>2.4869499215067179E-2</v>
      </c>
      <c r="E270" t="b">
        <v>0</v>
      </c>
    </row>
    <row r="271" spans="1:5" x14ac:dyDescent="0.3">
      <c r="A271" s="1" t="s">
        <v>559</v>
      </c>
      <c r="B271">
        <v>-4.5996416857740828E-2</v>
      </c>
      <c r="C271">
        <v>-0.18465581888709881</v>
      </c>
      <c r="D271">
        <v>1.5930831923847959E-2</v>
      </c>
      <c r="E271" t="b">
        <v>0</v>
      </c>
    </row>
    <row r="272" spans="1:5" x14ac:dyDescent="0.3">
      <c r="A272" s="1" t="s">
        <v>561</v>
      </c>
      <c r="B272">
        <v>0.52781054623657897</v>
      </c>
      <c r="C272">
        <v>6.4713622138561382</v>
      </c>
      <c r="D272">
        <v>4.8653837950469687E-2</v>
      </c>
      <c r="E272" t="b">
        <v>0</v>
      </c>
    </row>
    <row r="273" spans="1:5" x14ac:dyDescent="0.3">
      <c r="A273" s="1" t="s">
        <v>562</v>
      </c>
      <c r="B273">
        <v>0.26824150578814687</v>
      </c>
      <c r="C273">
        <v>1.4080910710313199</v>
      </c>
      <c r="D273">
        <v>2.083071731895237E-2</v>
      </c>
      <c r="E273" t="b">
        <v>0</v>
      </c>
    </row>
    <row r="274" spans="1:5" x14ac:dyDescent="0.3">
      <c r="A274" s="1" t="s">
        <v>563</v>
      </c>
      <c r="B274">
        <v>0.44637877341773652</v>
      </c>
      <c r="C274">
        <v>3.3277712854775272</v>
      </c>
      <c r="D274">
        <v>2.9583489169812519E-2</v>
      </c>
      <c r="E274" t="b">
        <v>0</v>
      </c>
    </row>
    <row r="275" spans="1:5" x14ac:dyDescent="0.3">
      <c r="A275" s="1" t="s">
        <v>564</v>
      </c>
      <c r="B275">
        <v>-6.0254691548762687E-2</v>
      </c>
      <c r="C275">
        <v>-0.23178542960963081</v>
      </c>
      <c r="D275">
        <v>1.526492671674386E-2</v>
      </c>
      <c r="E275" t="b">
        <v>0</v>
      </c>
    </row>
    <row r="276" spans="1:5" x14ac:dyDescent="0.3">
      <c r="A276" s="1" t="s">
        <v>565</v>
      </c>
      <c r="B276">
        <v>0.1030698481689557</v>
      </c>
      <c r="C276">
        <v>0.68646444134348328</v>
      </c>
      <c r="D276">
        <v>2.6429312663400231E-2</v>
      </c>
      <c r="E276" t="b">
        <v>0</v>
      </c>
    </row>
    <row r="277" spans="1:5" x14ac:dyDescent="0.3">
      <c r="A277" s="1" t="s">
        <v>566</v>
      </c>
      <c r="B277">
        <v>-7.418834219501573E-2</v>
      </c>
      <c r="C277">
        <v>-0.44890850065177768</v>
      </c>
      <c r="D277">
        <v>2.4011628867669131E-2</v>
      </c>
      <c r="E277" t="b">
        <v>0</v>
      </c>
    </row>
    <row r="278" spans="1:5" x14ac:dyDescent="0.3">
      <c r="A278" s="1" t="s">
        <v>568</v>
      </c>
      <c r="B278">
        <v>-3.9957636775679463E-2</v>
      </c>
      <c r="C278">
        <v>-0.17109355385599159</v>
      </c>
      <c r="D278">
        <v>1.6991562284908619E-2</v>
      </c>
      <c r="E278" t="b">
        <v>0</v>
      </c>
    </row>
    <row r="279" spans="1:5" x14ac:dyDescent="0.3">
      <c r="A279" s="1" t="s">
        <v>569</v>
      </c>
      <c r="B279">
        <v>3.4715713492037163E-2</v>
      </c>
      <c r="C279">
        <v>0.31067982336075528</v>
      </c>
      <c r="D279">
        <v>3.5512922475021087E-2</v>
      </c>
      <c r="E279" t="b">
        <v>0</v>
      </c>
    </row>
    <row r="280" spans="1:5" x14ac:dyDescent="0.3">
      <c r="A280" s="1" t="s">
        <v>571</v>
      </c>
      <c r="B280">
        <v>4.3601520430587723E-2</v>
      </c>
      <c r="C280">
        <v>0.22005110662837091</v>
      </c>
      <c r="D280">
        <v>2.0027252913963109E-2</v>
      </c>
      <c r="E280" t="b">
        <v>0</v>
      </c>
    </row>
    <row r="281" spans="1:5" x14ac:dyDescent="0.3">
      <c r="A281" s="1" t="s">
        <v>573</v>
      </c>
      <c r="B281">
        <v>0.1071962899841624</v>
      </c>
      <c r="C281">
        <v>0.64904217294044786</v>
      </c>
      <c r="D281">
        <v>2.4026616767386572E-2</v>
      </c>
      <c r="E281" t="b">
        <v>0</v>
      </c>
    </row>
    <row r="282" spans="1:5" x14ac:dyDescent="0.3">
      <c r="A282" s="1" t="s">
        <v>580</v>
      </c>
      <c r="B282">
        <v>-0.12748396209518489</v>
      </c>
      <c r="C282">
        <v>-0.57227748586559701</v>
      </c>
      <c r="D282">
        <v>1.781355369652677E-2</v>
      </c>
      <c r="E282" t="b">
        <v>0</v>
      </c>
    </row>
    <row r="283" spans="1:5" x14ac:dyDescent="0.3">
      <c r="A283" s="1" t="s">
        <v>581</v>
      </c>
      <c r="B283">
        <v>0.26572533194599418</v>
      </c>
      <c r="C283">
        <v>3.246926639617536</v>
      </c>
      <c r="D283">
        <v>4.8488525455715567E-2</v>
      </c>
      <c r="E283" t="b">
        <v>0</v>
      </c>
    </row>
    <row r="284" spans="1:5" x14ac:dyDescent="0.3">
      <c r="A284" s="1" t="s">
        <v>582</v>
      </c>
      <c r="B284">
        <v>6.8495786595422908E-2</v>
      </c>
      <c r="C284">
        <v>0.28918501765834731</v>
      </c>
      <c r="D284">
        <v>1.675372531540522E-2</v>
      </c>
      <c r="E284" t="b">
        <v>0</v>
      </c>
    </row>
    <row r="285" spans="1:5" x14ac:dyDescent="0.3">
      <c r="A285" s="1" t="s">
        <v>583</v>
      </c>
      <c r="B285">
        <v>0.2203635125941717</v>
      </c>
      <c r="C285">
        <v>3.8018167908735698</v>
      </c>
      <c r="D285">
        <v>6.8462216767902581E-2</v>
      </c>
      <c r="E285" t="b">
        <v>0</v>
      </c>
    </row>
    <row r="286" spans="1:5" x14ac:dyDescent="0.3">
      <c r="A286" s="1" t="s">
        <v>584</v>
      </c>
      <c r="B286">
        <v>0.1461303364466601</v>
      </c>
      <c r="C286">
        <v>1.2611718775669809</v>
      </c>
      <c r="D286">
        <v>3.4247853180248138E-2</v>
      </c>
      <c r="E286" t="b">
        <v>0</v>
      </c>
    </row>
    <row r="287" spans="1:5" x14ac:dyDescent="0.3">
      <c r="A287" s="1" t="s">
        <v>585</v>
      </c>
      <c r="B287">
        <v>-0.1041696165010865</v>
      </c>
      <c r="C287">
        <v>-0.49442886565863131</v>
      </c>
      <c r="D287">
        <v>1.8834851985355141E-2</v>
      </c>
      <c r="E287" t="b">
        <v>0</v>
      </c>
    </row>
    <row r="288" spans="1:5" x14ac:dyDescent="0.3">
      <c r="A288" s="1" t="s">
        <v>587</v>
      </c>
      <c r="B288">
        <v>0.27167510726879041</v>
      </c>
      <c r="C288">
        <v>2.4208566608007911</v>
      </c>
      <c r="D288">
        <v>3.5360523631972743E-2</v>
      </c>
      <c r="E288" t="b">
        <v>0</v>
      </c>
    </row>
    <row r="289" spans="1:5" x14ac:dyDescent="0.3">
      <c r="A289" s="1" t="s">
        <v>588</v>
      </c>
      <c r="B289">
        <v>-0.26002660727226962</v>
      </c>
      <c r="C289">
        <v>-1.01329272923253</v>
      </c>
      <c r="D289">
        <v>1.5463813245732779E-2</v>
      </c>
      <c r="E289" t="b">
        <v>0</v>
      </c>
    </row>
    <row r="290" spans="1:5" x14ac:dyDescent="0.3">
      <c r="A290" s="1" t="s">
        <v>590</v>
      </c>
      <c r="B290">
        <v>-0.1480686835176534</v>
      </c>
      <c r="C290">
        <v>-0.83660593307708231</v>
      </c>
      <c r="D290">
        <v>2.2421113870456859E-2</v>
      </c>
      <c r="E290" t="b">
        <v>0</v>
      </c>
    </row>
    <row r="291" spans="1:5" x14ac:dyDescent="0.3">
      <c r="A291" s="1" t="s">
        <v>592</v>
      </c>
      <c r="B291">
        <v>0.1966058030172978</v>
      </c>
      <c r="C291">
        <v>0.61177370220907745</v>
      </c>
      <c r="D291">
        <v>1.2347923531285601E-2</v>
      </c>
      <c r="E291" t="b">
        <v>0</v>
      </c>
    </row>
    <row r="292" spans="1:5" x14ac:dyDescent="0.3">
      <c r="A292" s="1" t="s">
        <v>593</v>
      </c>
      <c r="B292">
        <v>0.38741845693777088</v>
      </c>
      <c r="C292">
        <v>1.5680043778544139</v>
      </c>
      <c r="D292">
        <v>1.606077223021881E-2</v>
      </c>
      <c r="E292" t="b">
        <v>0</v>
      </c>
    </row>
    <row r="293" spans="1:5" x14ac:dyDescent="0.3">
      <c r="A293" s="1" t="s">
        <v>594</v>
      </c>
      <c r="B293">
        <v>0.32174036361547842</v>
      </c>
      <c r="C293">
        <v>1.9050140555346069</v>
      </c>
      <c r="D293">
        <v>2.3495900546968582E-2</v>
      </c>
      <c r="E293" t="b">
        <v>0</v>
      </c>
    </row>
    <row r="294" spans="1:5" x14ac:dyDescent="0.3">
      <c r="A294" s="1" t="s">
        <v>595</v>
      </c>
      <c r="B294">
        <v>5.5854936596093342E-2</v>
      </c>
      <c r="C294">
        <v>0.24093753736811771</v>
      </c>
      <c r="D294">
        <v>1.7117579877966319E-2</v>
      </c>
      <c r="E294" t="b">
        <v>0</v>
      </c>
    </row>
    <row r="295" spans="1:5" x14ac:dyDescent="0.3">
      <c r="A295" s="1" t="s">
        <v>596</v>
      </c>
      <c r="B295">
        <v>4.5572897493547761E-3</v>
      </c>
      <c r="C295">
        <v>3.0194531811545171E-2</v>
      </c>
      <c r="D295">
        <v>2.629184828498099E-2</v>
      </c>
      <c r="E295" t="b">
        <v>0</v>
      </c>
    </row>
    <row r="296" spans="1:5" x14ac:dyDescent="0.3">
      <c r="A296" s="1" t="s">
        <v>597</v>
      </c>
      <c r="B296">
        <v>-0.27604201643365689</v>
      </c>
      <c r="C296">
        <v>-1.3867277489221641</v>
      </c>
      <c r="D296">
        <v>1.9934964842103369E-2</v>
      </c>
      <c r="E296" t="b">
        <v>0</v>
      </c>
    </row>
    <row r="297" spans="1:5" x14ac:dyDescent="0.3">
      <c r="A297" s="1" t="s">
        <v>598</v>
      </c>
      <c r="B297">
        <v>2.7238726558184861E-2</v>
      </c>
      <c r="C297">
        <v>0.21590506940594059</v>
      </c>
      <c r="D297">
        <v>3.1453972218786631E-2</v>
      </c>
      <c r="E297" t="b">
        <v>0</v>
      </c>
    </row>
    <row r="298" spans="1:5" x14ac:dyDescent="0.3">
      <c r="A298" s="1" t="s">
        <v>599</v>
      </c>
      <c r="B298">
        <v>-0.1596415315655299</v>
      </c>
      <c r="C298">
        <v>-1.1819023768095009</v>
      </c>
      <c r="D298">
        <v>2.9378876228946131E-2</v>
      </c>
      <c r="E298" t="b">
        <v>0</v>
      </c>
    </row>
    <row r="299" spans="1:5" x14ac:dyDescent="0.3">
      <c r="A299" s="1" t="s">
        <v>602</v>
      </c>
      <c r="B299">
        <v>0.14259944972513761</v>
      </c>
      <c r="C299">
        <v>0.78783481398315591</v>
      </c>
      <c r="D299">
        <v>2.1923847763391281E-2</v>
      </c>
      <c r="E299" t="b">
        <v>0</v>
      </c>
    </row>
    <row r="300" spans="1:5" x14ac:dyDescent="0.3">
      <c r="A300" s="1" t="s">
        <v>603</v>
      </c>
      <c r="B300">
        <v>0.1789015108799398</v>
      </c>
      <c r="C300">
        <v>1.555315471905097</v>
      </c>
      <c r="D300">
        <v>3.4498796365203019E-2</v>
      </c>
      <c r="E300" t="b">
        <v>0</v>
      </c>
    </row>
    <row r="301" spans="1:5" x14ac:dyDescent="0.3">
      <c r="A301" s="1" t="s">
        <v>604</v>
      </c>
      <c r="B301">
        <v>-9.5029930594300552E-2</v>
      </c>
      <c r="C301">
        <v>-0.4843353158566136</v>
      </c>
      <c r="D301">
        <v>2.0224844184289201E-2</v>
      </c>
      <c r="E301" t="b">
        <v>0</v>
      </c>
    </row>
    <row r="302" spans="1:5" x14ac:dyDescent="0.3">
      <c r="A302" s="1" t="s">
        <v>605</v>
      </c>
      <c r="B302">
        <v>0.30645134613703923</v>
      </c>
      <c r="C302">
        <v>0.83471147634545106</v>
      </c>
      <c r="D302">
        <v>1.080872109099415E-2</v>
      </c>
      <c r="E302" t="b">
        <v>0</v>
      </c>
    </row>
    <row r="303" spans="1:5" x14ac:dyDescent="0.3">
      <c r="A303" s="1" t="s">
        <v>606</v>
      </c>
      <c r="B303">
        <v>8.1248929586612798E-2</v>
      </c>
      <c r="C303">
        <v>0.47099626462341132</v>
      </c>
      <c r="D303">
        <v>2.3003783626862749E-2</v>
      </c>
      <c r="E303" t="b">
        <v>0</v>
      </c>
    </row>
    <row r="304" spans="1:5" x14ac:dyDescent="0.3">
      <c r="A304" s="1" t="s">
        <v>608</v>
      </c>
      <c r="B304">
        <v>0.30343253680667043</v>
      </c>
      <c r="C304">
        <v>2.1989647031162409</v>
      </c>
      <c r="D304">
        <v>2.8757794075165929E-2</v>
      </c>
      <c r="E304" t="b">
        <v>0</v>
      </c>
    </row>
    <row r="305" spans="1:5" x14ac:dyDescent="0.3">
      <c r="A305" s="1" t="s">
        <v>609</v>
      </c>
      <c r="B305">
        <v>0.1118535145554668</v>
      </c>
      <c r="C305">
        <v>0.53897647815601335</v>
      </c>
      <c r="D305">
        <v>1.912139780978939E-2</v>
      </c>
      <c r="E305" t="b">
        <v>0</v>
      </c>
    </row>
    <row r="306" spans="1:5" x14ac:dyDescent="0.3">
      <c r="A306" s="1" t="s">
        <v>612</v>
      </c>
      <c r="B306">
        <v>0.13902647648774449</v>
      </c>
      <c r="C306">
        <v>1.613304432220829</v>
      </c>
      <c r="D306">
        <v>4.6048794998601351E-2</v>
      </c>
      <c r="E306" t="b">
        <v>0</v>
      </c>
    </row>
    <row r="307" spans="1:5" x14ac:dyDescent="0.3">
      <c r="A307" s="1" t="s">
        <v>614</v>
      </c>
      <c r="B307">
        <v>0.41860891028794639</v>
      </c>
      <c r="C307">
        <v>2.3510742387218762</v>
      </c>
      <c r="D307">
        <v>2.2287293576838139E-2</v>
      </c>
      <c r="E307" t="b">
        <v>0</v>
      </c>
    </row>
    <row r="308" spans="1:5" x14ac:dyDescent="0.3">
      <c r="A308" s="1" t="s">
        <v>615</v>
      </c>
      <c r="B308">
        <v>0.35880891212288818</v>
      </c>
      <c r="C308">
        <v>3.151200214951539</v>
      </c>
      <c r="D308">
        <v>3.4850758538186637E-2</v>
      </c>
      <c r="E308" t="b">
        <v>0</v>
      </c>
    </row>
    <row r="309" spans="1:5" x14ac:dyDescent="0.3">
      <c r="A309" s="1" t="s">
        <v>618</v>
      </c>
      <c r="B309">
        <v>0.14249594028744811</v>
      </c>
      <c r="C309">
        <v>0.96668979492600537</v>
      </c>
      <c r="D309">
        <v>2.6920560733502109E-2</v>
      </c>
      <c r="E309" t="b">
        <v>0</v>
      </c>
    </row>
    <row r="310" spans="1:5" x14ac:dyDescent="0.3">
      <c r="A310" s="1" t="s">
        <v>620</v>
      </c>
      <c r="B310">
        <v>0.17465160290387349</v>
      </c>
      <c r="C310">
        <v>0.9630954270451666</v>
      </c>
      <c r="D310">
        <v>2.1882463067245461E-2</v>
      </c>
      <c r="E310" t="b">
        <v>0</v>
      </c>
    </row>
    <row r="311" spans="1:5" x14ac:dyDescent="0.3">
      <c r="A311" s="1" t="s">
        <v>621</v>
      </c>
      <c r="B311">
        <v>-0.34024966841437049</v>
      </c>
      <c r="C311">
        <v>-1.373953050031598</v>
      </c>
      <c r="D311">
        <v>1.6024099798218231E-2</v>
      </c>
      <c r="E311" t="b">
        <v>0</v>
      </c>
    </row>
    <row r="312" spans="1:5" x14ac:dyDescent="0.3">
      <c r="A312" s="1" t="s">
        <v>626</v>
      </c>
      <c r="B312">
        <v>-0.27881078227222111</v>
      </c>
      <c r="C312">
        <v>-1.653268215861635</v>
      </c>
      <c r="D312">
        <v>2.3530611351233761E-2</v>
      </c>
      <c r="E312" t="b">
        <v>0</v>
      </c>
    </row>
    <row r="313" spans="1:5" x14ac:dyDescent="0.3">
      <c r="A313" s="1" t="s">
        <v>628</v>
      </c>
      <c r="B313">
        <v>0.25036773604879298</v>
      </c>
      <c r="C313">
        <v>1.8566228742687629</v>
      </c>
      <c r="D313">
        <v>2.9426918997790829E-2</v>
      </c>
      <c r="E313" t="b">
        <v>0</v>
      </c>
    </row>
    <row r="314" spans="1:5" x14ac:dyDescent="0.3">
      <c r="A314" s="1" t="s">
        <v>629</v>
      </c>
      <c r="B314">
        <v>0.27781414816638939</v>
      </c>
      <c r="C314">
        <v>1.658367040962579</v>
      </c>
      <c r="D314">
        <v>2.3687856196509961E-2</v>
      </c>
      <c r="E314" t="b">
        <v>0</v>
      </c>
    </row>
    <row r="315" spans="1:5" x14ac:dyDescent="0.3">
      <c r="A315" s="1" t="s">
        <v>630</v>
      </c>
      <c r="B315">
        <v>-9.4313419356513259E-2</v>
      </c>
      <c r="C315">
        <v>-0.80025484856284645</v>
      </c>
      <c r="D315">
        <v>3.367086571657299E-2</v>
      </c>
      <c r="E315" t="b">
        <v>0</v>
      </c>
    </row>
    <row r="316" spans="1:5" x14ac:dyDescent="0.3">
      <c r="A316" s="1" t="s">
        <v>633</v>
      </c>
      <c r="B316">
        <v>8.9360363834853643E-2</v>
      </c>
      <c r="C316">
        <v>0.53299504780962126</v>
      </c>
      <c r="D316">
        <v>2.3668879834006409E-2</v>
      </c>
      <c r="E316" t="b">
        <v>0</v>
      </c>
    </row>
    <row r="317" spans="1:5" x14ac:dyDescent="0.3">
      <c r="A317" s="1" t="s">
        <v>634</v>
      </c>
      <c r="B317">
        <v>9.412587213529805E-2</v>
      </c>
      <c r="C317">
        <v>2.3547483789597399</v>
      </c>
      <c r="D317">
        <v>9.9273870053655691E-2</v>
      </c>
      <c r="E317" t="b">
        <v>0</v>
      </c>
    </row>
    <row r="318" spans="1:5" x14ac:dyDescent="0.3">
      <c r="A318" s="1" t="s">
        <v>635</v>
      </c>
      <c r="B318">
        <v>0.4574236756763409</v>
      </c>
      <c r="C318">
        <v>2.4166646269161749</v>
      </c>
      <c r="D318">
        <v>2.0965112882536191E-2</v>
      </c>
      <c r="E318" t="b">
        <v>0</v>
      </c>
    </row>
    <row r="319" spans="1:5" x14ac:dyDescent="0.3">
      <c r="A319" s="1" t="s">
        <v>636</v>
      </c>
      <c r="B319">
        <v>0.21846735264178779</v>
      </c>
      <c r="C319">
        <v>2.122653519200461</v>
      </c>
      <c r="D319">
        <v>3.8556004588048018E-2</v>
      </c>
      <c r="E319" t="b">
        <v>0</v>
      </c>
    </row>
    <row r="320" spans="1:5" x14ac:dyDescent="0.3">
      <c r="A320" s="1" t="s">
        <v>637</v>
      </c>
      <c r="B320">
        <v>0.1434281354686722</v>
      </c>
      <c r="C320">
        <v>1.718865855397097</v>
      </c>
      <c r="D320">
        <v>4.7556194112734679E-2</v>
      </c>
      <c r="E320" t="b">
        <v>0</v>
      </c>
    </row>
    <row r="321" spans="1:5" x14ac:dyDescent="0.3">
      <c r="A321" s="1" t="s">
        <v>638</v>
      </c>
      <c r="B321">
        <v>0.54105486377338208</v>
      </c>
      <c r="C321">
        <v>5.9432430032731141</v>
      </c>
      <c r="D321">
        <v>4.358947532151624E-2</v>
      </c>
      <c r="E321" t="b">
        <v>0</v>
      </c>
    </row>
    <row r="322" spans="1:5" x14ac:dyDescent="0.3">
      <c r="A322" s="1" t="s">
        <v>640</v>
      </c>
      <c r="B322">
        <v>8.8996417468957451E-2</v>
      </c>
      <c r="C322">
        <v>0.96531069728876573</v>
      </c>
      <c r="D322">
        <v>4.3042159606596388E-2</v>
      </c>
      <c r="E322" t="b">
        <v>0</v>
      </c>
    </row>
    <row r="323" spans="1:5" x14ac:dyDescent="0.3">
      <c r="A323" s="1" t="s">
        <v>642</v>
      </c>
      <c r="B323">
        <v>0.28248950005765577</v>
      </c>
      <c r="C323">
        <v>2.7885981591062281</v>
      </c>
      <c r="D323">
        <v>3.9172662022767098E-2</v>
      </c>
      <c r="E323" t="b">
        <v>0</v>
      </c>
    </row>
    <row r="324" spans="1:5" x14ac:dyDescent="0.3">
      <c r="A324" s="1" t="s">
        <v>646</v>
      </c>
      <c r="B324">
        <v>0.34634417039610488</v>
      </c>
      <c r="C324">
        <v>4.7535250521562986</v>
      </c>
      <c r="D324">
        <v>5.4463727886167497E-2</v>
      </c>
      <c r="E324" t="b">
        <v>0</v>
      </c>
    </row>
    <row r="325" spans="1:5" x14ac:dyDescent="0.3">
      <c r="A325" s="1" t="s">
        <v>647</v>
      </c>
      <c r="B325">
        <v>-7.6552140124660134E-2</v>
      </c>
      <c r="C325">
        <v>-0.8135319965875607</v>
      </c>
      <c r="D325">
        <v>4.2171277883323498E-2</v>
      </c>
      <c r="E325" t="b">
        <v>0</v>
      </c>
    </row>
    <row r="326" spans="1:5" x14ac:dyDescent="0.3">
      <c r="A326" s="1" t="s">
        <v>653</v>
      </c>
      <c r="B326">
        <v>0.12867915026418861</v>
      </c>
      <c r="C326">
        <v>0.91689059538127582</v>
      </c>
      <c r="D326">
        <v>2.8275402317364171E-2</v>
      </c>
      <c r="E326" t="b">
        <v>0</v>
      </c>
    </row>
    <row r="327" spans="1:5" x14ac:dyDescent="0.3">
      <c r="A327" s="1" t="s">
        <v>655</v>
      </c>
      <c r="B327">
        <v>0.48130113418959319</v>
      </c>
      <c r="C327">
        <v>2.6106721628430338</v>
      </c>
      <c r="D327">
        <v>2.1524591225939482E-2</v>
      </c>
      <c r="E327" t="b">
        <v>0</v>
      </c>
    </row>
    <row r="328" spans="1:5" x14ac:dyDescent="0.3">
      <c r="A328" s="1" t="s">
        <v>663</v>
      </c>
      <c r="B328">
        <v>2.2333060654369619E-2</v>
      </c>
      <c r="C328">
        <v>0.2459623947712811</v>
      </c>
      <c r="D328">
        <v>4.370387311429328E-2</v>
      </c>
      <c r="E328" t="b">
        <v>0</v>
      </c>
    </row>
    <row r="329" spans="1:5" x14ac:dyDescent="0.3">
      <c r="A329" s="1" t="s">
        <v>666</v>
      </c>
      <c r="B329">
        <v>0.21658541387495939</v>
      </c>
      <c r="C329">
        <v>2.6732229290443139</v>
      </c>
      <c r="D329">
        <v>4.8978494472078783E-2</v>
      </c>
      <c r="E329" t="b">
        <v>0</v>
      </c>
    </row>
    <row r="330" spans="1:5" x14ac:dyDescent="0.3">
      <c r="A330" s="1" t="s">
        <v>669</v>
      </c>
      <c r="B330">
        <v>0.1062613362002553</v>
      </c>
      <c r="C330">
        <v>0.69893248689822074</v>
      </c>
      <c r="D330">
        <v>2.61011362538166E-2</v>
      </c>
      <c r="E330" t="b">
        <v>0</v>
      </c>
    </row>
    <row r="331" spans="1:5" x14ac:dyDescent="0.3">
      <c r="A331" s="1" t="s">
        <v>670</v>
      </c>
      <c r="B331">
        <v>3.9590083307812308E-2</v>
      </c>
      <c r="C331">
        <v>0.27266964896352708</v>
      </c>
      <c r="D331">
        <v>2.7330642578072509E-2</v>
      </c>
      <c r="E331" t="b">
        <v>0</v>
      </c>
    </row>
    <row r="332" spans="1:5" x14ac:dyDescent="0.3">
      <c r="A332" s="1" t="s">
        <v>673</v>
      </c>
      <c r="B332">
        <v>0.15294322154511791</v>
      </c>
      <c r="C332">
        <v>0.74869330356684638</v>
      </c>
      <c r="D332">
        <v>1.9425543302080059E-2</v>
      </c>
      <c r="E332" t="b">
        <v>0</v>
      </c>
    </row>
    <row r="333" spans="1:5" x14ac:dyDescent="0.3">
      <c r="A333" s="1" t="s">
        <v>674</v>
      </c>
      <c r="B333">
        <v>6.2637290331006623E-2</v>
      </c>
      <c r="C333">
        <v>0.75309980249149522</v>
      </c>
      <c r="D333">
        <v>4.771105620845794E-2</v>
      </c>
      <c r="E333" t="b">
        <v>0</v>
      </c>
    </row>
    <row r="334" spans="1:5" x14ac:dyDescent="0.3">
      <c r="A334" s="1" t="s">
        <v>677</v>
      </c>
      <c r="B334">
        <v>-6.7835247900242146E-2</v>
      </c>
      <c r="C334">
        <v>-0.47742358986312938</v>
      </c>
      <c r="D334">
        <v>2.7928519665742321E-2</v>
      </c>
      <c r="E334" t="b">
        <v>0</v>
      </c>
    </row>
    <row r="335" spans="1:5" x14ac:dyDescent="0.3">
      <c r="A335" s="1" t="s">
        <v>678</v>
      </c>
      <c r="B335">
        <v>-8.663545169023476E-2</v>
      </c>
      <c r="C335">
        <v>-0.31688640224504089</v>
      </c>
      <c r="D335">
        <v>1.4514678444694319E-2</v>
      </c>
      <c r="E335" t="b">
        <v>0</v>
      </c>
    </row>
    <row r="336" spans="1:5" x14ac:dyDescent="0.3">
      <c r="A336" s="1" t="s">
        <v>680</v>
      </c>
      <c r="B336">
        <v>1.5164219602453731E-2</v>
      </c>
      <c r="C336">
        <v>0.14863622983448199</v>
      </c>
      <c r="D336">
        <v>3.8895922396926512E-2</v>
      </c>
      <c r="E336" t="b">
        <v>0</v>
      </c>
    </row>
    <row r="337" spans="1:5" x14ac:dyDescent="0.3">
      <c r="A337" s="1" t="s">
        <v>682</v>
      </c>
      <c r="B337">
        <v>0.1355889732515031</v>
      </c>
      <c r="C337">
        <v>1.5679734410311441</v>
      </c>
      <c r="D337">
        <v>4.5889548982329893E-2</v>
      </c>
      <c r="E337" t="b">
        <v>0</v>
      </c>
    </row>
    <row r="338" spans="1:5" x14ac:dyDescent="0.3">
      <c r="A338" s="1" t="s">
        <v>683</v>
      </c>
      <c r="B338">
        <v>2.4311061064388802E-2</v>
      </c>
      <c r="C338">
        <v>0.1084067229158871</v>
      </c>
      <c r="D338">
        <v>1.7695048655301981E-2</v>
      </c>
      <c r="E338" t="b">
        <v>0</v>
      </c>
    </row>
    <row r="339" spans="1:5" x14ac:dyDescent="0.3">
      <c r="A339" s="1" t="s">
        <v>684</v>
      </c>
      <c r="B339">
        <v>6.2883020040067822E-2</v>
      </c>
      <c r="C339">
        <v>0.38749851092796422</v>
      </c>
      <c r="D339">
        <v>2.445322286847244E-2</v>
      </c>
      <c r="E339" t="b">
        <v>0</v>
      </c>
    </row>
    <row r="340" spans="1:5" x14ac:dyDescent="0.3">
      <c r="A340" s="1" t="s">
        <v>686</v>
      </c>
      <c r="B340">
        <v>0.20516791957087299</v>
      </c>
      <c r="C340">
        <v>1.7906198415614381</v>
      </c>
      <c r="D340">
        <v>3.4633261899679718E-2</v>
      </c>
      <c r="E340" t="b">
        <v>0</v>
      </c>
    </row>
    <row r="341" spans="1:5" x14ac:dyDescent="0.3">
      <c r="A341" s="1" t="s">
        <v>687</v>
      </c>
      <c r="B341">
        <v>0.28048202251139998</v>
      </c>
      <c r="C341">
        <v>2.6510305560134322</v>
      </c>
      <c r="D341">
        <v>3.7506726561896672E-2</v>
      </c>
      <c r="E341" t="b">
        <v>0</v>
      </c>
    </row>
    <row r="342" spans="1:5" x14ac:dyDescent="0.3">
      <c r="A342" s="1" t="s">
        <v>688</v>
      </c>
      <c r="B342">
        <v>-0.12304347496383219</v>
      </c>
      <c r="C342">
        <v>-0.8291275265694289</v>
      </c>
      <c r="D342">
        <v>2.6740049388761681E-2</v>
      </c>
      <c r="E342" t="b">
        <v>0</v>
      </c>
    </row>
    <row r="343" spans="1:5" x14ac:dyDescent="0.3">
      <c r="A343" s="1" t="s">
        <v>689</v>
      </c>
      <c r="B343">
        <v>0.21019991246227551</v>
      </c>
      <c r="C343">
        <v>1.440389905181038</v>
      </c>
      <c r="D343">
        <v>2.7192366020102089E-2</v>
      </c>
      <c r="E343" t="b">
        <v>0</v>
      </c>
    </row>
    <row r="344" spans="1:5" x14ac:dyDescent="0.3">
      <c r="A344" s="1" t="s">
        <v>690</v>
      </c>
      <c r="B344">
        <v>0.14812690325188191</v>
      </c>
      <c r="C344">
        <v>0.81557855100491095</v>
      </c>
      <c r="D344">
        <v>2.184898725618192E-2</v>
      </c>
      <c r="E344" t="b">
        <v>0</v>
      </c>
    </row>
    <row r="345" spans="1:5" x14ac:dyDescent="0.3">
      <c r="A345" s="1" t="s">
        <v>691</v>
      </c>
      <c r="B345">
        <v>0.50585148570665617</v>
      </c>
      <c r="C345">
        <v>6.2420053569361524</v>
      </c>
      <c r="D345">
        <v>4.8966669521434358E-2</v>
      </c>
      <c r="E345" t="b">
        <v>0</v>
      </c>
    </row>
    <row r="346" spans="1:5" x14ac:dyDescent="0.3">
      <c r="A346" s="1" t="s">
        <v>697</v>
      </c>
      <c r="B346">
        <v>-0.1101011670107029</v>
      </c>
      <c r="C346">
        <v>-1.3947666784927719</v>
      </c>
      <c r="D346">
        <v>5.027002489609686E-2</v>
      </c>
      <c r="E346" t="b">
        <v>0</v>
      </c>
    </row>
    <row r="347" spans="1:5" x14ac:dyDescent="0.3">
      <c r="A347" s="1" t="s">
        <v>700</v>
      </c>
      <c r="B347">
        <v>-0.1863460336041225</v>
      </c>
      <c r="C347">
        <v>-1.1548103784135939</v>
      </c>
      <c r="D347">
        <v>2.4591781097181509E-2</v>
      </c>
      <c r="E347" t="b">
        <v>0</v>
      </c>
    </row>
    <row r="348" spans="1:5" x14ac:dyDescent="0.3">
      <c r="A348" s="1" t="s">
        <v>701</v>
      </c>
      <c r="B348">
        <v>-0.13168307339478341</v>
      </c>
      <c r="C348">
        <v>-0.66472190112876817</v>
      </c>
      <c r="D348">
        <v>2.003131650817052E-2</v>
      </c>
      <c r="E348" t="b">
        <v>0</v>
      </c>
    </row>
    <row r="349" spans="1:5" x14ac:dyDescent="0.3">
      <c r="A349" s="1" t="s">
        <v>704</v>
      </c>
      <c r="B349">
        <v>0.15436294716264021</v>
      </c>
      <c r="C349">
        <v>0.59206909201315461</v>
      </c>
      <c r="D349">
        <v>1.522049537824813E-2</v>
      </c>
      <c r="E349" t="b">
        <v>0</v>
      </c>
    </row>
    <row r="350" spans="1:5" x14ac:dyDescent="0.3">
      <c r="A350" s="1" t="s">
        <v>705</v>
      </c>
      <c r="B350">
        <v>0.15658973608834681</v>
      </c>
      <c r="C350">
        <v>0.59491781718721359</v>
      </c>
      <c r="D350">
        <v>1.5076243487032971E-2</v>
      </c>
      <c r="E350" t="b">
        <v>0</v>
      </c>
    </row>
    <row r="351" spans="1:5" x14ac:dyDescent="0.3">
      <c r="A351" s="1" t="s">
        <v>707</v>
      </c>
      <c r="B351">
        <v>0.36376676257155088</v>
      </c>
      <c r="C351">
        <v>3.25336986327074</v>
      </c>
      <c r="D351">
        <v>3.5490317418933028E-2</v>
      </c>
      <c r="E351" t="b">
        <v>0</v>
      </c>
    </row>
    <row r="352" spans="1:5" x14ac:dyDescent="0.3">
      <c r="A352" s="1" t="s">
        <v>708</v>
      </c>
      <c r="B352">
        <v>0.48501256687053101</v>
      </c>
      <c r="C352">
        <v>2.7247850126583888</v>
      </c>
      <c r="D352">
        <v>2.2293523256288961E-2</v>
      </c>
      <c r="E352" t="b">
        <v>0</v>
      </c>
    </row>
    <row r="353" spans="1:5" x14ac:dyDescent="0.3">
      <c r="A353" s="1" t="s">
        <v>710</v>
      </c>
      <c r="B353">
        <v>0.1658162825083547</v>
      </c>
      <c r="C353">
        <v>1.302974073810502</v>
      </c>
      <c r="D353">
        <v>3.1182293805616129E-2</v>
      </c>
      <c r="E353" t="b">
        <v>0</v>
      </c>
    </row>
    <row r="354" spans="1:5" x14ac:dyDescent="0.3">
      <c r="A354" s="1" t="s">
        <v>712</v>
      </c>
      <c r="B354">
        <v>0.25915729403474869</v>
      </c>
      <c r="C354">
        <v>2.956542460080676</v>
      </c>
      <c r="D354">
        <v>4.527100575434076E-2</v>
      </c>
      <c r="E354" t="b">
        <v>0</v>
      </c>
    </row>
    <row r="355" spans="1:5" x14ac:dyDescent="0.3">
      <c r="A355" s="1" t="s">
        <v>713</v>
      </c>
      <c r="B355">
        <v>-2.1965151137573021E-2</v>
      </c>
      <c r="C355">
        <v>-0.1709396474112054</v>
      </c>
      <c r="D355">
        <v>3.088218833200345E-2</v>
      </c>
      <c r="E355" t="b">
        <v>0</v>
      </c>
    </row>
    <row r="356" spans="1:5" x14ac:dyDescent="0.3">
      <c r="A356" s="1" t="s">
        <v>714</v>
      </c>
      <c r="B356">
        <v>-2.7717988189433291E-2</v>
      </c>
      <c r="C356">
        <v>-0.21808398322311789</v>
      </c>
      <c r="D356">
        <v>3.1222057889745559E-2</v>
      </c>
      <c r="E356" t="b">
        <v>0</v>
      </c>
    </row>
    <row r="357" spans="1:5" x14ac:dyDescent="0.3">
      <c r="A357" s="1" t="s">
        <v>715</v>
      </c>
      <c r="B357">
        <v>-0.23275609349552301</v>
      </c>
      <c r="C357">
        <v>-0.1541330122103397</v>
      </c>
      <c r="D357">
        <v>2.6278106328261721E-3</v>
      </c>
      <c r="E357" t="b">
        <v>0</v>
      </c>
    </row>
    <row r="358" spans="1:5" x14ac:dyDescent="0.3">
      <c r="A358" s="1" t="s">
        <v>716</v>
      </c>
      <c r="B358">
        <v>0.14303462405018649</v>
      </c>
      <c r="C358">
        <v>0.68464058625681035</v>
      </c>
      <c r="D358">
        <v>1.8994196274379399E-2</v>
      </c>
      <c r="E358" t="b">
        <v>0</v>
      </c>
    </row>
    <row r="359" spans="1:5" x14ac:dyDescent="0.3">
      <c r="A359" s="1" t="s">
        <v>717</v>
      </c>
      <c r="B359">
        <v>0.28894317228056832</v>
      </c>
      <c r="C359">
        <v>2.1049782722018771</v>
      </c>
      <c r="D359">
        <v>2.8909104568293809E-2</v>
      </c>
      <c r="E359" t="b">
        <v>0</v>
      </c>
    </row>
    <row r="360" spans="1:5" x14ac:dyDescent="0.3">
      <c r="A360" s="1" t="s">
        <v>718</v>
      </c>
      <c r="B360">
        <v>-2.2323298898124538E-2</v>
      </c>
      <c r="C360">
        <v>-0.25895156160492189</v>
      </c>
      <c r="D360">
        <v>4.6031976125653393E-2</v>
      </c>
      <c r="E360" t="b">
        <v>0</v>
      </c>
    </row>
    <row r="361" spans="1:5" x14ac:dyDescent="0.3">
      <c r="A361" s="1" t="s">
        <v>720</v>
      </c>
      <c r="B361">
        <v>0.37128306863874377</v>
      </c>
      <c r="C361">
        <v>2.198006199690306</v>
      </c>
      <c r="D361">
        <v>2.349217500314988E-2</v>
      </c>
      <c r="E361" t="b">
        <v>0</v>
      </c>
    </row>
    <row r="362" spans="1:5" x14ac:dyDescent="0.3">
      <c r="A362" s="1" t="s">
        <v>721</v>
      </c>
      <c r="B362">
        <v>0.42617646503319367</v>
      </c>
      <c r="C362">
        <v>2.7480857479859808</v>
      </c>
      <c r="D362">
        <v>2.5588231798999449E-2</v>
      </c>
      <c r="E362" t="b">
        <v>0</v>
      </c>
    </row>
    <row r="363" spans="1:5" x14ac:dyDescent="0.3">
      <c r="A363" s="1" t="s">
        <v>724</v>
      </c>
      <c r="B363">
        <v>0.10296422156758959</v>
      </c>
      <c r="C363">
        <v>0.48074834162631042</v>
      </c>
      <c r="D363">
        <v>1.8528101172870171E-2</v>
      </c>
      <c r="E363" t="b">
        <v>0</v>
      </c>
    </row>
    <row r="364" spans="1:5" x14ac:dyDescent="0.3">
      <c r="A364" s="1" t="s">
        <v>726</v>
      </c>
      <c r="B364">
        <v>-1.065995346535255E-2</v>
      </c>
      <c r="C364">
        <v>-0.14590044902875879</v>
      </c>
      <c r="D364">
        <v>5.4312623193919322E-2</v>
      </c>
      <c r="E364" t="b">
        <v>0</v>
      </c>
    </row>
    <row r="365" spans="1:5" x14ac:dyDescent="0.3">
      <c r="A365" s="1" t="s">
        <v>727</v>
      </c>
      <c r="B365">
        <v>0.24714009046671301</v>
      </c>
      <c r="C365">
        <v>0.19717890699488719</v>
      </c>
      <c r="D365">
        <v>3.1660422987658862E-3</v>
      </c>
      <c r="E365" t="b">
        <v>0</v>
      </c>
    </row>
    <row r="366" spans="1:5" x14ac:dyDescent="0.3">
      <c r="A366" s="1" t="s">
        <v>729</v>
      </c>
      <c r="B366">
        <v>-0.19421388334058379</v>
      </c>
      <c r="C366">
        <v>-1.618861351974515</v>
      </c>
      <c r="D366">
        <v>3.3077207836683289E-2</v>
      </c>
      <c r="E366" t="b">
        <v>0</v>
      </c>
    </row>
    <row r="367" spans="1:5" x14ac:dyDescent="0.3">
      <c r="A367" s="1" t="s">
        <v>730</v>
      </c>
      <c r="B367">
        <v>0.29132866942432539</v>
      </c>
      <c r="C367">
        <v>1.4285623982797671</v>
      </c>
      <c r="D367">
        <v>1.9458772859787581E-2</v>
      </c>
      <c r="E367" t="b">
        <v>0</v>
      </c>
    </row>
    <row r="368" spans="1:5" x14ac:dyDescent="0.3">
      <c r="A368" s="1" t="s">
        <v>731</v>
      </c>
      <c r="B368">
        <v>-0.25214121887660079</v>
      </c>
      <c r="C368">
        <v>-1.804468097957707</v>
      </c>
      <c r="D368">
        <v>2.8399115869320792E-2</v>
      </c>
      <c r="E368" t="b">
        <v>0</v>
      </c>
    </row>
    <row r="369" spans="1:5" x14ac:dyDescent="0.3">
      <c r="A369" s="1" t="s">
        <v>732</v>
      </c>
      <c r="B369">
        <v>0.40263537590209098</v>
      </c>
      <c r="C369">
        <v>3.2827330958047538</v>
      </c>
      <c r="D369">
        <v>3.2353636599764563E-2</v>
      </c>
      <c r="E369" t="b">
        <v>0</v>
      </c>
    </row>
    <row r="370" spans="1:5" x14ac:dyDescent="0.3">
      <c r="A370" s="1" t="s">
        <v>733</v>
      </c>
      <c r="B370">
        <v>-0.4117647458544208</v>
      </c>
      <c r="C370">
        <v>-3.7267847715903129</v>
      </c>
      <c r="D370">
        <v>3.5915722770303173E-2</v>
      </c>
      <c r="E370" t="b">
        <v>0</v>
      </c>
    </row>
    <row r="371" spans="1:5" x14ac:dyDescent="0.3">
      <c r="A371" s="1" t="s">
        <v>734</v>
      </c>
      <c r="B371">
        <v>3.55542062392223E-2</v>
      </c>
      <c r="C371">
        <v>0.20232168333256351</v>
      </c>
      <c r="D371">
        <v>2.2581401968202939E-2</v>
      </c>
      <c r="E371" t="b">
        <v>0</v>
      </c>
    </row>
    <row r="372" spans="1:5" x14ac:dyDescent="0.3">
      <c r="A372" s="1" t="s">
        <v>735</v>
      </c>
      <c r="B372">
        <v>0.40574002262672149</v>
      </c>
      <c r="C372">
        <v>2.092126237986641</v>
      </c>
      <c r="D372">
        <v>2.0461595561196599E-2</v>
      </c>
      <c r="E372" t="b">
        <v>0</v>
      </c>
    </row>
    <row r="373" spans="1:5" x14ac:dyDescent="0.3">
      <c r="A373" s="1" t="s">
        <v>737</v>
      </c>
      <c r="B373">
        <v>-0.37698601386494451</v>
      </c>
      <c r="C373">
        <v>-2.3786586182888079</v>
      </c>
      <c r="D373">
        <v>2.503838644933824E-2</v>
      </c>
      <c r="E373" t="b">
        <v>0</v>
      </c>
    </row>
    <row r="374" spans="1:5" x14ac:dyDescent="0.3">
      <c r="A374" s="1" t="s">
        <v>738</v>
      </c>
      <c r="B374">
        <v>3.0015556100323072E-2</v>
      </c>
      <c r="C374">
        <v>0.18277785245208009</v>
      </c>
      <c r="D374">
        <v>2.416443446450417E-2</v>
      </c>
      <c r="E374" t="b">
        <v>0</v>
      </c>
    </row>
    <row r="375" spans="1:5" x14ac:dyDescent="0.3">
      <c r="A375" s="1" t="s">
        <v>739</v>
      </c>
      <c r="B375">
        <v>-0.1154802520561334</v>
      </c>
      <c r="C375">
        <v>-0.50855735861786844</v>
      </c>
      <c r="D375">
        <v>1.747558323166068E-2</v>
      </c>
      <c r="E375" t="b">
        <v>0</v>
      </c>
    </row>
    <row r="376" spans="1:5" x14ac:dyDescent="0.3">
      <c r="A376" s="1" t="s">
        <v>742</v>
      </c>
      <c r="B376">
        <v>-7.8648586632121376E-2</v>
      </c>
      <c r="C376">
        <v>-0.45176470016578768</v>
      </c>
      <c r="D376">
        <v>2.2794015009263709E-2</v>
      </c>
      <c r="E376" t="b">
        <v>0</v>
      </c>
    </row>
    <row r="377" spans="1:5" x14ac:dyDescent="0.3">
      <c r="A377" s="1" t="s">
        <v>745</v>
      </c>
      <c r="B377">
        <v>-0.30902235034253972</v>
      </c>
      <c r="C377">
        <v>-1.2600193596075999</v>
      </c>
      <c r="D377">
        <v>1.618030805311424E-2</v>
      </c>
      <c r="E377" t="b">
        <v>0</v>
      </c>
    </row>
    <row r="378" spans="1:5" x14ac:dyDescent="0.3">
      <c r="A378" s="1" t="s">
        <v>746</v>
      </c>
      <c r="B378">
        <v>0.11294808440392121</v>
      </c>
      <c r="C378">
        <v>0.83010003708019053</v>
      </c>
      <c r="D378">
        <v>2.916426412696976E-2</v>
      </c>
      <c r="E378" t="b">
        <v>0</v>
      </c>
    </row>
    <row r="379" spans="1:5" x14ac:dyDescent="0.3">
      <c r="A379" s="1" t="s">
        <v>747</v>
      </c>
      <c r="B379">
        <v>4.1036875232673922E-2</v>
      </c>
      <c r="C379">
        <v>0.73858815367154729</v>
      </c>
      <c r="D379">
        <v>7.1421260880479426E-2</v>
      </c>
      <c r="E379" t="b">
        <v>0</v>
      </c>
    </row>
    <row r="380" spans="1:5" x14ac:dyDescent="0.3">
      <c r="A380" s="1" t="s">
        <v>748</v>
      </c>
      <c r="B380">
        <v>0.24528226460628039</v>
      </c>
      <c r="C380">
        <v>3.7027258281311819</v>
      </c>
      <c r="D380">
        <v>5.9903868241037952E-2</v>
      </c>
      <c r="E380" t="b">
        <v>0</v>
      </c>
    </row>
    <row r="381" spans="1:5" x14ac:dyDescent="0.3">
      <c r="A381" s="1" t="s">
        <v>750</v>
      </c>
      <c r="B381">
        <v>-0.2089575037348736</v>
      </c>
      <c r="C381">
        <v>-0.92839836725391756</v>
      </c>
      <c r="D381">
        <v>1.7630955764337111E-2</v>
      </c>
      <c r="E381" t="b">
        <v>0</v>
      </c>
    </row>
    <row r="382" spans="1:5" x14ac:dyDescent="0.3">
      <c r="A382" s="1" t="s">
        <v>752</v>
      </c>
      <c r="B382">
        <v>-0.22951277296177069</v>
      </c>
      <c r="C382">
        <v>-1.2130064974690751</v>
      </c>
      <c r="D382">
        <v>2.097276672223064E-2</v>
      </c>
      <c r="E382" t="b">
        <v>0</v>
      </c>
    </row>
    <row r="383" spans="1:5" x14ac:dyDescent="0.3">
      <c r="A383" s="1" t="s">
        <v>755</v>
      </c>
      <c r="B383">
        <v>-1.065125128103001E-2</v>
      </c>
      <c r="C383">
        <v>-1.6511582573865799E-2</v>
      </c>
      <c r="D383">
        <v>6.1515920845461279E-3</v>
      </c>
      <c r="E383" t="b">
        <v>0</v>
      </c>
    </row>
    <row r="384" spans="1:5" x14ac:dyDescent="0.3">
      <c r="A384" s="1" t="s">
        <v>756</v>
      </c>
      <c r="B384">
        <v>3.1464136129476301E-2</v>
      </c>
      <c r="C384">
        <v>0.14652132141738619</v>
      </c>
      <c r="D384">
        <v>1.847925564381403E-2</v>
      </c>
      <c r="E384" t="b">
        <v>0</v>
      </c>
    </row>
    <row r="385" spans="1:5" x14ac:dyDescent="0.3">
      <c r="A385" s="1" t="s">
        <v>757</v>
      </c>
      <c r="B385">
        <v>0.26094298982894121</v>
      </c>
      <c r="C385">
        <v>4.2929880451078262</v>
      </c>
      <c r="D385">
        <v>6.5285014388903689E-2</v>
      </c>
      <c r="E385" t="b">
        <v>0</v>
      </c>
    </row>
    <row r="386" spans="1:5" x14ac:dyDescent="0.3">
      <c r="A386" s="1" t="s">
        <v>758</v>
      </c>
      <c r="B386">
        <v>0.44327747697916597</v>
      </c>
      <c r="C386">
        <v>4.2769066576905974</v>
      </c>
      <c r="D386">
        <v>3.8287196389701093E-2</v>
      </c>
      <c r="E386" t="b">
        <v>0</v>
      </c>
    </row>
    <row r="387" spans="1:5" x14ac:dyDescent="0.3">
      <c r="A387" s="1" t="s">
        <v>759</v>
      </c>
      <c r="B387">
        <v>0.1506998225694561</v>
      </c>
      <c r="C387">
        <v>1.228275621676165</v>
      </c>
      <c r="D387">
        <v>3.2343167541419089E-2</v>
      </c>
      <c r="E387" t="b">
        <v>0</v>
      </c>
    </row>
    <row r="388" spans="1:5" x14ac:dyDescent="0.3">
      <c r="A388" s="1" t="s">
        <v>763</v>
      </c>
      <c r="B388">
        <v>2.6695244342516789E-2</v>
      </c>
      <c r="C388">
        <v>0.15361986474305789</v>
      </c>
      <c r="D388">
        <v>2.283562682729897E-2</v>
      </c>
      <c r="E388" t="b">
        <v>0</v>
      </c>
    </row>
    <row r="389" spans="1:5" x14ac:dyDescent="0.3">
      <c r="A389" s="1" t="s">
        <v>764</v>
      </c>
      <c r="B389">
        <v>1.379273812500911E-2</v>
      </c>
      <c r="C389">
        <v>8.1010273827481827E-2</v>
      </c>
      <c r="D389">
        <v>2.3307144503987531E-2</v>
      </c>
      <c r="E389" t="b">
        <v>0</v>
      </c>
    </row>
    <row r="390" spans="1:5" x14ac:dyDescent="0.3">
      <c r="A390" s="1" t="s">
        <v>765</v>
      </c>
      <c r="B390">
        <v>-0.1604018816259882</v>
      </c>
      <c r="C390">
        <v>-0.90731198616568665</v>
      </c>
      <c r="D390">
        <v>2.244639746771546E-2</v>
      </c>
      <c r="E390" t="b">
        <v>0</v>
      </c>
    </row>
    <row r="391" spans="1:5" x14ac:dyDescent="0.3">
      <c r="A391" s="1" t="s">
        <v>767</v>
      </c>
      <c r="B391">
        <v>0.16455953191906469</v>
      </c>
      <c r="C391">
        <v>1.1518868512465421</v>
      </c>
      <c r="D391">
        <v>2.7777057427987861E-2</v>
      </c>
      <c r="E391" t="b">
        <v>0</v>
      </c>
    </row>
    <row r="392" spans="1:5" x14ac:dyDescent="0.3">
      <c r="A392" s="1" t="s">
        <v>768</v>
      </c>
      <c r="B392">
        <v>0.12723066398744329</v>
      </c>
      <c r="C392">
        <v>1.405697654945675</v>
      </c>
      <c r="D392">
        <v>4.3842931590406482E-2</v>
      </c>
      <c r="E392" t="b">
        <v>0</v>
      </c>
    </row>
    <row r="393" spans="1:5" x14ac:dyDescent="0.3">
      <c r="A393" s="1" t="s">
        <v>769</v>
      </c>
      <c r="B393">
        <v>0.21142925622381589</v>
      </c>
      <c r="C393">
        <v>2.0007668142046611</v>
      </c>
      <c r="D393">
        <v>3.7551808069616457E-2</v>
      </c>
      <c r="E393" t="b">
        <v>0</v>
      </c>
    </row>
    <row r="394" spans="1:5" x14ac:dyDescent="0.3">
      <c r="A394" s="1" t="s">
        <v>770</v>
      </c>
      <c r="B394">
        <v>-0.19384078053142531</v>
      </c>
      <c r="C394">
        <v>-1.4077760077333541</v>
      </c>
      <c r="D394">
        <v>2.8819594688925351E-2</v>
      </c>
      <c r="E394" t="b">
        <v>0</v>
      </c>
    </row>
    <row r="395" spans="1:5" x14ac:dyDescent="0.3">
      <c r="A395" s="1" t="s">
        <v>771</v>
      </c>
      <c r="B395">
        <v>9.8440860487678472E-2</v>
      </c>
      <c r="C395">
        <v>7.3642656624810954E-2</v>
      </c>
      <c r="D395">
        <v>2.96861245357306E-3</v>
      </c>
      <c r="E395" t="b">
        <v>0</v>
      </c>
    </row>
    <row r="396" spans="1:5" x14ac:dyDescent="0.3">
      <c r="A396" s="1" t="s">
        <v>772</v>
      </c>
      <c r="B396">
        <v>0.132013048590187</v>
      </c>
      <c r="C396">
        <v>1.6175065586728941</v>
      </c>
      <c r="D396">
        <v>4.862153316416673E-2</v>
      </c>
      <c r="E396" t="b">
        <v>0</v>
      </c>
    </row>
    <row r="397" spans="1:5" x14ac:dyDescent="0.3">
      <c r="A397" s="1" t="s">
        <v>774</v>
      </c>
      <c r="B397">
        <v>0.15601756425531149</v>
      </c>
      <c r="C397">
        <v>0.59301182785407103</v>
      </c>
      <c r="D397">
        <v>1.5083055233784949E-2</v>
      </c>
      <c r="E397" t="b">
        <v>0</v>
      </c>
    </row>
    <row r="398" spans="1:5" x14ac:dyDescent="0.3">
      <c r="A398" s="1" t="s">
        <v>776</v>
      </c>
      <c r="B398">
        <v>-0.1099616021386636</v>
      </c>
      <c r="C398">
        <v>-0.48520645730802991</v>
      </c>
      <c r="D398">
        <v>1.750995267609003E-2</v>
      </c>
      <c r="E398" t="b">
        <v>0</v>
      </c>
    </row>
    <row r="399" spans="1:5" x14ac:dyDescent="0.3">
      <c r="A399" s="1" t="s">
        <v>777</v>
      </c>
      <c r="B399">
        <v>0.1366724832622592</v>
      </c>
      <c r="C399">
        <v>1.5903934768291621</v>
      </c>
      <c r="D399">
        <v>4.6176707080109763E-2</v>
      </c>
      <c r="E399" t="b">
        <v>0</v>
      </c>
    </row>
    <row r="400" spans="1:5" x14ac:dyDescent="0.3">
      <c r="A400" s="1" t="s">
        <v>778</v>
      </c>
      <c r="B400">
        <v>0.15231606280387211</v>
      </c>
      <c r="C400">
        <v>1.4249543916133469</v>
      </c>
      <c r="D400">
        <v>3.7123996084258259E-2</v>
      </c>
      <c r="E400" t="b">
        <v>0</v>
      </c>
    </row>
    <row r="401" spans="1:5" x14ac:dyDescent="0.3">
      <c r="A401" s="1" t="s">
        <v>779</v>
      </c>
      <c r="B401">
        <v>9.9342758629999167E-2</v>
      </c>
      <c r="C401">
        <v>0.68121711430009091</v>
      </c>
      <c r="D401">
        <v>2.72112688870665E-2</v>
      </c>
      <c r="E401" t="b">
        <v>0</v>
      </c>
    </row>
    <row r="402" spans="1:5" x14ac:dyDescent="0.3">
      <c r="A402" s="1" t="s">
        <v>780</v>
      </c>
      <c r="B402">
        <v>-6.4716960427607703E-2</v>
      </c>
      <c r="C402">
        <v>-0.22165295315079989</v>
      </c>
      <c r="D402">
        <v>1.3591108190251991E-2</v>
      </c>
      <c r="E402" t="b">
        <v>0</v>
      </c>
    </row>
    <row r="403" spans="1:5" x14ac:dyDescent="0.3">
      <c r="A403" s="1" t="s">
        <v>782</v>
      </c>
      <c r="B403">
        <v>0.16595796849563099</v>
      </c>
      <c r="C403">
        <v>0.71439301001366018</v>
      </c>
      <c r="D403">
        <v>1.7081993245502001E-2</v>
      </c>
      <c r="E403" t="b">
        <v>0</v>
      </c>
    </row>
    <row r="404" spans="1:5" x14ac:dyDescent="0.3">
      <c r="A404" s="1" t="s">
        <v>784</v>
      </c>
      <c r="B404">
        <v>0.15597050565073611</v>
      </c>
      <c r="C404">
        <v>1.6567614373499939</v>
      </c>
      <c r="D404">
        <v>4.2151880708371829E-2</v>
      </c>
      <c r="E404" t="b">
        <v>0</v>
      </c>
    </row>
    <row r="405" spans="1:5" x14ac:dyDescent="0.3">
      <c r="A405" s="1" t="s">
        <v>790</v>
      </c>
      <c r="B405">
        <v>-0.30721617933554429</v>
      </c>
      <c r="C405">
        <v>-2.204981071061666</v>
      </c>
      <c r="D405">
        <v>2.8481328373036598E-2</v>
      </c>
      <c r="E405" t="b">
        <v>0</v>
      </c>
    </row>
    <row r="406" spans="1:5" x14ac:dyDescent="0.3">
      <c r="A406" s="1" t="s">
        <v>791</v>
      </c>
      <c r="B406">
        <v>-0.27270276846525088</v>
      </c>
      <c r="C406">
        <v>-0.22329879714730419</v>
      </c>
      <c r="D406">
        <v>3.249348522837015E-3</v>
      </c>
      <c r="E406" t="b">
        <v>0</v>
      </c>
    </row>
    <row r="407" spans="1:5" x14ac:dyDescent="0.3">
      <c r="A407" s="1" t="s">
        <v>792</v>
      </c>
      <c r="B407">
        <v>0.28836689577947278</v>
      </c>
      <c r="C407">
        <v>0.68006103692460584</v>
      </c>
      <c r="D407">
        <v>9.3584074591376073E-3</v>
      </c>
      <c r="E407" t="b">
        <v>0</v>
      </c>
    </row>
    <row r="408" spans="1:5" x14ac:dyDescent="0.3">
      <c r="A408" s="1" t="s">
        <v>793</v>
      </c>
      <c r="B408">
        <v>-0.23156616392381951</v>
      </c>
      <c r="C408">
        <v>-0.1195387958072047</v>
      </c>
      <c r="D408">
        <v>2.0484871053022039E-3</v>
      </c>
      <c r="E408" t="b">
        <v>0</v>
      </c>
    </row>
    <row r="409" spans="1:5" x14ac:dyDescent="0.3">
      <c r="A409" s="1" t="s">
        <v>794</v>
      </c>
      <c r="B409">
        <v>0.19928202770573139</v>
      </c>
      <c r="C409">
        <v>0.55360423840684669</v>
      </c>
      <c r="D409">
        <v>1.102378494032657E-2</v>
      </c>
      <c r="E409" t="b">
        <v>0</v>
      </c>
    </row>
    <row r="410" spans="1:5" x14ac:dyDescent="0.3">
      <c r="A410" s="1" t="s">
        <v>797</v>
      </c>
      <c r="B410">
        <v>8.4495586737176137E-2</v>
      </c>
      <c r="C410">
        <v>0.42419168923217132</v>
      </c>
      <c r="D410">
        <v>1.9921754722312661E-2</v>
      </c>
      <c r="E410" t="b">
        <v>0</v>
      </c>
    </row>
    <row r="411" spans="1:5" x14ac:dyDescent="0.3">
      <c r="A411" s="1" t="s">
        <v>798</v>
      </c>
      <c r="B411">
        <v>-0.2254474780674546</v>
      </c>
      <c r="C411">
        <v>-1.4029416741701379</v>
      </c>
      <c r="D411">
        <v>2.469412793381872E-2</v>
      </c>
      <c r="E411" t="b">
        <v>0</v>
      </c>
    </row>
    <row r="412" spans="1:5" x14ac:dyDescent="0.3">
      <c r="A412" s="1" t="s">
        <v>800</v>
      </c>
      <c r="B412">
        <v>-4.1113462956107613E-2</v>
      </c>
      <c r="C412">
        <v>-3.023602588930694E-2</v>
      </c>
      <c r="D412">
        <v>2.9183683662834759E-3</v>
      </c>
      <c r="E412" t="b">
        <v>0</v>
      </c>
    </row>
    <row r="413" spans="1:5" x14ac:dyDescent="0.3">
      <c r="A413" s="1" t="s">
        <v>802</v>
      </c>
      <c r="B413">
        <v>3.3686401306165903E-2</v>
      </c>
      <c r="C413">
        <v>1.1497969760681541E-2</v>
      </c>
      <c r="D413">
        <v>1.354459436465158E-3</v>
      </c>
      <c r="E413" t="b">
        <v>0</v>
      </c>
    </row>
    <row r="414" spans="1:5" x14ac:dyDescent="0.3">
      <c r="A414" s="1" t="s">
        <v>803</v>
      </c>
      <c r="B414">
        <v>0.29797286188625338</v>
      </c>
      <c r="C414">
        <v>1.638834597349841</v>
      </c>
      <c r="D414">
        <v>2.1825181840646749E-2</v>
      </c>
      <c r="E414" t="b">
        <v>0</v>
      </c>
    </row>
    <row r="415" spans="1:5" x14ac:dyDescent="0.3">
      <c r="A415" s="1" t="s">
        <v>806</v>
      </c>
      <c r="B415">
        <v>0.18931216967443851</v>
      </c>
      <c r="C415">
        <v>0.69669497538341307</v>
      </c>
      <c r="D415">
        <v>1.4603723603623791E-2</v>
      </c>
      <c r="E415" t="b">
        <v>0</v>
      </c>
    </row>
    <row r="416" spans="1:5" x14ac:dyDescent="0.3">
      <c r="A416" s="1" t="s">
        <v>809</v>
      </c>
      <c r="B416">
        <v>0.19477403475909769</v>
      </c>
      <c r="C416">
        <v>0.82991090573115733</v>
      </c>
      <c r="D416">
        <v>1.6908297089179049E-2</v>
      </c>
      <c r="E416" t="b">
        <v>0</v>
      </c>
    </row>
    <row r="417" spans="1:5" x14ac:dyDescent="0.3">
      <c r="A417" s="1" t="s">
        <v>812</v>
      </c>
      <c r="B417">
        <v>0.119641701303416</v>
      </c>
      <c r="C417">
        <v>1.0393029390381969</v>
      </c>
      <c r="D417">
        <v>3.4471408941244973E-2</v>
      </c>
      <c r="E417" t="b">
        <v>0</v>
      </c>
    </row>
    <row r="418" spans="1:5" x14ac:dyDescent="0.3">
      <c r="A418" s="1" t="s">
        <v>814</v>
      </c>
      <c r="B418">
        <v>-0.3079372005205635</v>
      </c>
      <c r="C418">
        <v>-2.5477707492818888</v>
      </c>
      <c r="D418">
        <v>3.28320234416241E-2</v>
      </c>
      <c r="E418" t="b">
        <v>0</v>
      </c>
    </row>
    <row r="419" spans="1:5" x14ac:dyDescent="0.3">
      <c r="A419" s="1" t="s">
        <v>815</v>
      </c>
      <c r="B419">
        <v>-0.20277525249882261</v>
      </c>
      <c r="C419">
        <v>-0.42328927299693669</v>
      </c>
      <c r="D419">
        <v>8.283650576636244E-3</v>
      </c>
      <c r="E419" t="b">
        <v>0</v>
      </c>
    </row>
    <row r="420" spans="1:5" x14ac:dyDescent="0.3">
      <c r="A420" s="1" t="s">
        <v>816</v>
      </c>
      <c r="B420">
        <v>0.23905425171362951</v>
      </c>
      <c r="C420">
        <v>1.1565459606789461</v>
      </c>
      <c r="D420">
        <v>1.9198437446869561E-2</v>
      </c>
      <c r="E420" t="b">
        <v>0</v>
      </c>
    </row>
    <row r="421" spans="1:5" x14ac:dyDescent="0.3">
      <c r="A421" s="1" t="s">
        <v>819</v>
      </c>
      <c r="B421">
        <v>-0.28882471835350848</v>
      </c>
      <c r="C421">
        <v>-2.3779141224479128</v>
      </c>
      <c r="D421">
        <v>3.2670912677984977E-2</v>
      </c>
      <c r="E421" t="b">
        <v>0</v>
      </c>
    </row>
    <row r="422" spans="1:5" x14ac:dyDescent="0.3">
      <c r="A422" s="1" t="s">
        <v>820</v>
      </c>
      <c r="B422">
        <v>0.29256883309014969</v>
      </c>
      <c r="C422">
        <v>3.5748337011893789</v>
      </c>
      <c r="D422">
        <v>4.8487215370003757E-2</v>
      </c>
      <c r="E422" t="b">
        <v>0</v>
      </c>
    </row>
    <row r="423" spans="1:5" x14ac:dyDescent="0.3">
      <c r="A423" s="1" t="s">
        <v>821</v>
      </c>
      <c r="B423">
        <v>8.5183539867505972E-2</v>
      </c>
      <c r="C423">
        <v>0.58920471265169638</v>
      </c>
      <c r="D423">
        <v>2.7447954648641311E-2</v>
      </c>
      <c r="E423" t="b">
        <v>0</v>
      </c>
    </row>
    <row r="424" spans="1:5" x14ac:dyDescent="0.3">
      <c r="A424" s="1" t="s">
        <v>822</v>
      </c>
      <c r="B424">
        <v>-0.30763014712452091</v>
      </c>
      <c r="C424">
        <v>-1.4224422463982149</v>
      </c>
      <c r="D424">
        <v>1.8348696126316288E-2</v>
      </c>
      <c r="E424" t="b">
        <v>0</v>
      </c>
    </row>
    <row r="425" spans="1:5" x14ac:dyDescent="0.3">
      <c r="A425" s="1" t="s">
        <v>823</v>
      </c>
      <c r="B425">
        <v>0.1142436019150543</v>
      </c>
      <c r="C425">
        <v>2.6774048349978301</v>
      </c>
      <c r="D425">
        <v>9.2999714496068017E-2</v>
      </c>
      <c r="E425" t="b">
        <v>0</v>
      </c>
    </row>
    <row r="426" spans="1:5" x14ac:dyDescent="0.3">
      <c r="A426" s="1" t="s">
        <v>826</v>
      </c>
      <c r="B426">
        <v>0.47240346723812188</v>
      </c>
      <c r="C426">
        <v>4.8527928113883227</v>
      </c>
      <c r="D426">
        <v>4.076412572391052E-2</v>
      </c>
      <c r="E426" t="b">
        <v>0</v>
      </c>
    </row>
    <row r="427" spans="1:5" x14ac:dyDescent="0.3">
      <c r="A427" s="1" t="s">
        <v>827</v>
      </c>
      <c r="B427">
        <v>6.9659864123446623E-3</v>
      </c>
      <c r="C427">
        <v>5.6683871293287558E-2</v>
      </c>
      <c r="D427">
        <v>3.2290616702462811E-2</v>
      </c>
      <c r="E427" t="b">
        <v>0</v>
      </c>
    </row>
    <row r="428" spans="1:5" x14ac:dyDescent="0.3">
      <c r="A428" s="1" t="s">
        <v>829</v>
      </c>
      <c r="B428">
        <v>-0.15001563264845261</v>
      </c>
      <c r="C428">
        <v>-0.97669754106618667</v>
      </c>
      <c r="D428">
        <v>2.5835866733984459E-2</v>
      </c>
      <c r="E428" t="b">
        <v>0</v>
      </c>
    </row>
    <row r="429" spans="1:5" x14ac:dyDescent="0.3">
      <c r="A429" s="1" t="s">
        <v>830</v>
      </c>
      <c r="B429">
        <v>8.0160578297445162E-2</v>
      </c>
      <c r="C429">
        <v>0.49758594227014152</v>
      </c>
      <c r="D429">
        <v>2.463239951481002E-2</v>
      </c>
      <c r="E429" t="b">
        <v>0</v>
      </c>
    </row>
    <row r="430" spans="1:5" x14ac:dyDescent="0.3">
      <c r="A430" s="1" t="s">
        <v>831</v>
      </c>
      <c r="B430">
        <v>-4.4632427479292837E-2</v>
      </c>
      <c r="C430">
        <v>-1.440835033613439</v>
      </c>
      <c r="D430">
        <v>0.12810415347425461</v>
      </c>
      <c r="E430" t="b">
        <v>0</v>
      </c>
    </row>
    <row r="431" spans="1:5" x14ac:dyDescent="0.3">
      <c r="A431" s="1" t="s">
        <v>832</v>
      </c>
      <c r="B431">
        <v>-1.848246666489924E-3</v>
      </c>
      <c r="C431">
        <v>-1.7899079735380852E-2</v>
      </c>
      <c r="D431">
        <v>3.8429986362649E-2</v>
      </c>
      <c r="E431" t="b">
        <v>0</v>
      </c>
    </row>
    <row r="432" spans="1:5" x14ac:dyDescent="0.3">
      <c r="A432" s="1" t="s">
        <v>833</v>
      </c>
      <c r="B432">
        <v>-0.17040908516755171</v>
      </c>
      <c r="C432">
        <v>-1.009224610983513</v>
      </c>
      <c r="D432">
        <v>2.3501443972058091E-2</v>
      </c>
      <c r="E432" t="b">
        <v>0</v>
      </c>
    </row>
    <row r="433" spans="1:5" x14ac:dyDescent="0.3">
      <c r="A433" s="1" t="s">
        <v>835</v>
      </c>
      <c r="B433">
        <v>-6.0452099302240131E-2</v>
      </c>
      <c r="C433">
        <v>-0.47301619016325602</v>
      </c>
      <c r="D433">
        <v>3.1050176839667799E-2</v>
      </c>
      <c r="E433" t="b">
        <v>0</v>
      </c>
    </row>
    <row r="434" spans="1:5" x14ac:dyDescent="0.3">
      <c r="A434" s="1" t="s">
        <v>837</v>
      </c>
      <c r="B434">
        <v>0.16031361438750169</v>
      </c>
      <c r="C434">
        <v>0.51221417307844108</v>
      </c>
      <c r="D434">
        <v>1.2678872799919321E-2</v>
      </c>
      <c r="E434" t="b">
        <v>0</v>
      </c>
    </row>
    <row r="435" spans="1:5" x14ac:dyDescent="0.3">
      <c r="A435" s="1" t="s">
        <v>839</v>
      </c>
      <c r="B435">
        <v>7.5843120012933182E-2</v>
      </c>
      <c r="C435">
        <v>0.40327199747335951</v>
      </c>
      <c r="D435">
        <v>2.1099945571681041E-2</v>
      </c>
      <c r="E435" t="b">
        <v>0</v>
      </c>
    </row>
    <row r="436" spans="1:5" x14ac:dyDescent="0.3">
      <c r="A436" s="1" t="s">
        <v>840</v>
      </c>
      <c r="B436">
        <v>0.1236066978052232</v>
      </c>
      <c r="C436">
        <v>0.53246197806063522</v>
      </c>
      <c r="D436">
        <v>1.709409275469042E-2</v>
      </c>
      <c r="E436" t="b">
        <v>0</v>
      </c>
    </row>
    <row r="437" spans="1:5" x14ac:dyDescent="0.3">
      <c r="A437" s="1" t="s">
        <v>841</v>
      </c>
      <c r="B437">
        <v>-0.1373587479173401</v>
      </c>
      <c r="C437">
        <v>-8.7371913508455329E-2</v>
      </c>
      <c r="D437">
        <v>2.5241489730418649E-3</v>
      </c>
      <c r="E437" t="b">
        <v>0</v>
      </c>
    </row>
    <row r="438" spans="1:5" x14ac:dyDescent="0.3">
      <c r="A438" s="1" t="s">
        <v>844</v>
      </c>
      <c r="B438">
        <v>0.18926176954735729</v>
      </c>
      <c r="C438">
        <v>0.46874005142498232</v>
      </c>
      <c r="D438">
        <v>9.8280787165594147E-3</v>
      </c>
      <c r="E438" t="b">
        <v>0</v>
      </c>
    </row>
    <row r="439" spans="1:5" x14ac:dyDescent="0.3">
      <c r="A439" s="1" t="s">
        <v>845</v>
      </c>
      <c r="B439">
        <v>0.148796815807229</v>
      </c>
      <c r="C439">
        <v>0.4637346899231195</v>
      </c>
      <c r="D439">
        <v>1.236731453909942E-2</v>
      </c>
      <c r="E439" t="b">
        <v>0</v>
      </c>
    </row>
    <row r="440" spans="1:5" x14ac:dyDescent="0.3">
      <c r="A440" s="1" t="s">
        <v>846</v>
      </c>
      <c r="B440">
        <v>0.1112687751895869</v>
      </c>
      <c r="C440">
        <v>0.4530454750834102</v>
      </c>
      <c r="D440">
        <v>1.6157268750698849E-2</v>
      </c>
      <c r="E440" t="b">
        <v>0</v>
      </c>
    </row>
    <row r="441" spans="1:5" x14ac:dyDescent="0.3">
      <c r="A441" s="1" t="s">
        <v>848</v>
      </c>
      <c r="B441">
        <v>0.15225947696522349</v>
      </c>
      <c r="C441">
        <v>0.4761974324451187</v>
      </c>
      <c r="D441">
        <v>1.241086852941377E-2</v>
      </c>
      <c r="E441" t="b">
        <v>0</v>
      </c>
    </row>
    <row r="442" spans="1:5" x14ac:dyDescent="0.3">
      <c r="A442" s="1" t="s">
        <v>849</v>
      </c>
      <c r="B442">
        <v>0.1922619338988337</v>
      </c>
      <c r="C442">
        <v>0.51481690374703426</v>
      </c>
      <c r="D442">
        <v>1.06257342771417E-2</v>
      </c>
      <c r="E442" t="b">
        <v>0</v>
      </c>
    </row>
    <row r="443" spans="1:5" x14ac:dyDescent="0.3">
      <c r="A443" s="1" t="s">
        <v>850</v>
      </c>
      <c r="B443">
        <v>0.10712279398233281</v>
      </c>
      <c r="C443">
        <v>0.43908467354425362</v>
      </c>
      <c r="D443">
        <v>1.6265441120578379E-2</v>
      </c>
      <c r="E443" t="b">
        <v>0</v>
      </c>
    </row>
    <row r="444" spans="1:5" x14ac:dyDescent="0.3">
      <c r="A444" s="1" t="s">
        <v>851</v>
      </c>
      <c r="B444">
        <v>0.21247379006396799</v>
      </c>
      <c r="C444">
        <v>0.98705431084445694</v>
      </c>
      <c r="D444">
        <v>1.8434660504297842E-2</v>
      </c>
      <c r="E444" t="b">
        <v>0</v>
      </c>
    </row>
    <row r="445" spans="1:5" x14ac:dyDescent="0.3">
      <c r="A445" s="1" t="s">
        <v>852</v>
      </c>
      <c r="B445">
        <v>0.24947991042275211</v>
      </c>
      <c r="C445">
        <v>1.042745958903619</v>
      </c>
      <c r="D445">
        <v>1.6586028038443241E-2</v>
      </c>
      <c r="E445" t="b">
        <v>0</v>
      </c>
    </row>
    <row r="446" spans="1:5" x14ac:dyDescent="0.3">
      <c r="A446" s="1" t="s">
        <v>853</v>
      </c>
      <c r="B446">
        <v>0.17407891044301729</v>
      </c>
      <c r="C446">
        <v>0.93240214171192193</v>
      </c>
      <c r="D446">
        <v>2.1254777442256501E-2</v>
      </c>
      <c r="E446" t="b">
        <v>0</v>
      </c>
    </row>
    <row r="447" spans="1:5" x14ac:dyDescent="0.3">
      <c r="A447" s="1" t="s">
        <v>854</v>
      </c>
      <c r="B447">
        <v>0.13920877858336461</v>
      </c>
      <c r="C447">
        <v>0.56429786990523634</v>
      </c>
      <c r="D447">
        <v>1.608574749607284E-2</v>
      </c>
      <c r="E447" t="b">
        <v>0</v>
      </c>
    </row>
    <row r="448" spans="1:5" x14ac:dyDescent="0.3">
      <c r="A448" s="1" t="s">
        <v>855</v>
      </c>
      <c r="B448">
        <v>0.1870696952694407</v>
      </c>
      <c r="C448">
        <v>0.61421318077267872</v>
      </c>
      <c r="D448">
        <v>1.302912205231584E-2</v>
      </c>
      <c r="E448" t="b">
        <v>0</v>
      </c>
    </row>
    <row r="449" spans="1:5" x14ac:dyDescent="0.3">
      <c r="A449" s="1" t="s">
        <v>862</v>
      </c>
      <c r="B449">
        <v>0.28273783104545452</v>
      </c>
      <c r="C449">
        <v>0.67122621239818114</v>
      </c>
      <c r="D449">
        <v>9.4207275733007526E-3</v>
      </c>
      <c r="E449" t="b">
        <v>0</v>
      </c>
    </row>
    <row r="450" spans="1:5" x14ac:dyDescent="0.3">
      <c r="A450" s="1" t="s">
        <v>864</v>
      </c>
      <c r="B450">
        <v>-0.14352530714190831</v>
      </c>
      <c r="C450">
        <v>-0.4139096781456002</v>
      </c>
      <c r="D450">
        <v>1.144396591449902E-2</v>
      </c>
      <c r="E450" t="b">
        <v>0</v>
      </c>
    </row>
    <row r="451" spans="1:5" x14ac:dyDescent="0.3">
      <c r="A451" s="1" t="s">
        <v>865</v>
      </c>
      <c r="B451">
        <v>0.22477599599269249</v>
      </c>
      <c r="C451">
        <v>1.165482445418762</v>
      </c>
      <c r="D451">
        <v>2.057573060031595E-2</v>
      </c>
      <c r="E451" t="b">
        <v>0</v>
      </c>
    </row>
    <row r="452" spans="1:5" x14ac:dyDescent="0.3">
      <c r="A452" s="1" t="s">
        <v>866</v>
      </c>
      <c r="B452">
        <v>4.8453218566029257E-2</v>
      </c>
      <c r="C452">
        <v>0.41307400245342141</v>
      </c>
      <c r="D452">
        <v>3.3830209796786873E-2</v>
      </c>
      <c r="E452" t="b">
        <v>0</v>
      </c>
    </row>
    <row r="453" spans="1:5" x14ac:dyDescent="0.3">
      <c r="A453" s="1" t="s">
        <v>867</v>
      </c>
      <c r="B453">
        <v>0.13147158553575741</v>
      </c>
      <c r="C453">
        <v>2.7388201415257239E-2</v>
      </c>
      <c r="D453">
        <v>8.2666789562581213E-4</v>
      </c>
      <c r="E453" t="b">
        <v>0</v>
      </c>
    </row>
    <row r="454" spans="1:5" x14ac:dyDescent="0.3">
      <c r="A454" s="1" t="s">
        <v>870</v>
      </c>
      <c r="B454">
        <v>0.54436277839823677</v>
      </c>
      <c r="C454">
        <v>3.6144623255706598</v>
      </c>
      <c r="D454">
        <v>2.6348429826069639E-2</v>
      </c>
      <c r="E454" t="b">
        <v>0</v>
      </c>
    </row>
    <row r="455" spans="1:5" x14ac:dyDescent="0.3">
      <c r="A455" s="1" t="s">
        <v>871</v>
      </c>
      <c r="B455">
        <v>0.33139709915157861</v>
      </c>
      <c r="C455">
        <v>3.0476630665619502</v>
      </c>
      <c r="D455">
        <v>3.6493684129244162E-2</v>
      </c>
      <c r="E455" t="b">
        <v>0</v>
      </c>
    </row>
    <row r="456" spans="1:5" x14ac:dyDescent="0.3">
      <c r="A456" s="1" t="s">
        <v>875</v>
      </c>
      <c r="B456">
        <v>4.5773536681478592E-2</v>
      </c>
      <c r="C456">
        <v>0.26031986152961478</v>
      </c>
      <c r="D456">
        <v>2.2567959533443871E-2</v>
      </c>
      <c r="E456" t="b">
        <v>0</v>
      </c>
    </row>
    <row r="457" spans="1:5" x14ac:dyDescent="0.3">
      <c r="A457" s="1" t="s">
        <v>877</v>
      </c>
      <c r="B457">
        <v>6.1103534574448372E-2</v>
      </c>
      <c r="C457">
        <v>0.40906263221912309</v>
      </c>
      <c r="D457">
        <v>2.6565802205601841E-2</v>
      </c>
      <c r="E457" t="b">
        <v>0</v>
      </c>
    </row>
    <row r="458" spans="1:5" x14ac:dyDescent="0.3">
      <c r="A458" s="1" t="s">
        <v>878</v>
      </c>
      <c r="B458">
        <v>0.23116484282154509</v>
      </c>
      <c r="C458">
        <v>2.148318103366071</v>
      </c>
      <c r="D458">
        <v>3.6878756019726767E-2</v>
      </c>
      <c r="E458" t="b">
        <v>0</v>
      </c>
    </row>
    <row r="459" spans="1:5" x14ac:dyDescent="0.3">
      <c r="A459" s="1" t="s">
        <v>879</v>
      </c>
      <c r="B459">
        <v>7.5132272468061201E-2</v>
      </c>
      <c r="C459">
        <v>0.1509582135462392</v>
      </c>
      <c r="D459">
        <v>7.9731453643977889E-3</v>
      </c>
      <c r="E459" t="b">
        <v>0</v>
      </c>
    </row>
    <row r="460" spans="1:5" x14ac:dyDescent="0.3">
      <c r="A460" s="1" t="s">
        <v>880</v>
      </c>
      <c r="B460">
        <v>0.20464386821743619</v>
      </c>
      <c r="C460">
        <v>0.71407987716025056</v>
      </c>
      <c r="D460">
        <v>1.384673936665764E-2</v>
      </c>
      <c r="E460" t="b">
        <v>0</v>
      </c>
    </row>
    <row r="461" spans="1:5" x14ac:dyDescent="0.3">
      <c r="A461" s="1" t="s">
        <v>887</v>
      </c>
      <c r="B461">
        <v>0.35923719960822942</v>
      </c>
      <c r="C461">
        <v>1.695410591749372</v>
      </c>
      <c r="D461">
        <v>1.8728071079126451E-2</v>
      </c>
      <c r="E461" t="b">
        <v>0</v>
      </c>
    </row>
    <row r="462" spans="1:5" x14ac:dyDescent="0.3">
      <c r="A462" s="1" t="s">
        <v>888</v>
      </c>
      <c r="B462">
        <v>9.5889625714143736E-3</v>
      </c>
      <c r="C462">
        <v>7.0099859688374899E-2</v>
      </c>
      <c r="D462">
        <v>2.9009816683579919E-2</v>
      </c>
      <c r="E462" t="b">
        <v>0</v>
      </c>
    </row>
    <row r="463" spans="1:5" x14ac:dyDescent="0.3">
      <c r="A463" s="1" t="s">
        <v>893</v>
      </c>
      <c r="B463">
        <v>5.5311177153283394E-4</v>
      </c>
      <c r="C463">
        <v>2.0230221230338689E-3</v>
      </c>
      <c r="D463">
        <v>1.4514002378483401E-2</v>
      </c>
      <c r="E463" t="b">
        <v>0</v>
      </c>
    </row>
    <row r="464" spans="1:5" x14ac:dyDescent="0.3">
      <c r="A464" s="1" t="s">
        <v>894</v>
      </c>
      <c r="B464">
        <v>0.1279834180783912</v>
      </c>
      <c r="C464">
        <v>0.1007625219498044</v>
      </c>
      <c r="D464">
        <v>3.1242428400660152E-3</v>
      </c>
      <c r="E464" t="b">
        <v>0</v>
      </c>
    </row>
    <row r="465" spans="1:5" x14ac:dyDescent="0.3">
      <c r="A465" s="1" t="s">
        <v>895</v>
      </c>
      <c r="B465">
        <v>0.1156777706870625</v>
      </c>
      <c r="C465">
        <v>2.0775589591523529</v>
      </c>
      <c r="D465">
        <v>7.1269367787530777E-2</v>
      </c>
      <c r="E465" t="b">
        <v>0</v>
      </c>
    </row>
    <row r="466" spans="1:5" x14ac:dyDescent="0.3">
      <c r="A466" s="1" t="s">
        <v>897</v>
      </c>
      <c r="B466">
        <v>0.1164569396907835</v>
      </c>
      <c r="C466">
        <v>0.63911936318261442</v>
      </c>
      <c r="D466">
        <v>2.1777903110552679E-2</v>
      </c>
      <c r="E466" t="b">
        <v>0</v>
      </c>
    </row>
    <row r="467" spans="1:5" x14ac:dyDescent="0.3">
      <c r="A467" s="1" t="s">
        <v>898</v>
      </c>
      <c r="B467">
        <v>0.25575998303772551</v>
      </c>
      <c r="C467">
        <v>2.9347701015587192E-2</v>
      </c>
      <c r="D467">
        <v>4.5534539700472522E-4</v>
      </c>
      <c r="E467" t="b">
        <v>0</v>
      </c>
    </row>
    <row r="468" spans="1:5" x14ac:dyDescent="0.3">
      <c r="A468" s="1" t="s">
        <v>902</v>
      </c>
      <c r="B468">
        <v>0.42790750654718102</v>
      </c>
      <c r="C468">
        <v>1.927589618300557</v>
      </c>
      <c r="D468">
        <v>1.7875744255360339E-2</v>
      </c>
      <c r="E468" t="b">
        <v>0</v>
      </c>
    </row>
    <row r="469" spans="1:5" x14ac:dyDescent="0.3">
      <c r="A469" s="1" t="s">
        <v>903</v>
      </c>
      <c r="B469">
        <v>0.40983816634428899</v>
      </c>
      <c r="C469">
        <v>2.2257942048707591</v>
      </c>
      <c r="D469">
        <v>2.1551230244806489E-2</v>
      </c>
      <c r="E469" t="b">
        <v>0</v>
      </c>
    </row>
    <row r="470" spans="1:5" x14ac:dyDescent="0.3">
      <c r="A470" s="1" t="s">
        <v>905</v>
      </c>
      <c r="B470">
        <v>0.55477835102631179</v>
      </c>
      <c r="C470">
        <v>3.105534972948564</v>
      </c>
      <c r="D470">
        <v>2.221346859904803E-2</v>
      </c>
      <c r="E470" t="b">
        <v>0</v>
      </c>
    </row>
    <row r="471" spans="1:5" x14ac:dyDescent="0.3">
      <c r="A471" s="1" t="s">
        <v>906</v>
      </c>
      <c r="B471">
        <v>0.28393047323289922</v>
      </c>
      <c r="C471">
        <v>2.1581202749109121</v>
      </c>
      <c r="D471">
        <v>3.016220572372243E-2</v>
      </c>
      <c r="E471" t="b">
        <v>0</v>
      </c>
    </row>
    <row r="472" spans="1:5" x14ac:dyDescent="0.3">
      <c r="A472" s="1" t="s">
        <v>907</v>
      </c>
      <c r="B472">
        <v>0.1166012411236408</v>
      </c>
      <c r="C472">
        <v>1.1782207444503969</v>
      </c>
      <c r="D472">
        <v>4.0098022110130742E-2</v>
      </c>
      <c r="E472" t="b">
        <v>0</v>
      </c>
    </row>
    <row r="473" spans="1:5" x14ac:dyDescent="0.3">
      <c r="A473" s="1" t="s">
        <v>908</v>
      </c>
      <c r="B473">
        <v>-0.141296167168557</v>
      </c>
      <c r="C473">
        <v>-0.69264980733430881</v>
      </c>
      <c r="D473">
        <v>1.9452830190969061E-2</v>
      </c>
      <c r="E473" t="b">
        <v>0</v>
      </c>
    </row>
    <row r="474" spans="1:5" x14ac:dyDescent="0.3">
      <c r="A474" s="1" t="s">
        <v>91</v>
      </c>
      <c r="B474">
        <v>0.50779431707366574</v>
      </c>
      <c r="C474">
        <v>4.0532662939252653</v>
      </c>
      <c r="D474">
        <v>3.1675009968505863E-2</v>
      </c>
      <c r="E474" t="b">
        <v>0</v>
      </c>
    </row>
    <row r="475" spans="1:5" x14ac:dyDescent="0.3">
      <c r="A475" s="1" t="s">
        <v>910</v>
      </c>
      <c r="B475">
        <v>0.22975536104533431</v>
      </c>
      <c r="C475">
        <v>1.9910180298921429</v>
      </c>
      <c r="D475">
        <v>3.4388164707180577E-2</v>
      </c>
      <c r="E475" t="b">
        <v>0</v>
      </c>
    </row>
    <row r="476" spans="1:5" x14ac:dyDescent="0.3">
      <c r="A476" s="1" t="s">
        <v>912</v>
      </c>
      <c r="B476">
        <v>-6.4042250947073012E-2</v>
      </c>
      <c r="C476">
        <v>-0.37182374206091051</v>
      </c>
      <c r="D476">
        <v>2.3039337595170579E-2</v>
      </c>
      <c r="E476" t="b">
        <v>0</v>
      </c>
    </row>
    <row r="477" spans="1:5" x14ac:dyDescent="0.3">
      <c r="A477" s="1" t="s">
        <v>913</v>
      </c>
      <c r="B477">
        <v>1.9902013596637121E-2</v>
      </c>
      <c r="C477">
        <v>9.7735561931635212E-2</v>
      </c>
      <c r="D477">
        <v>1.9487451839560441E-2</v>
      </c>
      <c r="E477" t="b">
        <v>0</v>
      </c>
    </row>
    <row r="478" spans="1:5" x14ac:dyDescent="0.3">
      <c r="A478" s="1" t="s">
        <v>915</v>
      </c>
      <c r="B478">
        <v>0.40244173810167949</v>
      </c>
      <c r="C478">
        <v>3.3186018993987161</v>
      </c>
      <c r="D478">
        <v>3.2722886096413953E-2</v>
      </c>
      <c r="E478" t="b">
        <v>0</v>
      </c>
    </row>
    <row r="479" spans="1:5" x14ac:dyDescent="0.3">
      <c r="A479" s="1" t="s">
        <v>916</v>
      </c>
      <c r="B479">
        <v>-0.18665372421294951</v>
      </c>
      <c r="C479">
        <v>-0.66410491347544154</v>
      </c>
      <c r="D479">
        <v>1.4118855486801189E-2</v>
      </c>
      <c r="E479" t="b">
        <v>0</v>
      </c>
    </row>
    <row r="480" spans="1:5" x14ac:dyDescent="0.3">
      <c r="A480" s="1" t="s">
        <v>917</v>
      </c>
      <c r="B480">
        <v>-0.32173856094483722</v>
      </c>
      <c r="C480">
        <v>-1.898791546807773</v>
      </c>
      <c r="D480">
        <v>2.3419285112669198E-2</v>
      </c>
      <c r="E480" t="b">
        <v>0</v>
      </c>
    </row>
    <row r="481" spans="1:5" x14ac:dyDescent="0.3">
      <c r="A481" s="1" t="s">
        <v>918</v>
      </c>
      <c r="B481">
        <v>0.28354549996343331</v>
      </c>
      <c r="C481">
        <v>1.429288108894784</v>
      </c>
      <c r="D481">
        <v>2.0003061979934018E-2</v>
      </c>
      <c r="E481" t="b">
        <v>0</v>
      </c>
    </row>
    <row r="482" spans="1:5" x14ac:dyDescent="0.3">
      <c r="A482" s="1" t="s">
        <v>923</v>
      </c>
      <c r="B482">
        <v>4.6179190813233052E-2</v>
      </c>
      <c r="C482">
        <v>0.71550920742673374</v>
      </c>
      <c r="D482">
        <v>6.1484885328041652E-2</v>
      </c>
      <c r="E482" t="b">
        <v>0</v>
      </c>
    </row>
    <row r="483" spans="1:5" x14ac:dyDescent="0.3">
      <c r="A483" s="1" t="s">
        <v>924</v>
      </c>
      <c r="B483">
        <v>5.9514577444114633E-2</v>
      </c>
      <c r="C483">
        <v>0.44307669097361613</v>
      </c>
      <c r="D483">
        <v>2.9543028157226061E-2</v>
      </c>
      <c r="E483" t="b">
        <v>0</v>
      </c>
    </row>
    <row r="484" spans="1:5" x14ac:dyDescent="0.3">
      <c r="A484" s="1" t="s">
        <v>926</v>
      </c>
      <c r="B484">
        <v>-6.8623858843936389E-2</v>
      </c>
      <c r="C484">
        <v>-0.3603215259786311</v>
      </c>
      <c r="D484">
        <v>2.0836008778867581E-2</v>
      </c>
      <c r="E484" t="b">
        <v>0</v>
      </c>
    </row>
    <row r="485" spans="1:5" x14ac:dyDescent="0.3">
      <c r="A485" s="1" t="s">
        <v>929</v>
      </c>
      <c r="B485">
        <v>0.34533965113365772</v>
      </c>
      <c r="C485">
        <v>2.678122438481231</v>
      </c>
      <c r="D485">
        <v>3.0773964006409329E-2</v>
      </c>
      <c r="E485" t="b">
        <v>0</v>
      </c>
    </row>
    <row r="486" spans="1:5" x14ac:dyDescent="0.3">
      <c r="A486" s="1" t="s">
        <v>933</v>
      </c>
      <c r="B486">
        <v>-6.5775639394555344E-2</v>
      </c>
      <c r="C486">
        <v>-0.39766491874639498</v>
      </c>
      <c r="D486">
        <v>2.399118285091726E-2</v>
      </c>
      <c r="E486" t="b">
        <v>0</v>
      </c>
    </row>
    <row r="487" spans="1:5" x14ac:dyDescent="0.3">
      <c r="A487" s="1" t="s">
        <v>935</v>
      </c>
      <c r="B487">
        <v>-0.27478390068431641</v>
      </c>
      <c r="C487">
        <v>-2.1466406402677252</v>
      </c>
      <c r="D487">
        <v>3.100041602853568E-2</v>
      </c>
      <c r="E487" t="b">
        <v>0</v>
      </c>
    </row>
    <row r="488" spans="1:5" x14ac:dyDescent="0.3">
      <c r="A488" s="1" t="s">
        <v>938</v>
      </c>
      <c r="B488">
        <v>-0.11918153029408469</v>
      </c>
      <c r="C488">
        <v>-0.66568746966420766</v>
      </c>
      <c r="D488">
        <v>2.216465031614924E-2</v>
      </c>
      <c r="E488" t="b">
        <v>0</v>
      </c>
    </row>
    <row r="489" spans="1:5" x14ac:dyDescent="0.3">
      <c r="A489" s="1" t="s">
        <v>939</v>
      </c>
      <c r="B489">
        <v>0.16796509187267331</v>
      </c>
      <c r="C489">
        <v>0.89029645626115372</v>
      </c>
      <c r="D489">
        <v>2.103367078296791E-2</v>
      </c>
      <c r="E489" t="b">
        <v>0</v>
      </c>
    </row>
    <row r="490" spans="1:5" x14ac:dyDescent="0.3">
      <c r="A490" s="1" t="s">
        <v>940</v>
      </c>
      <c r="B490">
        <v>-0.17439161088399471</v>
      </c>
      <c r="C490">
        <v>-1.5312367125732971</v>
      </c>
      <c r="D490">
        <v>3.4843053115938723E-2</v>
      </c>
      <c r="E490" t="b">
        <v>0</v>
      </c>
    </row>
    <row r="491" spans="1:5" x14ac:dyDescent="0.3">
      <c r="A491" s="1" t="s">
        <v>941</v>
      </c>
      <c r="B491">
        <v>0.14373694965986211</v>
      </c>
      <c r="C491">
        <v>1.1287371060349629</v>
      </c>
      <c r="D491">
        <v>3.1161893380498761E-2</v>
      </c>
      <c r="E491" t="b">
        <v>0</v>
      </c>
    </row>
    <row r="492" spans="1:5" x14ac:dyDescent="0.3">
      <c r="A492" s="1" t="s">
        <v>942</v>
      </c>
      <c r="B492">
        <v>-0.19692715668368579</v>
      </c>
      <c r="C492">
        <v>-0.84842163561834338</v>
      </c>
      <c r="D492">
        <v>1.7096435956280319E-2</v>
      </c>
      <c r="E492" t="b">
        <v>0</v>
      </c>
    </row>
    <row r="493" spans="1:5" x14ac:dyDescent="0.3">
      <c r="A493" s="1" t="s">
        <v>944</v>
      </c>
      <c r="B493">
        <v>0.32573044947562979</v>
      </c>
      <c r="C493">
        <v>6.0006360896676396</v>
      </c>
      <c r="D493">
        <v>7.3103537029482191E-2</v>
      </c>
      <c r="E493" t="b">
        <v>0</v>
      </c>
    </row>
    <row r="494" spans="1:5" x14ac:dyDescent="0.3">
      <c r="A494" s="1" t="s">
        <v>946</v>
      </c>
      <c r="B494">
        <v>-0.39761740895287639</v>
      </c>
      <c r="C494">
        <v>-2.7621135792809359</v>
      </c>
      <c r="D494">
        <v>2.7566117390621491E-2</v>
      </c>
      <c r="E494" t="b">
        <v>0</v>
      </c>
    </row>
    <row r="495" spans="1:5" x14ac:dyDescent="0.3">
      <c r="A495" s="1" t="s">
        <v>950</v>
      </c>
      <c r="B495">
        <v>0.21824313905437689</v>
      </c>
      <c r="C495">
        <v>1.0704263532373399</v>
      </c>
      <c r="D495">
        <v>1.9463263048554981E-2</v>
      </c>
      <c r="E495" t="b">
        <v>0</v>
      </c>
    </row>
    <row r="496" spans="1:5" x14ac:dyDescent="0.3">
      <c r="A496" s="1" t="s">
        <v>952</v>
      </c>
      <c r="B496">
        <v>-0.26011685621378772</v>
      </c>
      <c r="C496">
        <v>-1.495192032329576</v>
      </c>
      <c r="D496">
        <v>2.281013926570382E-2</v>
      </c>
      <c r="E496" t="b">
        <v>0</v>
      </c>
    </row>
    <row r="497" spans="1:5" x14ac:dyDescent="0.3">
      <c r="A497" s="1" t="s">
        <v>953</v>
      </c>
      <c r="B497">
        <v>-0.37859913665261952</v>
      </c>
      <c r="C497">
        <v>-1.3709710270550031</v>
      </c>
      <c r="D497">
        <v>1.436971374676956E-2</v>
      </c>
      <c r="E497" t="b">
        <v>0</v>
      </c>
    </row>
    <row r="498" spans="1:5" x14ac:dyDescent="0.3">
      <c r="A498" s="1" t="s">
        <v>955</v>
      </c>
      <c r="B498">
        <v>0.15217898881485289</v>
      </c>
      <c r="C498">
        <v>0.86191460124219432</v>
      </c>
      <c r="D498">
        <v>2.2475481426917909E-2</v>
      </c>
      <c r="E498" t="b">
        <v>0</v>
      </c>
    </row>
    <row r="499" spans="1:5" x14ac:dyDescent="0.3">
      <c r="A499" s="1" t="s">
        <v>956</v>
      </c>
      <c r="B499">
        <v>0.37855187098702597</v>
      </c>
      <c r="C499">
        <v>2.679093258652455</v>
      </c>
      <c r="D499">
        <v>2.8084189432878069E-2</v>
      </c>
      <c r="E499" t="b">
        <v>0</v>
      </c>
    </row>
    <row r="500" spans="1:5" x14ac:dyDescent="0.3">
      <c r="A500" s="1" t="s">
        <v>957</v>
      </c>
      <c r="B500">
        <v>-5.8686189995368648E-2</v>
      </c>
      <c r="C500">
        <v>-5.7488202612001299E-2</v>
      </c>
      <c r="D500">
        <v>3.8872482292829969E-3</v>
      </c>
      <c r="E500" t="b">
        <v>0</v>
      </c>
    </row>
    <row r="501" spans="1:5" x14ac:dyDescent="0.3">
      <c r="A501" s="1" t="s">
        <v>958</v>
      </c>
      <c r="B501">
        <v>0.24709439385184401</v>
      </c>
      <c r="C501">
        <v>2.648557094774981</v>
      </c>
      <c r="D501">
        <v>4.2534948032005242E-2</v>
      </c>
      <c r="E501" t="b">
        <v>0</v>
      </c>
    </row>
    <row r="502" spans="1:5" x14ac:dyDescent="0.3">
      <c r="A502" s="1" t="s">
        <v>959</v>
      </c>
      <c r="B502">
        <v>0.32917891340962951</v>
      </c>
      <c r="C502">
        <v>3.7000291267544618</v>
      </c>
      <c r="D502">
        <v>4.4603875481621737E-2</v>
      </c>
      <c r="E502" t="b">
        <v>0</v>
      </c>
    </row>
    <row r="503" spans="1:5" x14ac:dyDescent="0.3">
      <c r="A503" s="1" t="s">
        <v>961</v>
      </c>
      <c r="B503">
        <v>0.17549640769807981</v>
      </c>
      <c r="C503">
        <v>1.4505127183182609</v>
      </c>
      <c r="D503">
        <v>3.279840838891581E-2</v>
      </c>
      <c r="E503" t="b">
        <v>0</v>
      </c>
    </row>
    <row r="504" spans="1:5" x14ac:dyDescent="0.3">
      <c r="A504" s="1" t="s">
        <v>963</v>
      </c>
      <c r="B504">
        <v>0.46715303850117318</v>
      </c>
      <c r="C504">
        <v>3.7974226692062412</v>
      </c>
      <c r="D504">
        <v>3.225738962238902E-2</v>
      </c>
      <c r="E504" t="b">
        <v>0</v>
      </c>
    </row>
    <row r="505" spans="1:5" x14ac:dyDescent="0.3">
      <c r="A505" s="1" t="s">
        <v>964</v>
      </c>
      <c r="B505">
        <v>-6.1158306361101707E-2</v>
      </c>
      <c r="C505">
        <v>-0.41653107202752371</v>
      </c>
      <c r="D505">
        <v>2.7026599947273699E-2</v>
      </c>
      <c r="E505" t="b">
        <v>0</v>
      </c>
    </row>
    <row r="506" spans="1:5" x14ac:dyDescent="0.3">
      <c r="A506" s="1" t="s">
        <v>965</v>
      </c>
      <c r="B506">
        <v>1.3066839561768581E-3</v>
      </c>
      <c r="C506">
        <v>8.4650181313531206E-3</v>
      </c>
      <c r="D506">
        <v>2.570731938070667E-2</v>
      </c>
      <c r="E506" t="b">
        <v>0</v>
      </c>
    </row>
    <row r="507" spans="1:5" x14ac:dyDescent="0.3">
      <c r="A507" s="1" t="s">
        <v>966</v>
      </c>
      <c r="B507">
        <v>-1.3377680355299491E-2</v>
      </c>
      <c r="C507">
        <v>-0.12646592161694431</v>
      </c>
      <c r="D507">
        <v>3.7513894933700533E-2</v>
      </c>
      <c r="E507" t="b">
        <v>0</v>
      </c>
    </row>
    <row r="508" spans="1:5" x14ac:dyDescent="0.3">
      <c r="A508" s="1" t="s">
        <v>967</v>
      </c>
      <c r="B508">
        <v>7.9302589478763869E-2</v>
      </c>
      <c r="C508">
        <v>1.0080250026605211</v>
      </c>
      <c r="D508">
        <v>5.0440965965909593E-2</v>
      </c>
      <c r="E508" t="b">
        <v>0</v>
      </c>
    </row>
    <row r="509" spans="1:5" x14ac:dyDescent="0.3">
      <c r="A509" s="1" t="s">
        <v>969</v>
      </c>
      <c r="B509">
        <v>0.23551480757608531</v>
      </c>
      <c r="C509">
        <v>1.7981567852955569</v>
      </c>
      <c r="D509">
        <v>3.0297639762997441E-2</v>
      </c>
      <c r="E509" t="b">
        <v>0</v>
      </c>
    </row>
    <row r="510" spans="1:5" x14ac:dyDescent="0.3">
      <c r="A510" s="1" t="s">
        <v>970</v>
      </c>
      <c r="B510">
        <v>-7.1838910766829425E-2</v>
      </c>
      <c r="C510">
        <v>-0.34001352809988672</v>
      </c>
      <c r="D510">
        <v>1.878174401226318E-2</v>
      </c>
      <c r="E510" t="b">
        <v>0</v>
      </c>
    </row>
    <row r="511" spans="1:5" x14ac:dyDescent="0.3">
      <c r="A511" s="1" t="s">
        <v>971</v>
      </c>
      <c r="B511">
        <v>-0.1500600539448613</v>
      </c>
      <c r="C511">
        <v>-0.59101870872947293</v>
      </c>
      <c r="D511">
        <v>1.5629158290785629E-2</v>
      </c>
      <c r="E511" t="b">
        <v>0</v>
      </c>
    </row>
    <row r="512" spans="1:5" x14ac:dyDescent="0.3">
      <c r="A512" s="1" t="s">
        <v>972</v>
      </c>
      <c r="B512">
        <v>8.6147801783136815E-2</v>
      </c>
      <c r="C512">
        <v>0.44541191890816939</v>
      </c>
      <c r="D512">
        <v>2.0517152824913319E-2</v>
      </c>
      <c r="E512" t="b">
        <v>0</v>
      </c>
    </row>
    <row r="513" spans="1:5" x14ac:dyDescent="0.3">
      <c r="A513" s="1" t="s">
        <v>973</v>
      </c>
      <c r="B513">
        <v>-3.3160024028516762E-2</v>
      </c>
      <c r="C513">
        <v>-0.24729475155918271</v>
      </c>
      <c r="D513">
        <v>2.9593717373642092E-2</v>
      </c>
      <c r="E513" t="b">
        <v>0</v>
      </c>
    </row>
    <row r="514" spans="1:5" x14ac:dyDescent="0.3">
      <c r="A514" s="1" t="s">
        <v>974</v>
      </c>
      <c r="B514">
        <v>-0.25397117036837702</v>
      </c>
      <c r="C514">
        <v>-1.43800162419772</v>
      </c>
      <c r="D514">
        <v>2.2468517364791329E-2</v>
      </c>
      <c r="E514" t="b">
        <v>0</v>
      </c>
    </row>
    <row r="515" spans="1:5" x14ac:dyDescent="0.3">
      <c r="A515" s="1" t="s">
        <v>975</v>
      </c>
      <c r="B515">
        <v>1.201146761203275E-2</v>
      </c>
      <c r="C515">
        <v>7.529926292904543E-2</v>
      </c>
      <c r="D515">
        <v>2.487677680831004E-2</v>
      </c>
      <c r="E515" t="b">
        <v>0</v>
      </c>
    </row>
    <row r="516" spans="1:5" x14ac:dyDescent="0.3">
      <c r="A516" s="1" t="s">
        <v>977</v>
      </c>
      <c r="B516">
        <v>-0.11935577011784849</v>
      </c>
      <c r="C516">
        <v>-8.9702273272190602E-2</v>
      </c>
      <c r="D516">
        <v>2.9823560396142219E-3</v>
      </c>
      <c r="E516" t="b">
        <v>0</v>
      </c>
    </row>
    <row r="517" spans="1:5" x14ac:dyDescent="0.3">
      <c r="A517" s="1" t="s">
        <v>979</v>
      </c>
      <c r="B517">
        <v>4.2620826641892082E-2</v>
      </c>
      <c r="C517">
        <v>0.17251900475762941</v>
      </c>
      <c r="D517">
        <v>1.606255155445048E-2</v>
      </c>
      <c r="E517" t="b">
        <v>0</v>
      </c>
    </row>
    <row r="518" spans="1:5" x14ac:dyDescent="0.3">
      <c r="A518" s="1" t="s">
        <v>980</v>
      </c>
      <c r="B518">
        <v>-4.02695393560486E-2</v>
      </c>
      <c r="C518">
        <v>-0.15088382843273651</v>
      </c>
      <c r="D518">
        <v>1.486844300923507E-2</v>
      </c>
      <c r="E518" t="b">
        <v>0</v>
      </c>
    </row>
    <row r="519" spans="1:5" x14ac:dyDescent="0.3">
      <c r="A519" s="1" t="s">
        <v>981</v>
      </c>
      <c r="B519">
        <v>0.70179451715251639</v>
      </c>
      <c r="C519">
        <v>7.0491011099320531</v>
      </c>
      <c r="D519">
        <v>3.9858709021564243E-2</v>
      </c>
      <c r="E519" t="b">
        <v>0</v>
      </c>
    </row>
    <row r="520" spans="1:5" x14ac:dyDescent="0.3">
      <c r="A520" s="1" t="s">
        <v>982</v>
      </c>
      <c r="B520">
        <v>-0.37892983579463341</v>
      </c>
      <c r="C520">
        <v>-2.18879465257436</v>
      </c>
      <c r="D520">
        <v>2.2921639431101992E-2</v>
      </c>
      <c r="E520" t="b">
        <v>0</v>
      </c>
    </row>
    <row r="521" spans="1:5" x14ac:dyDescent="0.3">
      <c r="A521" s="1" t="s">
        <v>983</v>
      </c>
      <c r="B521">
        <v>-6.2687431545376274E-2</v>
      </c>
      <c r="C521">
        <v>-0.28438060303628099</v>
      </c>
      <c r="D521">
        <v>1.8001925245195571E-2</v>
      </c>
      <c r="E521" t="b">
        <v>0</v>
      </c>
    </row>
    <row r="522" spans="1:5" x14ac:dyDescent="0.3">
      <c r="A522" s="1" t="s">
        <v>984</v>
      </c>
      <c r="B522">
        <v>0.60866150523530649</v>
      </c>
      <c r="C522">
        <v>6.9789000624753283</v>
      </c>
      <c r="D522">
        <v>4.5499916831867271E-2</v>
      </c>
      <c r="E522" t="b">
        <v>0</v>
      </c>
    </row>
    <row r="523" spans="1:5" x14ac:dyDescent="0.3">
      <c r="A523" s="1" t="s">
        <v>985</v>
      </c>
      <c r="B523">
        <v>-0.1534331050947515</v>
      </c>
      <c r="C523">
        <v>-1.709513966155269</v>
      </c>
      <c r="D523">
        <v>4.4213310913521237E-2</v>
      </c>
      <c r="E523" t="b">
        <v>0</v>
      </c>
    </row>
    <row r="524" spans="1:5" x14ac:dyDescent="0.3">
      <c r="A524" s="1" t="s">
        <v>986</v>
      </c>
      <c r="B524">
        <v>-0.21842530393498291</v>
      </c>
      <c r="C524">
        <v>-1.1914187727814429</v>
      </c>
      <c r="D524">
        <v>2.164516742231266E-2</v>
      </c>
      <c r="E524" t="b">
        <v>0</v>
      </c>
    </row>
    <row r="525" spans="1:5" x14ac:dyDescent="0.3">
      <c r="A525" s="1" t="s">
        <v>987</v>
      </c>
      <c r="B525">
        <v>-0.22999694694155659</v>
      </c>
      <c r="C525">
        <v>-1.1077378441794139</v>
      </c>
      <c r="D525">
        <v>1.9112362813524859E-2</v>
      </c>
      <c r="E525" t="b">
        <v>0</v>
      </c>
    </row>
    <row r="526" spans="1:5" x14ac:dyDescent="0.3">
      <c r="A526" s="1" t="s">
        <v>988</v>
      </c>
      <c r="B526">
        <v>0.18794272185596031</v>
      </c>
      <c r="C526">
        <v>0.69152681899173807</v>
      </c>
      <c r="D526">
        <v>1.4601012566590009E-2</v>
      </c>
      <c r="E526" t="b">
        <v>0</v>
      </c>
    </row>
    <row r="527" spans="1:5" x14ac:dyDescent="0.3">
      <c r="A527" s="1" t="s">
        <v>989</v>
      </c>
      <c r="B527">
        <v>-0.26805406144252408</v>
      </c>
      <c r="C527">
        <v>-2.132079419569278</v>
      </c>
      <c r="D527">
        <v>3.1563157714558719E-2</v>
      </c>
      <c r="E527" t="b">
        <v>0</v>
      </c>
    </row>
    <row r="528" spans="1:5" x14ac:dyDescent="0.3">
      <c r="A528" s="1" t="s">
        <v>990</v>
      </c>
      <c r="B528">
        <v>-0.1044869665319071</v>
      </c>
      <c r="C528">
        <v>-0.99070724529072285</v>
      </c>
      <c r="D528">
        <v>3.7625534437372578E-2</v>
      </c>
      <c r="E528" t="b">
        <v>0</v>
      </c>
    </row>
    <row r="529" spans="1:5" x14ac:dyDescent="0.3">
      <c r="A529" s="1" t="s">
        <v>991</v>
      </c>
      <c r="B529">
        <v>0.25915490599488278</v>
      </c>
      <c r="C529">
        <v>1.3368954480428501</v>
      </c>
      <c r="D529">
        <v>2.0470925088107189E-2</v>
      </c>
      <c r="E529" t="b">
        <v>0</v>
      </c>
    </row>
    <row r="530" spans="1:5" x14ac:dyDescent="0.3">
      <c r="A530" s="1" t="s">
        <v>992</v>
      </c>
      <c r="B530">
        <v>8.2791267022508136E-2</v>
      </c>
      <c r="C530">
        <v>0.57988445477775952</v>
      </c>
      <c r="D530">
        <v>2.779434198265179E-2</v>
      </c>
      <c r="E530" t="b">
        <v>0</v>
      </c>
    </row>
    <row r="531" spans="1:5" x14ac:dyDescent="0.3">
      <c r="A531" s="1" t="s">
        <v>997</v>
      </c>
      <c r="B531">
        <v>0.10520696386534301</v>
      </c>
      <c r="C531">
        <v>0.44342945164290309</v>
      </c>
      <c r="D531">
        <v>1.6725515274586201E-2</v>
      </c>
      <c r="E531" t="b">
        <v>0</v>
      </c>
    </row>
    <row r="532" spans="1:5" x14ac:dyDescent="0.3">
      <c r="A532" s="1" t="s">
        <v>998</v>
      </c>
      <c r="B532">
        <v>0.28982778086160049</v>
      </c>
      <c r="C532">
        <v>2.200908146342317</v>
      </c>
      <c r="D532">
        <v>3.013431790258906E-2</v>
      </c>
      <c r="E532" t="b">
        <v>0</v>
      </c>
    </row>
    <row r="533" spans="1:5" x14ac:dyDescent="0.3">
      <c r="A533" s="1" t="s">
        <v>1002</v>
      </c>
      <c r="B533">
        <v>0.60975777576141232</v>
      </c>
      <c r="C533">
        <v>4.7432691775554163</v>
      </c>
      <c r="D533">
        <v>3.086880968894103E-2</v>
      </c>
      <c r="E533" t="b">
        <v>0</v>
      </c>
    </row>
    <row r="534" spans="1:5" x14ac:dyDescent="0.3">
      <c r="A534" s="1" t="s">
        <v>1003</v>
      </c>
      <c r="B534">
        <v>0.66396493763931597</v>
      </c>
      <c r="C534">
        <v>4.2656110286418067E-2</v>
      </c>
      <c r="D534">
        <v>2.5493858081751552E-4</v>
      </c>
      <c r="E534" t="b">
        <v>0</v>
      </c>
    </row>
    <row r="535" spans="1:5" x14ac:dyDescent="0.3">
      <c r="A535" s="1" t="s">
        <v>1004</v>
      </c>
      <c r="B535">
        <v>-0.20705619308835219</v>
      </c>
      <c r="C535">
        <v>-1.0737551813547439</v>
      </c>
      <c r="D535">
        <v>2.0578632282329552E-2</v>
      </c>
      <c r="E535" t="b">
        <v>0</v>
      </c>
    </row>
    <row r="536" spans="1:5" x14ac:dyDescent="0.3">
      <c r="A536" s="1" t="s">
        <v>1006</v>
      </c>
      <c r="B536">
        <v>0.2843215965087581</v>
      </c>
      <c r="C536">
        <v>3.0422263575657742</v>
      </c>
      <c r="D536">
        <v>4.2460111943572777E-2</v>
      </c>
      <c r="E536" t="b">
        <v>0</v>
      </c>
    </row>
    <row r="537" spans="1:5" x14ac:dyDescent="0.3">
      <c r="A537" s="1" t="s">
        <v>1007</v>
      </c>
      <c r="B537">
        <v>0.28186968646344979</v>
      </c>
      <c r="C537">
        <v>1.753296440168574</v>
      </c>
      <c r="D537">
        <v>2.4683482794900281E-2</v>
      </c>
      <c r="E537" t="b">
        <v>0</v>
      </c>
    </row>
    <row r="538" spans="1:5" x14ac:dyDescent="0.3">
      <c r="A538" s="1" t="s">
        <v>1009</v>
      </c>
      <c r="B538">
        <v>5.1707270983510099E-2</v>
      </c>
      <c r="C538">
        <v>0.27152294393128451</v>
      </c>
      <c r="D538">
        <v>2.083792045553777E-2</v>
      </c>
      <c r="E538" t="b">
        <v>0</v>
      </c>
    </row>
    <row r="539" spans="1:5" x14ac:dyDescent="0.3">
      <c r="A539" s="1" t="s">
        <v>1010</v>
      </c>
      <c r="B539">
        <v>-3.5100562918744888E-2</v>
      </c>
      <c r="C539">
        <v>-0.14968990593256759</v>
      </c>
      <c r="D539">
        <v>1.6923020995405592E-2</v>
      </c>
      <c r="E539" t="b">
        <v>0</v>
      </c>
    </row>
    <row r="540" spans="1:5" x14ac:dyDescent="0.3">
      <c r="A540" s="1" t="s">
        <v>1011</v>
      </c>
      <c r="B540">
        <v>-0.1623794838772018</v>
      </c>
      <c r="C540">
        <v>-0.86148951395921314</v>
      </c>
      <c r="D540">
        <v>2.1053208821399671E-2</v>
      </c>
      <c r="E540" t="b">
        <v>0</v>
      </c>
    </row>
    <row r="541" spans="1:5" x14ac:dyDescent="0.3">
      <c r="A541" s="1" t="s">
        <v>1013</v>
      </c>
      <c r="B541">
        <v>0.14661692581250349</v>
      </c>
      <c r="C541">
        <v>1.9667161301189471</v>
      </c>
      <c r="D541">
        <v>5.3230069069611037E-2</v>
      </c>
      <c r="E541" t="b">
        <v>0</v>
      </c>
    </row>
    <row r="542" spans="1:5" x14ac:dyDescent="0.3">
      <c r="A542" s="1" t="s">
        <v>1014</v>
      </c>
      <c r="B542">
        <v>-6.6888207659760099E-2</v>
      </c>
      <c r="C542">
        <v>-0.31631547737065052</v>
      </c>
      <c r="D542">
        <v>1.876594084687026E-2</v>
      </c>
      <c r="E542" t="b">
        <v>0</v>
      </c>
    </row>
    <row r="543" spans="1:5" x14ac:dyDescent="0.3">
      <c r="A543" s="1" t="s">
        <v>1015</v>
      </c>
      <c r="B543">
        <v>3.8535992483566532E-2</v>
      </c>
      <c r="C543">
        <v>0.1541061389444579</v>
      </c>
      <c r="D543">
        <v>1.5869120216883661E-2</v>
      </c>
      <c r="E543" t="b">
        <v>0</v>
      </c>
    </row>
    <row r="544" spans="1:5" x14ac:dyDescent="0.3">
      <c r="A544" s="1" t="s">
        <v>1017</v>
      </c>
      <c r="B544">
        <v>7.4506725388469877E-2</v>
      </c>
      <c r="C544">
        <v>1.2056899251931721</v>
      </c>
      <c r="D544">
        <v>6.4215462499336309E-2</v>
      </c>
      <c r="E544" t="b">
        <v>0</v>
      </c>
    </row>
    <row r="545" spans="1:5" x14ac:dyDescent="0.3">
      <c r="A545" s="1" t="s">
        <v>1019</v>
      </c>
      <c r="B545">
        <v>0.22874892547289619</v>
      </c>
      <c r="C545">
        <v>2.2875114918092989</v>
      </c>
      <c r="D545">
        <v>3.9682925443400033E-2</v>
      </c>
      <c r="E545" t="b">
        <v>0</v>
      </c>
    </row>
    <row r="546" spans="1:5" x14ac:dyDescent="0.3">
      <c r="A546" s="1" t="s">
        <v>1021</v>
      </c>
      <c r="B546">
        <v>-2.1564847057274811E-2</v>
      </c>
      <c r="C546">
        <v>-0.18158198594330069</v>
      </c>
      <c r="D546">
        <v>3.3413797666599271E-2</v>
      </c>
      <c r="E546" t="b">
        <v>0</v>
      </c>
    </row>
    <row r="547" spans="1:5" x14ac:dyDescent="0.3">
      <c r="A547" s="1" t="s">
        <v>1022</v>
      </c>
      <c r="B547">
        <v>4.8403803073437234E-3</v>
      </c>
      <c r="C547">
        <v>9.510707603684998E-2</v>
      </c>
      <c r="D547">
        <v>7.7970946067949423E-2</v>
      </c>
      <c r="E547" t="b">
        <v>0</v>
      </c>
    </row>
    <row r="548" spans="1:5" x14ac:dyDescent="0.3">
      <c r="A548" s="1" t="s">
        <v>1023</v>
      </c>
      <c r="B548">
        <v>2.493135060531862E-2</v>
      </c>
      <c r="C548">
        <v>0.18469701293584659</v>
      </c>
      <c r="D548">
        <v>2.9397711584504872E-2</v>
      </c>
      <c r="E548" t="b">
        <v>0</v>
      </c>
    </row>
    <row r="549" spans="1:5" x14ac:dyDescent="0.3">
      <c r="A549" s="1" t="s">
        <v>1025</v>
      </c>
      <c r="B549">
        <v>0.1736749446182283</v>
      </c>
      <c r="C549">
        <v>1.9101665683101401</v>
      </c>
      <c r="D549">
        <v>4.3644902731278627E-2</v>
      </c>
      <c r="E549" t="b">
        <v>0</v>
      </c>
    </row>
    <row r="550" spans="1:5" x14ac:dyDescent="0.3">
      <c r="A550" s="1" t="s">
        <v>1026</v>
      </c>
      <c r="B550">
        <v>-0.28228957106401542</v>
      </c>
      <c r="C550">
        <v>-1.969134020212951</v>
      </c>
      <c r="D550">
        <v>2.768088052378645E-2</v>
      </c>
      <c r="E550" t="b">
        <v>0</v>
      </c>
    </row>
    <row r="551" spans="1:5" x14ac:dyDescent="0.3">
      <c r="A551" s="1" t="s">
        <v>1027</v>
      </c>
      <c r="B551">
        <v>0.31463548555665288</v>
      </c>
      <c r="C551">
        <v>4.2344539995347112</v>
      </c>
      <c r="D551">
        <v>5.3405892400578907E-2</v>
      </c>
      <c r="E551" t="b">
        <v>0</v>
      </c>
    </row>
    <row r="552" spans="1:5" x14ac:dyDescent="0.3">
      <c r="A552" s="1" t="s">
        <v>1028</v>
      </c>
      <c r="B552">
        <v>0.20190539649609979</v>
      </c>
      <c r="C552">
        <v>2.8174870602924171</v>
      </c>
      <c r="D552">
        <v>5.5374964718813563E-2</v>
      </c>
      <c r="E552" t="b">
        <v>0</v>
      </c>
    </row>
    <row r="553" spans="1:5" x14ac:dyDescent="0.3">
      <c r="A553" s="1" t="s">
        <v>1029</v>
      </c>
      <c r="B553">
        <v>0.35042692957424909</v>
      </c>
      <c r="C553">
        <v>2.1043537400105379</v>
      </c>
      <c r="D553">
        <v>2.382981835771715E-2</v>
      </c>
      <c r="E553" t="b">
        <v>0</v>
      </c>
    </row>
    <row r="554" spans="1:5" x14ac:dyDescent="0.3">
      <c r="A554" s="1" t="s">
        <v>1030</v>
      </c>
      <c r="B554">
        <v>-0.21457082021622931</v>
      </c>
      <c r="C554">
        <v>-1.1237058895811221</v>
      </c>
      <c r="D554">
        <v>2.0781718366863811E-2</v>
      </c>
      <c r="E554" t="b">
        <v>0</v>
      </c>
    </row>
    <row r="555" spans="1:5" x14ac:dyDescent="0.3">
      <c r="A555" s="1" t="s">
        <v>1031</v>
      </c>
      <c r="B555">
        <v>2.0679098166009321E-2</v>
      </c>
      <c r="C555">
        <v>0.1128302118187859</v>
      </c>
      <c r="D555">
        <v>2.16517631569055E-2</v>
      </c>
      <c r="E555" t="b">
        <v>0</v>
      </c>
    </row>
    <row r="556" spans="1:5" x14ac:dyDescent="0.3">
      <c r="A556" s="1" t="s">
        <v>1032</v>
      </c>
      <c r="B556">
        <v>1.8512609280990942E-2</v>
      </c>
      <c r="C556">
        <v>8.9392550972358237E-2</v>
      </c>
      <c r="D556">
        <v>1.916166110050466E-2</v>
      </c>
      <c r="E556" t="b">
        <v>0</v>
      </c>
    </row>
    <row r="557" spans="1:5" x14ac:dyDescent="0.3">
      <c r="A557" s="1" t="s">
        <v>1033</v>
      </c>
      <c r="B557">
        <v>8.7645015970222076E-2</v>
      </c>
      <c r="C557">
        <v>1.883988198272702</v>
      </c>
      <c r="D557">
        <v>8.5300271340920941E-2</v>
      </c>
      <c r="E557" t="b">
        <v>0</v>
      </c>
    </row>
    <row r="558" spans="1:5" x14ac:dyDescent="0.3">
      <c r="A558" s="1" t="s">
        <v>1035</v>
      </c>
      <c r="B558">
        <v>0.37938287929428077</v>
      </c>
      <c r="C558">
        <v>1.881904809345514</v>
      </c>
      <c r="D558">
        <v>1.968427315816975E-2</v>
      </c>
      <c r="E558" t="b">
        <v>0</v>
      </c>
    </row>
    <row r="559" spans="1:5" x14ac:dyDescent="0.3">
      <c r="A559" s="1" t="s">
        <v>1036</v>
      </c>
      <c r="B559">
        <v>5.6982582345202183E-2</v>
      </c>
      <c r="C559">
        <v>0.32501930612954633</v>
      </c>
      <c r="D559">
        <v>2.2634269951023349E-2</v>
      </c>
      <c r="E559" t="b">
        <v>0</v>
      </c>
    </row>
    <row r="560" spans="1:5" x14ac:dyDescent="0.3">
      <c r="A560" s="1" t="s">
        <v>1037</v>
      </c>
      <c r="B560">
        <v>-0.25462493448773738</v>
      </c>
      <c r="C560">
        <v>-1.7109333929973241</v>
      </c>
      <c r="D560">
        <v>2.6664388701126331E-2</v>
      </c>
      <c r="E560" t="b">
        <v>0</v>
      </c>
    </row>
    <row r="561" spans="1:5" x14ac:dyDescent="0.3">
      <c r="A561" s="1" t="s">
        <v>1039</v>
      </c>
      <c r="B561">
        <v>0.28317056023480702</v>
      </c>
      <c r="C561">
        <v>1.1881976456610639</v>
      </c>
      <c r="D561">
        <v>1.665098949041444E-2</v>
      </c>
      <c r="E561" t="b">
        <v>0</v>
      </c>
    </row>
    <row r="562" spans="1:5" x14ac:dyDescent="0.3">
      <c r="A562" s="1" t="s">
        <v>1040</v>
      </c>
      <c r="B562">
        <v>0.25965420183797772</v>
      </c>
      <c r="C562">
        <v>2.6978795465213259</v>
      </c>
      <c r="D562">
        <v>4.1231265046251207E-2</v>
      </c>
      <c r="E562" t="b">
        <v>0</v>
      </c>
    </row>
    <row r="563" spans="1:5" x14ac:dyDescent="0.3">
      <c r="A563" s="1" t="s">
        <v>1041</v>
      </c>
      <c r="B563">
        <v>0.27967362539407931</v>
      </c>
      <c r="C563">
        <v>4.1713214520321342</v>
      </c>
      <c r="D563">
        <v>5.9186356530993238E-2</v>
      </c>
      <c r="E563" t="b">
        <v>0</v>
      </c>
    </row>
    <row r="564" spans="1:5" x14ac:dyDescent="0.3">
      <c r="A564" s="1" t="s">
        <v>1042</v>
      </c>
      <c r="B564">
        <v>3.6744970005638611E-3</v>
      </c>
      <c r="C564">
        <v>1.818612733839986E-3</v>
      </c>
      <c r="D564">
        <v>1.964001384861737E-3</v>
      </c>
      <c r="E564" t="b">
        <v>0</v>
      </c>
    </row>
    <row r="565" spans="1:5" x14ac:dyDescent="0.3">
      <c r="A565" s="1" t="s">
        <v>1044</v>
      </c>
      <c r="B565">
        <v>6.4868179791202255E-2</v>
      </c>
      <c r="C565">
        <v>0.5156808533847228</v>
      </c>
      <c r="D565">
        <v>3.1546323627136143E-2</v>
      </c>
      <c r="E565" t="b">
        <v>0</v>
      </c>
    </row>
    <row r="566" spans="1:5" x14ac:dyDescent="0.3">
      <c r="A566" s="1" t="s">
        <v>1045</v>
      </c>
      <c r="B566">
        <v>6.2548902783205199E-2</v>
      </c>
      <c r="C566">
        <v>1.500569469812044</v>
      </c>
      <c r="D566">
        <v>9.5199763517214833E-2</v>
      </c>
      <c r="E566" t="b">
        <v>0</v>
      </c>
    </row>
    <row r="567" spans="1:5" x14ac:dyDescent="0.3">
      <c r="A567" s="1" t="s">
        <v>1046</v>
      </c>
      <c r="B567">
        <v>0.27119841882370849</v>
      </c>
      <c r="C567">
        <v>2.084440180136359</v>
      </c>
      <c r="D567">
        <v>3.0500133637545411E-2</v>
      </c>
      <c r="E567" t="b">
        <v>0</v>
      </c>
    </row>
    <row r="568" spans="1:5" x14ac:dyDescent="0.3">
      <c r="A568" s="1" t="s">
        <v>1047</v>
      </c>
      <c r="B568">
        <v>0.1247706734142863</v>
      </c>
      <c r="C568">
        <v>1.217852668778538</v>
      </c>
      <c r="D568">
        <v>3.8733049629238979E-2</v>
      </c>
      <c r="E568" t="b">
        <v>0</v>
      </c>
    </row>
    <row r="569" spans="1:5" x14ac:dyDescent="0.3">
      <c r="A569" s="1" t="s">
        <v>1048</v>
      </c>
      <c r="B569">
        <v>0.19908891244539159</v>
      </c>
      <c r="C569">
        <v>0.86683212505615437</v>
      </c>
      <c r="D569">
        <v>1.7277757851068758E-2</v>
      </c>
      <c r="E569" t="b">
        <v>0</v>
      </c>
    </row>
    <row r="570" spans="1:5" x14ac:dyDescent="0.3">
      <c r="A570" s="1" t="s">
        <v>1050</v>
      </c>
      <c r="B570">
        <v>-0.1990411872001899</v>
      </c>
      <c r="C570">
        <v>-1.0500368044519091</v>
      </c>
      <c r="D570">
        <v>2.093442455147811E-2</v>
      </c>
      <c r="E570" t="b">
        <v>0</v>
      </c>
    </row>
    <row r="571" spans="1:5" x14ac:dyDescent="0.3">
      <c r="A571" s="1" t="s">
        <v>1051</v>
      </c>
      <c r="B571">
        <v>0.25660338621595841</v>
      </c>
      <c r="C571">
        <v>2.425622271723721</v>
      </c>
      <c r="D571">
        <v>3.7511138676681433E-2</v>
      </c>
      <c r="E571" t="b">
        <v>0</v>
      </c>
    </row>
    <row r="572" spans="1:5" x14ac:dyDescent="0.3">
      <c r="A572" s="1" t="s">
        <v>1052</v>
      </c>
      <c r="B572">
        <v>0.17228810289563731</v>
      </c>
      <c r="C572">
        <v>1.993243311674453</v>
      </c>
      <c r="D572">
        <v>4.5909703272077287E-2</v>
      </c>
      <c r="E572" t="b">
        <v>0</v>
      </c>
    </row>
    <row r="573" spans="1:5" x14ac:dyDescent="0.3">
      <c r="A573" s="1" t="s">
        <v>1055</v>
      </c>
      <c r="B573">
        <v>-0.33512138608713021</v>
      </c>
      <c r="C573">
        <v>-2.9037199376273328</v>
      </c>
      <c r="D573">
        <v>3.438365512785261E-2</v>
      </c>
      <c r="E573" t="b">
        <v>0</v>
      </c>
    </row>
    <row r="574" spans="1:5" x14ac:dyDescent="0.3">
      <c r="A574" s="1" t="s">
        <v>1057</v>
      </c>
      <c r="B574">
        <v>-0.21429538885446689</v>
      </c>
      <c r="C574">
        <v>-1.059843698786038</v>
      </c>
      <c r="D574">
        <v>1.9625849095114559E-2</v>
      </c>
      <c r="E574" t="b">
        <v>0</v>
      </c>
    </row>
    <row r="575" spans="1:5" x14ac:dyDescent="0.3">
      <c r="A575" s="1" t="s">
        <v>1059</v>
      </c>
      <c r="B575">
        <v>-0.13596440221546491</v>
      </c>
      <c r="C575">
        <v>-2.1345274523155142</v>
      </c>
      <c r="D575">
        <v>6.229826995138759E-2</v>
      </c>
      <c r="E575" t="b">
        <v>0</v>
      </c>
    </row>
    <row r="576" spans="1:5" x14ac:dyDescent="0.3">
      <c r="A576" s="1" t="s">
        <v>1060</v>
      </c>
      <c r="B576">
        <v>0.15108251425889621</v>
      </c>
      <c r="C576">
        <v>1.024482081400417</v>
      </c>
      <c r="D576">
        <v>2.6908508273537069E-2</v>
      </c>
      <c r="E576" t="b">
        <v>0</v>
      </c>
    </row>
    <row r="577" spans="1:5" x14ac:dyDescent="0.3">
      <c r="A577" s="1" t="s">
        <v>1061</v>
      </c>
      <c r="B577">
        <v>-1.356431328219289E-2</v>
      </c>
      <c r="C577">
        <v>-4.9334586618388521E-2</v>
      </c>
      <c r="D577">
        <v>1.443288466196054E-2</v>
      </c>
      <c r="E577" t="b">
        <v>0</v>
      </c>
    </row>
    <row r="578" spans="1:5" x14ac:dyDescent="0.3">
      <c r="A578" s="1" t="s">
        <v>1065</v>
      </c>
      <c r="B578">
        <v>-0.10547858910700569</v>
      </c>
      <c r="C578">
        <v>-0.49841738470195418</v>
      </c>
      <c r="D578">
        <v>1.8751168189060741E-2</v>
      </c>
      <c r="E578" t="b">
        <v>0</v>
      </c>
    </row>
    <row r="579" spans="1:5" x14ac:dyDescent="0.3">
      <c r="A579" s="1" t="s">
        <v>1066</v>
      </c>
      <c r="B579">
        <v>7.4861655446903735E-2</v>
      </c>
      <c r="C579">
        <v>0.66958995459091675</v>
      </c>
      <c r="D579">
        <v>3.5493511044422103E-2</v>
      </c>
      <c r="E579" t="b">
        <v>0</v>
      </c>
    </row>
    <row r="580" spans="1:5" x14ac:dyDescent="0.3">
      <c r="A580" s="1" t="s">
        <v>1067</v>
      </c>
      <c r="B580">
        <v>0.12556910250155781</v>
      </c>
      <c r="C580">
        <v>0.86775643395870472</v>
      </c>
      <c r="D580">
        <v>2.742297144707094E-2</v>
      </c>
      <c r="E580" t="b">
        <v>0</v>
      </c>
    </row>
    <row r="581" spans="1:5" x14ac:dyDescent="0.3">
      <c r="A581" s="1" t="s">
        <v>1068</v>
      </c>
      <c r="B581">
        <v>6.4926902101281214E-2</v>
      </c>
      <c r="C581">
        <v>0.70822426818605955</v>
      </c>
      <c r="D581">
        <v>4.3285813302150991E-2</v>
      </c>
      <c r="E581" t="b">
        <v>0</v>
      </c>
    </row>
    <row r="582" spans="1:5" x14ac:dyDescent="0.3">
      <c r="A582" s="1" t="s">
        <v>1069</v>
      </c>
      <c r="B582">
        <v>0.1291003506653825</v>
      </c>
      <c r="C582">
        <v>0.45776638723283353</v>
      </c>
      <c r="D582">
        <v>1.407070757985994E-2</v>
      </c>
      <c r="E582" t="b">
        <v>0</v>
      </c>
    </row>
    <row r="583" spans="1:5" x14ac:dyDescent="0.3">
      <c r="A583" s="1" t="s">
        <v>1070</v>
      </c>
      <c r="B583">
        <v>0.22810385319086479</v>
      </c>
      <c r="C583">
        <v>1.759481269203796</v>
      </c>
      <c r="D583">
        <v>3.0609165215391081E-2</v>
      </c>
      <c r="E583" t="b">
        <v>0</v>
      </c>
    </row>
    <row r="584" spans="1:5" x14ac:dyDescent="0.3">
      <c r="A584" s="1" t="s">
        <v>1071</v>
      </c>
      <c r="B584">
        <v>-8.1740843094064222E-2</v>
      </c>
      <c r="C584">
        <v>-0.56232539679904736</v>
      </c>
      <c r="D584">
        <v>2.7299082109172031E-2</v>
      </c>
      <c r="E584" t="b">
        <v>0</v>
      </c>
    </row>
    <row r="585" spans="1:5" x14ac:dyDescent="0.3">
      <c r="A585" s="1" t="s">
        <v>1072</v>
      </c>
      <c r="B585">
        <v>-0.3733640805262361</v>
      </c>
      <c r="C585">
        <v>-4.6941687008254762</v>
      </c>
      <c r="D585">
        <v>4.9891391663733749E-2</v>
      </c>
      <c r="E585" t="b">
        <v>0</v>
      </c>
    </row>
    <row r="586" spans="1:5" x14ac:dyDescent="0.3">
      <c r="A586" s="1" t="s">
        <v>1073</v>
      </c>
      <c r="B586">
        <v>0.16429866982237459</v>
      </c>
      <c r="C586">
        <v>0.97397775071941606</v>
      </c>
      <c r="D586">
        <v>2.3524177514412561E-2</v>
      </c>
      <c r="E586" t="b">
        <v>0</v>
      </c>
    </row>
    <row r="587" spans="1:5" x14ac:dyDescent="0.3">
      <c r="A587" s="1" t="s">
        <v>1074</v>
      </c>
      <c r="B587">
        <v>-4.1551084306256238E-2</v>
      </c>
      <c r="C587">
        <v>-0.33831235696769429</v>
      </c>
      <c r="D587">
        <v>3.230985124603037E-2</v>
      </c>
      <c r="E587" t="b">
        <v>0</v>
      </c>
    </row>
    <row r="588" spans="1:5" x14ac:dyDescent="0.3">
      <c r="A588" s="1" t="s">
        <v>1075</v>
      </c>
      <c r="B588">
        <v>0.29566731836459509</v>
      </c>
      <c r="C588">
        <v>1.611022722565957</v>
      </c>
      <c r="D588">
        <v>2.162209657506468E-2</v>
      </c>
      <c r="E588" t="b">
        <v>0</v>
      </c>
    </row>
    <row r="589" spans="1:5" x14ac:dyDescent="0.3">
      <c r="A589" s="1" t="s">
        <v>1077</v>
      </c>
      <c r="B589">
        <v>2.2859001439942739E-2</v>
      </c>
      <c r="C589">
        <v>0.1824966853088926</v>
      </c>
      <c r="D589">
        <v>3.1680876243560988E-2</v>
      </c>
      <c r="E589" t="b">
        <v>0</v>
      </c>
    </row>
    <row r="590" spans="1:5" x14ac:dyDescent="0.3">
      <c r="A590" s="1" t="s">
        <v>1078</v>
      </c>
      <c r="B590">
        <v>0.19620957979734391</v>
      </c>
      <c r="C590">
        <v>1.3083094849300669</v>
      </c>
      <c r="D590">
        <v>2.645999400559506E-2</v>
      </c>
      <c r="E590" t="b">
        <v>0</v>
      </c>
    </row>
    <row r="591" spans="1:5" x14ac:dyDescent="0.3">
      <c r="A591" s="1" t="s">
        <v>1080</v>
      </c>
      <c r="B591">
        <v>8.2264505688707232E-2</v>
      </c>
      <c r="C591">
        <v>0.85463703624800114</v>
      </c>
      <c r="D591">
        <v>4.1225760516220962E-2</v>
      </c>
      <c r="E591" t="b">
        <v>0</v>
      </c>
    </row>
    <row r="592" spans="1:5" x14ac:dyDescent="0.3">
      <c r="A592" s="1" t="s">
        <v>1081</v>
      </c>
      <c r="B592">
        <v>7.3394158360538156E-2</v>
      </c>
      <c r="C592">
        <v>1.5792634797370579</v>
      </c>
      <c r="D592">
        <v>8.538715764815806E-2</v>
      </c>
      <c r="E592" t="b">
        <v>0</v>
      </c>
    </row>
    <row r="593" spans="1:5" x14ac:dyDescent="0.3">
      <c r="A593" s="1" t="s">
        <v>1083</v>
      </c>
      <c r="B593">
        <v>0.1238286109236599</v>
      </c>
      <c r="C593">
        <v>1.1205157506130059</v>
      </c>
      <c r="D593">
        <v>3.5908430537126737E-2</v>
      </c>
      <c r="E593" t="b">
        <v>0</v>
      </c>
    </row>
    <row r="594" spans="1:5" x14ac:dyDescent="0.3">
      <c r="A594" s="1" t="s">
        <v>1084</v>
      </c>
      <c r="B594">
        <v>3.823747890322253E-2</v>
      </c>
      <c r="C594">
        <v>0.19754393769082129</v>
      </c>
      <c r="D594">
        <v>2.0500946640079131E-2</v>
      </c>
      <c r="E594" t="b">
        <v>0</v>
      </c>
    </row>
    <row r="595" spans="1:5" x14ac:dyDescent="0.3">
      <c r="A595" s="1" t="s">
        <v>1085</v>
      </c>
      <c r="B595">
        <v>4.3929114331048812E-2</v>
      </c>
      <c r="C595">
        <v>0.19513671367833191</v>
      </c>
      <c r="D595">
        <v>1.7627308225942811E-2</v>
      </c>
      <c r="E595" t="b">
        <v>0</v>
      </c>
    </row>
    <row r="596" spans="1:5" x14ac:dyDescent="0.3">
      <c r="A596" s="1" t="s">
        <v>1086</v>
      </c>
      <c r="B596">
        <v>0.1002565003720103</v>
      </c>
      <c r="C596">
        <v>0.95093063054074989</v>
      </c>
      <c r="D596">
        <v>3.7638798822775169E-2</v>
      </c>
      <c r="E596" t="b">
        <v>0</v>
      </c>
    </row>
    <row r="597" spans="1:5" x14ac:dyDescent="0.3">
      <c r="A597" s="1" t="s">
        <v>1090</v>
      </c>
      <c r="B597">
        <v>0.62170251088704231</v>
      </c>
      <c r="C597">
        <v>5.0068682941866403</v>
      </c>
      <c r="D597">
        <v>3.1958251139411982E-2</v>
      </c>
      <c r="E597" t="b">
        <v>0</v>
      </c>
    </row>
    <row r="598" spans="1:5" x14ac:dyDescent="0.3">
      <c r="A598" s="1" t="s">
        <v>1091</v>
      </c>
      <c r="B598">
        <v>-8.2210203927362731E-3</v>
      </c>
      <c r="C598">
        <v>-0.13056660447346449</v>
      </c>
      <c r="D598">
        <v>6.3023982616690857E-2</v>
      </c>
      <c r="E598" t="b">
        <v>0</v>
      </c>
    </row>
    <row r="599" spans="1:5" x14ac:dyDescent="0.3">
      <c r="A599" s="1" t="s">
        <v>1093</v>
      </c>
      <c r="B599">
        <v>3.1595011311678092E-2</v>
      </c>
      <c r="C599">
        <v>0.10762224112805351</v>
      </c>
      <c r="D599">
        <v>1.351708284626979E-2</v>
      </c>
      <c r="E599" t="b">
        <v>0</v>
      </c>
    </row>
    <row r="600" spans="1:5" x14ac:dyDescent="0.3">
      <c r="A600" s="1" t="s">
        <v>1095</v>
      </c>
      <c r="B600">
        <v>0.16283449123354821</v>
      </c>
      <c r="C600">
        <v>1.4487350123608389</v>
      </c>
      <c r="D600">
        <v>3.5305471329804633E-2</v>
      </c>
      <c r="E600" t="b">
        <v>0</v>
      </c>
    </row>
    <row r="601" spans="1:5" x14ac:dyDescent="0.3">
      <c r="A601" s="1" t="s">
        <v>92</v>
      </c>
      <c r="B601">
        <v>0.5077609156964743</v>
      </c>
      <c r="C601">
        <v>4.1587754940720822</v>
      </c>
      <c r="D601">
        <v>3.250166928423847E-2</v>
      </c>
      <c r="E601" t="b">
        <v>0</v>
      </c>
    </row>
    <row r="602" spans="1:5" x14ac:dyDescent="0.3">
      <c r="A602" s="1" t="s">
        <v>1099</v>
      </c>
      <c r="B602">
        <v>0.19749389911313139</v>
      </c>
      <c r="C602">
        <v>1.0368393753057861</v>
      </c>
      <c r="D602">
        <v>2.0833261098066901E-2</v>
      </c>
      <c r="E602" t="b">
        <v>0</v>
      </c>
    </row>
    <row r="603" spans="1:5" x14ac:dyDescent="0.3">
      <c r="A603" s="1" t="s">
        <v>1100</v>
      </c>
      <c r="B603">
        <v>0.15282615547027761</v>
      </c>
      <c r="C603">
        <v>4.4773393503678864</v>
      </c>
      <c r="D603">
        <v>0.1162577151119428</v>
      </c>
      <c r="E603" t="b">
        <v>0</v>
      </c>
    </row>
    <row r="604" spans="1:5" x14ac:dyDescent="0.3">
      <c r="A604" s="1" t="s">
        <v>1101</v>
      </c>
      <c r="B604">
        <v>0.32362815726232252</v>
      </c>
      <c r="C604">
        <v>2.6114653354886852</v>
      </c>
      <c r="D604">
        <v>3.2021186809498697E-2</v>
      </c>
      <c r="E604" t="b">
        <v>0</v>
      </c>
    </row>
    <row r="605" spans="1:5" x14ac:dyDescent="0.3">
      <c r="A605" s="1" t="s">
        <v>1102</v>
      </c>
      <c r="B605">
        <v>-0.22185170858558709</v>
      </c>
      <c r="C605">
        <v>-2.3100882485417431</v>
      </c>
      <c r="D605">
        <v>4.1320469955975707E-2</v>
      </c>
      <c r="E605" t="b">
        <v>0</v>
      </c>
    </row>
    <row r="606" spans="1:5" x14ac:dyDescent="0.3">
      <c r="A606" s="1" t="s">
        <v>1103</v>
      </c>
      <c r="B606">
        <v>0.23088862423943951</v>
      </c>
      <c r="C606">
        <v>1.611815656049943</v>
      </c>
      <c r="D606">
        <v>2.7702074514425142E-2</v>
      </c>
      <c r="E606" t="b">
        <v>0</v>
      </c>
    </row>
    <row r="607" spans="1:5" x14ac:dyDescent="0.3">
      <c r="A607" s="1" t="s">
        <v>1106</v>
      </c>
      <c r="B607">
        <v>0.3291576244801907</v>
      </c>
      <c r="C607">
        <v>3.5119099286254651</v>
      </c>
      <c r="D607">
        <v>4.2338835481713757E-2</v>
      </c>
      <c r="E607" t="b">
        <v>0</v>
      </c>
    </row>
    <row r="608" spans="1:5" x14ac:dyDescent="0.3">
      <c r="A608" s="1" t="s">
        <v>1110</v>
      </c>
      <c r="B608">
        <v>0.37376204879806069</v>
      </c>
      <c r="C608">
        <v>3.9652260021256192</v>
      </c>
      <c r="D608">
        <v>4.2099041003652721E-2</v>
      </c>
      <c r="E608" t="b">
        <v>0</v>
      </c>
    </row>
    <row r="609" spans="1:5" x14ac:dyDescent="0.3">
      <c r="A609" s="1" t="s">
        <v>1111</v>
      </c>
      <c r="B609">
        <v>0.44510604493231282</v>
      </c>
      <c r="C609">
        <v>5.2811334330918811</v>
      </c>
      <c r="D609">
        <v>4.7082889440273661E-2</v>
      </c>
      <c r="E609" t="b">
        <v>0</v>
      </c>
    </row>
    <row r="610" spans="1:5" x14ac:dyDescent="0.3">
      <c r="A610" s="1" t="s">
        <v>1115</v>
      </c>
      <c r="B610">
        <v>0.23067377611464751</v>
      </c>
      <c r="C610">
        <v>3.1760200162243568</v>
      </c>
      <c r="D610">
        <v>5.4636700560068738E-2</v>
      </c>
      <c r="E610" t="b">
        <v>0</v>
      </c>
    </row>
    <row r="611" spans="1:5" x14ac:dyDescent="0.3">
      <c r="A611" s="1" t="s">
        <v>1117</v>
      </c>
      <c r="B611">
        <v>-0.39196259000041489</v>
      </c>
      <c r="C611">
        <v>-1.976445205433399</v>
      </c>
      <c r="D611">
        <v>2.0009655843659241E-2</v>
      </c>
      <c r="E611" t="b">
        <v>0</v>
      </c>
    </row>
    <row r="612" spans="1:5" x14ac:dyDescent="0.3">
      <c r="A612" s="1" t="s">
        <v>1121</v>
      </c>
      <c r="B612">
        <v>-4.2833528408560917E-2</v>
      </c>
      <c r="C612">
        <v>-0.16315633237660709</v>
      </c>
      <c r="D612">
        <v>1.511539645353692E-2</v>
      </c>
      <c r="E612" t="b">
        <v>0</v>
      </c>
    </row>
    <row r="613" spans="1:5" x14ac:dyDescent="0.3">
      <c r="A613" s="1" t="s">
        <v>1122</v>
      </c>
      <c r="B613">
        <v>0.2144049737605446</v>
      </c>
      <c r="C613">
        <v>1.690796831355649</v>
      </c>
      <c r="D613">
        <v>3.1293636140324432E-2</v>
      </c>
      <c r="E613" t="b">
        <v>0</v>
      </c>
    </row>
    <row r="614" spans="1:5" x14ac:dyDescent="0.3">
      <c r="A614" s="1" t="s">
        <v>1123</v>
      </c>
      <c r="B614">
        <v>0.35010531215956298</v>
      </c>
      <c r="C614">
        <v>3.5080349289436659</v>
      </c>
      <c r="D614">
        <v>3.9761674684929478E-2</v>
      </c>
      <c r="E614" t="b">
        <v>0</v>
      </c>
    </row>
    <row r="615" spans="1:5" x14ac:dyDescent="0.3">
      <c r="A615" s="1" t="s">
        <v>1124</v>
      </c>
      <c r="B615">
        <v>5.9734007067144011E-2</v>
      </c>
      <c r="C615">
        <v>0.3683741204781219</v>
      </c>
      <c r="D615">
        <v>2.4471856772411631E-2</v>
      </c>
      <c r="E615" t="b">
        <v>0</v>
      </c>
    </row>
    <row r="616" spans="1:5" x14ac:dyDescent="0.3">
      <c r="A616" s="1" t="s">
        <v>1127</v>
      </c>
      <c r="B616">
        <v>0.5164509760119993</v>
      </c>
      <c r="C616">
        <v>5.5615517469535636</v>
      </c>
      <c r="D616">
        <v>4.2733290892232718E-2</v>
      </c>
      <c r="E616" t="b">
        <v>0</v>
      </c>
    </row>
    <row r="617" spans="1:5" x14ac:dyDescent="0.3">
      <c r="A617" s="1" t="s">
        <v>1131</v>
      </c>
      <c r="B617">
        <v>0.1234011196244346</v>
      </c>
      <c r="C617">
        <v>0.9162718478948122</v>
      </c>
      <c r="D617">
        <v>2.9464881740732789E-2</v>
      </c>
      <c r="E617" t="b">
        <v>0</v>
      </c>
    </row>
    <row r="618" spans="1:5" x14ac:dyDescent="0.3">
      <c r="A618" s="1" t="s">
        <v>1132</v>
      </c>
      <c r="B618">
        <v>0.63041847627710135</v>
      </c>
      <c r="C618">
        <v>8.6892818205396267</v>
      </c>
      <c r="D618">
        <v>5.4695854203481727E-2</v>
      </c>
      <c r="E618" t="b">
        <v>0</v>
      </c>
    </row>
    <row r="619" spans="1:5" x14ac:dyDescent="0.3">
      <c r="A619" s="1" t="s">
        <v>1134</v>
      </c>
      <c r="B619">
        <v>-9.5741802661159277E-3</v>
      </c>
      <c r="C619">
        <v>-6.9587805521801493E-2</v>
      </c>
      <c r="D619">
        <v>2.884237373107244E-2</v>
      </c>
      <c r="E619" t="b">
        <v>0</v>
      </c>
    </row>
    <row r="620" spans="1:5" x14ac:dyDescent="0.3">
      <c r="A620" s="1" t="s">
        <v>1135</v>
      </c>
      <c r="B620">
        <v>3.6318133220472081E-2</v>
      </c>
      <c r="C620">
        <v>0.18427249245597779</v>
      </c>
      <c r="D620">
        <v>2.013429613767407E-2</v>
      </c>
      <c r="E620" t="b">
        <v>0</v>
      </c>
    </row>
    <row r="621" spans="1:5" x14ac:dyDescent="0.3">
      <c r="A621" s="1" t="s">
        <v>1138</v>
      </c>
      <c r="B621">
        <v>-0.1217073164480036</v>
      </c>
      <c r="C621">
        <v>-0.73946892005079978</v>
      </c>
      <c r="D621">
        <v>2.4110304639291851E-2</v>
      </c>
      <c r="E621" t="b">
        <v>0</v>
      </c>
    </row>
    <row r="622" spans="1:5" x14ac:dyDescent="0.3">
      <c r="A622" s="1" t="s">
        <v>1141</v>
      </c>
      <c r="B622">
        <v>0.33335767586624138</v>
      </c>
      <c r="C622">
        <v>2.017137887164151</v>
      </c>
      <c r="D622">
        <v>2.401179275219794E-2</v>
      </c>
      <c r="E622" t="b">
        <v>0</v>
      </c>
    </row>
    <row r="623" spans="1:5" x14ac:dyDescent="0.3">
      <c r="A623" s="1" t="s">
        <v>1142</v>
      </c>
      <c r="B623">
        <v>-0.16421869848105641</v>
      </c>
      <c r="C623">
        <v>-1.035406105258361</v>
      </c>
      <c r="D623">
        <v>2.5020015527767982E-2</v>
      </c>
      <c r="E623" t="b">
        <v>0</v>
      </c>
    </row>
    <row r="624" spans="1:5" x14ac:dyDescent="0.3">
      <c r="A624" s="1" t="s">
        <v>1146</v>
      </c>
      <c r="B624">
        <v>4.1122114589815149E-2</v>
      </c>
      <c r="C624">
        <v>0.29608102885962467</v>
      </c>
      <c r="D624">
        <v>2.8571602638058909E-2</v>
      </c>
      <c r="E624" t="b">
        <v>0</v>
      </c>
    </row>
    <row r="625" spans="1:5" x14ac:dyDescent="0.3">
      <c r="A625" s="1" t="s">
        <v>1148</v>
      </c>
      <c r="B625">
        <v>-0.18440970676792029</v>
      </c>
      <c r="C625">
        <v>-0.87071341366997346</v>
      </c>
      <c r="D625">
        <v>1.8736605678551489E-2</v>
      </c>
      <c r="E625" t="b">
        <v>0</v>
      </c>
    </row>
    <row r="626" spans="1:5" x14ac:dyDescent="0.3">
      <c r="A626" s="1" t="s">
        <v>1150</v>
      </c>
      <c r="B626">
        <v>5.6834775474543853E-2</v>
      </c>
      <c r="C626">
        <v>0.4388945312311654</v>
      </c>
      <c r="D626">
        <v>3.0644001857333208E-2</v>
      </c>
      <c r="E626" t="b">
        <v>0</v>
      </c>
    </row>
    <row r="627" spans="1:5" x14ac:dyDescent="0.3">
      <c r="A627" s="1" t="s">
        <v>1151</v>
      </c>
      <c r="B627">
        <v>0.21793392970769421</v>
      </c>
      <c r="C627">
        <v>0.87704854008072575</v>
      </c>
      <c r="D627">
        <v>1.5969754476481669E-2</v>
      </c>
      <c r="E627" t="b">
        <v>0</v>
      </c>
    </row>
    <row r="628" spans="1:5" x14ac:dyDescent="0.3">
      <c r="A628" s="1" t="s">
        <v>1152</v>
      </c>
      <c r="B628">
        <v>1.338685030493076E-2</v>
      </c>
      <c r="C628">
        <v>7.8033303339822085E-2</v>
      </c>
      <c r="D628">
        <v>2.3131353423751919E-2</v>
      </c>
      <c r="E628" t="b">
        <v>0</v>
      </c>
    </row>
    <row r="629" spans="1:5" x14ac:dyDescent="0.3">
      <c r="A629" s="1" t="s">
        <v>1153</v>
      </c>
      <c r="B629">
        <v>0.24085205031443949</v>
      </c>
      <c r="C629">
        <v>0.38989647587299142</v>
      </c>
      <c r="D629">
        <v>6.4238948166366414E-3</v>
      </c>
      <c r="E629" t="b">
        <v>0</v>
      </c>
    </row>
    <row r="630" spans="1:5" x14ac:dyDescent="0.3">
      <c r="A630" s="1" t="s">
        <v>1154</v>
      </c>
      <c r="B630">
        <v>0.36001085756821988</v>
      </c>
      <c r="C630">
        <v>1.859038149878333</v>
      </c>
      <c r="D630">
        <v>2.049142507873471E-2</v>
      </c>
      <c r="E630" t="b">
        <v>0</v>
      </c>
    </row>
    <row r="631" spans="1:5" x14ac:dyDescent="0.3">
      <c r="A631" s="1" t="s">
        <v>1155</v>
      </c>
      <c r="B631">
        <v>-0.1018199285414257</v>
      </c>
      <c r="C631">
        <v>-0.66647984819705863</v>
      </c>
      <c r="D631">
        <v>2.5974888612235191E-2</v>
      </c>
      <c r="E631" t="b">
        <v>0</v>
      </c>
    </row>
    <row r="632" spans="1:5" x14ac:dyDescent="0.3">
      <c r="A632" s="1" t="s">
        <v>1157</v>
      </c>
      <c r="B632">
        <v>-0.34600526713532892</v>
      </c>
      <c r="C632">
        <v>-1.493121725669883</v>
      </c>
      <c r="D632">
        <v>1.7124265945519031E-2</v>
      </c>
      <c r="E632" t="b">
        <v>0</v>
      </c>
    </row>
    <row r="633" spans="1:5" x14ac:dyDescent="0.3">
      <c r="A633" s="1" t="s">
        <v>1158</v>
      </c>
      <c r="B633">
        <v>-8.0066794067479324E-2</v>
      </c>
      <c r="C633">
        <v>-0.39094877156391789</v>
      </c>
      <c r="D633">
        <v>1.9376122551316891E-2</v>
      </c>
      <c r="E633" t="b">
        <v>0</v>
      </c>
    </row>
    <row r="634" spans="1:5" x14ac:dyDescent="0.3">
      <c r="A634" s="1" t="s">
        <v>1159</v>
      </c>
      <c r="B634">
        <v>0.2050100973612024</v>
      </c>
      <c r="C634">
        <v>1.098271700278761</v>
      </c>
      <c r="D634">
        <v>2.1258567694710091E-2</v>
      </c>
      <c r="E634" t="b">
        <v>0</v>
      </c>
    </row>
    <row r="635" spans="1:5" x14ac:dyDescent="0.3">
      <c r="A635" s="1" t="s">
        <v>1161</v>
      </c>
      <c r="B635">
        <v>7.4412612992572069E-2</v>
      </c>
      <c r="C635">
        <v>0.47991148930673122</v>
      </c>
      <c r="D635">
        <v>2.559257893607644E-2</v>
      </c>
      <c r="E635" t="b">
        <v>0</v>
      </c>
    </row>
    <row r="636" spans="1:5" x14ac:dyDescent="0.3">
      <c r="A636" s="1" t="s">
        <v>1163</v>
      </c>
      <c r="B636">
        <v>0.21965968147665321</v>
      </c>
      <c r="C636">
        <v>2.1907436766226751</v>
      </c>
      <c r="D636">
        <v>3.9576800028771827E-2</v>
      </c>
      <c r="E636" t="b">
        <v>0</v>
      </c>
    </row>
    <row r="637" spans="1:5" x14ac:dyDescent="0.3">
      <c r="A637" s="1" t="s">
        <v>1165</v>
      </c>
      <c r="B637">
        <v>4.3659853494501862E-2</v>
      </c>
      <c r="C637">
        <v>0.2515901395138348</v>
      </c>
      <c r="D637">
        <v>2.286708473781459E-2</v>
      </c>
      <c r="E637" t="b">
        <v>0</v>
      </c>
    </row>
    <row r="638" spans="1:5" x14ac:dyDescent="0.3">
      <c r="A638" s="1" t="s">
        <v>1167</v>
      </c>
      <c r="B638">
        <v>0.10228842211596149</v>
      </c>
      <c r="C638">
        <v>0.46205595202366329</v>
      </c>
      <c r="D638">
        <v>1.7925346067951039E-2</v>
      </c>
      <c r="E638" t="b">
        <v>0</v>
      </c>
    </row>
    <row r="639" spans="1:5" x14ac:dyDescent="0.3">
      <c r="A639" s="1" t="s">
        <v>1168</v>
      </c>
      <c r="B639">
        <v>-0.13416676717109521</v>
      </c>
      <c r="C639">
        <v>-0.93065099373271187</v>
      </c>
      <c r="D639">
        <v>2.7525888689184749E-2</v>
      </c>
      <c r="E639" t="b">
        <v>0</v>
      </c>
    </row>
    <row r="640" spans="1:5" x14ac:dyDescent="0.3">
      <c r="A640" s="1" t="s">
        <v>1169</v>
      </c>
      <c r="B640">
        <v>0.27805268123512061</v>
      </c>
      <c r="C640">
        <v>3.5426575780542851</v>
      </c>
      <c r="D640">
        <v>5.0559357780086869E-2</v>
      </c>
      <c r="E640" t="b">
        <v>0</v>
      </c>
    </row>
    <row r="641" spans="1:5" x14ac:dyDescent="0.3">
      <c r="A641" s="1" t="s">
        <v>1170</v>
      </c>
      <c r="B641">
        <v>-0.21256401289072019</v>
      </c>
      <c r="C641">
        <v>-1.2376464417197151</v>
      </c>
      <c r="D641">
        <v>2.3105018280655878E-2</v>
      </c>
      <c r="E641" t="b">
        <v>0</v>
      </c>
    </row>
    <row r="642" spans="1:5" x14ac:dyDescent="0.3">
      <c r="A642" s="1" t="s">
        <v>1171</v>
      </c>
      <c r="B642">
        <v>0.37804588256888749</v>
      </c>
      <c r="C642">
        <v>1.841677919788939</v>
      </c>
      <c r="D642">
        <v>1.93316368473249E-2</v>
      </c>
      <c r="E642" t="b">
        <v>0</v>
      </c>
    </row>
    <row r="643" spans="1:5" x14ac:dyDescent="0.3">
      <c r="A643" s="1" t="s">
        <v>1173</v>
      </c>
      <c r="B643">
        <v>-2.772564345255427E-2</v>
      </c>
      <c r="C643">
        <v>-0.15962190103518339</v>
      </c>
      <c r="D643">
        <v>2.2846006920887309E-2</v>
      </c>
      <c r="E643" t="b">
        <v>0</v>
      </c>
    </row>
    <row r="644" spans="1:5" x14ac:dyDescent="0.3">
      <c r="A644" s="1" t="s">
        <v>1174</v>
      </c>
      <c r="B644">
        <v>-0.2307867624529763</v>
      </c>
      <c r="C644">
        <v>-0.83583669887963064</v>
      </c>
      <c r="D644">
        <v>1.4371761455846951E-2</v>
      </c>
      <c r="E644" t="b">
        <v>0</v>
      </c>
    </row>
    <row r="645" spans="1:5" x14ac:dyDescent="0.3">
      <c r="A645" s="1" t="s">
        <v>1175</v>
      </c>
      <c r="B645">
        <v>-0.25931125013883288</v>
      </c>
      <c r="C645">
        <v>-2.6510474229605299</v>
      </c>
      <c r="D645">
        <v>4.0569120894524427E-2</v>
      </c>
      <c r="E645" t="b">
        <v>0</v>
      </c>
    </row>
    <row r="646" spans="1:5" x14ac:dyDescent="0.3">
      <c r="A646" s="1" t="s">
        <v>1176</v>
      </c>
      <c r="B646">
        <v>-4.1791499882039243E-2</v>
      </c>
      <c r="C646">
        <v>-0.3223363844962942</v>
      </c>
      <c r="D646">
        <v>3.0607004785673679E-2</v>
      </c>
      <c r="E646" t="b">
        <v>0</v>
      </c>
    </row>
    <row r="647" spans="1:5" x14ac:dyDescent="0.3">
      <c r="A647" s="1" t="s">
        <v>1179</v>
      </c>
      <c r="B647">
        <v>4.0750221707203292E-2</v>
      </c>
      <c r="C647">
        <v>0.2171427519871898</v>
      </c>
      <c r="D647">
        <v>2.1145347219017389E-2</v>
      </c>
      <c r="E647" t="b">
        <v>0</v>
      </c>
    </row>
    <row r="648" spans="1:5" x14ac:dyDescent="0.3">
      <c r="A648" s="1" t="s">
        <v>1180</v>
      </c>
      <c r="B648">
        <v>-0.47353511611803528</v>
      </c>
      <c r="C648">
        <v>-2.0517724746205088</v>
      </c>
      <c r="D648">
        <v>1.7193982003095212E-2</v>
      </c>
      <c r="E648" t="b">
        <v>0</v>
      </c>
    </row>
    <row r="649" spans="1:5" x14ac:dyDescent="0.3">
      <c r="A649" s="1" t="s">
        <v>1181</v>
      </c>
      <c r="B649">
        <v>0.2131863287662808</v>
      </c>
      <c r="C649">
        <v>1.5862993958827929</v>
      </c>
      <c r="D649">
        <v>2.9527404074075919E-2</v>
      </c>
      <c r="E649" t="b">
        <v>0</v>
      </c>
    </row>
    <row r="650" spans="1:5" x14ac:dyDescent="0.3">
      <c r="A650" s="1" t="s">
        <v>1186</v>
      </c>
      <c r="B650">
        <v>0.333441696310673</v>
      </c>
      <c r="C650">
        <v>1.4641553010013439</v>
      </c>
      <c r="D650">
        <v>1.7424755654809481E-2</v>
      </c>
      <c r="E650" t="b">
        <v>0</v>
      </c>
    </row>
    <row r="651" spans="1:5" x14ac:dyDescent="0.3">
      <c r="A651" s="1" t="s">
        <v>1187</v>
      </c>
      <c r="B651">
        <v>-8.5948265957449282E-2</v>
      </c>
      <c r="C651">
        <v>-0.42151847507866891</v>
      </c>
      <c r="D651">
        <v>1.9461618483977271E-2</v>
      </c>
      <c r="E651" t="b">
        <v>0</v>
      </c>
    </row>
    <row r="652" spans="1:5" x14ac:dyDescent="0.3">
      <c r="A652" s="1" t="s">
        <v>1188</v>
      </c>
      <c r="B652">
        <v>-9.7745664740847005E-2</v>
      </c>
      <c r="C652">
        <v>-1.2216905621363829</v>
      </c>
      <c r="D652">
        <v>4.9597886863111167E-2</v>
      </c>
      <c r="E652" t="b">
        <v>0</v>
      </c>
    </row>
    <row r="653" spans="1:5" x14ac:dyDescent="0.3">
      <c r="A653" s="1" t="s">
        <v>1189</v>
      </c>
      <c r="B653">
        <v>0.65245412652371537</v>
      </c>
      <c r="C653">
        <v>4.7925881264805001</v>
      </c>
      <c r="D653">
        <v>2.914872644371546E-2</v>
      </c>
      <c r="E653" t="b">
        <v>0</v>
      </c>
    </row>
    <row r="654" spans="1:5" x14ac:dyDescent="0.3">
      <c r="A654" s="1" t="s">
        <v>1193</v>
      </c>
      <c r="B654">
        <v>-0.10805257855798681</v>
      </c>
      <c r="C654">
        <v>-1.743395239898502</v>
      </c>
      <c r="D654">
        <v>6.4026561617403818E-2</v>
      </c>
      <c r="E654" t="b">
        <v>0</v>
      </c>
    </row>
    <row r="655" spans="1:5" x14ac:dyDescent="0.3">
      <c r="A655" s="1" t="s">
        <v>1194</v>
      </c>
      <c r="B655">
        <v>0.26536388666848693</v>
      </c>
      <c r="C655">
        <v>1.781370086322912</v>
      </c>
      <c r="D655">
        <v>2.6638624428993469E-2</v>
      </c>
      <c r="E655" t="b">
        <v>0</v>
      </c>
    </row>
    <row r="656" spans="1:5" x14ac:dyDescent="0.3">
      <c r="A656" s="1" t="s">
        <v>1195</v>
      </c>
      <c r="B656">
        <v>5.6536834260640982E-2</v>
      </c>
      <c r="C656">
        <v>0.33766703733838871</v>
      </c>
      <c r="D656">
        <v>2.3700452605628971E-2</v>
      </c>
      <c r="E656" t="b">
        <v>0</v>
      </c>
    </row>
    <row r="657" spans="1:5" x14ac:dyDescent="0.3">
      <c r="A657" s="1" t="s">
        <v>1197</v>
      </c>
      <c r="B657">
        <v>0.43726814041401751</v>
      </c>
      <c r="C657">
        <v>4.004123724664925E-2</v>
      </c>
      <c r="D657">
        <v>3.6337840311752301E-4</v>
      </c>
      <c r="E657" t="b">
        <v>0</v>
      </c>
    </row>
    <row r="658" spans="1:5" x14ac:dyDescent="0.3">
      <c r="A658" s="1" t="s">
        <v>1199</v>
      </c>
      <c r="B658">
        <v>7.5927938869820993E-2</v>
      </c>
      <c r="C658">
        <v>0.69313757033270362</v>
      </c>
      <c r="D658">
        <v>3.6225741867357893E-2</v>
      </c>
      <c r="E658" t="b">
        <v>0</v>
      </c>
    </row>
    <row r="659" spans="1:5" x14ac:dyDescent="0.3">
      <c r="A659" s="1" t="s">
        <v>1201</v>
      </c>
      <c r="B659">
        <v>-5.7179172709193027E-4</v>
      </c>
      <c r="C659">
        <v>-4.6467867050743461E-3</v>
      </c>
      <c r="D659">
        <v>3.224885724706613E-2</v>
      </c>
      <c r="E659" t="b">
        <v>0</v>
      </c>
    </row>
    <row r="660" spans="1:5" x14ac:dyDescent="0.3">
      <c r="A660" s="1" t="s">
        <v>1203</v>
      </c>
      <c r="B660">
        <v>0.17350874810327771</v>
      </c>
      <c r="C660">
        <v>4.8978567861231426</v>
      </c>
      <c r="D660">
        <v>0.1120170587358738</v>
      </c>
      <c r="E660" t="b">
        <v>0</v>
      </c>
    </row>
    <row r="661" spans="1:5" x14ac:dyDescent="0.3">
      <c r="A661" s="1" t="s">
        <v>1204</v>
      </c>
      <c r="B661">
        <v>0.38033260915122119</v>
      </c>
      <c r="C661">
        <v>2.922124801367544</v>
      </c>
      <c r="D661">
        <v>3.0488401624667431E-2</v>
      </c>
      <c r="E661" t="b">
        <v>0</v>
      </c>
    </row>
    <row r="662" spans="1:5" x14ac:dyDescent="0.3">
      <c r="A662" s="1" t="s">
        <v>1206</v>
      </c>
      <c r="B662">
        <v>0.17299021824611249</v>
      </c>
      <c r="C662">
        <v>1.4739484778424681</v>
      </c>
      <c r="D662">
        <v>3.381117126448685E-2</v>
      </c>
      <c r="E662" t="b">
        <v>0</v>
      </c>
    </row>
    <row r="663" spans="1:5" x14ac:dyDescent="0.3">
      <c r="A663" s="1" t="s">
        <v>1207</v>
      </c>
      <c r="B663">
        <v>0.17621218586637291</v>
      </c>
      <c r="C663">
        <v>0.76633502101142192</v>
      </c>
      <c r="D663">
        <v>1.7257671330668672E-2</v>
      </c>
      <c r="E663" t="b">
        <v>0</v>
      </c>
    </row>
    <row r="664" spans="1:5" x14ac:dyDescent="0.3">
      <c r="A664" s="1" t="s">
        <v>1208</v>
      </c>
      <c r="B664">
        <v>0.18999469744075759</v>
      </c>
      <c r="C664">
        <v>0.72175587200567781</v>
      </c>
      <c r="D664">
        <v>1.5074687040095919E-2</v>
      </c>
      <c r="E664" t="b">
        <v>0</v>
      </c>
    </row>
    <row r="665" spans="1:5" x14ac:dyDescent="0.3">
      <c r="A665" s="1" t="s">
        <v>1209</v>
      </c>
      <c r="B665">
        <v>0.1772054609490174</v>
      </c>
      <c r="C665">
        <v>0.76768107806955532</v>
      </c>
      <c r="D665">
        <v>1.7191081291108981E-2</v>
      </c>
      <c r="E665" t="b">
        <v>0</v>
      </c>
    </row>
    <row r="666" spans="1:5" x14ac:dyDescent="0.3">
      <c r="A666" s="1" t="s">
        <v>1210</v>
      </c>
      <c r="B666">
        <v>0.1881579364552817</v>
      </c>
      <c r="C666">
        <v>1.520899158649679</v>
      </c>
      <c r="D666">
        <v>3.2075788219861172E-2</v>
      </c>
      <c r="E666" t="b">
        <v>0</v>
      </c>
    </row>
    <row r="667" spans="1:5" x14ac:dyDescent="0.3">
      <c r="A667" s="1" t="s">
        <v>1211</v>
      </c>
      <c r="B667">
        <v>5.8294571483600559E-2</v>
      </c>
      <c r="C667">
        <v>1.3593573481833581</v>
      </c>
      <c r="D667">
        <v>9.2534777320068651E-2</v>
      </c>
      <c r="E667" t="b">
        <v>0</v>
      </c>
    </row>
    <row r="668" spans="1:5" x14ac:dyDescent="0.3">
      <c r="A668" s="1" t="s">
        <v>1212</v>
      </c>
      <c r="B668">
        <v>-8.8153319201290326E-2</v>
      </c>
      <c r="C668">
        <v>-0.42942079295735802</v>
      </c>
      <c r="D668">
        <v>1.9330534359265041E-2</v>
      </c>
      <c r="E668" t="b">
        <v>0</v>
      </c>
    </row>
    <row r="669" spans="1:5" x14ac:dyDescent="0.3">
      <c r="A669" s="1" t="s">
        <v>1213</v>
      </c>
      <c r="B669">
        <v>0.15221600550883199</v>
      </c>
      <c r="C669">
        <v>0.42912106653322279</v>
      </c>
      <c r="D669">
        <v>1.118713744615399E-2</v>
      </c>
      <c r="E669" t="b">
        <v>0</v>
      </c>
    </row>
    <row r="670" spans="1:5" x14ac:dyDescent="0.3">
      <c r="A670" s="1" t="s">
        <v>1214</v>
      </c>
      <c r="B670">
        <v>0.45666464690208519</v>
      </c>
      <c r="C670">
        <v>5.275094586582604</v>
      </c>
      <c r="D670">
        <v>4.5838702794547027E-2</v>
      </c>
      <c r="E670" t="b">
        <v>0</v>
      </c>
    </row>
    <row r="671" spans="1:5" x14ac:dyDescent="0.3">
      <c r="A671" s="1" t="s">
        <v>1217</v>
      </c>
      <c r="B671">
        <v>-0.22957210508373649</v>
      </c>
      <c r="C671">
        <v>-1.3804487455719789</v>
      </c>
      <c r="D671">
        <v>2.38616586740324E-2</v>
      </c>
      <c r="E671" t="b">
        <v>0</v>
      </c>
    </row>
    <row r="672" spans="1:5" x14ac:dyDescent="0.3">
      <c r="A672" s="1" t="s">
        <v>1218</v>
      </c>
      <c r="B672">
        <v>0.27129726595599279</v>
      </c>
      <c r="C672">
        <v>1.29517046157792</v>
      </c>
      <c r="D672">
        <v>1.894440515502872E-2</v>
      </c>
      <c r="E672" t="b">
        <v>0</v>
      </c>
    </row>
    <row r="673" spans="1:5" x14ac:dyDescent="0.3">
      <c r="A673" s="1" t="s">
        <v>1220</v>
      </c>
      <c r="B673">
        <v>7.7161693390096708E-2</v>
      </c>
      <c r="C673">
        <v>0.96109047912915724</v>
      </c>
      <c r="D673">
        <v>4.9426741950493187E-2</v>
      </c>
      <c r="E673" t="b">
        <v>0</v>
      </c>
    </row>
    <row r="674" spans="1:5" x14ac:dyDescent="0.3">
      <c r="A674" s="1" t="s">
        <v>1221</v>
      </c>
      <c r="B674">
        <v>0.63471211607987676</v>
      </c>
      <c r="C674">
        <v>7.3108139324870534</v>
      </c>
      <c r="D674">
        <v>4.5707598238296697E-2</v>
      </c>
      <c r="E674" t="b">
        <v>0</v>
      </c>
    </row>
    <row r="675" spans="1:5" x14ac:dyDescent="0.3">
      <c r="A675" s="1" t="s">
        <v>1223</v>
      </c>
      <c r="B675">
        <v>-5.6001940179246187E-2</v>
      </c>
      <c r="C675">
        <v>-0.53064525014628239</v>
      </c>
      <c r="D675">
        <v>3.7601110120261003E-2</v>
      </c>
      <c r="E675" t="b">
        <v>0</v>
      </c>
    </row>
    <row r="676" spans="1:5" x14ac:dyDescent="0.3">
      <c r="A676" s="1" t="s">
        <v>1224</v>
      </c>
      <c r="B676">
        <v>0.15337553038093571</v>
      </c>
      <c r="C676">
        <v>2.2725276714123188</v>
      </c>
      <c r="D676">
        <v>5.8796647207355328E-2</v>
      </c>
      <c r="E676" t="b">
        <v>0</v>
      </c>
    </row>
    <row r="677" spans="1:5" x14ac:dyDescent="0.3">
      <c r="A677" s="1" t="s">
        <v>1230</v>
      </c>
      <c r="B677">
        <v>-0.25845494076335579</v>
      </c>
      <c r="C677">
        <v>-1.969111023083018</v>
      </c>
      <c r="D677">
        <v>3.023324920082043E-2</v>
      </c>
      <c r="E677" t="b">
        <v>0</v>
      </c>
    </row>
    <row r="678" spans="1:5" x14ac:dyDescent="0.3">
      <c r="A678" s="1" t="s">
        <v>1233</v>
      </c>
      <c r="B678">
        <v>0.39687222756673052</v>
      </c>
      <c r="C678">
        <v>2.164961949025737</v>
      </c>
      <c r="D678">
        <v>2.1647064845059509E-2</v>
      </c>
      <c r="E678" t="b">
        <v>0</v>
      </c>
    </row>
    <row r="679" spans="1:5" x14ac:dyDescent="0.3">
      <c r="A679" s="1" t="s">
        <v>1236</v>
      </c>
      <c r="B679">
        <v>-0.1207391971228529</v>
      </c>
      <c r="C679">
        <v>-1.1707592293823019</v>
      </c>
      <c r="D679">
        <v>3.8478555999830577E-2</v>
      </c>
      <c r="E679" t="b">
        <v>0</v>
      </c>
    </row>
    <row r="680" spans="1:5" x14ac:dyDescent="0.3">
      <c r="A680" s="1" t="s">
        <v>1237</v>
      </c>
      <c r="B680">
        <v>0.29030516264070477</v>
      </c>
      <c r="C680">
        <v>2.1935766140058441</v>
      </c>
      <c r="D680">
        <v>2.9984548066653221E-2</v>
      </c>
      <c r="E680" t="b">
        <v>0</v>
      </c>
    </row>
    <row r="681" spans="1:5" x14ac:dyDescent="0.3">
      <c r="A681" s="1" t="s">
        <v>1238</v>
      </c>
      <c r="B681">
        <v>2.1719219556265639E-2</v>
      </c>
      <c r="C681">
        <v>0.6385009014364067</v>
      </c>
      <c r="D681">
        <v>0.1166585995088307</v>
      </c>
      <c r="E681" t="b">
        <v>0</v>
      </c>
    </row>
    <row r="682" spans="1:5" x14ac:dyDescent="0.3">
      <c r="A682" s="1" t="s">
        <v>1239</v>
      </c>
      <c r="B682">
        <v>0.41342460040438689</v>
      </c>
      <c r="C682">
        <v>1.7958783372535769</v>
      </c>
      <c r="D682">
        <v>1.723772927720589E-2</v>
      </c>
      <c r="E682" t="b">
        <v>0</v>
      </c>
    </row>
    <row r="683" spans="1:5" x14ac:dyDescent="0.3">
      <c r="A683" s="1" t="s">
        <v>1240</v>
      </c>
      <c r="B683">
        <v>0.2168764408671994</v>
      </c>
      <c r="C683">
        <v>3.0285296688763359</v>
      </c>
      <c r="D683">
        <v>5.5413925221377093E-2</v>
      </c>
      <c r="E683" t="b">
        <v>0</v>
      </c>
    </row>
    <row r="684" spans="1:5" x14ac:dyDescent="0.3">
      <c r="A684" s="1" t="s">
        <v>1241</v>
      </c>
      <c r="B684">
        <v>0.3552031237407785</v>
      </c>
      <c r="C684">
        <v>1.9614614099561489</v>
      </c>
      <c r="D684">
        <v>2.19130308924756E-2</v>
      </c>
      <c r="E684" t="b">
        <v>0</v>
      </c>
    </row>
    <row r="685" spans="1:5" x14ac:dyDescent="0.3">
      <c r="A685" s="1" t="s">
        <v>1242</v>
      </c>
      <c r="B685">
        <v>0.38948010548428302</v>
      </c>
      <c r="C685">
        <v>7.9118568523000423</v>
      </c>
      <c r="D685">
        <v>8.0610683083179854E-2</v>
      </c>
      <c r="E685" t="b">
        <v>0</v>
      </c>
    </row>
    <row r="686" spans="1:5" x14ac:dyDescent="0.3">
      <c r="A686" s="1" t="s">
        <v>1243</v>
      </c>
      <c r="B686">
        <v>-4.333436372444336E-2</v>
      </c>
      <c r="C686">
        <v>-0.51615573378841728</v>
      </c>
      <c r="D686">
        <v>4.726588468835851E-2</v>
      </c>
      <c r="E686" t="b">
        <v>0</v>
      </c>
    </row>
    <row r="687" spans="1:5" x14ac:dyDescent="0.3">
      <c r="A687" s="1" t="s">
        <v>1244</v>
      </c>
      <c r="B687">
        <v>-5.8369363684543263E-2</v>
      </c>
      <c r="C687">
        <v>-0.43160733272218882</v>
      </c>
      <c r="D687">
        <v>2.9342919002145681E-2</v>
      </c>
      <c r="E687" t="b">
        <v>0</v>
      </c>
    </row>
    <row r="688" spans="1:5" x14ac:dyDescent="0.3">
      <c r="A688" s="1" t="s">
        <v>1246</v>
      </c>
      <c r="B688">
        <v>-6.4433267146220913E-2</v>
      </c>
      <c r="C688">
        <v>-0.39392724387177991</v>
      </c>
      <c r="D688">
        <v>2.4260811502078601E-2</v>
      </c>
      <c r="E688" t="b">
        <v>0</v>
      </c>
    </row>
    <row r="689" spans="1:5" x14ac:dyDescent="0.3">
      <c r="A689" s="1" t="s">
        <v>1248</v>
      </c>
      <c r="B689">
        <v>6.4725357519481844E-2</v>
      </c>
      <c r="C689">
        <v>0.34792102264962849</v>
      </c>
      <c r="D689">
        <v>2.1330727734532869E-2</v>
      </c>
      <c r="E689" t="b">
        <v>0</v>
      </c>
    </row>
    <row r="690" spans="1:5" x14ac:dyDescent="0.3">
      <c r="A690" s="1" t="s">
        <v>1250</v>
      </c>
      <c r="B690">
        <v>0.19895811343927761</v>
      </c>
      <c r="C690">
        <v>1.2098476627483581</v>
      </c>
      <c r="D690">
        <v>2.4130620790939649E-2</v>
      </c>
      <c r="E690" t="b">
        <v>0</v>
      </c>
    </row>
    <row r="691" spans="1:5" x14ac:dyDescent="0.3">
      <c r="A691" s="1" t="s">
        <v>1251</v>
      </c>
      <c r="B691">
        <v>0.2411230189234356</v>
      </c>
      <c r="C691">
        <v>2.750992564565069</v>
      </c>
      <c r="D691">
        <v>4.5274139357216997E-2</v>
      </c>
      <c r="E691" t="b">
        <v>0</v>
      </c>
    </row>
    <row r="692" spans="1:5" x14ac:dyDescent="0.3">
      <c r="A692" s="1" t="s">
        <v>1253</v>
      </c>
      <c r="B692">
        <v>-5.0077004101786379E-2</v>
      </c>
      <c r="C692">
        <v>-0.23039296194483749</v>
      </c>
      <c r="D692">
        <v>1.8257038373083768E-2</v>
      </c>
      <c r="E692" t="b">
        <v>0</v>
      </c>
    </row>
    <row r="693" spans="1:5" x14ac:dyDescent="0.3">
      <c r="A693" s="1" t="s">
        <v>1254</v>
      </c>
      <c r="B693">
        <v>0.17346792991009211</v>
      </c>
      <c r="C693">
        <v>0.81749329346178512</v>
      </c>
      <c r="D693">
        <v>1.8700984138578819E-2</v>
      </c>
      <c r="E693" t="b">
        <v>0</v>
      </c>
    </row>
    <row r="694" spans="1:5" x14ac:dyDescent="0.3">
      <c r="A694" s="1" t="s">
        <v>1256</v>
      </c>
      <c r="B694">
        <v>-0.12642448850934959</v>
      </c>
      <c r="C694">
        <v>-0.81043342409974617</v>
      </c>
      <c r="D694">
        <v>2.5438154341052621E-2</v>
      </c>
      <c r="E694" t="b">
        <v>0</v>
      </c>
    </row>
    <row r="695" spans="1:5" x14ac:dyDescent="0.3">
      <c r="A695" s="1" t="s">
        <v>1257</v>
      </c>
      <c r="B695">
        <v>-3.0776389501725451E-2</v>
      </c>
      <c r="C695">
        <v>-0.25770822811738953</v>
      </c>
      <c r="D695">
        <v>3.3228449322205117E-2</v>
      </c>
      <c r="E695" t="b">
        <v>0</v>
      </c>
    </row>
    <row r="696" spans="1:5" x14ac:dyDescent="0.3">
      <c r="A696" s="1" t="s">
        <v>1259</v>
      </c>
      <c r="B696">
        <v>0.1085038622620214</v>
      </c>
      <c r="C696">
        <v>1.0945426710716739</v>
      </c>
      <c r="D696">
        <v>4.0030126184952927E-2</v>
      </c>
      <c r="E696" t="b">
        <v>0</v>
      </c>
    </row>
    <row r="697" spans="1:5" x14ac:dyDescent="0.3">
      <c r="A697" s="1" t="s">
        <v>1260</v>
      </c>
      <c r="B697">
        <v>0.14207297984696429</v>
      </c>
      <c r="C697">
        <v>0.85317473877267158</v>
      </c>
      <c r="D697">
        <v>2.3830105107920961E-2</v>
      </c>
      <c r="E697" t="b">
        <v>0</v>
      </c>
    </row>
    <row r="698" spans="1:5" x14ac:dyDescent="0.3">
      <c r="A698" s="1" t="s">
        <v>1261</v>
      </c>
      <c r="B698">
        <v>-0.263982189731927</v>
      </c>
      <c r="C698">
        <v>-1.116465142509764</v>
      </c>
      <c r="D698">
        <v>1.6783015690114089E-2</v>
      </c>
      <c r="E698" t="b">
        <v>0</v>
      </c>
    </row>
    <row r="699" spans="1:5" x14ac:dyDescent="0.3">
      <c r="A699" s="1" t="s">
        <v>1262</v>
      </c>
      <c r="B699">
        <v>0.18735623379860869</v>
      </c>
      <c r="C699">
        <v>0.53129132172238447</v>
      </c>
      <c r="D699">
        <v>1.1252888964399131E-2</v>
      </c>
      <c r="E699" t="b">
        <v>0</v>
      </c>
    </row>
    <row r="700" spans="1:5" x14ac:dyDescent="0.3">
      <c r="A700" s="1" t="s">
        <v>1265</v>
      </c>
      <c r="B700">
        <v>7.9754902754410176E-2</v>
      </c>
      <c r="C700">
        <v>0.40256508929344798</v>
      </c>
      <c r="D700">
        <v>2.0029872244824509E-2</v>
      </c>
      <c r="E700" t="b">
        <v>0</v>
      </c>
    </row>
    <row r="701" spans="1:5" x14ac:dyDescent="0.3">
      <c r="A701" s="1" t="s">
        <v>1267</v>
      </c>
      <c r="B701">
        <v>-6.1517545988664428E-2</v>
      </c>
      <c r="C701">
        <v>-0.45570688753014599</v>
      </c>
      <c r="D701">
        <v>2.9395851797069172E-2</v>
      </c>
      <c r="E701" t="b">
        <v>0</v>
      </c>
    </row>
    <row r="702" spans="1:5" x14ac:dyDescent="0.3">
      <c r="A702" s="1" t="s">
        <v>1269</v>
      </c>
      <c r="B702">
        <v>0.59809560412081597</v>
      </c>
      <c r="C702">
        <v>2.0701584352428171</v>
      </c>
      <c r="D702">
        <v>1.373511921667177E-2</v>
      </c>
      <c r="E702" t="b">
        <v>0</v>
      </c>
    </row>
    <row r="703" spans="1:5" x14ac:dyDescent="0.3">
      <c r="A703" s="1" t="s">
        <v>1273</v>
      </c>
      <c r="B703">
        <v>0.52053676188000253</v>
      </c>
      <c r="C703">
        <v>5.6379338067236127</v>
      </c>
      <c r="D703">
        <v>4.298015978829501E-2</v>
      </c>
      <c r="E703" t="b">
        <v>0</v>
      </c>
    </row>
    <row r="704" spans="1:5" x14ac:dyDescent="0.3">
      <c r="A704" s="1" t="s">
        <v>1277</v>
      </c>
      <c r="B704">
        <v>0.17329659224592939</v>
      </c>
      <c r="C704">
        <v>0.84433344729935467</v>
      </c>
      <c r="D704">
        <v>1.933407639095637E-2</v>
      </c>
      <c r="E704" t="b">
        <v>0</v>
      </c>
    </row>
    <row r="705" spans="1:5" x14ac:dyDescent="0.3">
      <c r="A705" s="1" t="s">
        <v>1280</v>
      </c>
      <c r="B705">
        <v>-0.1010625389061949</v>
      </c>
      <c r="C705">
        <v>-0.52047589403315597</v>
      </c>
      <c r="D705">
        <v>2.0436657877699521E-2</v>
      </c>
      <c r="E705" t="b">
        <v>0</v>
      </c>
    </row>
    <row r="706" spans="1:5" x14ac:dyDescent="0.3">
      <c r="A706" s="1" t="s">
        <v>1284</v>
      </c>
      <c r="B706">
        <v>-8.3142344654392381E-2</v>
      </c>
      <c r="C706">
        <v>-0.57616635212015499</v>
      </c>
      <c r="D706">
        <v>2.7499518117744471E-2</v>
      </c>
      <c r="E706" t="b">
        <v>0</v>
      </c>
    </row>
    <row r="707" spans="1:5" x14ac:dyDescent="0.3">
      <c r="A707" s="1" t="s">
        <v>1285</v>
      </c>
      <c r="B707">
        <v>0.34356997801140121</v>
      </c>
      <c r="C707">
        <v>2.7778971869490969</v>
      </c>
      <c r="D707">
        <v>3.2084880056506233E-2</v>
      </c>
      <c r="E707" t="b">
        <v>0</v>
      </c>
    </row>
    <row r="708" spans="1:5" x14ac:dyDescent="0.3">
      <c r="A708" s="1" t="s">
        <v>1287</v>
      </c>
      <c r="B708">
        <v>0.15976677293211169</v>
      </c>
      <c r="C708">
        <v>0.51363411922278734</v>
      </c>
      <c r="D708">
        <v>1.275753771845003E-2</v>
      </c>
      <c r="E708" t="b">
        <v>0</v>
      </c>
    </row>
    <row r="709" spans="1:5" x14ac:dyDescent="0.3">
      <c r="A709" s="1" t="s">
        <v>1289</v>
      </c>
      <c r="B709">
        <v>0.1736504284489003</v>
      </c>
      <c r="C709">
        <v>0.49272865972737168</v>
      </c>
      <c r="D709">
        <v>1.1259819377934761E-2</v>
      </c>
      <c r="E709" t="b">
        <v>0</v>
      </c>
    </row>
    <row r="710" spans="1:5" x14ac:dyDescent="0.3">
      <c r="A710" s="1" t="s">
        <v>1291</v>
      </c>
      <c r="B710">
        <v>0.31275422267472441</v>
      </c>
      <c r="C710">
        <v>0.78173534970077463</v>
      </c>
      <c r="D710">
        <v>9.9187290807607187E-3</v>
      </c>
      <c r="E710" t="b">
        <v>0</v>
      </c>
    </row>
    <row r="711" spans="1:5" x14ac:dyDescent="0.3">
      <c r="A711" s="1" t="s">
        <v>1292</v>
      </c>
      <c r="B711">
        <v>0.1108790681525841</v>
      </c>
      <c r="C711">
        <v>0.46552822217194989</v>
      </c>
      <c r="D711">
        <v>1.6660802131073842E-2</v>
      </c>
      <c r="E711" t="b">
        <v>0</v>
      </c>
    </row>
    <row r="712" spans="1:5" x14ac:dyDescent="0.3">
      <c r="A712" s="1" t="s">
        <v>1293</v>
      </c>
      <c r="B712">
        <v>-0.1312624753942937</v>
      </c>
      <c r="C712">
        <v>-0.37290433929807221</v>
      </c>
      <c r="D712">
        <v>1.1273436065818919E-2</v>
      </c>
      <c r="E712" t="b">
        <v>0</v>
      </c>
    </row>
    <row r="713" spans="1:5" x14ac:dyDescent="0.3">
      <c r="A713" s="1" t="s">
        <v>1301</v>
      </c>
      <c r="B713">
        <v>0.26631113735862488</v>
      </c>
      <c r="C713">
        <v>1.3867865348922039</v>
      </c>
      <c r="D713">
        <v>2.0664254693923832E-2</v>
      </c>
      <c r="E713" t="b">
        <v>0</v>
      </c>
    </row>
    <row r="714" spans="1:5" x14ac:dyDescent="0.3">
      <c r="A714" s="1" t="s">
        <v>1302</v>
      </c>
      <c r="B714">
        <v>0.15403163164689621</v>
      </c>
      <c r="C714">
        <v>0.4908523107923517</v>
      </c>
      <c r="D714">
        <v>1.264562745523334E-2</v>
      </c>
      <c r="E714" t="b">
        <v>0</v>
      </c>
    </row>
    <row r="715" spans="1:5" x14ac:dyDescent="0.3">
      <c r="A715" s="1" t="s">
        <v>1308</v>
      </c>
      <c r="B715">
        <v>-0.19051197711839821</v>
      </c>
      <c r="C715">
        <v>-2.2591770489617158</v>
      </c>
      <c r="D715">
        <v>4.705734739165042E-2</v>
      </c>
      <c r="E715" t="b">
        <v>0</v>
      </c>
    </row>
    <row r="716" spans="1:5" x14ac:dyDescent="0.3">
      <c r="A716" s="1" t="s">
        <v>1312</v>
      </c>
      <c r="B716">
        <v>-1.1491765040671689E-2</v>
      </c>
      <c r="C716">
        <v>-0.1114505102998055</v>
      </c>
      <c r="D716">
        <v>3.8485291702003217E-2</v>
      </c>
      <c r="E716" t="b">
        <v>0</v>
      </c>
    </row>
    <row r="717" spans="1:5" x14ac:dyDescent="0.3">
      <c r="A717" s="1" t="s">
        <v>1313</v>
      </c>
      <c r="B717">
        <v>0.1218048497396113</v>
      </c>
      <c r="C717">
        <v>0.87481229244188796</v>
      </c>
      <c r="D717">
        <v>2.8500321279333579E-2</v>
      </c>
      <c r="E717" t="b">
        <v>0</v>
      </c>
    </row>
    <row r="718" spans="1:5" x14ac:dyDescent="0.3">
      <c r="A718" s="1" t="s">
        <v>1314</v>
      </c>
      <c r="B718">
        <v>0.1583308848112446</v>
      </c>
      <c r="C718">
        <v>0.59867436532977769</v>
      </c>
      <c r="D718">
        <v>1.5004602094809329E-2</v>
      </c>
      <c r="E718" t="b">
        <v>0</v>
      </c>
    </row>
    <row r="719" spans="1:5" x14ac:dyDescent="0.3">
      <c r="A719" s="1" t="s">
        <v>1315</v>
      </c>
      <c r="B719">
        <v>0.7776611538131567</v>
      </c>
      <c r="C719">
        <v>3.8373653446690352E-2</v>
      </c>
      <c r="D719">
        <v>1.958133074020281E-4</v>
      </c>
      <c r="E719" t="b">
        <v>0</v>
      </c>
    </row>
    <row r="720" spans="1:5" x14ac:dyDescent="0.3">
      <c r="A720" s="1" t="s">
        <v>1316</v>
      </c>
      <c r="B720">
        <v>1.099066655875334E-2</v>
      </c>
      <c r="C720">
        <v>3.9370606776387658E-2</v>
      </c>
      <c r="D720">
        <v>1.421502196775663E-2</v>
      </c>
      <c r="E720" t="b">
        <v>0</v>
      </c>
    </row>
    <row r="721" spans="1:5" x14ac:dyDescent="0.3">
      <c r="A721" s="1" t="s">
        <v>1319</v>
      </c>
      <c r="B721">
        <v>0.16154636356212221</v>
      </c>
      <c r="C721">
        <v>1.836790673614789</v>
      </c>
      <c r="D721">
        <v>4.5119256903736207E-2</v>
      </c>
      <c r="E721" t="b">
        <v>0</v>
      </c>
    </row>
    <row r="722" spans="1:5" x14ac:dyDescent="0.3">
      <c r="A722" s="1" t="s">
        <v>1320</v>
      </c>
      <c r="B722">
        <v>0.96035903490848618</v>
      </c>
      <c r="C722">
        <v>4.6283096650642543E-2</v>
      </c>
      <c r="D722">
        <v>1.9124418605016369E-4</v>
      </c>
      <c r="E722" t="b">
        <v>0</v>
      </c>
    </row>
    <row r="723" spans="1:5" x14ac:dyDescent="0.3">
      <c r="A723" s="1" t="s">
        <v>1321</v>
      </c>
      <c r="B723">
        <v>-0.23771883479610861</v>
      </c>
      <c r="C723">
        <v>-1.217941206389711</v>
      </c>
      <c r="D723">
        <v>2.033116151482631E-2</v>
      </c>
      <c r="E723" t="b">
        <v>0</v>
      </c>
    </row>
    <row r="724" spans="1:5" x14ac:dyDescent="0.3">
      <c r="A724" s="1" t="s">
        <v>1322</v>
      </c>
      <c r="B724">
        <v>1.364677971841533E-2</v>
      </c>
      <c r="C724">
        <v>2.7903781013916881E-3</v>
      </c>
      <c r="D724">
        <v>8.1139501056314673E-4</v>
      </c>
      <c r="E724" t="b">
        <v>0</v>
      </c>
    </row>
    <row r="725" spans="1:5" x14ac:dyDescent="0.3">
      <c r="A725" s="1" t="s">
        <v>1328</v>
      </c>
      <c r="B725">
        <v>-2.4806297563406379E-2</v>
      </c>
      <c r="C725">
        <v>-0.15479647561563861</v>
      </c>
      <c r="D725">
        <v>2.4762733215763909E-2</v>
      </c>
      <c r="E725" t="b">
        <v>0</v>
      </c>
    </row>
    <row r="726" spans="1:5" x14ac:dyDescent="0.3">
      <c r="A726" s="1" t="s">
        <v>1331</v>
      </c>
      <c r="B726">
        <v>0.40317013566452492</v>
      </c>
      <c r="C726">
        <v>2.9319922305449868</v>
      </c>
      <c r="D726">
        <v>2.8858511021836349E-2</v>
      </c>
      <c r="E726" t="b">
        <v>0</v>
      </c>
    </row>
    <row r="727" spans="1:5" x14ac:dyDescent="0.3">
      <c r="A727" s="1" t="s">
        <v>1333</v>
      </c>
      <c r="B727">
        <v>0.67397835419136132</v>
      </c>
      <c r="C727">
        <v>4.7363484396653854</v>
      </c>
      <c r="D727">
        <v>2.7886701959866231E-2</v>
      </c>
      <c r="E727" t="b">
        <v>0</v>
      </c>
    </row>
    <row r="728" spans="1:5" x14ac:dyDescent="0.3">
      <c r="A728" s="1" t="s">
        <v>1336</v>
      </c>
      <c r="B728">
        <v>0.1133443370425454</v>
      </c>
      <c r="C728">
        <v>1.847546613637588</v>
      </c>
      <c r="D728">
        <v>6.4683727236849467E-2</v>
      </c>
      <c r="E728" t="b">
        <v>0</v>
      </c>
    </row>
    <row r="729" spans="1:5" x14ac:dyDescent="0.3">
      <c r="A729" s="1" t="s">
        <v>1338</v>
      </c>
      <c r="B729">
        <v>0.32722289061873577</v>
      </c>
      <c r="C729">
        <v>2.4284826667071391</v>
      </c>
      <c r="D729">
        <v>2.945037237698922E-2</v>
      </c>
      <c r="E729" t="b">
        <v>0</v>
      </c>
    </row>
    <row r="730" spans="1:5" x14ac:dyDescent="0.3">
      <c r="A730" s="1" t="s">
        <v>1341</v>
      </c>
      <c r="B730">
        <v>0.46889858239362953</v>
      </c>
      <c r="C730">
        <v>4.9778561207443177</v>
      </c>
      <c r="D730">
        <v>4.2127227605816102E-2</v>
      </c>
      <c r="E730" t="b">
        <v>0</v>
      </c>
    </row>
    <row r="731" spans="1:5" x14ac:dyDescent="0.3">
      <c r="A731" s="1" t="s">
        <v>1342</v>
      </c>
      <c r="B731">
        <v>0.12903146225472181</v>
      </c>
      <c r="C731">
        <v>0.60618725511884719</v>
      </c>
      <c r="D731">
        <v>1.8642778579705029E-2</v>
      </c>
      <c r="E731" t="b">
        <v>0</v>
      </c>
    </row>
    <row r="732" spans="1:5" x14ac:dyDescent="0.3">
      <c r="A732" s="1" t="s">
        <v>1343</v>
      </c>
      <c r="B732">
        <v>9.0399950276111571E-2</v>
      </c>
      <c r="C732">
        <v>0.92110279221358304</v>
      </c>
      <c r="D732">
        <v>4.0433316602578373E-2</v>
      </c>
      <c r="E732" t="b">
        <v>0</v>
      </c>
    </row>
    <row r="733" spans="1:5" x14ac:dyDescent="0.3">
      <c r="A733" s="1" t="s">
        <v>1344</v>
      </c>
      <c r="B733">
        <v>6.0190223785366981E-2</v>
      </c>
      <c r="C733">
        <v>1.7190374133015911</v>
      </c>
      <c r="D733">
        <v>0.1133336380545156</v>
      </c>
      <c r="E733" t="b">
        <v>0</v>
      </c>
    </row>
    <row r="734" spans="1:5" x14ac:dyDescent="0.3">
      <c r="A734" s="1" t="s">
        <v>1346</v>
      </c>
      <c r="B734">
        <v>-0.30483407866335271</v>
      </c>
      <c r="C734">
        <v>-3.4330537762477631</v>
      </c>
      <c r="D734">
        <v>4.4690637380702558E-2</v>
      </c>
      <c r="E734" t="b">
        <v>0</v>
      </c>
    </row>
    <row r="735" spans="1:5" x14ac:dyDescent="0.3">
      <c r="A735" s="1" t="s">
        <v>1347</v>
      </c>
      <c r="B735">
        <v>0.49556676157437329</v>
      </c>
      <c r="C735">
        <v>4.3446715402492329</v>
      </c>
      <c r="D735">
        <v>3.4789984755195603E-2</v>
      </c>
      <c r="E735" t="b">
        <v>0</v>
      </c>
    </row>
    <row r="736" spans="1:5" x14ac:dyDescent="0.3">
      <c r="A736" s="1" t="s">
        <v>1349</v>
      </c>
      <c r="B736">
        <v>-0.22291529936214599</v>
      </c>
      <c r="C736">
        <v>-1.0181642888596629</v>
      </c>
      <c r="D736">
        <v>1.8124976128435E-2</v>
      </c>
      <c r="E736" t="b">
        <v>0</v>
      </c>
    </row>
    <row r="737" spans="1:5" x14ac:dyDescent="0.3">
      <c r="A737" s="1" t="s">
        <v>1350</v>
      </c>
      <c r="B737">
        <v>-0.36627824266847242</v>
      </c>
      <c r="C737">
        <v>-1.496890086486752</v>
      </c>
      <c r="D737">
        <v>1.6217288754215079E-2</v>
      </c>
      <c r="E737" t="b">
        <v>0</v>
      </c>
    </row>
    <row r="738" spans="1:5" x14ac:dyDescent="0.3">
      <c r="A738" s="1" t="s">
        <v>1351</v>
      </c>
      <c r="B738">
        <v>-6.3023432111105546E-2</v>
      </c>
      <c r="C738">
        <v>-1.0257820031289839</v>
      </c>
      <c r="D738">
        <v>6.4588096333820733E-2</v>
      </c>
      <c r="E738" t="b">
        <v>0</v>
      </c>
    </row>
    <row r="739" spans="1:5" x14ac:dyDescent="0.3">
      <c r="A739" s="1" t="s">
        <v>1354</v>
      </c>
      <c r="B739">
        <v>-0.2295215623676185</v>
      </c>
      <c r="C739">
        <v>-1.356809901258577</v>
      </c>
      <c r="D739">
        <v>2.3458215512719229E-2</v>
      </c>
      <c r="E739" t="b">
        <v>0</v>
      </c>
    </row>
    <row r="740" spans="1:5" x14ac:dyDescent="0.3">
      <c r="A740" s="1" t="s">
        <v>1355</v>
      </c>
      <c r="B740">
        <v>0.36569379988509643</v>
      </c>
      <c r="C740">
        <v>8.246829945520517</v>
      </c>
      <c r="D740">
        <v>8.9488844675819065E-2</v>
      </c>
      <c r="E740" t="b">
        <v>0</v>
      </c>
    </row>
    <row r="741" spans="1:5" x14ac:dyDescent="0.3">
      <c r="A741" s="1" t="s">
        <v>1356</v>
      </c>
      <c r="B741">
        <v>0.34635609316796179</v>
      </c>
      <c r="C741">
        <v>2.7847124510435761</v>
      </c>
      <c r="D741">
        <v>3.1904870312014701E-2</v>
      </c>
      <c r="E741" t="b">
        <v>0</v>
      </c>
    </row>
    <row r="742" spans="1:5" x14ac:dyDescent="0.3">
      <c r="A742" s="1" t="s">
        <v>1358</v>
      </c>
      <c r="B742">
        <v>0.32418185619368639</v>
      </c>
      <c r="C742">
        <v>0.79680677330619654</v>
      </c>
      <c r="D742">
        <v>9.7535737416927486E-3</v>
      </c>
      <c r="E742" t="b">
        <v>0</v>
      </c>
    </row>
    <row r="743" spans="1:5" x14ac:dyDescent="0.3">
      <c r="A743" s="1" t="s">
        <v>1360</v>
      </c>
      <c r="B743">
        <v>-4.0114623006005122E-2</v>
      </c>
      <c r="C743">
        <v>-0.1595863340441982</v>
      </c>
      <c r="D743">
        <v>1.5786739495350401E-2</v>
      </c>
      <c r="E743" t="b">
        <v>0</v>
      </c>
    </row>
    <row r="744" spans="1:5" x14ac:dyDescent="0.3">
      <c r="A744" s="1" t="s">
        <v>1361</v>
      </c>
      <c r="B744">
        <v>-3.3048970104613593E-2</v>
      </c>
      <c r="C744">
        <v>-0.13800009528565421</v>
      </c>
      <c r="D744">
        <v>1.6569939214543819E-2</v>
      </c>
      <c r="E744" t="b">
        <v>0</v>
      </c>
    </row>
    <row r="745" spans="1:5" x14ac:dyDescent="0.3">
      <c r="A745" s="1" t="s">
        <v>1363</v>
      </c>
      <c r="B745">
        <v>0.10946328947783041</v>
      </c>
      <c r="C745">
        <v>8.5273385969068999E-2</v>
      </c>
      <c r="D745">
        <v>3.0913236197487371E-3</v>
      </c>
      <c r="E745" t="b">
        <v>0</v>
      </c>
    </row>
    <row r="746" spans="1:5" x14ac:dyDescent="0.3">
      <c r="A746" s="1" t="s">
        <v>1364</v>
      </c>
      <c r="B746">
        <v>-2.388378341426178E-2</v>
      </c>
      <c r="C746">
        <v>-1.237986182292778E-2</v>
      </c>
      <c r="D746">
        <v>2.056895046868245E-3</v>
      </c>
      <c r="E746" t="b">
        <v>0</v>
      </c>
    </row>
    <row r="747" spans="1:5" x14ac:dyDescent="0.3">
      <c r="A747" s="1" t="s">
        <v>1365</v>
      </c>
      <c r="B747">
        <v>-0.31132780537297489</v>
      </c>
      <c r="C747">
        <v>-0.71328046027611691</v>
      </c>
      <c r="D747">
        <v>9.0916325754385081E-3</v>
      </c>
      <c r="E747" t="b">
        <v>0</v>
      </c>
    </row>
    <row r="748" spans="1:5" x14ac:dyDescent="0.3">
      <c r="A748" s="1" t="s">
        <v>1368</v>
      </c>
      <c r="B748">
        <v>0.18235622542914939</v>
      </c>
      <c r="C748">
        <v>0.76522183784987785</v>
      </c>
      <c r="D748">
        <v>1.66519930290078E-2</v>
      </c>
      <c r="E748" t="b">
        <v>0</v>
      </c>
    </row>
    <row r="749" spans="1:5" x14ac:dyDescent="0.3">
      <c r="A749" s="1" t="s">
        <v>1369</v>
      </c>
      <c r="B749">
        <v>0.12196225849206779</v>
      </c>
      <c r="C749">
        <v>1.0711009010250401</v>
      </c>
      <c r="D749">
        <v>3.4850128666397702E-2</v>
      </c>
      <c r="E749" t="b">
        <v>0</v>
      </c>
    </row>
    <row r="750" spans="1:5" x14ac:dyDescent="0.3">
      <c r="A750" s="1" t="s">
        <v>1373</v>
      </c>
      <c r="B750">
        <v>-0.25758385644124698</v>
      </c>
      <c r="C750">
        <v>-0.41812710968356731</v>
      </c>
      <c r="D750">
        <v>6.4415316439477141E-3</v>
      </c>
      <c r="E750" t="b">
        <v>0</v>
      </c>
    </row>
    <row r="751" spans="1:5" x14ac:dyDescent="0.3">
      <c r="A751" s="1" t="s">
        <v>1377</v>
      </c>
      <c r="B751">
        <v>0.14096530928312609</v>
      </c>
      <c r="C751">
        <v>1.2768906862872209</v>
      </c>
      <c r="D751">
        <v>3.5945202111455472E-2</v>
      </c>
      <c r="E751" t="b">
        <v>0</v>
      </c>
    </row>
    <row r="752" spans="1:5" x14ac:dyDescent="0.3">
      <c r="A752" s="1" t="s">
        <v>12</v>
      </c>
      <c r="B752">
        <v>0.14944612048291919</v>
      </c>
      <c r="C752">
        <v>0.46637298563830909</v>
      </c>
      <c r="D752">
        <v>1.238363662412497E-2</v>
      </c>
      <c r="E752" t="b">
        <v>0</v>
      </c>
    </row>
    <row r="753" spans="1:5" x14ac:dyDescent="0.3">
      <c r="A753" s="1" t="s">
        <v>1379</v>
      </c>
      <c r="B753">
        <v>0.1114860621991834</v>
      </c>
      <c r="C753">
        <v>0.46407507241423129</v>
      </c>
      <c r="D753">
        <v>1.6518367510239409E-2</v>
      </c>
      <c r="E753" t="b">
        <v>0</v>
      </c>
    </row>
    <row r="754" spans="1:5" x14ac:dyDescent="0.3">
      <c r="A754" s="1" t="s">
        <v>1381</v>
      </c>
      <c r="B754">
        <v>0.14830650263914591</v>
      </c>
      <c r="C754">
        <v>0.461114592187163</v>
      </c>
      <c r="D754">
        <v>1.233809561755206E-2</v>
      </c>
      <c r="E754" t="b">
        <v>0</v>
      </c>
    </row>
    <row r="755" spans="1:5" x14ac:dyDescent="0.3">
      <c r="A755" s="1" t="s">
        <v>1382</v>
      </c>
      <c r="B755">
        <v>0.18106650958998841</v>
      </c>
      <c r="C755">
        <v>0.46620812523624888</v>
      </c>
      <c r="D755">
        <v>1.0217418158610599E-2</v>
      </c>
      <c r="E755" t="b">
        <v>0</v>
      </c>
    </row>
    <row r="756" spans="1:5" x14ac:dyDescent="0.3">
      <c r="A756" s="1" t="s">
        <v>1385</v>
      </c>
      <c r="B756">
        <v>-0.1759077951930203</v>
      </c>
      <c r="C756">
        <v>-0.91292111272685927</v>
      </c>
      <c r="D756">
        <v>2.0594327979075989E-2</v>
      </c>
      <c r="E756" t="b">
        <v>0</v>
      </c>
    </row>
    <row r="757" spans="1:5" x14ac:dyDescent="0.3">
      <c r="A757" s="1" t="s">
        <v>1386</v>
      </c>
      <c r="B757">
        <v>0.37431931587316919</v>
      </c>
      <c r="C757">
        <v>0.1701417009839952</v>
      </c>
      <c r="D757">
        <v>1.8037153079324009E-3</v>
      </c>
      <c r="E757" t="b">
        <v>0</v>
      </c>
    </row>
    <row r="758" spans="1:5" x14ac:dyDescent="0.3">
      <c r="A758" s="1" t="s">
        <v>1389</v>
      </c>
      <c r="B758">
        <v>2.3729345944586071E-2</v>
      </c>
      <c r="C758">
        <v>0.11239077952211771</v>
      </c>
      <c r="D758">
        <v>1.8795088489809628E-2</v>
      </c>
      <c r="E758" t="b">
        <v>0</v>
      </c>
    </row>
    <row r="759" spans="1:5" x14ac:dyDescent="0.3">
      <c r="A759" s="1" t="s">
        <v>1390</v>
      </c>
      <c r="B759">
        <v>0.141087542856768</v>
      </c>
      <c r="C759">
        <v>0.86560485401472698</v>
      </c>
      <c r="D759">
        <v>2.434616003179662E-2</v>
      </c>
      <c r="E759" t="b">
        <v>0</v>
      </c>
    </row>
    <row r="760" spans="1:5" x14ac:dyDescent="0.3">
      <c r="A760" s="1" t="s">
        <v>1392</v>
      </c>
      <c r="B760">
        <v>-0.17031430604341941</v>
      </c>
      <c r="C760">
        <v>-0.84631479559140765</v>
      </c>
      <c r="D760">
        <v>1.971879006535994E-2</v>
      </c>
      <c r="E760" t="b">
        <v>0</v>
      </c>
    </row>
    <row r="761" spans="1:5" x14ac:dyDescent="0.3">
      <c r="A761" s="1" t="s">
        <v>1395</v>
      </c>
      <c r="B761">
        <v>0.43016278006655129</v>
      </c>
      <c r="C761">
        <v>3.617245773237781</v>
      </c>
      <c r="D761">
        <v>3.3369111785031609E-2</v>
      </c>
      <c r="E761" t="b">
        <v>0</v>
      </c>
    </row>
    <row r="762" spans="1:5" x14ac:dyDescent="0.3">
      <c r="A762" s="1" t="s">
        <v>1396</v>
      </c>
      <c r="B762">
        <v>0.15579159142249421</v>
      </c>
      <c r="C762">
        <v>1.0830910448859969</v>
      </c>
      <c r="D762">
        <v>2.7588012277205771E-2</v>
      </c>
      <c r="E762" t="b">
        <v>0</v>
      </c>
    </row>
    <row r="763" spans="1:5" x14ac:dyDescent="0.3">
      <c r="A763" s="1" t="s">
        <v>1397</v>
      </c>
      <c r="B763">
        <v>0.55312281570530175</v>
      </c>
      <c r="C763">
        <v>4.0877226647719898</v>
      </c>
      <c r="D763">
        <v>2.932643750180355E-2</v>
      </c>
      <c r="E763" t="b">
        <v>0</v>
      </c>
    </row>
    <row r="764" spans="1:5" x14ac:dyDescent="0.3">
      <c r="A764" s="1" t="s">
        <v>1400</v>
      </c>
      <c r="B764">
        <v>-7.5167543978234074E-5</v>
      </c>
      <c r="C764">
        <v>-1.3072878497566E-3</v>
      </c>
      <c r="D764">
        <v>6.9014496455398214E-2</v>
      </c>
      <c r="E764" t="b">
        <v>0</v>
      </c>
    </row>
    <row r="765" spans="1:5" x14ac:dyDescent="0.3">
      <c r="A765" s="1" t="s">
        <v>1401</v>
      </c>
      <c r="B765">
        <v>0.50567263110965155</v>
      </c>
      <c r="C765">
        <v>2.6632559366471229</v>
      </c>
      <c r="D765">
        <v>2.089983773866572E-2</v>
      </c>
      <c r="E765" t="b">
        <v>0</v>
      </c>
    </row>
    <row r="766" spans="1:5" x14ac:dyDescent="0.3">
      <c r="A766" s="1" t="s">
        <v>1403</v>
      </c>
      <c r="B766">
        <v>0.23542209267633829</v>
      </c>
      <c r="C766">
        <v>3.4625925756888019</v>
      </c>
      <c r="D766">
        <v>5.8365154148104441E-2</v>
      </c>
      <c r="E766" t="b">
        <v>0</v>
      </c>
    </row>
    <row r="767" spans="1:5" x14ac:dyDescent="0.3">
      <c r="A767" s="1" t="s">
        <v>1404</v>
      </c>
      <c r="B767">
        <v>0.53813259003606739</v>
      </c>
      <c r="C767">
        <v>2.9731687962126072</v>
      </c>
      <c r="D767">
        <v>2.1924501679165709E-2</v>
      </c>
      <c r="E767" t="b">
        <v>0</v>
      </c>
    </row>
    <row r="768" spans="1:5" x14ac:dyDescent="0.3">
      <c r="A768" s="1" t="s">
        <v>1405</v>
      </c>
      <c r="B768">
        <v>-1.33675051890091E-2</v>
      </c>
      <c r="C768">
        <v>-6.7294600176482533E-2</v>
      </c>
      <c r="D768">
        <v>1.9976956089903419E-2</v>
      </c>
      <c r="E768" t="b">
        <v>0</v>
      </c>
    </row>
    <row r="769" spans="1:5" x14ac:dyDescent="0.3">
      <c r="A769" s="1" t="s">
        <v>1407</v>
      </c>
      <c r="B769">
        <v>-0.28162909876484932</v>
      </c>
      <c r="C769">
        <v>-1.270042734667528</v>
      </c>
      <c r="D769">
        <v>1.78953529439962E-2</v>
      </c>
      <c r="E769" t="b">
        <v>0</v>
      </c>
    </row>
    <row r="770" spans="1:5" x14ac:dyDescent="0.3">
      <c r="A770" s="1" t="s">
        <v>1410</v>
      </c>
      <c r="B770">
        <v>0.2098316542012881</v>
      </c>
      <c r="C770">
        <v>1.636851847663279</v>
      </c>
      <c r="D770">
        <v>3.0955500325526061E-2</v>
      </c>
      <c r="E770" t="b">
        <v>0</v>
      </c>
    </row>
    <row r="771" spans="1:5" x14ac:dyDescent="0.3">
      <c r="A771" s="1" t="s">
        <v>1411</v>
      </c>
      <c r="B771">
        <v>0.26067243695243969</v>
      </c>
      <c r="C771">
        <v>2.105439872303251</v>
      </c>
      <c r="D771">
        <v>3.20514137431104E-2</v>
      </c>
      <c r="E771" t="b">
        <v>0</v>
      </c>
    </row>
    <row r="772" spans="1:5" x14ac:dyDescent="0.3">
      <c r="A772" s="1" t="s">
        <v>1412</v>
      </c>
      <c r="B772">
        <v>0.21612988461447979</v>
      </c>
      <c r="C772">
        <v>2.0531335209249391</v>
      </c>
      <c r="D772">
        <v>3.7696569617378092E-2</v>
      </c>
      <c r="E772" t="b">
        <v>0</v>
      </c>
    </row>
    <row r="773" spans="1:5" x14ac:dyDescent="0.3">
      <c r="A773" s="1" t="s">
        <v>1413</v>
      </c>
      <c r="B773">
        <v>0.41012036450706341</v>
      </c>
      <c r="C773">
        <v>2.551473587232381</v>
      </c>
      <c r="D773">
        <v>2.4687618717981769E-2</v>
      </c>
      <c r="E773" t="b">
        <v>0</v>
      </c>
    </row>
    <row r="774" spans="1:5" x14ac:dyDescent="0.3">
      <c r="A774" s="1" t="s">
        <v>1414</v>
      </c>
      <c r="B774">
        <v>-0.28796845344982691</v>
      </c>
      <c r="C774">
        <v>-1.453102400630498</v>
      </c>
      <c r="D774">
        <v>2.002399672082833E-2</v>
      </c>
      <c r="E774" t="b">
        <v>0</v>
      </c>
    </row>
    <row r="775" spans="1:5" x14ac:dyDescent="0.3">
      <c r="A775" s="1" t="s">
        <v>1416</v>
      </c>
      <c r="B775">
        <v>-0.16919603090325899</v>
      </c>
      <c r="C775">
        <v>-0.77822126842143113</v>
      </c>
      <c r="D775">
        <v>1.8252080856191628E-2</v>
      </c>
      <c r="E775" t="b">
        <v>0</v>
      </c>
    </row>
    <row r="776" spans="1:5" x14ac:dyDescent="0.3">
      <c r="A776" s="1" t="s">
        <v>1417</v>
      </c>
      <c r="B776">
        <v>-0.29610328704135291</v>
      </c>
      <c r="C776">
        <v>-1.464058910590863</v>
      </c>
      <c r="D776">
        <v>1.962071289299264E-2</v>
      </c>
      <c r="E776" t="b">
        <v>0</v>
      </c>
    </row>
    <row r="777" spans="1:5" x14ac:dyDescent="0.3">
      <c r="A777" s="1" t="s">
        <v>1419</v>
      </c>
      <c r="B777">
        <v>8.7933468182262761E-2</v>
      </c>
      <c r="C777">
        <v>0.55626277419305725</v>
      </c>
      <c r="D777">
        <v>2.5102978498564649E-2</v>
      </c>
      <c r="E777" t="b">
        <v>0</v>
      </c>
    </row>
    <row r="778" spans="1:5" x14ac:dyDescent="0.3">
      <c r="A778" s="1" t="s">
        <v>1422</v>
      </c>
      <c r="B778">
        <v>3.5851301026544651E-2</v>
      </c>
      <c r="C778">
        <v>0.2003378140263202</v>
      </c>
      <c r="D778">
        <v>2.2174685513160361E-2</v>
      </c>
      <c r="E778" t="b">
        <v>0</v>
      </c>
    </row>
    <row r="779" spans="1:5" x14ac:dyDescent="0.3">
      <c r="A779" s="1" t="s">
        <v>1423</v>
      </c>
      <c r="B779">
        <v>0.71614177666480727</v>
      </c>
      <c r="C779">
        <v>2.6285048090122318</v>
      </c>
      <c r="D779">
        <v>1.456495763662102E-2</v>
      </c>
      <c r="E779" t="b">
        <v>0</v>
      </c>
    </row>
    <row r="780" spans="1:5" x14ac:dyDescent="0.3">
      <c r="A780" s="1" t="s">
        <v>1424</v>
      </c>
      <c r="B780">
        <v>-0.1707075282616366</v>
      </c>
      <c r="C780">
        <v>-0.92823743854000873</v>
      </c>
      <c r="D780">
        <v>2.1577735536787591E-2</v>
      </c>
      <c r="E780" t="b">
        <v>0</v>
      </c>
    </row>
    <row r="781" spans="1:5" x14ac:dyDescent="0.3">
      <c r="A781" s="1" t="s">
        <v>1425</v>
      </c>
      <c r="B781">
        <v>0.17779599610110669</v>
      </c>
      <c r="C781">
        <v>0.93720778979070829</v>
      </c>
      <c r="D781">
        <v>2.0917673133654779E-2</v>
      </c>
      <c r="E781" t="b">
        <v>0</v>
      </c>
    </row>
    <row r="782" spans="1:5" x14ac:dyDescent="0.3">
      <c r="A782" s="1" t="s">
        <v>1426</v>
      </c>
      <c r="B782">
        <v>0.22234160187651439</v>
      </c>
      <c r="C782">
        <v>2.0758287299216098</v>
      </c>
      <c r="D782">
        <v>3.7048467427620559E-2</v>
      </c>
      <c r="E782" t="b">
        <v>0</v>
      </c>
    </row>
    <row r="783" spans="1:5" x14ac:dyDescent="0.3">
      <c r="A783" s="1" t="s">
        <v>1427</v>
      </c>
      <c r="B783">
        <v>-0.22241800755227159</v>
      </c>
      <c r="C783">
        <v>-1.947918632648781</v>
      </c>
      <c r="D783">
        <v>3.4753642157448701E-2</v>
      </c>
      <c r="E783" t="b">
        <v>0</v>
      </c>
    </row>
    <row r="784" spans="1:5" x14ac:dyDescent="0.3">
      <c r="A784" s="1" t="s">
        <v>1428</v>
      </c>
      <c r="B784">
        <v>0.10208776304150401</v>
      </c>
      <c r="C784">
        <v>0.90398308489399604</v>
      </c>
      <c r="D784">
        <v>3.5138731195497583E-2</v>
      </c>
      <c r="E784" t="b">
        <v>0</v>
      </c>
    </row>
    <row r="785" spans="1:5" x14ac:dyDescent="0.3">
      <c r="A785" s="1" t="s">
        <v>1429</v>
      </c>
      <c r="B785">
        <v>0.27750269646607151</v>
      </c>
      <c r="C785">
        <v>4.3739526626626928</v>
      </c>
      <c r="D785">
        <v>6.2546977855000296E-2</v>
      </c>
      <c r="E785" t="b">
        <v>0</v>
      </c>
    </row>
    <row r="786" spans="1:5" x14ac:dyDescent="0.3">
      <c r="A786" s="1" t="s">
        <v>1431</v>
      </c>
      <c r="B786">
        <v>0.35145311303682758</v>
      </c>
      <c r="C786">
        <v>2.387943504849658</v>
      </c>
      <c r="D786">
        <v>2.6962248839414869E-2</v>
      </c>
      <c r="E786" t="b">
        <v>0</v>
      </c>
    </row>
    <row r="787" spans="1:5" x14ac:dyDescent="0.3">
      <c r="A787" s="1" t="s">
        <v>1432</v>
      </c>
      <c r="B787">
        <v>-3.6149675893790763E-2</v>
      </c>
      <c r="C787">
        <v>-0.54252903094545402</v>
      </c>
      <c r="D787">
        <v>5.9554973224865589E-2</v>
      </c>
      <c r="E787" t="b">
        <v>0</v>
      </c>
    </row>
    <row r="788" spans="1:5" x14ac:dyDescent="0.3">
      <c r="A788" s="1" t="s">
        <v>1433</v>
      </c>
      <c r="B788">
        <v>0.45933914561350048</v>
      </c>
      <c r="C788">
        <v>5.0707260239995922</v>
      </c>
      <c r="D788">
        <v>4.380625700818485E-2</v>
      </c>
      <c r="E788" t="b">
        <v>0</v>
      </c>
    </row>
    <row r="789" spans="1:5" x14ac:dyDescent="0.3">
      <c r="A789" s="1" t="s">
        <v>1434</v>
      </c>
      <c r="B789">
        <v>0.61886381064191276</v>
      </c>
      <c r="C789">
        <v>4.5222653478074424</v>
      </c>
      <c r="D789">
        <v>2.8997490406363291E-2</v>
      </c>
      <c r="E789" t="b">
        <v>0</v>
      </c>
    </row>
    <row r="790" spans="1:5" x14ac:dyDescent="0.3">
      <c r="A790" s="1" t="s">
        <v>1435</v>
      </c>
      <c r="B790">
        <v>0.36904997830859021</v>
      </c>
      <c r="C790">
        <v>1.724342507401738</v>
      </c>
      <c r="D790">
        <v>1.8541198753043449E-2</v>
      </c>
      <c r="E790" t="b">
        <v>0</v>
      </c>
    </row>
    <row r="791" spans="1:5" x14ac:dyDescent="0.3">
      <c r="A791" s="1" t="s">
        <v>1439</v>
      </c>
      <c r="B791">
        <v>0.30578724490530951</v>
      </c>
      <c r="C791">
        <v>2.2623918591400809</v>
      </c>
      <c r="D791">
        <v>2.935945047530731E-2</v>
      </c>
      <c r="E791" t="b">
        <v>0</v>
      </c>
    </row>
    <row r="792" spans="1:5" x14ac:dyDescent="0.3">
      <c r="A792" s="1" t="s">
        <v>1440</v>
      </c>
      <c r="B792">
        <v>-0.29583278996478052</v>
      </c>
      <c r="C792">
        <v>-2.523624544619786</v>
      </c>
      <c r="D792">
        <v>3.3851498053217202E-2</v>
      </c>
      <c r="E792" t="b">
        <v>0</v>
      </c>
    </row>
    <row r="793" spans="1:5" x14ac:dyDescent="0.3">
      <c r="A793" s="1" t="s">
        <v>1445</v>
      </c>
      <c r="B793">
        <v>-0.1809818751415129</v>
      </c>
      <c r="C793">
        <v>-0.1128452447853926</v>
      </c>
      <c r="D793">
        <v>2.47427312855546E-3</v>
      </c>
      <c r="E793" t="b">
        <v>0</v>
      </c>
    </row>
    <row r="794" spans="1:5" x14ac:dyDescent="0.3">
      <c r="A794" s="1" t="s">
        <v>1446</v>
      </c>
      <c r="B794">
        <v>0.12274163229417689</v>
      </c>
      <c r="C794">
        <v>0.54591753811847665</v>
      </c>
      <c r="D794">
        <v>1.764958960123636E-2</v>
      </c>
      <c r="E794" t="b">
        <v>0</v>
      </c>
    </row>
    <row r="795" spans="1:5" x14ac:dyDescent="0.3">
      <c r="A795" s="1" t="s">
        <v>1447</v>
      </c>
      <c r="B795">
        <v>0.19647634394670349</v>
      </c>
      <c r="C795">
        <v>1.288137876881486</v>
      </c>
      <c r="D795">
        <v>2.6016660015720741E-2</v>
      </c>
      <c r="E795" t="b">
        <v>0</v>
      </c>
    </row>
    <row r="796" spans="1:5" x14ac:dyDescent="0.3">
      <c r="A796" s="1" t="s">
        <v>1448</v>
      </c>
      <c r="B796">
        <v>-0.27921975403981192</v>
      </c>
      <c r="C796">
        <v>-0.39467293877174758</v>
      </c>
      <c r="D796">
        <v>5.6090675275794963E-3</v>
      </c>
      <c r="E796" t="b">
        <v>0</v>
      </c>
    </row>
    <row r="797" spans="1:5" x14ac:dyDescent="0.3">
      <c r="A797" s="1" t="s">
        <v>1450</v>
      </c>
      <c r="B797">
        <v>-0.1001465829117575</v>
      </c>
      <c r="C797">
        <v>-1.322969204100428</v>
      </c>
      <c r="D797">
        <v>5.242193633980663E-2</v>
      </c>
      <c r="E797" t="b">
        <v>0</v>
      </c>
    </row>
    <row r="798" spans="1:5" x14ac:dyDescent="0.3">
      <c r="A798" s="1" t="s">
        <v>1451</v>
      </c>
      <c r="B798">
        <v>-0.25507949134941021</v>
      </c>
      <c r="C798">
        <v>-0.4513867465841348</v>
      </c>
      <c r="D798">
        <v>7.022192332570224E-3</v>
      </c>
      <c r="E798" t="b">
        <v>0</v>
      </c>
    </row>
    <row r="799" spans="1:5" x14ac:dyDescent="0.3">
      <c r="A799" s="1" t="s">
        <v>1453</v>
      </c>
      <c r="B799">
        <v>-3.7287352111178222E-2</v>
      </c>
      <c r="C799">
        <v>-0.34535727814043299</v>
      </c>
      <c r="D799">
        <v>3.6754162252119707E-2</v>
      </c>
      <c r="E799" t="b">
        <v>0</v>
      </c>
    </row>
    <row r="800" spans="1:5" x14ac:dyDescent="0.3">
      <c r="A800" s="1" t="s">
        <v>1454</v>
      </c>
      <c r="B800">
        <v>-0.27715682208955522</v>
      </c>
      <c r="C800">
        <v>-1.4791263625211031</v>
      </c>
      <c r="D800">
        <v>2.1177718135788299E-2</v>
      </c>
      <c r="E800" t="b">
        <v>0</v>
      </c>
    </row>
    <row r="801" spans="1:5" x14ac:dyDescent="0.3">
      <c r="A801" s="1" t="s">
        <v>1455</v>
      </c>
      <c r="B801">
        <v>-0.1771698098086604</v>
      </c>
      <c r="C801">
        <v>-1.0207202823274431</v>
      </c>
      <c r="D801">
        <v>2.2862119201897971E-2</v>
      </c>
      <c r="E801" t="b">
        <v>0</v>
      </c>
    </row>
    <row r="802" spans="1:5" x14ac:dyDescent="0.3">
      <c r="A802" s="1" t="s">
        <v>1456</v>
      </c>
      <c r="B802">
        <v>-0.24006266439744811</v>
      </c>
      <c r="C802">
        <v>-1.2960521128210629</v>
      </c>
      <c r="D802">
        <v>2.14238392824436E-2</v>
      </c>
      <c r="E802" t="b">
        <v>0</v>
      </c>
    </row>
    <row r="803" spans="1:5" x14ac:dyDescent="0.3">
      <c r="A803" s="1" t="s">
        <v>1457</v>
      </c>
      <c r="B803">
        <v>1.4701613898219111E-2</v>
      </c>
      <c r="C803">
        <v>0.1036463648007364</v>
      </c>
      <c r="D803">
        <v>2.797618691818882E-2</v>
      </c>
      <c r="E803" t="b">
        <v>0</v>
      </c>
    </row>
    <row r="804" spans="1:5" x14ac:dyDescent="0.3">
      <c r="A804" s="1" t="s">
        <v>1458</v>
      </c>
      <c r="B804">
        <v>0.1489124252519301</v>
      </c>
      <c r="C804">
        <v>1.621216773921613</v>
      </c>
      <c r="D804">
        <v>4.3202572825137377E-2</v>
      </c>
      <c r="E804" t="b">
        <v>0</v>
      </c>
    </row>
    <row r="805" spans="1:5" x14ac:dyDescent="0.3">
      <c r="A805" s="1" t="s">
        <v>1461</v>
      </c>
      <c r="B805">
        <v>9.1091173749813986E-2</v>
      </c>
      <c r="C805">
        <v>0.91481762224814811</v>
      </c>
      <c r="D805">
        <v>3.9852693848093999E-2</v>
      </c>
      <c r="E805" t="b">
        <v>0</v>
      </c>
    </row>
    <row r="806" spans="1:5" x14ac:dyDescent="0.3">
      <c r="A806" s="1" t="s">
        <v>1462</v>
      </c>
      <c r="B806">
        <v>0.2701761685644829</v>
      </c>
      <c r="C806">
        <v>2.3860896340183131</v>
      </c>
      <c r="D806">
        <v>3.5046057944755252E-2</v>
      </c>
      <c r="E806" t="b">
        <v>0</v>
      </c>
    </row>
    <row r="807" spans="1:5" x14ac:dyDescent="0.3">
      <c r="A807" s="1" t="s">
        <v>1463</v>
      </c>
      <c r="B807">
        <v>0.17272683453831461</v>
      </c>
      <c r="C807">
        <v>2.1802851798749678</v>
      </c>
      <c r="D807">
        <v>5.0090221013371107E-2</v>
      </c>
      <c r="E807" t="b">
        <v>0</v>
      </c>
    </row>
    <row r="808" spans="1:5" x14ac:dyDescent="0.3">
      <c r="A808" s="1" t="s">
        <v>1464</v>
      </c>
      <c r="B808">
        <v>0.26765836570058898</v>
      </c>
      <c r="C808">
        <v>1.804046318681173</v>
      </c>
      <c r="D808">
        <v>2.6746460714135549E-2</v>
      </c>
      <c r="E808" t="b">
        <v>0</v>
      </c>
    </row>
    <row r="809" spans="1:5" x14ac:dyDescent="0.3">
      <c r="A809" s="1" t="s">
        <v>1465</v>
      </c>
      <c r="B809">
        <v>-0.1119328422066744</v>
      </c>
      <c r="C809">
        <v>-0.72216154292211776</v>
      </c>
      <c r="D809">
        <v>2.5602140997454479E-2</v>
      </c>
      <c r="E809" t="b">
        <v>0</v>
      </c>
    </row>
    <row r="810" spans="1:5" x14ac:dyDescent="0.3">
      <c r="A810" s="1" t="s">
        <v>1466</v>
      </c>
      <c r="B810">
        <v>7.7228960226261995E-2</v>
      </c>
      <c r="C810">
        <v>0.50852050796949655</v>
      </c>
      <c r="D810">
        <v>2.6129298099785508E-2</v>
      </c>
      <c r="E810" t="b">
        <v>0</v>
      </c>
    </row>
    <row r="811" spans="1:5" x14ac:dyDescent="0.3">
      <c r="A811" s="1" t="s">
        <v>1467</v>
      </c>
      <c r="B811">
        <v>0.1188307010019215</v>
      </c>
      <c r="C811">
        <v>0.61977405747238956</v>
      </c>
      <c r="D811">
        <v>2.069684721413791E-2</v>
      </c>
      <c r="E811" t="b">
        <v>0</v>
      </c>
    </row>
    <row r="812" spans="1:5" x14ac:dyDescent="0.3">
      <c r="A812" s="1" t="s">
        <v>95</v>
      </c>
      <c r="B812">
        <v>9.644815140968141E-3</v>
      </c>
      <c r="C812">
        <v>4.0200246136451602E-2</v>
      </c>
      <c r="D812">
        <v>1.6539952702478371E-2</v>
      </c>
      <c r="E812" t="b">
        <v>0</v>
      </c>
    </row>
    <row r="813" spans="1:5" x14ac:dyDescent="0.3">
      <c r="A813" s="1" t="s">
        <v>1468</v>
      </c>
      <c r="B813">
        <v>-3.1356877398461651E-2</v>
      </c>
      <c r="C813">
        <v>-0.22036629233233401</v>
      </c>
      <c r="D813">
        <v>2.788764336783417E-2</v>
      </c>
      <c r="E813" t="b">
        <v>0</v>
      </c>
    </row>
    <row r="814" spans="1:5" x14ac:dyDescent="0.3">
      <c r="A814" s="1" t="s">
        <v>1469</v>
      </c>
      <c r="B814">
        <v>-0.29986657944901962</v>
      </c>
      <c r="C814">
        <v>-1.247399421859376</v>
      </c>
      <c r="D814">
        <v>1.6507333744515289E-2</v>
      </c>
      <c r="E814" t="b">
        <v>0</v>
      </c>
    </row>
    <row r="815" spans="1:5" x14ac:dyDescent="0.3">
      <c r="A815" s="1" t="s">
        <v>1471</v>
      </c>
      <c r="B815">
        <v>-0.1126462097973705</v>
      </c>
      <c r="C815">
        <v>-0.71452212533565573</v>
      </c>
      <c r="D815">
        <v>2.5170889143707902E-2</v>
      </c>
      <c r="E815" t="b">
        <v>0</v>
      </c>
    </row>
    <row r="816" spans="1:5" x14ac:dyDescent="0.3">
      <c r="A816" s="1" t="s">
        <v>1473</v>
      </c>
      <c r="B816">
        <v>0.17657473952720359</v>
      </c>
      <c r="C816">
        <v>1.903812946516561</v>
      </c>
      <c r="D816">
        <v>4.2785357067813799E-2</v>
      </c>
      <c r="E816" t="b">
        <v>0</v>
      </c>
    </row>
    <row r="817" spans="1:5" x14ac:dyDescent="0.3">
      <c r="A817" s="1" t="s">
        <v>1474</v>
      </c>
      <c r="B817">
        <v>0.17289218322285349</v>
      </c>
      <c r="C817">
        <v>3.672054876230185</v>
      </c>
      <c r="D817">
        <v>8.4281695462566378E-2</v>
      </c>
      <c r="E817" t="b">
        <v>0</v>
      </c>
    </row>
    <row r="818" spans="1:5" x14ac:dyDescent="0.3">
      <c r="A818" s="1" t="s">
        <v>1475</v>
      </c>
      <c r="B818">
        <v>0.27629282160758972</v>
      </c>
      <c r="C818">
        <v>2.1850877909321862</v>
      </c>
      <c r="D818">
        <v>3.1383310094335627E-2</v>
      </c>
      <c r="E818" t="b">
        <v>0</v>
      </c>
    </row>
    <row r="819" spans="1:5" x14ac:dyDescent="0.3">
      <c r="A819" s="1" t="s">
        <v>1476</v>
      </c>
      <c r="B819">
        <v>8.386557842269643E-2</v>
      </c>
      <c r="C819">
        <v>0.48277846810186142</v>
      </c>
      <c r="D819">
        <v>2.2843550451377041E-2</v>
      </c>
      <c r="E819" t="b">
        <v>0</v>
      </c>
    </row>
    <row r="820" spans="1:5" x14ac:dyDescent="0.3">
      <c r="A820" s="1" t="s">
        <v>1477</v>
      </c>
      <c r="B820">
        <v>-0.1854891711038954</v>
      </c>
      <c r="C820">
        <v>-1.1990397389499381</v>
      </c>
      <c r="D820">
        <v>2.565160097414642E-2</v>
      </c>
      <c r="E820" t="b">
        <v>0</v>
      </c>
    </row>
    <row r="821" spans="1:5" x14ac:dyDescent="0.3">
      <c r="A821" s="1" t="s">
        <v>1480</v>
      </c>
      <c r="B821">
        <v>1.0236804214983519E-2</v>
      </c>
      <c r="C821">
        <v>0.1136141317549331</v>
      </c>
      <c r="D821">
        <v>4.4042038874430922E-2</v>
      </c>
      <c r="E821" t="b">
        <v>0</v>
      </c>
    </row>
    <row r="822" spans="1:5" x14ac:dyDescent="0.3">
      <c r="A822" s="1" t="s">
        <v>1484</v>
      </c>
      <c r="B822">
        <v>7.6377480704770531E-2</v>
      </c>
      <c r="C822">
        <v>0.44141447979837278</v>
      </c>
      <c r="D822">
        <v>2.293404737812E-2</v>
      </c>
      <c r="E822" t="b">
        <v>0</v>
      </c>
    </row>
    <row r="823" spans="1:5" x14ac:dyDescent="0.3">
      <c r="A823" s="1" t="s">
        <v>1486</v>
      </c>
      <c r="B823">
        <v>-2.2917839529142989E-2</v>
      </c>
      <c r="C823">
        <v>-0.1211668683062313</v>
      </c>
      <c r="D823">
        <v>2.0980202141902719E-2</v>
      </c>
      <c r="E823" t="b">
        <v>0</v>
      </c>
    </row>
    <row r="824" spans="1:5" x14ac:dyDescent="0.3">
      <c r="A824" s="1" t="s">
        <v>1487</v>
      </c>
      <c r="B824">
        <v>0.133801179448097</v>
      </c>
      <c r="C824">
        <v>1.2835657671613401</v>
      </c>
      <c r="D824">
        <v>3.8067788117135168E-2</v>
      </c>
      <c r="E824" t="b">
        <v>0</v>
      </c>
    </row>
    <row r="825" spans="1:5" x14ac:dyDescent="0.3">
      <c r="A825" s="1" t="s">
        <v>1489</v>
      </c>
      <c r="B825">
        <v>0.42027717850674018</v>
      </c>
      <c r="C825">
        <v>2.9850808691087458</v>
      </c>
      <c r="D825">
        <v>2.8185111184212949E-2</v>
      </c>
      <c r="E825" t="b">
        <v>0</v>
      </c>
    </row>
    <row r="826" spans="1:5" x14ac:dyDescent="0.3">
      <c r="A826" s="1" t="s">
        <v>1490</v>
      </c>
      <c r="B826">
        <v>-0.20017681358246289</v>
      </c>
      <c r="C826">
        <v>-1.2498285180274229</v>
      </c>
      <c r="D826">
        <v>2.4776280966507511E-2</v>
      </c>
      <c r="E826" t="b">
        <v>0</v>
      </c>
    </row>
    <row r="827" spans="1:5" x14ac:dyDescent="0.3">
      <c r="A827" s="1" t="s">
        <v>1491</v>
      </c>
      <c r="B827">
        <v>0.14446861714962211</v>
      </c>
      <c r="C827">
        <v>0.66515841390139219</v>
      </c>
      <c r="D827">
        <v>1.8270525236273569E-2</v>
      </c>
      <c r="E827" t="b">
        <v>0</v>
      </c>
    </row>
    <row r="828" spans="1:5" x14ac:dyDescent="0.3">
      <c r="A828" s="1" t="s">
        <v>1492</v>
      </c>
      <c r="B828">
        <v>-0.1217658214452042</v>
      </c>
      <c r="C828">
        <v>-0.79745134210091129</v>
      </c>
      <c r="D828">
        <v>2.5988322627999879E-2</v>
      </c>
      <c r="E828" t="b">
        <v>0</v>
      </c>
    </row>
    <row r="829" spans="1:5" x14ac:dyDescent="0.3">
      <c r="A829" s="1" t="s">
        <v>1493</v>
      </c>
      <c r="B829">
        <v>0.26377187272509989</v>
      </c>
      <c r="C829">
        <v>3.6239694670243621</v>
      </c>
      <c r="D829">
        <v>5.4519957225834241E-2</v>
      </c>
      <c r="E829" t="b">
        <v>0</v>
      </c>
    </row>
    <row r="830" spans="1:5" x14ac:dyDescent="0.3">
      <c r="A830" s="1" t="s">
        <v>1494</v>
      </c>
      <c r="B830">
        <v>0.22104666776084489</v>
      </c>
      <c r="C830">
        <v>2.2187300471234179</v>
      </c>
      <c r="D830">
        <v>3.9830884596313287E-2</v>
      </c>
      <c r="E830" t="b">
        <v>0</v>
      </c>
    </row>
    <row r="831" spans="1:5" x14ac:dyDescent="0.3">
      <c r="A831" s="1" t="s">
        <v>1495</v>
      </c>
      <c r="B831">
        <v>2.907334180338704E-2</v>
      </c>
      <c r="C831">
        <v>0.2336225614530546</v>
      </c>
      <c r="D831">
        <v>3.1887412971966518E-2</v>
      </c>
      <c r="E831" t="b">
        <v>0</v>
      </c>
    </row>
    <row r="832" spans="1:5" x14ac:dyDescent="0.3">
      <c r="A832" s="1" t="s">
        <v>1502</v>
      </c>
      <c r="B832">
        <v>-0.324862723361385</v>
      </c>
      <c r="C832">
        <v>-2.2094771094529828</v>
      </c>
      <c r="D832">
        <v>2.698914241877988E-2</v>
      </c>
      <c r="E832" t="b">
        <v>0</v>
      </c>
    </row>
    <row r="833" spans="1:5" x14ac:dyDescent="0.3">
      <c r="A833" s="1" t="s">
        <v>1504</v>
      </c>
      <c r="B833">
        <v>-0.38811262515716249</v>
      </c>
      <c r="C833">
        <v>-1.4393483826360951</v>
      </c>
      <c r="D833">
        <v>1.4716604307274769E-2</v>
      </c>
      <c r="E833" t="b">
        <v>0</v>
      </c>
    </row>
    <row r="834" spans="1:5" x14ac:dyDescent="0.3">
      <c r="A834" s="1" t="s">
        <v>1506</v>
      </c>
      <c r="B834">
        <v>0.4891644567776679</v>
      </c>
      <c r="C834">
        <v>3.8006607589771022</v>
      </c>
      <c r="D834">
        <v>3.0832140254321461E-2</v>
      </c>
      <c r="E834" t="b">
        <v>0</v>
      </c>
    </row>
    <row r="835" spans="1:5" x14ac:dyDescent="0.3">
      <c r="A835" s="1" t="s">
        <v>1509</v>
      </c>
      <c r="B835">
        <v>5.2265462348404103E-2</v>
      </c>
      <c r="C835">
        <v>0.37389796304351519</v>
      </c>
      <c r="D835">
        <v>2.8388193826334909E-2</v>
      </c>
      <c r="E835" t="b">
        <v>0</v>
      </c>
    </row>
    <row r="836" spans="1:5" x14ac:dyDescent="0.3">
      <c r="A836" s="1" t="s">
        <v>1511</v>
      </c>
      <c r="B836">
        <v>0.22158547669909731</v>
      </c>
      <c r="C836">
        <v>0.84500028129428162</v>
      </c>
      <c r="D836">
        <v>1.5132651152833489E-2</v>
      </c>
      <c r="E836" t="b">
        <v>0</v>
      </c>
    </row>
    <row r="837" spans="1:5" x14ac:dyDescent="0.3">
      <c r="A837" s="1" t="s">
        <v>1512</v>
      </c>
      <c r="B837">
        <v>0.1415895496548237</v>
      </c>
      <c r="C837">
        <v>1.2859529118472941</v>
      </c>
      <c r="D837">
        <v>3.6040708921429347E-2</v>
      </c>
      <c r="E837" t="b">
        <v>0</v>
      </c>
    </row>
    <row r="838" spans="1:5" x14ac:dyDescent="0.3">
      <c r="A838" s="1" t="s">
        <v>1513</v>
      </c>
      <c r="B838">
        <v>0.2306141038005492</v>
      </c>
      <c r="C838">
        <v>1.364557993356035</v>
      </c>
      <c r="D838">
        <v>2.3480405503433312E-2</v>
      </c>
      <c r="E838" t="b">
        <v>0</v>
      </c>
    </row>
    <row r="839" spans="1:5" x14ac:dyDescent="0.3">
      <c r="A839" s="1" t="s">
        <v>1514</v>
      </c>
      <c r="B839">
        <v>0.17623344132503471</v>
      </c>
      <c r="C839">
        <v>2.160671377143121</v>
      </c>
      <c r="D839">
        <v>4.8651905688134378E-2</v>
      </c>
      <c r="E839" t="b">
        <v>0</v>
      </c>
    </row>
    <row r="840" spans="1:5" x14ac:dyDescent="0.3">
      <c r="A840" s="1" t="s">
        <v>1515</v>
      </c>
      <c r="B840">
        <v>0.36774008620217968</v>
      </c>
      <c r="C840">
        <v>3.9898586306316139</v>
      </c>
      <c r="D840">
        <v>4.3054246566613233E-2</v>
      </c>
      <c r="E840" t="b">
        <v>0</v>
      </c>
    </row>
    <row r="841" spans="1:5" x14ac:dyDescent="0.3">
      <c r="A841" s="1" t="s">
        <v>1516</v>
      </c>
      <c r="B841">
        <v>1.9415477299213519E-2</v>
      </c>
      <c r="C841">
        <v>0.13475726883970721</v>
      </c>
      <c r="D841">
        <v>2.7542514592000099E-2</v>
      </c>
      <c r="E841" t="b">
        <v>0</v>
      </c>
    </row>
    <row r="842" spans="1:5" x14ac:dyDescent="0.3">
      <c r="A842" s="1" t="s">
        <v>1518</v>
      </c>
      <c r="B842">
        <v>0.47290031503152369</v>
      </c>
      <c r="C842">
        <v>2.3171648171384551</v>
      </c>
      <c r="D842">
        <v>1.9444052347681779E-2</v>
      </c>
      <c r="E842" t="b">
        <v>0</v>
      </c>
    </row>
    <row r="843" spans="1:5" x14ac:dyDescent="0.3">
      <c r="A843" s="1" t="s">
        <v>1519</v>
      </c>
      <c r="B843">
        <v>-0.1914488512675116</v>
      </c>
      <c r="C843">
        <v>-1.063108758918333</v>
      </c>
      <c r="D843">
        <v>2.2035575159280809E-2</v>
      </c>
      <c r="E843" t="b">
        <v>0</v>
      </c>
    </row>
    <row r="844" spans="1:5" x14ac:dyDescent="0.3">
      <c r="A844" s="1" t="s">
        <v>1520</v>
      </c>
      <c r="B844">
        <v>0.51245705034509725</v>
      </c>
      <c r="C844">
        <v>4.0089378467657262E-2</v>
      </c>
      <c r="D844">
        <v>3.1043545031136889E-4</v>
      </c>
      <c r="E844" t="b">
        <v>0</v>
      </c>
    </row>
    <row r="845" spans="1:5" x14ac:dyDescent="0.3">
      <c r="A845" s="1" t="s">
        <v>1521</v>
      </c>
      <c r="B845">
        <v>0.11223552960615051</v>
      </c>
      <c r="C845">
        <v>8.4220515260257839E-2</v>
      </c>
      <c r="D845">
        <v>2.977741496500208E-3</v>
      </c>
      <c r="E845" t="b">
        <v>0</v>
      </c>
    </row>
    <row r="846" spans="1:5" x14ac:dyDescent="0.3">
      <c r="A846" s="1" t="s">
        <v>1523</v>
      </c>
      <c r="B846">
        <v>-0.1020765501234191</v>
      </c>
      <c r="C846">
        <v>-0.21166901355178311</v>
      </c>
      <c r="D846">
        <v>8.2286911339351544E-3</v>
      </c>
      <c r="E846" t="b">
        <v>0</v>
      </c>
    </row>
    <row r="847" spans="1:5" x14ac:dyDescent="0.3">
      <c r="A847" s="1" t="s">
        <v>1524</v>
      </c>
      <c r="B847">
        <v>-4.5636547592622992E-3</v>
      </c>
      <c r="C847">
        <v>-2.8532566823921669E-2</v>
      </c>
      <c r="D847">
        <v>2.4810043155368111E-2</v>
      </c>
      <c r="E847" t="b">
        <v>0</v>
      </c>
    </row>
    <row r="848" spans="1:5" x14ac:dyDescent="0.3">
      <c r="A848" s="1" t="s">
        <v>1526</v>
      </c>
      <c r="B848">
        <v>-0.15166453974750341</v>
      </c>
      <c r="C848">
        <v>-0.66467906449013126</v>
      </c>
      <c r="D848">
        <v>1.7391114229268721E-2</v>
      </c>
      <c r="E848" t="b">
        <v>0</v>
      </c>
    </row>
    <row r="849" spans="1:5" x14ac:dyDescent="0.3">
      <c r="A849" s="1" t="s">
        <v>1527</v>
      </c>
      <c r="B849">
        <v>0.32859464042806658</v>
      </c>
      <c r="C849">
        <v>1.666211839040769</v>
      </c>
      <c r="D849">
        <v>2.0121909881462941E-2</v>
      </c>
      <c r="E849" t="b">
        <v>0</v>
      </c>
    </row>
    <row r="850" spans="1:5" x14ac:dyDescent="0.3">
      <c r="A850" s="1" t="s">
        <v>1528</v>
      </c>
      <c r="B850">
        <v>0.19534168459769441</v>
      </c>
      <c r="C850">
        <v>0.78214705030454934</v>
      </c>
      <c r="D850">
        <v>1.5888867460733449E-2</v>
      </c>
      <c r="E850" t="b">
        <v>0</v>
      </c>
    </row>
    <row r="851" spans="1:5" x14ac:dyDescent="0.3">
      <c r="A851" s="1" t="s">
        <v>1532</v>
      </c>
      <c r="B851">
        <v>-5.1571360082374153E-2</v>
      </c>
      <c r="C851">
        <v>-3.7914223282350792E-2</v>
      </c>
      <c r="D851">
        <v>2.9173802426994129E-3</v>
      </c>
      <c r="E851" t="b">
        <v>0</v>
      </c>
    </row>
    <row r="852" spans="1:5" x14ac:dyDescent="0.3">
      <c r="A852" s="1" t="s">
        <v>1533</v>
      </c>
      <c r="B852">
        <v>-7.8875747518191458E-2</v>
      </c>
      <c r="C852">
        <v>-0.1159618804696451</v>
      </c>
      <c r="D852">
        <v>5.8340644218139587E-3</v>
      </c>
      <c r="E852" t="b">
        <v>0</v>
      </c>
    </row>
    <row r="853" spans="1:5" x14ac:dyDescent="0.3">
      <c r="A853" s="1" t="s">
        <v>1536</v>
      </c>
      <c r="B853">
        <v>1.240215298615868E-3</v>
      </c>
      <c r="C853">
        <v>4.0714729203443771E-4</v>
      </c>
      <c r="D853">
        <v>1.3027285335720849E-3</v>
      </c>
      <c r="E853" t="b">
        <v>0</v>
      </c>
    </row>
    <row r="854" spans="1:5" x14ac:dyDescent="0.3">
      <c r="A854" s="1" t="s">
        <v>1539</v>
      </c>
      <c r="B854">
        <v>0.31863232020009752</v>
      </c>
      <c r="C854">
        <v>0.78592751680344453</v>
      </c>
      <c r="D854">
        <v>9.7879586896794102E-3</v>
      </c>
      <c r="E854" t="b">
        <v>0</v>
      </c>
    </row>
    <row r="855" spans="1:5" x14ac:dyDescent="0.3">
      <c r="A855" s="1" t="s">
        <v>1540</v>
      </c>
      <c r="B855">
        <v>-0.13055571515226991</v>
      </c>
      <c r="C855">
        <v>-1.1438005776143401</v>
      </c>
      <c r="D855">
        <v>3.4765932504107387E-2</v>
      </c>
      <c r="E855" t="b">
        <v>0</v>
      </c>
    </row>
    <row r="856" spans="1:5" x14ac:dyDescent="0.3">
      <c r="A856" s="1" t="s">
        <v>1541</v>
      </c>
      <c r="B856">
        <v>0.28973046595078039</v>
      </c>
      <c r="C856">
        <v>0.69443621776814135</v>
      </c>
      <c r="D856">
        <v>9.511251320480198E-3</v>
      </c>
      <c r="E856" t="b">
        <v>0</v>
      </c>
    </row>
    <row r="857" spans="1:5" x14ac:dyDescent="0.3">
      <c r="A857" s="1" t="s">
        <v>1542</v>
      </c>
      <c r="B857">
        <v>0.27396833291993661</v>
      </c>
      <c r="C857">
        <v>2.9506464545793691</v>
      </c>
      <c r="D857">
        <v>4.2738204001558269E-2</v>
      </c>
      <c r="E857" t="b">
        <v>0</v>
      </c>
    </row>
    <row r="858" spans="1:5" x14ac:dyDescent="0.3">
      <c r="A858" s="1" t="s">
        <v>1547</v>
      </c>
      <c r="B858">
        <v>-0.24541753604640629</v>
      </c>
      <c r="C858">
        <v>-0.1436035894167709</v>
      </c>
      <c r="D858">
        <v>2.321983680297646E-3</v>
      </c>
      <c r="E858" t="b">
        <v>0</v>
      </c>
    </row>
    <row r="859" spans="1:5" x14ac:dyDescent="0.3">
      <c r="A859" s="1" t="s">
        <v>1548</v>
      </c>
      <c r="B859">
        <v>0.2919960586149597</v>
      </c>
      <c r="C859">
        <v>0.73838915645824721</v>
      </c>
      <c r="D859">
        <v>1.003477825738372E-2</v>
      </c>
      <c r="E859" t="b">
        <v>0</v>
      </c>
    </row>
    <row r="860" spans="1:5" x14ac:dyDescent="0.3">
      <c r="A860" s="1" t="s">
        <v>1549</v>
      </c>
      <c r="B860">
        <v>-0.26949090074153531</v>
      </c>
      <c r="C860">
        <v>-0.4301773045815076</v>
      </c>
      <c r="D860">
        <v>6.3343615359969883E-3</v>
      </c>
      <c r="E860" t="b">
        <v>0</v>
      </c>
    </row>
    <row r="861" spans="1:5" x14ac:dyDescent="0.3">
      <c r="A861" s="1" t="s">
        <v>1550</v>
      </c>
      <c r="B861">
        <v>-1.0349711615046921E-2</v>
      </c>
      <c r="C861">
        <v>-2.1103392183168699E-3</v>
      </c>
      <c r="D861">
        <v>8.0913964455520061E-4</v>
      </c>
      <c r="E861" t="b">
        <v>0</v>
      </c>
    </row>
    <row r="862" spans="1:5" x14ac:dyDescent="0.3">
      <c r="A862" s="1" t="s">
        <v>1551</v>
      </c>
      <c r="B862">
        <v>0.24822081806291429</v>
      </c>
      <c r="C862">
        <v>1.331443263254664</v>
      </c>
      <c r="D862">
        <v>2.1285503182799811E-2</v>
      </c>
      <c r="E862" t="b">
        <v>0</v>
      </c>
    </row>
    <row r="863" spans="1:5" x14ac:dyDescent="0.3">
      <c r="A863" s="1" t="s">
        <v>1553</v>
      </c>
      <c r="B863">
        <v>-0.2141954371659206</v>
      </c>
      <c r="C863">
        <v>-0.87791238327952481</v>
      </c>
      <c r="D863">
        <v>1.6264488846369121E-2</v>
      </c>
      <c r="E863" t="b">
        <v>0</v>
      </c>
    </row>
    <row r="864" spans="1:5" x14ac:dyDescent="0.3">
      <c r="A864" s="1" t="s">
        <v>1554</v>
      </c>
      <c r="B864">
        <v>0.12705245627794551</v>
      </c>
      <c r="C864">
        <v>0.32211846060890742</v>
      </c>
      <c r="D864">
        <v>1.0060788252395571E-2</v>
      </c>
      <c r="E864" t="b">
        <v>0</v>
      </c>
    </row>
    <row r="865" spans="1:5" x14ac:dyDescent="0.3">
      <c r="A865" s="1" t="s">
        <v>1556</v>
      </c>
      <c r="B865">
        <v>4.8695855875762639E-2</v>
      </c>
      <c r="C865">
        <v>0.38612606927294302</v>
      </c>
      <c r="D865">
        <v>3.1465640742568947E-2</v>
      </c>
      <c r="E865" t="b">
        <v>0</v>
      </c>
    </row>
    <row r="866" spans="1:5" x14ac:dyDescent="0.3">
      <c r="A866" s="1" t="s">
        <v>1560</v>
      </c>
      <c r="B866">
        <v>3.4694789802236697E-2</v>
      </c>
      <c r="C866">
        <v>0.28746857449137919</v>
      </c>
      <c r="D866">
        <v>3.2879527963019538E-2</v>
      </c>
      <c r="E866" t="b">
        <v>0</v>
      </c>
    </row>
    <row r="867" spans="1:5" x14ac:dyDescent="0.3">
      <c r="A867" s="1" t="s">
        <v>1561</v>
      </c>
      <c r="B867">
        <v>-0.30467847109325003</v>
      </c>
      <c r="C867">
        <v>-1.530936053463033</v>
      </c>
      <c r="D867">
        <v>1.993952197376752E-2</v>
      </c>
      <c r="E867" t="b">
        <v>0</v>
      </c>
    </row>
    <row r="868" spans="1:5" x14ac:dyDescent="0.3">
      <c r="A868" s="1" t="s">
        <v>1565</v>
      </c>
      <c r="B868">
        <v>7.1617851843561717E-2</v>
      </c>
      <c r="C868">
        <v>0.36227216324158978</v>
      </c>
      <c r="D868">
        <v>2.0073039226470801E-2</v>
      </c>
      <c r="E868" t="b">
        <v>0</v>
      </c>
    </row>
    <row r="869" spans="1:5" x14ac:dyDescent="0.3">
      <c r="A869" s="1" t="s">
        <v>1569</v>
      </c>
      <c r="B869">
        <v>-0.13930245167151961</v>
      </c>
      <c r="C869">
        <v>-0.4085578796135455</v>
      </c>
      <c r="D869">
        <v>1.163842708856894E-2</v>
      </c>
      <c r="E869" t="b">
        <v>0</v>
      </c>
    </row>
    <row r="870" spans="1:5" x14ac:dyDescent="0.3">
      <c r="A870" s="1" t="s">
        <v>1570</v>
      </c>
      <c r="B870">
        <v>0.20405640381836129</v>
      </c>
      <c r="C870">
        <v>0.63362970256140949</v>
      </c>
      <c r="D870">
        <v>1.23221008238049E-2</v>
      </c>
      <c r="E870" t="b">
        <v>0</v>
      </c>
    </row>
    <row r="871" spans="1:5" x14ac:dyDescent="0.3">
      <c r="A871" s="1" t="s">
        <v>1574</v>
      </c>
      <c r="B871">
        <v>0.109221135643426</v>
      </c>
      <c r="C871">
        <v>0.44852562771402388</v>
      </c>
      <c r="D871">
        <v>1.6295963153601462E-2</v>
      </c>
      <c r="E871" t="b">
        <v>0</v>
      </c>
    </row>
    <row r="872" spans="1:5" x14ac:dyDescent="0.3">
      <c r="A872" s="1" t="s">
        <v>1576</v>
      </c>
      <c r="B872">
        <v>0.1489274953390462</v>
      </c>
      <c r="C872">
        <v>0.46480597983907862</v>
      </c>
      <c r="D872">
        <v>1.238500768286949E-2</v>
      </c>
      <c r="E872" t="b">
        <v>0</v>
      </c>
    </row>
    <row r="873" spans="1:5" x14ac:dyDescent="0.3">
      <c r="A873" s="1" t="s">
        <v>1584</v>
      </c>
      <c r="B873">
        <v>-0.16440088397166919</v>
      </c>
      <c r="C873">
        <v>-0.97696582551582623</v>
      </c>
      <c r="D873">
        <v>2.3581676815191448E-2</v>
      </c>
      <c r="E873" t="b">
        <v>0</v>
      </c>
    </row>
    <row r="874" spans="1:5" x14ac:dyDescent="0.3">
      <c r="A874" s="1" t="s">
        <v>1585</v>
      </c>
      <c r="B874">
        <v>-0.21266959085611431</v>
      </c>
      <c r="C874">
        <v>-1.330896602351813</v>
      </c>
      <c r="D874">
        <v>2.483352557532071E-2</v>
      </c>
      <c r="E874" t="b">
        <v>0</v>
      </c>
    </row>
    <row r="875" spans="1:5" x14ac:dyDescent="0.3">
      <c r="A875" s="1" t="s">
        <v>1586</v>
      </c>
      <c r="B875">
        <v>0.1247605140298136</v>
      </c>
      <c r="C875">
        <v>1.8368561402149279</v>
      </c>
      <c r="D875">
        <v>5.8424828754534468E-2</v>
      </c>
      <c r="E875" t="b">
        <v>0</v>
      </c>
    </row>
    <row r="876" spans="1:5" x14ac:dyDescent="0.3">
      <c r="A876" s="1" t="s">
        <v>1587</v>
      </c>
      <c r="B876">
        <v>0.15130273396041591</v>
      </c>
      <c r="C876">
        <v>0.9395586747351552</v>
      </c>
      <c r="D876">
        <v>2.4642036147216301E-2</v>
      </c>
      <c r="E876" t="b">
        <v>0</v>
      </c>
    </row>
    <row r="877" spans="1:5" x14ac:dyDescent="0.3">
      <c r="A877" s="1" t="s">
        <v>1590</v>
      </c>
      <c r="B877">
        <v>-6.1504041632030812E-2</v>
      </c>
      <c r="C877">
        <v>-0.77917923430416147</v>
      </c>
      <c r="D877">
        <v>5.0272811452089977E-2</v>
      </c>
      <c r="E877" t="b">
        <v>0</v>
      </c>
    </row>
    <row r="878" spans="1:5" x14ac:dyDescent="0.3">
      <c r="A878" s="1" t="s">
        <v>1591</v>
      </c>
      <c r="B878">
        <v>0.19890264205448741</v>
      </c>
      <c r="C878">
        <v>0.55645624059222376</v>
      </c>
      <c r="D878">
        <v>1.1101711179305871E-2</v>
      </c>
      <c r="E878" t="b">
        <v>0</v>
      </c>
    </row>
    <row r="879" spans="1:5" x14ac:dyDescent="0.3">
      <c r="A879" s="1" t="s">
        <v>1592</v>
      </c>
      <c r="B879">
        <v>-1.8608097021544059E-2</v>
      </c>
      <c r="C879">
        <v>-8.9303441810410153E-3</v>
      </c>
      <c r="D879">
        <v>1.9044329838381929E-3</v>
      </c>
      <c r="E879" t="b">
        <v>0</v>
      </c>
    </row>
    <row r="880" spans="1:5" x14ac:dyDescent="0.3">
      <c r="A880" s="1" t="s">
        <v>1593</v>
      </c>
      <c r="B880">
        <v>0.15621486196985329</v>
      </c>
      <c r="C880">
        <v>0.49605373293458582</v>
      </c>
      <c r="D880">
        <v>1.2601023803770629E-2</v>
      </c>
      <c r="E880" t="b">
        <v>0</v>
      </c>
    </row>
    <row r="881" spans="1:5" x14ac:dyDescent="0.3">
      <c r="A881" s="1" t="s">
        <v>1595</v>
      </c>
      <c r="B881">
        <v>-0.14106316508147179</v>
      </c>
      <c r="C881">
        <v>-0.53358724809209601</v>
      </c>
      <c r="D881">
        <v>1.501036584163026E-2</v>
      </c>
      <c r="E881" t="b">
        <v>0</v>
      </c>
    </row>
    <row r="882" spans="1:5" x14ac:dyDescent="0.3">
      <c r="A882" s="1" t="s">
        <v>1596</v>
      </c>
      <c r="B882">
        <v>0.36306609503625947</v>
      </c>
      <c r="C882">
        <v>2.3939498278866762</v>
      </c>
      <c r="D882">
        <v>2.6165486213642342E-2</v>
      </c>
      <c r="E882" t="b">
        <v>0</v>
      </c>
    </row>
    <row r="883" spans="1:5" x14ac:dyDescent="0.3">
      <c r="A883" s="1" t="s">
        <v>1597</v>
      </c>
      <c r="B883">
        <v>0.18744784705843531</v>
      </c>
      <c r="C883">
        <v>0.47568215698166999</v>
      </c>
      <c r="D883">
        <v>1.00701482395883E-2</v>
      </c>
      <c r="E883" t="b">
        <v>0</v>
      </c>
    </row>
    <row r="884" spans="1:5" x14ac:dyDescent="0.3">
      <c r="A884" s="1" t="s">
        <v>1598</v>
      </c>
      <c r="B884">
        <v>0.21532015958824949</v>
      </c>
      <c r="C884">
        <v>0.99375548360088173</v>
      </c>
      <c r="D884">
        <v>1.831446785481829E-2</v>
      </c>
      <c r="E884" t="b">
        <v>0</v>
      </c>
    </row>
    <row r="885" spans="1:5" x14ac:dyDescent="0.3">
      <c r="A885" s="1" t="s">
        <v>1599</v>
      </c>
      <c r="B885">
        <v>0.1032291874814782</v>
      </c>
      <c r="C885">
        <v>0.43099845075352272</v>
      </c>
      <c r="D885">
        <v>1.656809817301769E-2</v>
      </c>
      <c r="E885" t="b">
        <v>0</v>
      </c>
    </row>
    <row r="886" spans="1:5" x14ac:dyDescent="0.3">
      <c r="A886" s="1" t="s">
        <v>1602</v>
      </c>
      <c r="B886">
        <v>0.13258341617982211</v>
      </c>
      <c r="C886">
        <v>0.33196219295782631</v>
      </c>
      <c r="D886">
        <v>9.9357093629909472E-3</v>
      </c>
      <c r="E886" t="b">
        <v>0</v>
      </c>
    </row>
    <row r="887" spans="1:5" x14ac:dyDescent="0.3">
      <c r="A887" s="1" t="s">
        <v>1605</v>
      </c>
      <c r="B887">
        <v>0.2882972116843171</v>
      </c>
      <c r="C887">
        <v>0.68293146927840143</v>
      </c>
      <c r="D887">
        <v>9.4001794092167818E-3</v>
      </c>
      <c r="E887" t="b">
        <v>0</v>
      </c>
    </row>
    <row r="888" spans="1:5" x14ac:dyDescent="0.3">
      <c r="A888" s="1" t="s">
        <v>1606</v>
      </c>
      <c r="B888">
        <v>0.24127992092552869</v>
      </c>
      <c r="C888">
        <v>0.64679502783732312</v>
      </c>
      <c r="D888">
        <v>1.063763170187125E-2</v>
      </c>
      <c r="E888" t="b">
        <v>0</v>
      </c>
    </row>
    <row r="889" spans="1:5" x14ac:dyDescent="0.3">
      <c r="A889" s="1" t="s">
        <v>1608</v>
      </c>
      <c r="B889">
        <v>-9.0168467908362041E-2</v>
      </c>
      <c r="C889">
        <v>-0.40162741107111638</v>
      </c>
      <c r="D889">
        <v>1.7675353754066869E-2</v>
      </c>
      <c r="E889" t="b">
        <v>0</v>
      </c>
    </row>
    <row r="890" spans="1:5" x14ac:dyDescent="0.3">
      <c r="A890" s="1" t="s">
        <v>1609</v>
      </c>
      <c r="B890">
        <v>-0.2750032629462017</v>
      </c>
      <c r="C890">
        <v>-3.9505255355813622</v>
      </c>
      <c r="D890">
        <v>5.7005464099988412E-2</v>
      </c>
      <c r="E890" t="b">
        <v>0</v>
      </c>
    </row>
    <row r="891" spans="1:5" x14ac:dyDescent="0.3">
      <c r="A891" s="1" t="s">
        <v>1610</v>
      </c>
      <c r="B891">
        <v>0.21222407144430941</v>
      </c>
      <c r="C891">
        <v>1.1582956512686671</v>
      </c>
      <c r="D891">
        <v>2.1658293912075691E-2</v>
      </c>
      <c r="E891" t="b">
        <v>0</v>
      </c>
    </row>
    <row r="892" spans="1:5" x14ac:dyDescent="0.3">
      <c r="A892" s="1" t="s">
        <v>1612</v>
      </c>
      <c r="B892">
        <v>-0.15526933156583431</v>
      </c>
      <c r="C892">
        <v>-1.024759437840324</v>
      </c>
      <c r="D892">
        <v>2.619001231412766E-2</v>
      </c>
      <c r="E892" t="b">
        <v>0</v>
      </c>
    </row>
    <row r="893" spans="1:5" x14ac:dyDescent="0.3">
      <c r="A893" s="1" t="s">
        <v>1614</v>
      </c>
      <c r="B893">
        <v>0.74282695577155911</v>
      </c>
      <c r="C893">
        <v>6.4852986218868534</v>
      </c>
      <c r="D893">
        <v>3.4645097073629692E-2</v>
      </c>
      <c r="E893" t="b">
        <v>0</v>
      </c>
    </row>
    <row r="894" spans="1:5" x14ac:dyDescent="0.3">
      <c r="A894" s="1" t="s">
        <v>1616</v>
      </c>
      <c r="B894">
        <v>0.18755893570445689</v>
      </c>
      <c r="C894">
        <v>1.6177532427137551</v>
      </c>
      <c r="D894">
        <v>3.422740538030275E-2</v>
      </c>
      <c r="E894" t="b">
        <v>0</v>
      </c>
    </row>
    <row r="895" spans="1:5" x14ac:dyDescent="0.3">
      <c r="A895" s="1" t="s">
        <v>1617</v>
      </c>
      <c r="B895">
        <v>-0.30057822383180199</v>
      </c>
      <c r="C895">
        <v>-1.233544004534473</v>
      </c>
      <c r="D895">
        <v>1.628533108156555E-2</v>
      </c>
      <c r="E895" t="b">
        <v>0</v>
      </c>
    </row>
    <row r="896" spans="1:5" x14ac:dyDescent="0.3">
      <c r="A896" s="1" t="s">
        <v>1618</v>
      </c>
      <c r="B896">
        <v>-0.13290948023680629</v>
      </c>
      <c r="C896">
        <v>-1.1193148059238369</v>
      </c>
      <c r="D896">
        <v>3.3419176814316137E-2</v>
      </c>
      <c r="E896" t="b">
        <v>0</v>
      </c>
    </row>
    <row r="897" spans="1:5" x14ac:dyDescent="0.3">
      <c r="A897" s="1" t="s">
        <v>1619</v>
      </c>
      <c r="B897">
        <v>0.2681237751927345</v>
      </c>
      <c r="C897">
        <v>4.1371287118287938</v>
      </c>
      <c r="D897">
        <v>6.1229845865369212E-2</v>
      </c>
      <c r="E897" t="b">
        <v>0</v>
      </c>
    </row>
    <row r="898" spans="1:5" x14ac:dyDescent="0.3">
      <c r="A898" s="1" t="s">
        <v>1621</v>
      </c>
      <c r="B898">
        <v>-0.47718353005875591</v>
      </c>
      <c r="C898">
        <v>-1.7590599029912759</v>
      </c>
      <c r="D898">
        <v>1.4628326421035681E-2</v>
      </c>
      <c r="E898" t="b">
        <v>0</v>
      </c>
    </row>
    <row r="899" spans="1:5" x14ac:dyDescent="0.3">
      <c r="A899" s="1" t="s">
        <v>1622</v>
      </c>
      <c r="B899">
        <v>-0.35727737691807149</v>
      </c>
      <c r="C899">
        <v>-1.6942708358799281</v>
      </c>
      <c r="D899">
        <v>1.8818143554942279E-2</v>
      </c>
      <c r="E899" t="b">
        <v>0</v>
      </c>
    </row>
    <row r="900" spans="1:5" x14ac:dyDescent="0.3">
      <c r="A900" s="1" t="s">
        <v>1625</v>
      </c>
      <c r="B900">
        <v>0.27891348441231978</v>
      </c>
      <c r="C900">
        <v>1.6294274620002001</v>
      </c>
      <c r="D900">
        <v>2.3182751474667241E-2</v>
      </c>
      <c r="E900" t="b">
        <v>0</v>
      </c>
    </row>
    <row r="901" spans="1:5" x14ac:dyDescent="0.3">
      <c r="A901" s="1" t="s">
        <v>1626</v>
      </c>
      <c r="B901">
        <v>-0.1138829989569418</v>
      </c>
      <c r="C901">
        <v>-1.48574999131869</v>
      </c>
      <c r="D901">
        <v>5.1770969792539943E-2</v>
      </c>
      <c r="E901" t="b">
        <v>0</v>
      </c>
    </row>
    <row r="902" spans="1:5" x14ac:dyDescent="0.3">
      <c r="A902" s="1" t="s">
        <v>1629</v>
      </c>
      <c r="B902">
        <v>-0.16565547511870041</v>
      </c>
      <c r="C902">
        <v>-0.73458424173222769</v>
      </c>
      <c r="D902">
        <v>1.7596863793255191E-2</v>
      </c>
      <c r="E902" t="b">
        <v>0</v>
      </c>
    </row>
    <row r="903" spans="1:5" x14ac:dyDescent="0.3">
      <c r="A903" s="1" t="s">
        <v>1630</v>
      </c>
      <c r="B903">
        <v>8.6439863031509329E-2</v>
      </c>
      <c r="C903">
        <v>0.51492536098750197</v>
      </c>
      <c r="D903">
        <v>2.3639031060801331E-2</v>
      </c>
      <c r="E903" t="b">
        <v>0</v>
      </c>
    </row>
    <row r="904" spans="1:5" x14ac:dyDescent="0.3">
      <c r="A904" s="1" t="s">
        <v>1633</v>
      </c>
      <c r="B904">
        <v>0.27891953309493039</v>
      </c>
      <c r="C904">
        <v>1.4359280208745271</v>
      </c>
      <c r="D904">
        <v>2.042928655349157E-2</v>
      </c>
      <c r="E904" t="b">
        <v>0</v>
      </c>
    </row>
    <row r="905" spans="1:5" x14ac:dyDescent="0.3">
      <c r="A905" s="1" t="s">
        <v>1635</v>
      </c>
      <c r="B905">
        <v>0.30374246817078732</v>
      </c>
      <c r="C905">
        <v>2.5037174433469298</v>
      </c>
      <c r="D905">
        <v>3.270990302996319E-2</v>
      </c>
      <c r="E905" t="b">
        <v>0</v>
      </c>
    </row>
    <row r="906" spans="1:5" x14ac:dyDescent="0.3">
      <c r="A906" s="1" t="s">
        <v>1636</v>
      </c>
      <c r="B906">
        <v>-0.64356294142133097</v>
      </c>
      <c r="C906">
        <v>-3.484283430350732</v>
      </c>
      <c r="D906">
        <v>2.1484334567920409E-2</v>
      </c>
      <c r="E906" t="b">
        <v>0</v>
      </c>
    </row>
    <row r="907" spans="1:5" x14ac:dyDescent="0.3">
      <c r="A907" s="1" t="s">
        <v>1637</v>
      </c>
      <c r="B907">
        <v>0.11634466820594951</v>
      </c>
      <c r="C907">
        <v>1.065804885315212</v>
      </c>
      <c r="D907">
        <v>3.6352198435512663E-2</v>
      </c>
      <c r="E907" t="b">
        <v>0</v>
      </c>
    </row>
    <row r="908" spans="1:5" x14ac:dyDescent="0.3">
      <c r="A908" s="1" t="s">
        <v>1638</v>
      </c>
      <c r="B908">
        <v>0.12621604283966051</v>
      </c>
      <c r="C908">
        <v>0.98252668317563074</v>
      </c>
      <c r="D908">
        <v>3.0890806918896369E-2</v>
      </c>
      <c r="E908" t="b">
        <v>0</v>
      </c>
    </row>
    <row r="909" spans="1:5" x14ac:dyDescent="0.3">
      <c r="A909" s="1" t="s">
        <v>1639</v>
      </c>
      <c r="B909">
        <v>-0.1595594024918191</v>
      </c>
      <c r="C909">
        <v>-1.228708915638363</v>
      </c>
      <c r="D909">
        <v>3.0558080277099029E-2</v>
      </c>
      <c r="E909" t="b">
        <v>0</v>
      </c>
    </row>
    <row r="910" spans="1:5" x14ac:dyDescent="0.3">
      <c r="A910" s="1" t="s">
        <v>1643</v>
      </c>
      <c r="B910">
        <v>-9.6985519341822993E-2</v>
      </c>
      <c r="C910">
        <v>-0.43389321825107291</v>
      </c>
      <c r="D910">
        <v>1.7753150128060561E-2</v>
      </c>
      <c r="E910" t="b">
        <v>0</v>
      </c>
    </row>
    <row r="911" spans="1:5" x14ac:dyDescent="0.3">
      <c r="A911" s="1" t="s">
        <v>1644</v>
      </c>
      <c r="B911">
        <v>-3.0888774479398001E-2</v>
      </c>
      <c r="C911">
        <v>-0.25469833568253158</v>
      </c>
      <c r="D911">
        <v>3.2720873466637629E-2</v>
      </c>
      <c r="E911" t="b">
        <v>0</v>
      </c>
    </row>
    <row r="912" spans="1:5" x14ac:dyDescent="0.3">
      <c r="A912" s="1" t="s">
        <v>1645</v>
      </c>
      <c r="B912">
        <v>0.21458006828110249</v>
      </c>
      <c r="C912">
        <v>1.273461973505924</v>
      </c>
      <c r="D912">
        <v>2.3550279251311309E-2</v>
      </c>
      <c r="E912" t="b">
        <v>0</v>
      </c>
    </row>
    <row r="913" spans="1:5" x14ac:dyDescent="0.3">
      <c r="A913" s="1" t="s">
        <v>1646</v>
      </c>
      <c r="B913">
        <v>-7.8359106484639757E-2</v>
      </c>
      <c r="C913">
        <v>-0.72467692080418744</v>
      </c>
      <c r="D913">
        <v>3.6699015541314127E-2</v>
      </c>
      <c r="E913" t="b">
        <v>0</v>
      </c>
    </row>
    <row r="914" spans="1:5" x14ac:dyDescent="0.3">
      <c r="A914" s="1" t="s">
        <v>1648</v>
      </c>
      <c r="B914">
        <v>3.1172298711070891E-2</v>
      </c>
      <c r="C914">
        <v>0.17126849464626959</v>
      </c>
      <c r="D914">
        <v>2.1802591134402579E-2</v>
      </c>
      <c r="E914" t="b">
        <v>0</v>
      </c>
    </row>
    <row r="915" spans="1:5" x14ac:dyDescent="0.3">
      <c r="A915" s="1" t="s">
        <v>1649</v>
      </c>
      <c r="B915">
        <v>-0.41758388853172429</v>
      </c>
      <c r="C915">
        <v>-1.852779324972484</v>
      </c>
      <c r="D915">
        <v>1.7606759050193588E-2</v>
      </c>
      <c r="E915" t="b">
        <v>0</v>
      </c>
    </row>
    <row r="916" spans="1:5" x14ac:dyDescent="0.3">
      <c r="A916" s="1" t="s">
        <v>1650</v>
      </c>
      <c r="B916">
        <v>5.7805476528148693E-2</v>
      </c>
      <c r="C916">
        <v>0.20343298710603031</v>
      </c>
      <c r="D916">
        <v>1.396535080831237E-2</v>
      </c>
      <c r="E916" t="b">
        <v>0</v>
      </c>
    </row>
    <row r="917" spans="1:5" x14ac:dyDescent="0.3">
      <c r="A917" s="1" t="s">
        <v>1651</v>
      </c>
      <c r="B917">
        <v>0.18856398231365559</v>
      </c>
      <c r="C917">
        <v>0.60792128376947963</v>
      </c>
      <c r="D917">
        <v>1.279346149304135E-2</v>
      </c>
      <c r="E917" t="b">
        <v>0</v>
      </c>
    </row>
    <row r="918" spans="1:5" x14ac:dyDescent="0.3">
      <c r="A918" s="1" t="s">
        <v>1652</v>
      </c>
      <c r="B918">
        <v>0.23756909793550801</v>
      </c>
      <c r="C918">
        <v>1.058868306735234</v>
      </c>
      <c r="D918">
        <v>1.7686889400073041E-2</v>
      </c>
      <c r="E918" t="b">
        <v>0</v>
      </c>
    </row>
    <row r="919" spans="1:5" x14ac:dyDescent="0.3">
      <c r="A919" s="1" t="s">
        <v>1653</v>
      </c>
      <c r="B919">
        <v>0.1970180879569437</v>
      </c>
      <c r="C919">
        <v>0.64591248264012346</v>
      </c>
      <c r="D919">
        <v>1.300969265797358E-2</v>
      </c>
      <c r="E919" t="b">
        <v>0</v>
      </c>
    </row>
    <row r="920" spans="1:5" x14ac:dyDescent="0.3">
      <c r="A920" s="1" t="s">
        <v>1655</v>
      </c>
      <c r="B920">
        <v>0.2019442996548059</v>
      </c>
      <c r="C920">
        <v>0.68850238056880375</v>
      </c>
      <c r="D920">
        <v>1.35292370644513E-2</v>
      </c>
      <c r="E920" t="b">
        <v>0</v>
      </c>
    </row>
    <row r="921" spans="1:5" x14ac:dyDescent="0.3">
      <c r="A921" s="1" t="s">
        <v>1656</v>
      </c>
      <c r="B921">
        <v>0.27867132045503062</v>
      </c>
      <c r="C921">
        <v>1.488881377898164</v>
      </c>
      <c r="D921">
        <v>2.1201533858799949E-2</v>
      </c>
      <c r="E921" t="b">
        <v>0</v>
      </c>
    </row>
    <row r="922" spans="1:5" x14ac:dyDescent="0.3">
      <c r="A922" s="1" t="s">
        <v>1657</v>
      </c>
      <c r="B922">
        <v>2.0070750128799299E-2</v>
      </c>
      <c r="C922">
        <v>5.5438023324879099E-2</v>
      </c>
      <c r="D922">
        <v>1.096083378246253E-2</v>
      </c>
      <c r="E922" t="b">
        <v>0</v>
      </c>
    </row>
    <row r="923" spans="1:5" x14ac:dyDescent="0.3">
      <c r="A923" s="1" t="s">
        <v>1658</v>
      </c>
      <c r="B923">
        <v>-0.14728093335163911</v>
      </c>
      <c r="C923">
        <v>-0.4329658872425417</v>
      </c>
      <c r="D923">
        <v>1.166558739865357E-2</v>
      </c>
      <c r="E923" t="b">
        <v>0</v>
      </c>
    </row>
    <row r="924" spans="1:5" x14ac:dyDescent="0.3">
      <c r="A924" s="1" t="s">
        <v>1659</v>
      </c>
      <c r="B924">
        <v>-0.27762152162853238</v>
      </c>
      <c r="C924">
        <v>-0.95486299999077273</v>
      </c>
      <c r="D924">
        <v>1.364857762692576E-2</v>
      </c>
      <c r="E924" t="b">
        <v>0</v>
      </c>
    </row>
    <row r="925" spans="1:5" x14ac:dyDescent="0.3">
      <c r="A925" s="1" t="s">
        <v>1660</v>
      </c>
      <c r="B925">
        <v>-0.32706239531308318</v>
      </c>
      <c r="C925">
        <v>-1.0644000242043079</v>
      </c>
      <c r="D925">
        <v>1.291438477913393E-2</v>
      </c>
      <c r="E925" t="b">
        <v>0</v>
      </c>
    </row>
    <row r="926" spans="1:5" x14ac:dyDescent="0.3">
      <c r="A926" s="1" t="s">
        <v>1661</v>
      </c>
      <c r="B926">
        <v>0.15208728811002031</v>
      </c>
      <c r="C926">
        <v>0.65017823518617623</v>
      </c>
      <c r="D926">
        <v>1.6964418222668792E-2</v>
      </c>
      <c r="E926" t="b">
        <v>0</v>
      </c>
    </row>
    <row r="927" spans="1:5" x14ac:dyDescent="0.3">
      <c r="A927" s="1" t="s">
        <v>1664</v>
      </c>
      <c r="B927">
        <v>0.2310132851764842</v>
      </c>
      <c r="C927">
        <v>1.0991611478717069</v>
      </c>
      <c r="D927">
        <v>1.888095129879782E-2</v>
      </c>
      <c r="E927" t="b">
        <v>0</v>
      </c>
    </row>
    <row r="928" spans="1:5" x14ac:dyDescent="0.3">
      <c r="A928" s="1" t="s">
        <v>1665</v>
      </c>
      <c r="B928">
        <v>7.2993990780739681E-3</v>
      </c>
      <c r="C928">
        <v>7.1250293470126541E-2</v>
      </c>
      <c r="D928">
        <v>3.8734594009441882E-2</v>
      </c>
      <c r="E928" t="b">
        <v>0</v>
      </c>
    </row>
    <row r="929" spans="1:5" x14ac:dyDescent="0.3">
      <c r="A929" s="1" t="s">
        <v>1666</v>
      </c>
      <c r="B929">
        <v>-0.14531013604382359</v>
      </c>
      <c r="C929">
        <v>-2.2312079055775591</v>
      </c>
      <c r="D929">
        <v>6.0931741352423789E-2</v>
      </c>
      <c r="E929" t="b">
        <v>0</v>
      </c>
    </row>
    <row r="930" spans="1:5" x14ac:dyDescent="0.3">
      <c r="A930" s="1" t="s">
        <v>1667</v>
      </c>
      <c r="B930">
        <v>0.18689001667704699</v>
      </c>
      <c r="C930">
        <v>1.9141508928313209</v>
      </c>
      <c r="D930">
        <v>4.0643352766352718E-2</v>
      </c>
      <c r="E930" t="b">
        <v>0</v>
      </c>
    </row>
    <row r="931" spans="1:5" x14ac:dyDescent="0.3">
      <c r="A931" s="1" t="s">
        <v>1668</v>
      </c>
      <c r="B931">
        <v>-0.1192620664776998</v>
      </c>
      <c r="C931">
        <v>-0.54115545874000492</v>
      </c>
      <c r="D931">
        <v>1.8006079887848161E-2</v>
      </c>
      <c r="E931" t="b">
        <v>0</v>
      </c>
    </row>
    <row r="932" spans="1:5" x14ac:dyDescent="0.3">
      <c r="A932" s="1" t="s">
        <v>1669</v>
      </c>
      <c r="B932">
        <v>-4.0312987751552351E-3</v>
      </c>
      <c r="C932">
        <v>-4.7692962082224982E-2</v>
      </c>
      <c r="D932">
        <v>4.6947099829703763E-2</v>
      </c>
      <c r="E932" t="b">
        <v>0</v>
      </c>
    </row>
    <row r="933" spans="1:5" x14ac:dyDescent="0.3">
      <c r="A933" s="1" t="s">
        <v>1672</v>
      </c>
      <c r="B933">
        <v>-0.33918512598271161</v>
      </c>
      <c r="C933">
        <v>-1.5760482946042489</v>
      </c>
      <c r="D933">
        <v>1.843877994680105E-2</v>
      </c>
      <c r="E933" t="b">
        <v>0</v>
      </c>
    </row>
    <row r="934" spans="1:5" x14ac:dyDescent="0.3">
      <c r="A934" s="1" t="s">
        <v>1674</v>
      </c>
      <c r="B934">
        <v>6.8843520786888712E-2</v>
      </c>
      <c r="C934">
        <v>0.55268022141785877</v>
      </c>
      <c r="D934">
        <v>3.1857398586659612E-2</v>
      </c>
      <c r="E934" t="b">
        <v>0</v>
      </c>
    </row>
    <row r="935" spans="1:5" x14ac:dyDescent="0.3">
      <c r="A935" s="1" t="s">
        <v>1675</v>
      </c>
      <c r="B935">
        <v>-0.15451246786178491</v>
      </c>
      <c r="C935">
        <v>-1.035845432186197</v>
      </c>
      <c r="D935">
        <v>2.660301659570645E-2</v>
      </c>
      <c r="E935" t="b">
        <v>0</v>
      </c>
    </row>
    <row r="936" spans="1:5" x14ac:dyDescent="0.3">
      <c r="A936" s="1" t="s">
        <v>1676</v>
      </c>
      <c r="B936">
        <v>0.26254449622776621</v>
      </c>
      <c r="C936">
        <v>2.1493202813606098</v>
      </c>
      <c r="D936">
        <v>3.2486107528831E-2</v>
      </c>
      <c r="E936" t="b">
        <v>0</v>
      </c>
    </row>
    <row r="937" spans="1:5" x14ac:dyDescent="0.3">
      <c r="A937" s="1" t="s">
        <v>1679</v>
      </c>
      <c r="B937">
        <v>6.4939885575682629E-2</v>
      </c>
      <c r="C937">
        <v>0.51375286011284538</v>
      </c>
      <c r="D937">
        <v>3.139367751839766E-2</v>
      </c>
      <c r="E937" t="b">
        <v>0</v>
      </c>
    </row>
    <row r="938" spans="1:5" x14ac:dyDescent="0.3">
      <c r="A938" s="1" t="s">
        <v>1680</v>
      </c>
      <c r="B938">
        <v>-0.36468653894852859</v>
      </c>
      <c r="C938">
        <v>-4.1498556914720561</v>
      </c>
      <c r="D938">
        <v>4.5155714721045757E-2</v>
      </c>
      <c r="E938" t="b">
        <v>0</v>
      </c>
    </row>
    <row r="939" spans="1:5" x14ac:dyDescent="0.3">
      <c r="A939" s="1" t="s">
        <v>1682</v>
      </c>
      <c r="B939">
        <v>-0.28258620609734941</v>
      </c>
      <c r="C939">
        <v>-1.9860560592532921</v>
      </c>
      <c r="D939">
        <v>2.7889453442011582E-2</v>
      </c>
      <c r="E9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DAILY_AUDIT</vt:lpstr>
      <vt:lpstr>Calc Metrics</vt:lpstr>
      <vt:lpstr>Cal Metrics Explanation</vt:lpstr>
      <vt:lpstr>RAW_OHLCV_SAMPLES</vt:lpstr>
      <vt:lpstr>RAW_PRICES</vt:lpstr>
      <vt:lpstr>imported</vt:lpstr>
      <vt:lpstr>RAW_ATRP_DATA</vt:lpstr>
      <vt:lpstr>RAW_TRP_DATA</vt:lpstr>
      <vt:lpstr>RAW_DRIFTED_WEIGHTS</vt:lpstr>
      <vt:lpstr>SURVIVAL_AUDIT</vt:lpstr>
      <vt:lpstr>FULL_RANKING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</cp:lastModifiedBy>
  <dcterms:created xsi:type="dcterms:W3CDTF">2026-02-22T19:40:08Z</dcterms:created>
  <dcterms:modified xsi:type="dcterms:W3CDTF">2026-02-24T03:21:27Z</dcterms:modified>
</cp:coreProperties>
</file>