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020" windowHeight="10056" activeTab="2"/>
  </bookViews>
  <sheets>
    <sheet name="Instruction" sheetId="6" r:id="rId1"/>
    <sheet name="Template" sheetId="4" r:id="rId2"/>
    <sheet name="Sheet1" sheetId="5" r:id="rId3"/>
  </sheets>
  <definedNames>
    <definedName name="_StaleData">#REF!</definedName>
    <definedName name="CurrentRow">ROW()</definedName>
  </definedNames>
  <calcPr calcId="145621"/>
</workbook>
</file>

<file path=xl/calcChain.xml><?xml version="1.0" encoding="utf-8"?>
<calcChain xmlns="http://schemas.openxmlformats.org/spreadsheetml/2006/main">
  <c r="AW32" i="5" l="1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51" i="5"/>
  <c r="AW52" i="5"/>
  <c r="AW53" i="5"/>
  <c r="AW54" i="5"/>
  <c r="AW55" i="5"/>
  <c r="AW56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91" i="5"/>
  <c r="AW92" i="5"/>
  <c r="AW93" i="5"/>
  <c r="AW94" i="5"/>
  <c r="AW95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124" i="5"/>
  <c r="AW125" i="5"/>
  <c r="AW126" i="5"/>
  <c r="AW127" i="5"/>
  <c r="AW128" i="5"/>
  <c r="AW129" i="5"/>
  <c r="AW130" i="5"/>
  <c r="AW131" i="5"/>
  <c r="AW132" i="5"/>
  <c r="AW133" i="5"/>
  <c r="AW134" i="5"/>
  <c r="AW135" i="5"/>
  <c r="AW136" i="5"/>
  <c r="AW137" i="5"/>
  <c r="AW138" i="5"/>
  <c r="AW139" i="5"/>
  <c r="AW140" i="5"/>
  <c r="AW141" i="5"/>
  <c r="AW142" i="5"/>
  <c r="AW143" i="5"/>
  <c r="AW144" i="5"/>
  <c r="AW145" i="5"/>
  <c r="AW146" i="5"/>
  <c r="AW147" i="5"/>
  <c r="AW148" i="5"/>
  <c r="AW149" i="5"/>
  <c r="AW150" i="5"/>
  <c r="AW151" i="5"/>
  <c r="AW152" i="5"/>
  <c r="AW153" i="5"/>
  <c r="AW154" i="5"/>
  <c r="AW155" i="5"/>
  <c r="AW156" i="5"/>
  <c r="AW157" i="5"/>
  <c r="AW158" i="5"/>
  <c r="AW159" i="5"/>
  <c r="AW160" i="5"/>
  <c r="AW161" i="5"/>
  <c r="AW162" i="5"/>
  <c r="AW163" i="5"/>
  <c r="AW164" i="5"/>
  <c r="AW165" i="5"/>
  <c r="AW166" i="5"/>
  <c r="AW167" i="5"/>
  <c r="AW168" i="5"/>
  <c r="AW169" i="5"/>
  <c r="AW170" i="5"/>
  <c r="AW171" i="5"/>
  <c r="AW172" i="5"/>
  <c r="AW173" i="5"/>
  <c r="AW174" i="5"/>
  <c r="AW175" i="5"/>
  <c r="AW176" i="5"/>
  <c r="AW177" i="5"/>
  <c r="AW178" i="5"/>
  <c r="AW179" i="5"/>
  <c r="AW180" i="5"/>
  <c r="AW181" i="5"/>
  <c r="AW182" i="5"/>
  <c r="AW183" i="5"/>
  <c r="AW184" i="5"/>
  <c r="AW185" i="5"/>
  <c r="AW186" i="5"/>
  <c r="AW187" i="5"/>
  <c r="AW188" i="5"/>
  <c r="AW189" i="5"/>
  <c r="AW190" i="5"/>
  <c r="AW191" i="5"/>
  <c r="AW192" i="5"/>
  <c r="AW193" i="5"/>
  <c r="AW194" i="5"/>
  <c r="AW195" i="5"/>
  <c r="AW196" i="5"/>
  <c r="AW197" i="5"/>
  <c r="AW198" i="5"/>
  <c r="AW199" i="5"/>
  <c r="AW200" i="5"/>
  <c r="AW201" i="5"/>
  <c r="AW202" i="5"/>
  <c r="AW203" i="5"/>
  <c r="AW204" i="5"/>
  <c r="AW205" i="5"/>
  <c r="AW206" i="5"/>
  <c r="AW207" i="5"/>
  <c r="AW208" i="5"/>
  <c r="AW209" i="5"/>
  <c r="AW210" i="5"/>
  <c r="AW211" i="5"/>
  <c r="AW212" i="5"/>
  <c r="AW213" i="5"/>
  <c r="AW214" i="5"/>
  <c r="AW215" i="5"/>
  <c r="AW216" i="5"/>
  <c r="AW217" i="5"/>
  <c r="AW218" i="5"/>
  <c r="AW219" i="5"/>
  <c r="AW220" i="5"/>
  <c r="AW221" i="5"/>
  <c r="AW222" i="5"/>
  <c r="AW223" i="5"/>
  <c r="AW224" i="5"/>
  <c r="AW225" i="5"/>
  <c r="AW226" i="5"/>
  <c r="AW227" i="5"/>
  <c r="AW228" i="5"/>
  <c r="AW229" i="5"/>
  <c r="AW230" i="5"/>
  <c r="AW231" i="5"/>
  <c r="AW232" i="5"/>
  <c r="AW233" i="5"/>
  <c r="AW234" i="5"/>
  <c r="AW235" i="5"/>
  <c r="AW236" i="5"/>
  <c r="AW237" i="5"/>
  <c r="AW238" i="5"/>
  <c r="AW239" i="5"/>
  <c r="AW240" i="5"/>
  <c r="AW241" i="5"/>
  <c r="AW242" i="5"/>
  <c r="AW243" i="5"/>
  <c r="AW244" i="5"/>
  <c r="AW245" i="5"/>
  <c r="AW246" i="5"/>
  <c r="AW247" i="5"/>
  <c r="AW248" i="5"/>
  <c r="AW249" i="5"/>
  <c r="AW250" i="5"/>
  <c r="AW251" i="5"/>
  <c r="AW252" i="5"/>
  <c r="AW253" i="5"/>
  <c r="AW254" i="5"/>
  <c r="AW255" i="5"/>
  <c r="AW256" i="5"/>
  <c r="AW257" i="5"/>
  <c r="AW258" i="5"/>
  <c r="AW259" i="5"/>
  <c r="AW260" i="5"/>
  <c r="AW261" i="5"/>
  <c r="AW262" i="5"/>
  <c r="AW263" i="5"/>
  <c r="AW264" i="5"/>
  <c r="AW265" i="5"/>
  <c r="AW266" i="5"/>
  <c r="AW267" i="5"/>
  <c r="AW268" i="5"/>
  <c r="AW269" i="5"/>
  <c r="AW270" i="5"/>
  <c r="AW271" i="5"/>
  <c r="AW272" i="5"/>
  <c r="AW273" i="5"/>
  <c r="AW274" i="5"/>
  <c r="AW275" i="5"/>
  <c r="AW276" i="5"/>
  <c r="AW277" i="5"/>
  <c r="AW278" i="5"/>
  <c r="AW279" i="5"/>
  <c r="AW280" i="5"/>
  <c r="AW281" i="5"/>
  <c r="AW282" i="5"/>
  <c r="AW283" i="5"/>
  <c r="AW284" i="5"/>
  <c r="AW285" i="5"/>
  <c r="AW286" i="5"/>
  <c r="AW287" i="5"/>
  <c r="AW288" i="5"/>
  <c r="AW289" i="5"/>
  <c r="AW290" i="5"/>
  <c r="AW291" i="5"/>
  <c r="AW292" i="5"/>
  <c r="AW293" i="5"/>
  <c r="AW294" i="5"/>
  <c r="AW295" i="5"/>
  <c r="AW296" i="5"/>
  <c r="AW297" i="5"/>
  <c r="AW298" i="5"/>
  <c r="AW299" i="5"/>
  <c r="AW300" i="5"/>
  <c r="AW301" i="5"/>
  <c r="AW302" i="5"/>
  <c r="AW303" i="5"/>
  <c r="AW304" i="5"/>
  <c r="AW305" i="5"/>
  <c r="AW306" i="5"/>
  <c r="AW307" i="5"/>
  <c r="AW308" i="5"/>
  <c r="AW309" i="5"/>
  <c r="AW310" i="5"/>
  <c r="AW31" i="5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W157" i="4"/>
  <c r="AW158" i="4"/>
  <c r="AW159" i="4"/>
  <c r="AW160" i="4"/>
  <c r="AW161" i="4"/>
  <c r="AW162" i="4"/>
  <c r="AW163" i="4"/>
  <c r="AW164" i="4"/>
  <c r="AW165" i="4"/>
  <c r="AW166" i="4"/>
  <c r="AW167" i="4"/>
  <c r="AW168" i="4"/>
  <c r="AW169" i="4"/>
  <c r="AW170" i="4"/>
  <c r="AW171" i="4"/>
  <c r="AW172" i="4"/>
  <c r="AW173" i="4"/>
  <c r="AW174" i="4"/>
  <c r="AW175" i="4"/>
  <c r="AW176" i="4"/>
  <c r="AW177" i="4"/>
  <c r="AW178" i="4"/>
  <c r="AW179" i="4"/>
  <c r="AW180" i="4"/>
  <c r="AW181" i="4"/>
  <c r="AW182" i="4"/>
  <c r="AW183" i="4"/>
  <c r="AW184" i="4"/>
  <c r="AW185" i="4"/>
  <c r="AW186" i="4"/>
  <c r="AW187" i="4"/>
  <c r="AW188" i="4"/>
  <c r="AW189" i="4"/>
  <c r="AW190" i="4"/>
  <c r="AW191" i="4"/>
  <c r="AW192" i="4"/>
  <c r="AW193" i="4"/>
  <c r="AW194" i="4"/>
  <c r="AW195" i="4"/>
  <c r="AW196" i="4"/>
  <c r="AW197" i="4"/>
  <c r="AW198" i="4"/>
  <c r="AW199" i="4"/>
  <c r="AW200" i="4"/>
  <c r="AW201" i="4"/>
  <c r="AW202" i="4"/>
  <c r="AW203" i="4"/>
  <c r="AW204" i="4"/>
  <c r="AW205" i="4"/>
  <c r="AW206" i="4"/>
  <c r="AW207" i="4"/>
  <c r="AW208" i="4"/>
  <c r="AW209" i="4"/>
  <c r="AW210" i="4"/>
  <c r="AW211" i="4"/>
  <c r="AW212" i="4"/>
  <c r="AW213" i="4"/>
  <c r="AW214" i="4"/>
  <c r="AW215" i="4"/>
  <c r="AW216" i="4"/>
  <c r="AW217" i="4"/>
  <c r="AW218" i="4"/>
  <c r="AW219" i="4"/>
  <c r="AW220" i="4"/>
  <c r="AW221" i="4"/>
  <c r="AW222" i="4"/>
  <c r="AW223" i="4"/>
  <c r="AW224" i="4"/>
  <c r="AW225" i="4"/>
  <c r="AW226" i="4"/>
  <c r="AW227" i="4"/>
  <c r="AW228" i="4"/>
  <c r="AW229" i="4"/>
  <c r="AW230" i="4"/>
  <c r="AW231" i="4"/>
  <c r="AW232" i="4"/>
  <c r="AW233" i="4"/>
  <c r="AW234" i="4"/>
  <c r="AW235" i="4"/>
  <c r="AW236" i="4"/>
  <c r="AW237" i="4"/>
  <c r="AW238" i="4"/>
  <c r="AW239" i="4"/>
  <c r="AW240" i="4"/>
  <c r="AW241" i="4"/>
  <c r="AW242" i="4"/>
  <c r="AW243" i="4"/>
  <c r="AW244" i="4"/>
  <c r="AW245" i="4"/>
  <c r="AW246" i="4"/>
  <c r="AW247" i="4"/>
  <c r="AW248" i="4"/>
  <c r="AW249" i="4"/>
  <c r="AW250" i="4"/>
  <c r="AW251" i="4"/>
  <c r="AW252" i="4"/>
  <c r="AW253" i="4"/>
  <c r="AW254" i="4"/>
  <c r="AW255" i="4"/>
  <c r="AW256" i="4"/>
  <c r="AW257" i="4"/>
  <c r="AW258" i="4"/>
  <c r="AW259" i="4"/>
  <c r="AW260" i="4"/>
  <c r="AW261" i="4"/>
  <c r="AW262" i="4"/>
  <c r="AW263" i="4"/>
  <c r="AW264" i="4"/>
  <c r="AW265" i="4"/>
  <c r="AW266" i="4"/>
  <c r="AW267" i="4"/>
  <c r="AW268" i="4"/>
  <c r="AW269" i="4"/>
  <c r="AW270" i="4"/>
  <c r="AW271" i="4"/>
  <c r="AW272" i="4"/>
  <c r="AW273" i="4"/>
  <c r="AW274" i="4"/>
  <c r="AW275" i="4"/>
  <c r="AW276" i="4"/>
  <c r="AW277" i="4"/>
  <c r="AW278" i="4"/>
  <c r="AW279" i="4"/>
  <c r="AW280" i="4"/>
  <c r="AW281" i="4"/>
  <c r="AW282" i="4"/>
  <c r="AW283" i="4"/>
  <c r="AW284" i="4"/>
  <c r="AW285" i="4"/>
  <c r="AW286" i="4"/>
  <c r="AW287" i="4"/>
  <c r="AW288" i="4"/>
  <c r="AW289" i="4"/>
  <c r="AW290" i="4"/>
  <c r="AW291" i="4"/>
  <c r="AW292" i="4"/>
  <c r="AW293" i="4"/>
  <c r="AW294" i="4"/>
  <c r="AW295" i="4"/>
  <c r="AW296" i="4"/>
  <c r="AW297" i="4"/>
  <c r="AW298" i="4"/>
  <c r="AW299" i="4"/>
  <c r="AW300" i="4"/>
  <c r="AW301" i="4"/>
  <c r="AW302" i="4"/>
  <c r="AW303" i="4"/>
  <c r="AW304" i="4"/>
  <c r="AW305" i="4"/>
  <c r="AW306" i="4"/>
  <c r="AW307" i="4"/>
  <c r="AW308" i="4"/>
  <c r="AW309" i="4"/>
  <c r="AW310" i="4"/>
  <c r="AW31" i="4"/>
  <c r="AM32" i="5"/>
  <c r="AO12" i="5"/>
  <c r="AO13" i="5"/>
  <c r="AO246" i="5"/>
  <c r="AO247" i="5"/>
  <c r="AO248" i="5"/>
  <c r="AO249" i="5"/>
  <c r="AO250" i="5"/>
  <c r="AO251" i="5"/>
  <c r="AO252" i="5"/>
  <c r="AO253" i="5"/>
  <c r="AO254" i="5"/>
  <c r="BE310" i="5"/>
  <c r="BB310" i="5"/>
  <c r="AX310" i="5"/>
  <c r="AR310" i="5"/>
  <c r="AQ310" i="5"/>
  <c r="AN310" i="5"/>
  <c r="AO310" i="5" s="1"/>
  <c r="AM310" i="5"/>
  <c r="AE310" i="5"/>
  <c r="AD310" i="5"/>
  <c r="AF310" i="5" s="1"/>
  <c r="AA310" i="5"/>
  <c r="Z310" i="5"/>
  <c r="X310" i="5"/>
  <c r="Y310" i="5" s="1"/>
  <c r="W310" i="5"/>
  <c r="BE309" i="5"/>
  <c r="BB309" i="5"/>
  <c r="AX309" i="5"/>
  <c r="AQ309" i="5"/>
  <c r="AR309" i="5" s="1"/>
  <c r="AN309" i="5"/>
  <c r="AO309" i="5" s="1"/>
  <c r="AM309" i="5"/>
  <c r="AD309" i="5"/>
  <c r="AF309" i="5" s="1"/>
  <c r="Z309" i="5"/>
  <c r="AA309" i="5" s="1"/>
  <c r="X309" i="5"/>
  <c r="Y309" i="5" s="1"/>
  <c r="W309" i="5"/>
  <c r="BE308" i="5"/>
  <c r="BB308" i="5"/>
  <c r="AX308" i="5"/>
  <c r="AR308" i="5"/>
  <c r="AQ308" i="5"/>
  <c r="AN308" i="5"/>
  <c r="AO308" i="5" s="1"/>
  <c r="AM308" i="5"/>
  <c r="AE308" i="5"/>
  <c r="AD308" i="5"/>
  <c r="AF308" i="5" s="1"/>
  <c r="AA308" i="5"/>
  <c r="Z308" i="5"/>
  <c r="X308" i="5"/>
  <c r="Y308" i="5" s="1"/>
  <c r="W308" i="5"/>
  <c r="BE307" i="5"/>
  <c r="BB307" i="5"/>
  <c r="AX307" i="5"/>
  <c r="AQ307" i="5"/>
  <c r="AR307" i="5" s="1"/>
  <c r="AN307" i="5"/>
  <c r="AO307" i="5" s="1"/>
  <c r="AM307" i="5"/>
  <c r="AD307" i="5"/>
  <c r="AF307" i="5" s="1"/>
  <c r="Z307" i="5"/>
  <c r="AA307" i="5" s="1"/>
  <c r="Y307" i="5"/>
  <c r="X307" i="5"/>
  <c r="W307" i="5"/>
  <c r="BE306" i="5"/>
  <c r="BB306" i="5"/>
  <c r="AX306" i="5"/>
  <c r="AR306" i="5"/>
  <c r="AQ306" i="5"/>
  <c r="AN306" i="5"/>
  <c r="AO306" i="5" s="1"/>
  <c r="AM306" i="5"/>
  <c r="AE306" i="5"/>
  <c r="AD306" i="5"/>
  <c r="AF306" i="5" s="1"/>
  <c r="Z306" i="5"/>
  <c r="AA306" i="5" s="1"/>
  <c r="X306" i="5"/>
  <c r="Y306" i="5" s="1"/>
  <c r="W306" i="5"/>
  <c r="BE305" i="5"/>
  <c r="BB305" i="5"/>
  <c r="AX305" i="5"/>
  <c r="AQ305" i="5"/>
  <c r="AR305" i="5" s="1"/>
  <c r="AN305" i="5"/>
  <c r="AO305" i="5" s="1"/>
  <c r="AM305" i="5"/>
  <c r="AD305" i="5"/>
  <c r="AF305" i="5" s="1"/>
  <c r="Z305" i="5"/>
  <c r="AA305" i="5" s="1"/>
  <c r="Y305" i="5"/>
  <c r="X305" i="5"/>
  <c r="W305" i="5"/>
  <c r="BE304" i="5"/>
  <c r="BB304" i="5"/>
  <c r="AX304" i="5"/>
  <c r="AR304" i="5"/>
  <c r="AQ304" i="5"/>
  <c r="AN304" i="5"/>
  <c r="AO304" i="5" s="1"/>
  <c r="AM304" i="5"/>
  <c r="AE304" i="5"/>
  <c r="AD304" i="5"/>
  <c r="AF304" i="5" s="1"/>
  <c r="Z304" i="5"/>
  <c r="AA304" i="5" s="1"/>
  <c r="X304" i="5"/>
  <c r="Y304" i="5" s="1"/>
  <c r="W304" i="5"/>
  <c r="BE303" i="5"/>
  <c r="BB303" i="5"/>
  <c r="AX303" i="5"/>
  <c r="AQ303" i="5"/>
  <c r="AR303" i="5" s="1"/>
  <c r="AN303" i="5"/>
  <c r="AO303" i="5" s="1"/>
  <c r="AM303" i="5"/>
  <c r="AD303" i="5"/>
  <c r="AF303" i="5" s="1"/>
  <c r="Z303" i="5"/>
  <c r="AA303" i="5" s="1"/>
  <c r="X303" i="5"/>
  <c r="Y303" i="5" s="1"/>
  <c r="W303" i="5"/>
  <c r="BE302" i="5"/>
  <c r="BB302" i="5"/>
  <c r="AX302" i="5"/>
  <c r="AR302" i="5"/>
  <c r="AQ302" i="5"/>
  <c r="AN302" i="5"/>
  <c r="AO302" i="5" s="1"/>
  <c r="AM302" i="5"/>
  <c r="AE302" i="5"/>
  <c r="AD302" i="5"/>
  <c r="AF302" i="5" s="1"/>
  <c r="Z302" i="5"/>
  <c r="AA302" i="5" s="1"/>
  <c r="Y302" i="5"/>
  <c r="X302" i="5"/>
  <c r="W302" i="5"/>
  <c r="BE301" i="5"/>
  <c r="BB301" i="5"/>
  <c r="AX301" i="5"/>
  <c r="AQ301" i="5"/>
  <c r="AR301" i="5" s="1"/>
  <c r="AN301" i="5"/>
  <c r="AO301" i="5" s="1"/>
  <c r="AM301" i="5"/>
  <c r="AD301" i="5"/>
  <c r="AF301" i="5" s="1"/>
  <c r="AA301" i="5"/>
  <c r="Z301" i="5"/>
  <c r="X301" i="5"/>
  <c r="Y301" i="5" s="1"/>
  <c r="W301" i="5"/>
  <c r="BE300" i="5"/>
  <c r="BB300" i="5"/>
  <c r="AX300" i="5"/>
  <c r="AR300" i="5"/>
  <c r="AQ300" i="5"/>
  <c r="AN300" i="5"/>
  <c r="AO300" i="5" s="1"/>
  <c r="AP304" i="5" s="1"/>
  <c r="AM300" i="5"/>
  <c r="AE300" i="5"/>
  <c r="AD300" i="5"/>
  <c r="AF300" i="5" s="1"/>
  <c r="AA300" i="5"/>
  <c r="Z300" i="5"/>
  <c r="Y300" i="5"/>
  <c r="X300" i="5"/>
  <c r="W300" i="5"/>
  <c r="BE299" i="5"/>
  <c r="BB299" i="5"/>
  <c r="AX299" i="5"/>
  <c r="AR299" i="5"/>
  <c r="AQ299" i="5"/>
  <c r="AN299" i="5"/>
  <c r="AO299" i="5" s="1"/>
  <c r="AM299" i="5"/>
  <c r="AE299" i="5"/>
  <c r="AD299" i="5"/>
  <c r="AF299" i="5" s="1"/>
  <c r="Z299" i="5"/>
  <c r="AA299" i="5" s="1"/>
  <c r="X299" i="5"/>
  <c r="Y299" i="5" s="1"/>
  <c r="W299" i="5"/>
  <c r="BE298" i="5"/>
  <c r="BB298" i="5"/>
  <c r="AX298" i="5"/>
  <c r="AQ298" i="5"/>
  <c r="AR298" i="5" s="1"/>
  <c r="AN298" i="5"/>
  <c r="AO298" i="5" s="1"/>
  <c r="AM298" i="5"/>
  <c r="AD298" i="5"/>
  <c r="AF298" i="5" s="1"/>
  <c r="AA298" i="5"/>
  <c r="Z298" i="5"/>
  <c r="X298" i="5"/>
  <c r="Y298" i="5" s="1"/>
  <c r="W298" i="5"/>
  <c r="BE297" i="5"/>
  <c r="BB297" i="5"/>
  <c r="AX297" i="5"/>
  <c r="AQ297" i="5"/>
  <c r="AR297" i="5" s="1"/>
  <c r="AN297" i="5"/>
  <c r="AO297" i="5" s="1"/>
  <c r="AM297" i="5"/>
  <c r="AD297" i="5"/>
  <c r="AA297" i="5"/>
  <c r="Z297" i="5"/>
  <c r="X297" i="5"/>
  <c r="Y297" i="5" s="1"/>
  <c r="W297" i="5"/>
  <c r="BE296" i="5"/>
  <c r="BB296" i="5"/>
  <c r="AX296" i="5"/>
  <c r="AQ296" i="5"/>
  <c r="AR296" i="5" s="1"/>
  <c r="AN296" i="5"/>
  <c r="AO296" i="5" s="1"/>
  <c r="AM296" i="5"/>
  <c r="AD296" i="5"/>
  <c r="AE296" i="5" s="1"/>
  <c r="Z296" i="5"/>
  <c r="AA296" i="5" s="1"/>
  <c r="X296" i="5"/>
  <c r="W296" i="5"/>
  <c r="BE295" i="5"/>
  <c r="BB295" i="5"/>
  <c r="AX295" i="5"/>
  <c r="AQ295" i="5"/>
  <c r="AR295" i="5" s="1"/>
  <c r="AN295" i="5"/>
  <c r="AO295" i="5" s="1"/>
  <c r="AM295" i="5"/>
  <c r="AF295" i="5"/>
  <c r="AD295" i="5"/>
  <c r="AE295" i="5" s="1"/>
  <c r="Z295" i="5"/>
  <c r="AA295" i="5" s="1"/>
  <c r="X295" i="5"/>
  <c r="Y295" i="5" s="1"/>
  <c r="W295" i="5"/>
  <c r="BE294" i="5"/>
  <c r="BB294" i="5"/>
  <c r="AX294" i="5"/>
  <c r="AQ294" i="5"/>
  <c r="AR294" i="5" s="1"/>
  <c r="AN294" i="5"/>
  <c r="AO294" i="5" s="1"/>
  <c r="AM294" i="5"/>
  <c r="AD294" i="5"/>
  <c r="Z294" i="5"/>
  <c r="AA294" i="5" s="1"/>
  <c r="X294" i="5"/>
  <c r="W294" i="5"/>
  <c r="BE293" i="5"/>
  <c r="BB293" i="5"/>
  <c r="AX293" i="5"/>
  <c r="AQ293" i="5"/>
  <c r="AR293" i="5" s="1"/>
  <c r="AN293" i="5"/>
  <c r="AO293" i="5" s="1"/>
  <c r="AM293" i="5"/>
  <c r="AD293" i="5"/>
  <c r="AE293" i="5" s="1"/>
  <c r="Z293" i="5"/>
  <c r="X293" i="5"/>
  <c r="Y293" i="5" s="1"/>
  <c r="W293" i="5"/>
  <c r="BE292" i="5"/>
  <c r="BB292" i="5"/>
  <c r="AX292" i="5"/>
  <c r="AQ292" i="5"/>
  <c r="AR292" i="5" s="1"/>
  <c r="AN292" i="5"/>
  <c r="AO292" i="5" s="1"/>
  <c r="AM292" i="5"/>
  <c r="AD292" i="5"/>
  <c r="AE292" i="5" s="1"/>
  <c r="Z292" i="5"/>
  <c r="AA292" i="5" s="1"/>
  <c r="X292" i="5"/>
  <c r="Y292" i="5" s="1"/>
  <c r="W292" i="5"/>
  <c r="BE291" i="5"/>
  <c r="BB291" i="5"/>
  <c r="AX291" i="5"/>
  <c r="AQ291" i="5"/>
  <c r="AR291" i="5" s="1"/>
  <c r="AN291" i="5"/>
  <c r="AO291" i="5" s="1"/>
  <c r="AM291" i="5"/>
  <c r="AF291" i="5"/>
  <c r="AD291" i="5"/>
  <c r="AE291" i="5" s="1"/>
  <c r="Z291" i="5"/>
  <c r="AA291" i="5" s="1"/>
  <c r="X291" i="5"/>
  <c r="Y291" i="5" s="1"/>
  <c r="W291" i="5"/>
  <c r="BE290" i="5"/>
  <c r="BB290" i="5"/>
  <c r="AX290" i="5"/>
  <c r="AQ290" i="5"/>
  <c r="AR290" i="5" s="1"/>
  <c r="AN290" i="5"/>
  <c r="AO290" i="5" s="1"/>
  <c r="AM290" i="5"/>
  <c r="AF290" i="5"/>
  <c r="AD290" i="5"/>
  <c r="AE290" i="5" s="1"/>
  <c r="Z290" i="5"/>
  <c r="AA290" i="5" s="1"/>
  <c r="X290" i="5"/>
  <c r="Y290" i="5" s="1"/>
  <c r="W290" i="5"/>
  <c r="BE289" i="5"/>
  <c r="BB289" i="5"/>
  <c r="AX289" i="5"/>
  <c r="AQ289" i="5"/>
  <c r="AR289" i="5" s="1"/>
  <c r="AN289" i="5"/>
  <c r="AO289" i="5" s="1"/>
  <c r="AM289" i="5"/>
  <c r="AD289" i="5"/>
  <c r="AE289" i="5" s="1"/>
  <c r="Z289" i="5"/>
  <c r="AA289" i="5" s="1"/>
  <c r="X289" i="5"/>
  <c r="Y289" i="5" s="1"/>
  <c r="W289" i="5"/>
  <c r="BE288" i="5"/>
  <c r="BB288" i="5"/>
  <c r="AX288" i="5"/>
  <c r="AR288" i="5"/>
  <c r="AQ288" i="5"/>
  <c r="AN288" i="5"/>
  <c r="AO288" i="5" s="1"/>
  <c r="AM288" i="5"/>
  <c r="AD288" i="5"/>
  <c r="AE288" i="5" s="1"/>
  <c r="Z288" i="5"/>
  <c r="AA288" i="5" s="1"/>
  <c r="X288" i="5"/>
  <c r="W288" i="5"/>
  <c r="BE287" i="5"/>
  <c r="BB287" i="5"/>
  <c r="AX287" i="5"/>
  <c r="AQ287" i="5"/>
  <c r="AR287" i="5" s="1"/>
  <c r="AN287" i="5"/>
  <c r="AO287" i="5" s="1"/>
  <c r="AM287" i="5"/>
  <c r="AD287" i="5"/>
  <c r="AE287" i="5" s="1"/>
  <c r="Z287" i="5"/>
  <c r="AA287" i="5" s="1"/>
  <c r="X287" i="5"/>
  <c r="Y287" i="5" s="1"/>
  <c r="W287" i="5"/>
  <c r="BE286" i="5"/>
  <c r="BB286" i="5"/>
  <c r="AX286" i="5"/>
  <c r="AQ286" i="5"/>
  <c r="AR286" i="5" s="1"/>
  <c r="AN286" i="5"/>
  <c r="AO286" i="5" s="1"/>
  <c r="AM286" i="5"/>
  <c r="AD286" i="5"/>
  <c r="AE286" i="5" s="1"/>
  <c r="AA286" i="5"/>
  <c r="Z286" i="5"/>
  <c r="X286" i="5"/>
  <c r="Y286" i="5" s="1"/>
  <c r="W286" i="5"/>
  <c r="BE285" i="5"/>
  <c r="BB285" i="5"/>
  <c r="AX285" i="5"/>
  <c r="AQ285" i="5"/>
  <c r="AR285" i="5" s="1"/>
  <c r="AN285" i="5"/>
  <c r="AO285" i="5" s="1"/>
  <c r="AM285" i="5"/>
  <c r="AD285" i="5"/>
  <c r="AF285" i="5" s="1"/>
  <c r="Z285" i="5"/>
  <c r="AA285" i="5" s="1"/>
  <c r="X285" i="5"/>
  <c r="Y285" i="5" s="1"/>
  <c r="W285" i="5"/>
  <c r="BE284" i="5"/>
  <c r="BB284" i="5"/>
  <c r="AX284" i="5"/>
  <c r="AQ284" i="5"/>
  <c r="AR284" i="5" s="1"/>
  <c r="AN284" i="5"/>
  <c r="AO284" i="5" s="1"/>
  <c r="AM284" i="5"/>
  <c r="AD284" i="5"/>
  <c r="AF284" i="5" s="1"/>
  <c r="Z284" i="5"/>
  <c r="AA284" i="5" s="1"/>
  <c r="X284" i="5"/>
  <c r="W284" i="5"/>
  <c r="BE283" i="5"/>
  <c r="BB283" i="5"/>
  <c r="AX283" i="5"/>
  <c r="AQ283" i="5"/>
  <c r="AR283" i="5" s="1"/>
  <c r="AN283" i="5"/>
  <c r="AO283" i="5" s="1"/>
  <c r="AM283" i="5"/>
  <c r="AD283" i="5"/>
  <c r="AE283" i="5" s="1"/>
  <c r="AA283" i="5"/>
  <c r="Z283" i="5"/>
  <c r="X283" i="5"/>
  <c r="W283" i="5"/>
  <c r="BE282" i="5"/>
  <c r="BB282" i="5"/>
  <c r="AX282" i="5"/>
  <c r="AR282" i="5"/>
  <c r="AQ282" i="5"/>
  <c r="AN282" i="5"/>
  <c r="AO282" i="5" s="1"/>
  <c r="AM282" i="5"/>
  <c r="AF282" i="5"/>
  <c r="AD282" i="5"/>
  <c r="AE282" i="5" s="1"/>
  <c r="Z282" i="5"/>
  <c r="AA282" i="5" s="1"/>
  <c r="X282" i="5"/>
  <c r="W282" i="5"/>
  <c r="BE281" i="5"/>
  <c r="BB281" i="5"/>
  <c r="AX281" i="5"/>
  <c r="AQ281" i="5"/>
  <c r="AR281" i="5" s="1"/>
  <c r="AN281" i="5"/>
  <c r="AO281" i="5" s="1"/>
  <c r="AM281" i="5"/>
  <c r="AF281" i="5"/>
  <c r="AE281" i="5"/>
  <c r="AD281" i="5"/>
  <c r="Z281" i="5"/>
  <c r="AA281" i="5" s="1"/>
  <c r="X281" i="5"/>
  <c r="W281" i="5"/>
  <c r="BE280" i="5"/>
  <c r="BB280" i="5"/>
  <c r="AX280" i="5"/>
  <c r="AQ280" i="5"/>
  <c r="AR280" i="5" s="1"/>
  <c r="AN280" i="5"/>
  <c r="AO280" i="5" s="1"/>
  <c r="AM280" i="5"/>
  <c r="AD280" i="5"/>
  <c r="AE280" i="5" s="1"/>
  <c r="Z280" i="5"/>
  <c r="AA280" i="5" s="1"/>
  <c r="X280" i="5"/>
  <c r="W280" i="5"/>
  <c r="BE279" i="5"/>
  <c r="BB279" i="5"/>
  <c r="AX279" i="5"/>
  <c r="AQ279" i="5"/>
  <c r="AR279" i="5" s="1"/>
  <c r="AO279" i="5"/>
  <c r="AN279" i="5"/>
  <c r="AM279" i="5"/>
  <c r="AF279" i="5"/>
  <c r="AE279" i="5"/>
  <c r="AD279" i="5"/>
  <c r="Z279" i="5"/>
  <c r="AA279" i="5" s="1"/>
  <c r="X279" i="5"/>
  <c r="W279" i="5"/>
  <c r="BE278" i="5"/>
  <c r="BB278" i="5"/>
  <c r="AX278" i="5"/>
  <c r="AQ278" i="5"/>
  <c r="AR278" i="5" s="1"/>
  <c r="AN278" i="5"/>
  <c r="AO278" i="5" s="1"/>
  <c r="AM278" i="5"/>
  <c r="AD278" i="5"/>
  <c r="AE278" i="5" s="1"/>
  <c r="Z278" i="5"/>
  <c r="AA278" i="5" s="1"/>
  <c r="X278" i="5"/>
  <c r="W278" i="5"/>
  <c r="BE277" i="5"/>
  <c r="BB277" i="5"/>
  <c r="AX277" i="5"/>
  <c r="AQ277" i="5"/>
  <c r="AR277" i="5" s="1"/>
  <c r="AO277" i="5"/>
  <c r="AN277" i="5"/>
  <c r="AM277" i="5"/>
  <c r="AF277" i="5"/>
  <c r="AE277" i="5"/>
  <c r="AD277" i="5"/>
  <c r="Z277" i="5"/>
  <c r="AA277" i="5" s="1"/>
  <c r="X277" i="5"/>
  <c r="W277" i="5"/>
  <c r="BE276" i="5"/>
  <c r="BB276" i="5"/>
  <c r="AX276" i="5"/>
  <c r="AQ276" i="5"/>
  <c r="AR276" i="5" s="1"/>
  <c r="AN276" i="5"/>
  <c r="AO276" i="5" s="1"/>
  <c r="AP280" i="5" s="1"/>
  <c r="AM276" i="5"/>
  <c r="AD276" i="5"/>
  <c r="AE276" i="5" s="1"/>
  <c r="Z276" i="5"/>
  <c r="AA276" i="5" s="1"/>
  <c r="X276" i="5"/>
  <c r="W276" i="5"/>
  <c r="BE275" i="5"/>
  <c r="BB275" i="5"/>
  <c r="AX275" i="5"/>
  <c r="AQ275" i="5"/>
  <c r="AR275" i="5" s="1"/>
  <c r="AO275" i="5"/>
  <c r="AN275" i="5"/>
  <c r="AM275" i="5"/>
  <c r="AF275" i="5"/>
  <c r="AE275" i="5"/>
  <c r="AD275" i="5"/>
  <c r="Z275" i="5"/>
  <c r="AA275" i="5" s="1"/>
  <c r="X275" i="5"/>
  <c r="W275" i="5"/>
  <c r="BE274" i="5"/>
  <c r="BB274" i="5"/>
  <c r="AX274" i="5"/>
  <c r="AQ274" i="5"/>
  <c r="AR274" i="5" s="1"/>
  <c r="AN274" i="5"/>
  <c r="AO274" i="5" s="1"/>
  <c r="AP278" i="5" s="1"/>
  <c r="AM274" i="5"/>
  <c r="AD274" i="5"/>
  <c r="AE274" i="5" s="1"/>
  <c r="Z274" i="5"/>
  <c r="AA274" i="5" s="1"/>
  <c r="X274" i="5"/>
  <c r="W274" i="5"/>
  <c r="BE273" i="5"/>
  <c r="BB273" i="5"/>
  <c r="AX273" i="5"/>
  <c r="AQ273" i="5"/>
  <c r="AR273" i="5" s="1"/>
  <c r="AO273" i="5"/>
  <c r="AN273" i="5"/>
  <c r="AM273" i="5"/>
  <c r="AF273" i="5"/>
  <c r="AE273" i="5"/>
  <c r="AD273" i="5"/>
  <c r="Z273" i="5"/>
  <c r="AA273" i="5" s="1"/>
  <c r="X273" i="5"/>
  <c r="W273" i="5"/>
  <c r="BE272" i="5"/>
  <c r="BB272" i="5"/>
  <c r="AX272" i="5"/>
  <c r="AQ272" i="5"/>
  <c r="AR272" i="5" s="1"/>
  <c r="AN272" i="5"/>
  <c r="AO272" i="5" s="1"/>
  <c r="AP276" i="5" s="1"/>
  <c r="AM272" i="5"/>
  <c r="AD272" i="5"/>
  <c r="AE272" i="5" s="1"/>
  <c r="Z272" i="5"/>
  <c r="AA272" i="5" s="1"/>
  <c r="X272" i="5"/>
  <c r="W272" i="5"/>
  <c r="BE271" i="5"/>
  <c r="BB271" i="5"/>
  <c r="AX271" i="5"/>
  <c r="AQ271" i="5"/>
  <c r="AR271" i="5" s="1"/>
  <c r="AO271" i="5"/>
  <c r="AN271" i="5"/>
  <c r="AM271" i="5"/>
  <c r="AF271" i="5"/>
  <c r="AE271" i="5"/>
  <c r="AD271" i="5"/>
  <c r="Z271" i="5"/>
  <c r="AA271" i="5" s="1"/>
  <c r="X271" i="5"/>
  <c r="W271" i="5"/>
  <c r="BE270" i="5"/>
  <c r="BB270" i="5"/>
  <c r="AX270" i="5"/>
  <c r="AQ270" i="5"/>
  <c r="AR270" i="5" s="1"/>
  <c r="AN270" i="5"/>
  <c r="AO270" i="5" s="1"/>
  <c r="AM270" i="5"/>
  <c r="AD270" i="5"/>
  <c r="AE270" i="5" s="1"/>
  <c r="Z270" i="5"/>
  <c r="AA270" i="5" s="1"/>
  <c r="X270" i="5"/>
  <c r="W270" i="5"/>
  <c r="BE269" i="5"/>
  <c r="BB269" i="5"/>
  <c r="AX269" i="5"/>
  <c r="AQ269" i="5"/>
  <c r="AR269" i="5" s="1"/>
  <c r="AO269" i="5"/>
  <c r="AN269" i="5"/>
  <c r="AM269" i="5"/>
  <c r="AF269" i="5"/>
  <c r="AE269" i="5"/>
  <c r="AD269" i="5"/>
  <c r="Z269" i="5"/>
  <c r="AA269" i="5" s="1"/>
  <c r="X269" i="5"/>
  <c r="W269" i="5"/>
  <c r="BE268" i="5"/>
  <c r="BB268" i="5"/>
  <c r="AX268" i="5"/>
  <c r="AQ268" i="5"/>
  <c r="AR268" i="5" s="1"/>
  <c r="AN268" i="5"/>
  <c r="AO268" i="5" s="1"/>
  <c r="AP272" i="5" s="1"/>
  <c r="AM268" i="5"/>
  <c r="AD268" i="5"/>
  <c r="Z268" i="5"/>
  <c r="AA268" i="5" s="1"/>
  <c r="X268" i="5"/>
  <c r="W268" i="5"/>
  <c r="BE267" i="5"/>
  <c r="BB267" i="5"/>
  <c r="AX267" i="5"/>
  <c r="AQ267" i="5"/>
  <c r="AR267" i="5" s="1"/>
  <c r="AN267" i="5"/>
  <c r="AO267" i="5" s="1"/>
  <c r="AM267" i="5"/>
  <c r="AD267" i="5"/>
  <c r="AF267" i="5" s="1"/>
  <c r="Z267" i="5"/>
  <c r="X267" i="5"/>
  <c r="W267" i="5"/>
  <c r="BE266" i="5"/>
  <c r="BB266" i="5"/>
  <c r="AX266" i="5"/>
  <c r="AQ266" i="5"/>
  <c r="AR266" i="5" s="1"/>
  <c r="AN266" i="5"/>
  <c r="AO266" i="5" s="1"/>
  <c r="AM266" i="5"/>
  <c r="AD266" i="5"/>
  <c r="AF266" i="5" s="1"/>
  <c r="Z266" i="5"/>
  <c r="AA266" i="5" s="1"/>
  <c r="X266" i="5"/>
  <c r="W266" i="5"/>
  <c r="BE265" i="5"/>
  <c r="BB265" i="5"/>
  <c r="AX265" i="5"/>
  <c r="AQ265" i="5"/>
  <c r="AR265" i="5" s="1"/>
  <c r="AN265" i="5"/>
  <c r="AO265" i="5" s="1"/>
  <c r="AM265" i="5"/>
  <c r="AD265" i="5"/>
  <c r="AF265" i="5" s="1"/>
  <c r="Z265" i="5"/>
  <c r="AA265" i="5" s="1"/>
  <c r="X265" i="5"/>
  <c r="Y265" i="5" s="1"/>
  <c r="W265" i="5"/>
  <c r="BE264" i="5"/>
  <c r="BB264" i="5"/>
  <c r="AX264" i="5"/>
  <c r="AQ264" i="5"/>
  <c r="AR264" i="5" s="1"/>
  <c r="AN264" i="5"/>
  <c r="AO264" i="5" s="1"/>
  <c r="AM264" i="5"/>
  <c r="AD264" i="5"/>
  <c r="AF264" i="5" s="1"/>
  <c r="Z264" i="5"/>
  <c r="AA264" i="5" s="1"/>
  <c r="X264" i="5"/>
  <c r="Y264" i="5" s="1"/>
  <c r="W264" i="5"/>
  <c r="BE263" i="5"/>
  <c r="BB263" i="5"/>
  <c r="AX263" i="5"/>
  <c r="AQ263" i="5"/>
  <c r="AR263" i="5" s="1"/>
  <c r="AN263" i="5"/>
  <c r="AO263" i="5" s="1"/>
  <c r="AM263" i="5"/>
  <c r="AD263" i="5"/>
  <c r="AF263" i="5" s="1"/>
  <c r="Z263" i="5"/>
  <c r="AA263" i="5" s="1"/>
  <c r="X263" i="5"/>
  <c r="Y263" i="5" s="1"/>
  <c r="W263" i="5"/>
  <c r="BE262" i="5"/>
  <c r="BB262" i="5"/>
  <c r="AX262" i="5"/>
  <c r="AQ262" i="5"/>
  <c r="AR262" i="5" s="1"/>
  <c r="AN262" i="5"/>
  <c r="AO262" i="5" s="1"/>
  <c r="AM262" i="5"/>
  <c r="AD262" i="5"/>
  <c r="AF262" i="5" s="1"/>
  <c r="Z262" i="5"/>
  <c r="AA262" i="5" s="1"/>
  <c r="X262" i="5"/>
  <c r="Y262" i="5" s="1"/>
  <c r="W262" i="5"/>
  <c r="BE261" i="5"/>
  <c r="BB261" i="5"/>
  <c r="AX261" i="5"/>
  <c r="AQ261" i="5"/>
  <c r="AR261" i="5" s="1"/>
  <c r="AN261" i="5"/>
  <c r="AO261" i="5" s="1"/>
  <c r="AM261" i="5"/>
  <c r="AD261" i="5"/>
  <c r="AF261" i="5" s="1"/>
  <c r="Z261" i="5"/>
  <c r="AA261" i="5" s="1"/>
  <c r="X261" i="5"/>
  <c r="Y261" i="5" s="1"/>
  <c r="W261" i="5"/>
  <c r="BE260" i="5"/>
  <c r="BB260" i="5"/>
  <c r="AX260" i="5"/>
  <c r="AR260" i="5"/>
  <c r="AQ260" i="5"/>
  <c r="AN260" i="5"/>
  <c r="AO260" i="5" s="1"/>
  <c r="AM260" i="5"/>
  <c r="AE260" i="5"/>
  <c r="AD260" i="5"/>
  <c r="AF260" i="5" s="1"/>
  <c r="Z260" i="5"/>
  <c r="AA260" i="5" s="1"/>
  <c r="X260" i="5"/>
  <c r="Y260" i="5" s="1"/>
  <c r="W260" i="5"/>
  <c r="BE259" i="5"/>
  <c r="BB259" i="5"/>
  <c r="AX259" i="5"/>
  <c r="AQ259" i="5"/>
  <c r="AR259" i="5" s="1"/>
  <c r="AN259" i="5"/>
  <c r="AO259" i="5" s="1"/>
  <c r="AM259" i="5"/>
  <c r="AD259" i="5"/>
  <c r="AF259" i="5" s="1"/>
  <c r="Z259" i="5"/>
  <c r="AA259" i="5" s="1"/>
  <c r="X259" i="5"/>
  <c r="Y259" i="5" s="1"/>
  <c r="W259" i="5"/>
  <c r="BE258" i="5"/>
  <c r="BB258" i="5"/>
  <c r="AX258" i="5"/>
  <c r="AQ258" i="5"/>
  <c r="AR258" i="5" s="1"/>
  <c r="AN258" i="5"/>
  <c r="AO258" i="5" s="1"/>
  <c r="AP262" i="5" s="1"/>
  <c r="AM258" i="5"/>
  <c r="AD258" i="5"/>
  <c r="AF258" i="5" s="1"/>
  <c r="Z258" i="5"/>
  <c r="AA258" i="5" s="1"/>
  <c r="X258" i="5"/>
  <c r="Y258" i="5" s="1"/>
  <c r="W258" i="5"/>
  <c r="BE257" i="5"/>
  <c r="BB257" i="5"/>
  <c r="AX257" i="5"/>
  <c r="AQ257" i="5"/>
  <c r="AR257" i="5" s="1"/>
  <c r="AN257" i="5"/>
  <c r="AO257" i="5" s="1"/>
  <c r="AM257" i="5"/>
  <c r="AD257" i="5"/>
  <c r="AF257" i="5" s="1"/>
  <c r="Z257" i="5"/>
  <c r="AA257" i="5" s="1"/>
  <c r="X257" i="5"/>
  <c r="Y257" i="5" s="1"/>
  <c r="W257" i="5"/>
  <c r="BE256" i="5"/>
  <c r="BB256" i="5"/>
  <c r="AX256" i="5"/>
  <c r="AR256" i="5"/>
  <c r="AQ256" i="5"/>
  <c r="AN256" i="5"/>
  <c r="AO256" i="5" s="1"/>
  <c r="AM256" i="5"/>
  <c r="AE256" i="5"/>
  <c r="AD256" i="5"/>
  <c r="AF256" i="5" s="1"/>
  <c r="Z256" i="5"/>
  <c r="AA256" i="5" s="1"/>
  <c r="X256" i="5"/>
  <c r="Y256" i="5" s="1"/>
  <c r="W256" i="5"/>
  <c r="BE255" i="5"/>
  <c r="BB255" i="5"/>
  <c r="AX255" i="5"/>
  <c r="AQ255" i="5"/>
  <c r="AR255" i="5" s="1"/>
  <c r="AN255" i="5"/>
  <c r="AO255" i="5" s="1"/>
  <c r="AM255" i="5"/>
  <c r="AD255" i="5"/>
  <c r="AF255" i="5" s="1"/>
  <c r="Z255" i="5"/>
  <c r="AA255" i="5" s="1"/>
  <c r="X255" i="5"/>
  <c r="Y255" i="5" s="1"/>
  <c r="W255" i="5"/>
  <c r="BE254" i="5"/>
  <c r="BB254" i="5"/>
  <c r="AX254" i="5"/>
  <c r="AQ254" i="5"/>
  <c r="AR254" i="5" s="1"/>
  <c r="AN254" i="5"/>
  <c r="AM254" i="5"/>
  <c r="AD254" i="5"/>
  <c r="AF254" i="5" s="1"/>
  <c r="Z254" i="5"/>
  <c r="AA254" i="5" s="1"/>
  <c r="X254" i="5"/>
  <c r="Y254" i="5" s="1"/>
  <c r="W254" i="5"/>
  <c r="BE253" i="5"/>
  <c r="BB253" i="5"/>
  <c r="AX253" i="5"/>
  <c r="AQ253" i="5"/>
  <c r="AR253" i="5" s="1"/>
  <c r="AN253" i="5"/>
  <c r="AM253" i="5"/>
  <c r="AD253" i="5"/>
  <c r="AF253" i="5" s="1"/>
  <c r="Z253" i="5"/>
  <c r="AA253" i="5" s="1"/>
  <c r="X253" i="5"/>
  <c r="Y253" i="5" s="1"/>
  <c r="W253" i="5"/>
  <c r="BE252" i="5"/>
  <c r="BB252" i="5"/>
  <c r="AX252" i="5"/>
  <c r="AQ252" i="5"/>
  <c r="AR252" i="5" s="1"/>
  <c r="AN252" i="5"/>
  <c r="AM252" i="5"/>
  <c r="AD252" i="5"/>
  <c r="AF252" i="5" s="1"/>
  <c r="Z252" i="5"/>
  <c r="AA252" i="5" s="1"/>
  <c r="X252" i="5"/>
  <c r="Y252" i="5" s="1"/>
  <c r="W252" i="5"/>
  <c r="BE251" i="5"/>
  <c r="BB251" i="5"/>
  <c r="AX251" i="5"/>
  <c r="AQ251" i="5"/>
  <c r="AR251" i="5" s="1"/>
  <c r="AN251" i="5"/>
  <c r="AM251" i="5"/>
  <c r="AD251" i="5"/>
  <c r="AF251" i="5" s="1"/>
  <c r="Z251" i="5"/>
  <c r="AA251" i="5" s="1"/>
  <c r="X251" i="5"/>
  <c r="Y251" i="5" s="1"/>
  <c r="W251" i="5"/>
  <c r="BE250" i="5"/>
  <c r="BB250" i="5"/>
  <c r="AX250" i="5"/>
  <c r="AQ250" i="5"/>
  <c r="AR250" i="5" s="1"/>
  <c r="AN250" i="5"/>
  <c r="AM250" i="5"/>
  <c r="AD250" i="5"/>
  <c r="AF250" i="5" s="1"/>
  <c r="AA250" i="5"/>
  <c r="Z250" i="5"/>
  <c r="X250" i="5"/>
  <c r="Y250" i="5" s="1"/>
  <c r="W250" i="5"/>
  <c r="BE249" i="5"/>
  <c r="BB249" i="5"/>
  <c r="AX249" i="5"/>
  <c r="AQ249" i="5"/>
  <c r="AR249" i="5" s="1"/>
  <c r="AN249" i="5"/>
  <c r="AM249" i="5"/>
  <c r="AD249" i="5"/>
  <c r="AF249" i="5" s="1"/>
  <c r="Z249" i="5"/>
  <c r="AA249" i="5" s="1"/>
  <c r="X249" i="5"/>
  <c r="Y249" i="5" s="1"/>
  <c r="W249" i="5"/>
  <c r="BE248" i="5"/>
  <c r="BB248" i="5"/>
  <c r="AX248" i="5"/>
  <c r="AQ248" i="5"/>
  <c r="AR248" i="5" s="1"/>
  <c r="AN248" i="5"/>
  <c r="AM248" i="5"/>
  <c r="AD248" i="5"/>
  <c r="AF248" i="5" s="1"/>
  <c r="Z248" i="5"/>
  <c r="AA248" i="5" s="1"/>
  <c r="X248" i="5"/>
  <c r="Y248" i="5" s="1"/>
  <c r="W248" i="5"/>
  <c r="BE247" i="5"/>
  <c r="BB247" i="5"/>
  <c r="AX247" i="5"/>
  <c r="AQ247" i="5"/>
  <c r="AV309" i="5" s="1"/>
  <c r="AN247" i="5"/>
  <c r="AM247" i="5"/>
  <c r="AD247" i="5"/>
  <c r="AF247" i="5" s="1"/>
  <c r="AA247" i="5"/>
  <c r="Z247" i="5"/>
  <c r="X247" i="5"/>
  <c r="Y247" i="5" s="1"/>
  <c r="W247" i="5"/>
  <c r="BE246" i="5"/>
  <c r="BB246" i="5"/>
  <c r="AX246" i="5"/>
  <c r="AQ246" i="5"/>
  <c r="AV308" i="5" s="1"/>
  <c r="AN246" i="5"/>
  <c r="AM246" i="5"/>
  <c r="AD246" i="5"/>
  <c r="AF246" i="5" s="1"/>
  <c r="Z246" i="5"/>
  <c r="X246" i="5"/>
  <c r="Y246" i="5" s="1"/>
  <c r="W246" i="5"/>
  <c r="BE245" i="5"/>
  <c r="BB245" i="5"/>
  <c r="AX245" i="5"/>
  <c r="AQ245" i="5"/>
  <c r="AN245" i="5"/>
  <c r="AO245" i="5" s="1"/>
  <c r="AM245" i="5"/>
  <c r="AD245" i="5"/>
  <c r="AF245" i="5" s="1"/>
  <c r="Z245" i="5"/>
  <c r="X245" i="5"/>
  <c r="Y245" i="5" s="1"/>
  <c r="W245" i="5"/>
  <c r="BE244" i="5"/>
  <c r="BB244" i="5"/>
  <c r="AX244" i="5"/>
  <c r="AR244" i="5"/>
  <c r="AQ244" i="5"/>
  <c r="AN244" i="5"/>
  <c r="AO244" i="5" s="1"/>
  <c r="AM244" i="5"/>
  <c r="AE244" i="5"/>
  <c r="AD244" i="5"/>
  <c r="AF244" i="5" s="1"/>
  <c r="Z244" i="5"/>
  <c r="AA244" i="5" s="1"/>
  <c r="X244" i="5"/>
  <c r="Y244" i="5" s="1"/>
  <c r="W244" i="5"/>
  <c r="BE243" i="5"/>
  <c r="BB243" i="5"/>
  <c r="AX243" i="5"/>
  <c r="AQ243" i="5"/>
  <c r="AR243" i="5" s="1"/>
  <c r="AN243" i="5"/>
  <c r="AO243" i="5" s="1"/>
  <c r="AM243" i="5"/>
  <c r="AD243" i="5"/>
  <c r="AF243" i="5" s="1"/>
  <c r="Z243" i="5"/>
  <c r="AA243" i="5" s="1"/>
  <c r="X243" i="5"/>
  <c r="Y243" i="5" s="1"/>
  <c r="W243" i="5"/>
  <c r="BE242" i="5"/>
  <c r="BB242" i="5"/>
  <c r="AX242" i="5"/>
  <c r="AQ242" i="5"/>
  <c r="AR242" i="5" s="1"/>
  <c r="AN242" i="5"/>
  <c r="AO242" i="5" s="1"/>
  <c r="AM242" i="5"/>
  <c r="AD242" i="5"/>
  <c r="AF242" i="5" s="1"/>
  <c r="Z242" i="5"/>
  <c r="AA242" i="5" s="1"/>
  <c r="X242" i="5"/>
  <c r="Y242" i="5" s="1"/>
  <c r="W242" i="5"/>
  <c r="BE241" i="5"/>
  <c r="BB241" i="5"/>
  <c r="AX241" i="5"/>
  <c r="AQ241" i="5"/>
  <c r="AV303" i="5" s="1"/>
  <c r="AN241" i="5"/>
  <c r="AO241" i="5" s="1"/>
  <c r="AM241" i="5"/>
  <c r="AD241" i="5"/>
  <c r="AF241" i="5" s="1"/>
  <c r="Z241" i="5"/>
  <c r="AA241" i="5" s="1"/>
  <c r="Y241" i="5"/>
  <c r="X241" i="5"/>
  <c r="W241" i="5"/>
  <c r="BE240" i="5"/>
  <c r="BB240" i="5"/>
  <c r="AX240" i="5"/>
  <c r="AR240" i="5"/>
  <c r="AQ240" i="5"/>
  <c r="AN240" i="5"/>
  <c r="AO240" i="5" s="1"/>
  <c r="AM240" i="5"/>
  <c r="AE240" i="5"/>
  <c r="AD240" i="5"/>
  <c r="AF240" i="5" s="1"/>
  <c r="Z240" i="5"/>
  <c r="AA240" i="5" s="1"/>
  <c r="X240" i="5"/>
  <c r="Y240" i="5" s="1"/>
  <c r="W240" i="5"/>
  <c r="BE239" i="5"/>
  <c r="BB239" i="5"/>
  <c r="AX239" i="5"/>
  <c r="AQ239" i="5"/>
  <c r="AN239" i="5"/>
  <c r="AO239" i="5" s="1"/>
  <c r="AM239" i="5"/>
  <c r="AD239" i="5"/>
  <c r="AF239" i="5" s="1"/>
  <c r="Z239" i="5"/>
  <c r="AA239" i="5" s="1"/>
  <c r="X239" i="5"/>
  <c r="Y239" i="5" s="1"/>
  <c r="W239" i="5"/>
  <c r="BE238" i="5"/>
  <c r="BB238" i="5"/>
  <c r="AX238" i="5"/>
  <c r="AR238" i="5"/>
  <c r="AQ238" i="5"/>
  <c r="AN238" i="5"/>
  <c r="AO238" i="5" s="1"/>
  <c r="AP241" i="5" s="1"/>
  <c r="AM238" i="5"/>
  <c r="AE238" i="5"/>
  <c r="AD238" i="5"/>
  <c r="AF238" i="5" s="1"/>
  <c r="Z238" i="5"/>
  <c r="AA238" i="5" s="1"/>
  <c r="X238" i="5"/>
  <c r="Y238" i="5" s="1"/>
  <c r="W238" i="5"/>
  <c r="BE237" i="5"/>
  <c r="BB237" i="5"/>
  <c r="AX237" i="5"/>
  <c r="AQ237" i="5"/>
  <c r="AV299" i="5" s="1"/>
  <c r="AN237" i="5"/>
  <c r="AO237" i="5" s="1"/>
  <c r="AM237" i="5"/>
  <c r="AD237" i="5"/>
  <c r="AF237" i="5" s="1"/>
  <c r="Z237" i="5"/>
  <c r="AA237" i="5" s="1"/>
  <c r="X237" i="5"/>
  <c r="Y237" i="5" s="1"/>
  <c r="W237" i="5"/>
  <c r="BE236" i="5"/>
  <c r="BB236" i="5"/>
  <c r="AX236" i="5"/>
  <c r="AR236" i="5"/>
  <c r="AQ236" i="5"/>
  <c r="AN236" i="5"/>
  <c r="AO236" i="5" s="1"/>
  <c r="AM236" i="5"/>
  <c r="AE236" i="5"/>
  <c r="AD236" i="5"/>
  <c r="AF236" i="5" s="1"/>
  <c r="Z236" i="5"/>
  <c r="AA236" i="5" s="1"/>
  <c r="X236" i="5"/>
  <c r="Y236" i="5" s="1"/>
  <c r="W236" i="5"/>
  <c r="BE235" i="5"/>
  <c r="BB235" i="5"/>
  <c r="AX235" i="5"/>
  <c r="AQ235" i="5"/>
  <c r="AN235" i="5"/>
  <c r="AO235" i="5" s="1"/>
  <c r="AM235" i="5"/>
  <c r="AD235" i="5"/>
  <c r="AF235" i="5" s="1"/>
  <c r="Z235" i="5"/>
  <c r="AA235" i="5" s="1"/>
  <c r="X235" i="5"/>
  <c r="Y235" i="5" s="1"/>
  <c r="W235" i="5"/>
  <c r="BE234" i="5"/>
  <c r="BB234" i="5"/>
  <c r="AX234" i="5"/>
  <c r="AR234" i="5"/>
  <c r="AQ234" i="5"/>
  <c r="AN234" i="5"/>
  <c r="AO234" i="5" s="1"/>
  <c r="AP238" i="5" s="1"/>
  <c r="AM234" i="5"/>
  <c r="AE234" i="5"/>
  <c r="AD234" i="5"/>
  <c r="AF234" i="5" s="1"/>
  <c r="Z234" i="5"/>
  <c r="X234" i="5"/>
  <c r="Y234" i="5" s="1"/>
  <c r="W234" i="5"/>
  <c r="BE233" i="5"/>
  <c r="BB233" i="5"/>
  <c r="AX233" i="5"/>
  <c r="AQ233" i="5"/>
  <c r="AN233" i="5"/>
  <c r="AO233" i="5" s="1"/>
  <c r="AM233" i="5"/>
  <c r="AD233" i="5"/>
  <c r="AF233" i="5" s="1"/>
  <c r="Z233" i="5"/>
  <c r="Y233" i="5"/>
  <c r="X233" i="5"/>
  <c r="W233" i="5"/>
  <c r="BE232" i="5"/>
  <c r="BB232" i="5"/>
  <c r="AX232" i="5"/>
  <c r="AQ232" i="5"/>
  <c r="AN232" i="5"/>
  <c r="AO232" i="5" s="1"/>
  <c r="AM232" i="5"/>
  <c r="AD232" i="5"/>
  <c r="AF232" i="5" s="1"/>
  <c r="Z232" i="5"/>
  <c r="X232" i="5"/>
  <c r="Y232" i="5" s="1"/>
  <c r="W232" i="5"/>
  <c r="BE231" i="5"/>
  <c r="BB231" i="5"/>
  <c r="AX231" i="5"/>
  <c r="AQ231" i="5"/>
  <c r="AN231" i="5"/>
  <c r="AO231" i="5" s="1"/>
  <c r="AM231" i="5"/>
  <c r="AD231" i="5"/>
  <c r="AF231" i="5" s="1"/>
  <c r="Z231" i="5"/>
  <c r="X231" i="5"/>
  <c r="Y231" i="5" s="1"/>
  <c r="W231" i="5"/>
  <c r="BE230" i="5"/>
  <c r="BB230" i="5"/>
  <c r="AX230" i="5"/>
  <c r="AQ230" i="5"/>
  <c r="AN230" i="5"/>
  <c r="AO230" i="5" s="1"/>
  <c r="AM230" i="5"/>
  <c r="AE230" i="5"/>
  <c r="AD230" i="5"/>
  <c r="AF230" i="5" s="1"/>
  <c r="Z230" i="5"/>
  <c r="X230" i="5"/>
  <c r="Y230" i="5" s="1"/>
  <c r="W230" i="5"/>
  <c r="BE229" i="5"/>
  <c r="BB229" i="5"/>
  <c r="AX229" i="5"/>
  <c r="AQ229" i="5"/>
  <c r="AN229" i="5"/>
  <c r="AO229" i="5" s="1"/>
  <c r="AM229" i="5"/>
  <c r="AD229" i="5"/>
  <c r="AF229" i="5" s="1"/>
  <c r="Z229" i="5"/>
  <c r="X229" i="5"/>
  <c r="Y229" i="5" s="1"/>
  <c r="W229" i="5"/>
  <c r="BE228" i="5"/>
  <c r="BB228" i="5"/>
  <c r="AX228" i="5"/>
  <c r="AR228" i="5"/>
  <c r="AQ228" i="5"/>
  <c r="AN228" i="5"/>
  <c r="AO228" i="5" s="1"/>
  <c r="AM228" i="5"/>
  <c r="AD228" i="5"/>
  <c r="AE228" i="5" s="1"/>
  <c r="Z228" i="5"/>
  <c r="AA228" i="5" s="1"/>
  <c r="X228" i="5"/>
  <c r="Y228" i="5" s="1"/>
  <c r="W228" i="5"/>
  <c r="BE227" i="5"/>
  <c r="BB227" i="5"/>
  <c r="AX227" i="5"/>
  <c r="AR227" i="5"/>
  <c r="AQ227" i="5"/>
  <c r="AN227" i="5"/>
  <c r="AO227" i="5" s="1"/>
  <c r="AM227" i="5"/>
  <c r="AF227" i="5"/>
  <c r="AE227" i="5"/>
  <c r="AD227" i="5"/>
  <c r="Z227" i="5"/>
  <c r="AA227" i="5" s="1"/>
  <c r="X227" i="5"/>
  <c r="Y227" i="5" s="1"/>
  <c r="W227" i="5"/>
  <c r="BE226" i="5"/>
  <c r="BB226" i="5"/>
  <c r="AX226" i="5"/>
  <c r="AR226" i="5"/>
  <c r="AQ226" i="5"/>
  <c r="AN226" i="5"/>
  <c r="AO226" i="5" s="1"/>
  <c r="AM226" i="5"/>
  <c r="AF226" i="5"/>
  <c r="AE226" i="5"/>
  <c r="AD226" i="5"/>
  <c r="Z226" i="5"/>
  <c r="AA226" i="5" s="1"/>
  <c r="X226" i="5"/>
  <c r="Y226" i="5" s="1"/>
  <c r="W226" i="5"/>
  <c r="BE225" i="5"/>
  <c r="BB225" i="5"/>
  <c r="AX225" i="5"/>
  <c r="AQ225" i="5"/>
  <c r="AR225" i="5" s="1"/>
  <c r="AN225" i="5"/>
  <c r="AO225" i="5" s="1"/>
  <c r="AM225" i="5"/>
  <c r="AE225" i="5"/>
  <c r="AD225" i="5"/>
  <c r="AF225" i="5" s="1"/>
  <c r="Z225" i="5"/>
  <c r="AA225" i="5" s="1"/>
  <c r="X225" i="5"/>
  <c r="Y225" i="5" s="1"/>
  <c r="W225" i="5"/>
  <c r="BE224" i="5"/>
  <c r="BB224" i="5"/>
  <c r="AX224" i="5"/>
  <c r="AR224" i="5"/>
  <c r="AQ224" i="5"/>
  <c r="AN224" i="5"/>
  <c r="AO224" i="5" s="1"/>
  <c r="AM224" i="5"/>
  <c r="AD224" i="5"/>
  <c r="AE224" i="5" s="1"/>
  <c r="Z224" i="5"/>
  <c r="AA224" i="5" s="1"/>
  <c r="X224" i="5"/>
  <c r="Y224" i="5" s="1"/>
  <c r="W224" i="5"/>
  <c r="BE223" i="5"/>
  <c r="BB223" i="5"/>
  <c r="AX223" i="5"/>
  <c r="AR223" i="5"/>
  <c r="AQ223" i="5"/>
  <c r="AN223" i="5"/>
  <c r="AO223" i="5" s="1"/>
  <c r="AM223" i="5"/>
  <c r="AF223" i="5"/>
  <c r="AE223" i="5"/>
  <c r="AD223" i="5"/>
  <c r="Z223" i="5"/>
  <c r="AA223" i="5" s="1"/>
  <c r="Y223" i="5"/>
  <c r="X223" i="5"/>
  <c r="W223" i="5"/>
  <c r="BE222" i="5"/>
  <c r="BB222" i="5"/>
  <c r="AX222" i="5"/>
  <c r="AR222" i="5"/>
  <c r="AQ222" i="5"/>
  <c r="AN222" i="5"/>
  <c r="AO222" i="5" s="1"/>
  <c r="AM222" i="5"/>
  <c r="AF222" i="5"/>
  <c r="AE222" i="5"/>
  <c r="AD222" i="5"/>
  <c r="Z222" i="5"/>
  <c r="AA222" i="5" s="1"/>
  <c r="X222" i="5"/>
  <c r="Y222" i="5" s="1"/>
  <c r="W222" i="5"/>
  <c r="BE221" i="5"/>
  <c r="BB221" i="5"/>
  <c r="AX221" i="5"/>
  <c r="AQ221" i="5"/>
  <c r="AR221" i="5" s="1"/>
  <c r="AN221" i="5"/>
  <c r="AO221" i="5" s="1"/>
  <c r="AM221" i="5"/>
  <c r="AD221" i="5"/>
  <c r="AE221" i="5" s="1"/>
  <c r="Z221" i="5"/>
  <c r="AA221" i="5" s="1"/>
  <c r="X221" i="5"/>
  <c r="Y221" i="5" s="1"/>
  <c r="W221" i="5"/>
  <c r="BE220" i="5"/>
  <c r="BB220" i="5"/>
  <c r="AX220" i="5"/>
  <c r="AR220" i="5"/>
  <c r="AQ220" i="5"/>
  <c r="AN220" i="5"/>
  <c r="AO220" i="5" s="1"/>
  <c r="AM220" i="5"/>
  <c r="AF220" i="5"/>
  <c r="AD220" i="5"/>
  <c r="AE220" i="5" s="1"/>
  <c r="Z220" i="5"/>
  <c r="AA220" i="5" s="1"/>
  <c r="X220" i="5"/>
  <c r="Y220" i="5" s="1"/>
  <c r="W220" i="5"/>
  <c r="BE219" i="5"/>
  <c r="BB219" i="5"/>
  <c r="AX219" i="5"/>
  <c r="AQ219" i="5"/>
  <c r="AR219" i="5" s="1"/>
  <c r="AN219" i="5"/>
  <c r="AO219" i="5" s="1"/>
  <c r="AP223" i="5" s="1"/>
  <c r="AM219" i="5"/>
  <c r="AD219" i="5"/>
  <c r="AE219" i="5" s="1"/>
  <c r="AA219" i="5"/>
  <c r="Z219" i="5"/>
  <c r="X219" i="5"/>
  <c r="Y219" i="5" s="1"/>
  <c r="W219" i="5"/>
  <c r="BE218" i="5"/>
  <c r="BB218" i="5"/>
  <c r="AX218" i="5"/>
  <c r="AQ218" i="5"/>
  <c r="AR218" i="5" s="1"/>
  <c r="AN218" i="5"/>
  <c r="AO218" i="5" s="1"/>
  <c r="AM218" i="5"/>
  <c r="AD218" i="5"/>
  <c r="AE218" i="5" s="1"/>
  <c r="AA218" i="5"/>
  <c r="Z218" i="5"/>
  <c r="X218" i="5"/>
  <c r="Y218" i="5" s="1"/>
  <c r="W218" i="5"/>
  <c r="BE217" i="5"/>
  <c r="BB217" i="5"/>
  <c r="AX217" i="5"/>
  <c r="AR217" i="5"/>
  <c r="AQ217" i="5"/>
  <c r="AN217" i="5"/>
  <c r="AO217" i="5" s="1"/>
  <c r="AP221" i="5" s="1"/>
  <c r="AM217" i="5"/>
  <c r="AD217" i="5"/>
  <c r="AE217" i="5" s="1"/>
  <c r="Z217" i="5"/>
  <c r="AA217" i="5" s="1"/>
  <c r="X217" i="5"/>
  <c r="Y217" i="5" s="1"/>
  <c r="W217" i="5"/>
  <c r="BE216" i="5"/>
  <c r="BB216" i="5"/>
  <c r="AX216" i="5"/>
  <c r="AR216" i="5"/>
  <c r="AQ216" i="5"/>
  <c r="AN216" i="5"/>
  <c r="AO216" i="5" s="1"/>
  <c r="AM216" i="5"/>
  <c r="AD216" i="5"/>
  <c r="AE216" i="5" s="1"/>
  <c r="AA216" i="5"/>
  <c r="Z216" i="5"/>
  <c r="X216" i="5"/>
  <c r="Y216" i="5" s="1"/>
  <c r="W216" i="5"/>
  <c r="BE215" i="5"/>
  <c r="BB215" i="5"/>
  <c r="AX215" i="5"/>
  <c r="AR215" i="5"/>
  <c r="AQ215" i="5"/>
  <c r="AN215" i="5"/>
  <c r="AO215" i="5" s="1"/>
  <c r="AP219" i="5" s="1"/>
  <c r="AM215" i="5"/>
  <c r="AD215" i="5"/>
  <c r="AE215" i="5" s="1"/>
  <c r="Z215" i="5"/>
  <c r="AA215" i="5" s="1"/>
  <c r="X215" i="5"/>
  <c r="Y215" i="5" s="1"/>
  <c r="W215" i="5"/>
  <c r="BE214" i="5"/>
  <c r="BB214" i="5"/>
  <c r="AX214" i="5"/>
  <c r="AR214" i="5"/>
  <c r="AQ214" i="5"/>
  <c r="AN214" i="5"/>
  <c r="AO214" i="5" s="1"/>
  <c r="AM214" i="5"/>
  <c r="AD214" i="5"/>
  <c r="AE214" i="5" s="1"/>
  <c r="AA214" i="5"/>
  <c r="Z214" i="5"/>
  <c r="X214" i="5"/>
  <c r="Y214" i="5" s="1"/>
  <c r="W214" i="5"/>
  <c r="BE213" i="5"/>
  <c r="BB213" i="5"/>
  <c r="AX213" i="5"/>
  <c r="AR213" i="5"/>
  <c r="AQ213" i="5"/>
  <c r="AN213" i="5"/>
  <c r="AO213" i="5" s="1"/>
  <c r="AP217" i="5" s="1"/>
  <c r="AM213" i="5"/>
  <c r="AD213" i="5"/>
  <c r="AE213" i="5" s="1"/>
  <c r="Z213" i="5"/>
  <c r="AA213" i="5" s="1"/>
  <c r="X213" i="5"/>
  <c r="Y213" i="5" s="1"/>
  <c r="W213" i="5"/>
  <c r="BE212" i="5"/>
  <c r="BB212" i="5"/>
  <c r="AX212" i="5"/>
  <c r="AR212" i="5"/>
  <c r="AQ212" i="5"/>
  <c r="AN212" i="5"/>
  <c r="AO212" i="5" s="1"/>
  <c r="AM212" i="5"/>
  <c r="AD212" i="5"/>
  <c r="AA212" i="5"/>
  <c r="Z212" i="5"/>
  <c r="X212" i="5"/>
  <c r="W212" i="5"/>
  <c r="BE211" i="5"/>
  <c r="BB211" i="5"/>
  <c r="AX211" i="5"/>
  <c r="AR211" i="5"/>
  <c r="AQ211" i="5"/>
  <c r="AN211" i="5"/>
  <c r="AO211" i="5" s="1"/>
  <c r="AM211" i="5"/>
  <c r="AD211" i="5"/>
  <c r="AE211" i="5" s="1"/>
  <c r="Z211" i="5"/>
  <c r="X211" i="5"/>
  <c r="W211" i="5"/>
  <c r="BE210" i="5"/>
  <c r="BB210" i="5"/>
  <c r="AX210" i="5"/>
  <c r="AQ210" i="5"/>
  <c r="AN210" i="5"/>
  <c r="AO210" i="5" s="1"/>
  <c r="AM210" i="5"/>
  <c r="AD210" i="5"/>
  <c r="Z210" i="5"/>
  <c r="AA210" i="5" s="1"/>
  <c r="X210" i="5"/>
  <c r="W210" i="5"/>
  <c r="BE209" i="5"/>
  <c r="BB209" i="5"/>
  <c r="AX209" i="5"/>
  <c r="AR209" i="5"/>
  <c r="AQ209" i="5"/>
  <c r="AN209" i="5"/>
  <c r="AO209" i="5" s="1"/>
  <c r="AM209" i="5"/>
  <c r="AF209" i="5"/>
  <c r="AD209" i="5"/>
  <c r="AE209" i="5" s="1"/>
  <c r="Z209" i="5"/>
  <c r="AA209" i="5" s="1"/>
  <c r="X209" i="5"/>
  <c r="W209" i="5"/>
  <c r="BE208" i="5"/>
  <c r="BB208" i="5"/>
  <c r="AX208" i="5"/>
  <c r="AQ208" i="5"/>
  <c r="AR208" i="5" s="1"/>
  <c r="AN208" i="5"/>
  <c r="AO208" i="5" s="1"/>
  <c r="AM208" i="5"/>
  <c r="AD208" i="5"/>
  <c r="AF208" i="5" s="1"/>
  <c r="AA208" i="5"/>
  <c r="Z208" i="5"/>
  <c r="X208" i="5"/>
  <c r="W208" i="5"/>
  <c r="BE207" i="5"/>
  <c r="BB207" i="5"/>
  <c r="AX207" i="5"/>
  <c r="AQ207" i="5"/>
  <c r="AN207" i="5"/>
  <c r="AO207" i="5" s="1"/>
  <c r="AM207" i="5"/>
  <c r="AD207" i="5"/>
  <c r="AE207" i="5" s="1"/>
  <c r="Z207" i="5"/>
  <c r="X207" i="5"/>
  <c r="W207" i="5"/>
  <c r="BE206" i="5"/>
  <c r="BB206" i="5"/>
  <c r="AX206" i="5"/>
  <c r="AQ206" i="5"/>
  <c r="AV268" i="5" s="1"/>
  <c r="AN206" i="5"/>
  <c r="AO206" i="5" s="1"/>
  <c r="AM206" i="5"/>
  <c r="AD206" i="5"/>
  <c r="AE206" i="5" s="1"/>
  <c r="Z206" i="5"/>
  <c r="AA206" i="5" s="1"/>
  <c r="X206" i="5"/>
  <c r="W206" i="5"/>
  <c r="BE205" i="5"/>
  <c r="BB205" i="5"/>
  <c r="AX205" i="5"/>
  <c r="AQ205" i="5"/>
  <c r="AR205" i="5" s="1"/>
  <c r="AN205" i="5"/>
  <c r="AO205" i="5" s="1"/>
  <c r="AM205" i="5"/>
  <c r="AD205" i="5"/>
  <c r="Z205" i="5"/>
  <c r="AA205" i="5" s="1"/>
  <c r="X205" i="5"/>
  <c r="W205" i="5"/>
  <c r="BE204" i="5"/>
  <c r="BB204" i="5"/>
  <c r="AX204" i="5"/>
  <c r="AQ204" i="5"/>
  <c r="AR204" i="5" s="1"/>
  <c r="AN204" i="5"/>
  <c r="AO204" i="5" s="1"/>
  <c r="AM204" i="5"/>
  <c r="AD204" i="5"/>
  <c r="AF204" i="5" s="1"/>
  <c r="Z204" i="5"/>
  <c r="AA204" i="5" s="1"/>
  <c r="X204" i="5"/>
  <c r="W204" i="5"/>
  <c r="BE203" i="5"/>
  <c r="BB203" i="5"/>
  <c r="AX203" i="5"/>
  <c r="AQ203" i="5"/>
  <c r="AR203" i="5" s="1"/>
  <c r="AN203" i="5"/>
  <c r="AO203" i="5" s="1"/>
  <c r="AM203" i="5"/>
  <c r="AD203" i="5"/>
  <c r="AE203" i="5" s="1"/>
  <c r="Z203" i="5"/>
  <c r="X203" i="5"/>
  <c r="W203" i="5"/>
  <c r="BE202" i="5"/>
  <c r="BB202" i="5"/>
  <c r="AX202" i="5"/>
  <c r="AQ202" i="5"/>
  <c r="AN202" i="5"/>
  <c r="AO202" i="5" s="1"/>
  <c r="AM202" i="5"/>
  <c r="AD202" i="5"/>
  <c r="Z202" i="5"/>
  <c r="AA202" i="5" s="1"/>
  <c r="X202" i="5"/>
  <c r="W202" i="5"/>
  <c r="BE201" i="5"/>
  <c r="BB201" i="5"/>
  <c r="AX201" i="5"/>
  <c r="AR201" i="5"/>
  <c r="AQ201" i="5"/>
  <c r="AN201" i="5"/>
  <c r="AO201" i="5" s="1"/>
  <c r="AM201" i="5"/>
  <c r="AF201" i="5"/>
  <c r="AD201" i="5"/>
  <c r="AE201" i="5" s="1"/>
  <c r="Z201" i="5"/>
  <c r="AA201" i="5" s="1"/>
  <c r="X201" i="5"/>
  <c r="W201" i="5"/>
  <c r="BE200" i="5"/>
  <c r="BB200" i="5"/>
  <c r="AX200" i="5"/>
  <c r="AQ200" i="5"/>
  <c r="AR200" i="5" s="1"/>
  <c r="AN200" i="5"/>
  <c r="AO200" i="5" s="1"/>
  <c r="AM200" i="5"/>
  <c r="AD200" i="5"/>
  <c r="AF200" i="5" s="1"/>
  <c r="AA200" i="5"/>
  <c r="Z200" i="5"/>
  <c r="X200" i="5"/>
  <c r="W200" i="5"/>
  <c r="BE199" i="5"/>
  <c r="BB199" i="5"/>
  <c r="AX199" i="5"/>
  <c r="AQ199" i="5"/>
  <c r="AN199" i="5"/>
  <c r="AO199" i="5" s="1"/>
  <c r="AM199" i="5"/>
  <c r="AD199" i="5"/>
  <c r="Z199" i="5"/>
  <c r="X199" i="5"/>
  <c r="Y199" i="5" s="1"/>
  <c r="W199" i="5"/>
  <c r="BE198" i="5"/>
  <c r="BB198" i="5"/>
  <c r="AX198" i="5"/>
  <c r="AQ198" i="5"/>
  <c r="AN198" i="5"/>
  <c r="AO198" i="5" s="1"/>
  <c r="AM198" i="5"/>
  <c r="AD198" i="5"/>
  <c r="Z198" i="5"/>
  <c r="Y198" i="5"/>
  <c r="X198" i="5"/>
  <c r="W198" i="5"/>
  <c r="BE197" i="5"/>
  <c r="BB197" i="5"/>
  <c r="AX197" i="5"/>
  <c r="AQ197" i="5"/>
  <c r="AN197" i="5"/>
  <c r="AO197" i="5" s="1"/>
  <c r="AM197" i="5"/>
  <c r="AD197" i="5"/>
  <c r="Z197" i="5"/>
  <c r="X197" i="5"/>
  <c r="Y197" i="5" s="1"/>
  <c r="W197" i="5"/>
  <c r="BE196" i="5"/>
  <c r="BB196" i="5"/>
  <c r="AX196" i="5"/>
  <c r="AQ196" i="5"/>
  <c r="AN196" i="5"/>
  <c r="AO196" i="5" s="1"/>
  <c r="AM196" i="5"/>
  <c r="AD196" i="5"/>
  <c r="Z196" i="5"/>
  <c r="Y196" i="5"/>
  <c r="X196" i="5"/>
  <c r="W196" i="5"/>
  <c r="BE195" i="5"/>
  <c r="BB195" i="5"/>
  <c r="AX195" i="5"/>
  <c r="AQ195" i="5"/>
  <c r="AN195" i="5"/>
  <c r="AO195" i="5" s="1"/>
  <c r="AM195" i="5"/>
  <c r="AD195" i="5"/>
  <c r="Z195" i="5"/>
  <c r="X195" i="5"/>
  <c r="Y195" i="5" s="1"/>
  <c r="W195" i="5"/>
  <c r="BE194" i="5"/>
  <c r="BB194" i="5"/>
  <c r="AX194" i="5"/>
  <c r="AQ194" i="5"/>
  <c r="AN194" i="5"/>
  <c r="AO194" i="5" s="1"/>
  <c r="AP198" i="5" s="1"/>
  <c r="AM194" i="5"/>
  <c r="AD194" i="5"/>
  <c r="Z194" i="5"/>
  <c r="Y194" i="5"/>
  <c r="X194" i="5"/>
  <c r="W194" i="5"/>
  <c r="BE193" i="5"/>
  <c r="BB193" i="5"/>
  <c r="AX193" i="5"/>
  <c r="AR193" i="5"/>
  <c r="AQ193" i="5"/>
  <c r="AN193" i="5"/>
  <c r="AO193" i="5" s="1"/>
  <c r="AM193" i="5"/>
  <c r="AD193" i="5"/>
  <c r="AF193" i="5" s="1"/>
  <c r="Z193" i="5"/>
  <c r="X193" i="5"/>
  <c r="Y193" i="5" s="1"/>
  <c r="W193" i="5"/>
  <c r="BE192" i="5"/>
  <c r="BB192" i="5"/>
  <c r="AX192" i="5"/>
  <c r="AQ192" i="5"/>
  <c r="AN192" i="5"/>
  <c r="AO192" i="5" s="1"/>
  <c r="AM192" i="5"/>
  <c r="AE192" i="5"/>
  <c r="AD192" i="5"/>
  <c r="AF192" i="5" s="1"/>
  <c r="Z192" i="5"/>
  <c r="X192" i="5"/>
  <c r="Y192" i="5" s="1"/>
  <c r="W192" i="5"/>
  <c r="BE191" i="5"/>
  <c r="BB191" i="5"/>
  <c r="AX191" i="5"/>
  <c r="AQ191" i="5"/>
  <c r="AN191" i="5"/>
  <c r="AO191" i="5" s="1"/>
  <c r="AM191" i="5"/>
  <c r="AE191" i="5"/>
  <c r="AD191" i="5"/>
  <c r="AF191" i="5" s="1"/>
  <c r="Z191" i="5"/>
  <c r="X191" i="5"/>
  <c r="Y191" i="5" s="1"/>
  <c r="W191" i="5"/>
  <c r="BE190" i="5"/>
  <c r="BB190" i="5"/>
  <c r="AX190" i="5"/>
  <c r="AQ190" i="5"/>
  <c r="AV252" i="5" s="1"/>
  <c r="AN190" i="5"/>
  <c r="AO190" i="5" s="1"/>
  <c r="AM190" i="5"/>
  <c r="AD190" i="5"/>
  <c r="Z190" i="5"/>
  <c r="Y190" i="5"/>
  <c r="X190" i="5"/>
  <c r="W190" i="5"/>
  <c r="BE189" i="5"/>
  <c r="BB189" i="5"/>
  <c r="AX189" i="5"/>
  <c r="AQ189" i="5"/>
  <c r="AV251" i="5" s="1"/>
  <c r="AN189" i="5"/>
  <c r="AO189" i="5" s="1"/>
  <c r="AM189" i="5"/>
  <c r="AD189" i="5"/>
  <c r="AF189" i="5" s="1"/>
  <c r="Z189" i="5"/>
  <c r="X189" i="5"/>
  <c r="Y189" i="5" s="1"/>
  <c r="W189" i="5"/>
  <c r="BE188" i="5"/>
  <c r="BB188" i="5"/>
  <c r="AX188" i="5"/>
  <c r="AQ188" i="5"/>
  <c r="AN188" i="5"/>
  <c r="AO188" i="5" s="1"/>
  <c r="AM188" i="5"/>
  <c r="AD188" i="5"/>
  <c r="AF188" i="5" s="1"/>
  <c r="Z188" i="5"/>
  <c r="Y188" i="5"/>
  <c r="X188" i="5"/>
  <c r="W188" i="5"/>
  <c r="BE187" i="5"/>
  <c r="BB187" i="5"/>
  <c r="AX187" i="5"/>
  <c r="AQ187" i="5"/>
  <c r="AN187" i="5"/>
  <c r="AO187" i="5" s="1"/>
  <c r="AM187" i="5"/>
  <c r="AD187" i="5"/>
  <c r="Z187" i="5"/>
  <c r="X187" i="5"/>
  <c r="Y187" i="5" s="1"/>
  <c r="W187" i="5"/>
  <c r="BE186" i="5"/>
  <c r="BB186" i="5"/>
  <c r="AX186" i="5"/>
  <c r="AQ186" i="5"/>
  <c r="AN186" i="5"/>
  <c r="AO186" i="5" s="1"/>
  <c r="AM186" i="5"/>
  <c r="AE186" i="5"/>
  <c r="AD186" i="5"/>
  <c r="AF186" i="5" s="1"/>
  <c r="Z186" i="5"/>
  <c r="X186" i="5"/>
  <c r="Y186" i="5" s="1"/>
  <c r="W186" i="5"/>
  <c r="BE185" i="5"/>
  <c r="BB185" i="5"/>
  <c r="AX185" i="5"/>
  <c r="AQ185" i="5"/>
  <c r="AN185" i="5"/>
  <c r="AO185" i="5" s="1"/>
  <c r="AM185" i="5"/>
  <c r="AD185" i="5"/>
  <c r="AF185" i="5" s="1"/>
  <c r="Z185" i="5"/>
  <c r="X185" i="5"/>
  <c r="Y185" i="5" s="1"/>
  <c r="W185" i="5"/>
  <c r="BE184" i="5"/>
  <c r="BB184" i="5"/>
  <c r="AX184" i="5"/>
  <c r="AQ184" i="5"/>
  <c r="AN184" i="5"/>
  <c r="AO184" i="5" s="1"/>
  <c r="AM184" i="5"/>
  <c r="AE184" i="5"/>
  <c r="AD184" i="5"/>
  <c r="AF184" i="5" s="1"/>
  <c r="Z184" i="5"/>
  <c r="X184" i="5"/>
  <c r="Y184" i="5" s="1"/>
  <c r="W184" i="5"/>
  <c r="BE183" i="5"/>
  <c r="BB183" i="5"/>
  <c r="AX183" i="5"/>
  <c r="AQ183" i="5"/>
  <c r="AN183" i="5"/>
  <c r="AO183" i="5" s="1"/>
  <c r="AM183" i="5"/>
  <c r="AD183" i="5"/>
  <c r="Z183" i="5"/>
  <c r="X183" i="5"/>
  <c r="Y183" i="5" s="1"/>
  <c r="W183" i="5"/>
  <c r="BE182" i="5"/>
  <c r="BB182" i="5"/>
  <c r="AX182" i="5"/>
  <c r="AQ182" i="5"/>
  <c r="AN182" i="5"/>
  <c r="AO182" i="5" s="1"/>
  <c r="AM182" i="5"/>
  <c r="AE182" i="5"/>
  <c r="AD182" i="5"/>
  <c r="AF182" i="5" s="1"/>
  <c r="Z182" i="5"/>
  <c r="X182" i="5"/>
  <c r="Y182" i="5" s="1"/>
  <c r="W182" i="5"/>
  <c r="BE181" i="5"/>
  <c r="BB181" i="5"/>
  <c r="AX181" i="5"/>
  <c r="AQ181" i="5"/>
  <c r="AN181" i="5"/>
  <c r="AO181" i="5" s="1"/>
  <c r="AM181" i="5"/>
  <c r="AD181" i="5"/>
  <c r="AF181" i="5" s="1"/>
  <c r="Z181" i="5"/>
  <c r="Y181" i="5"/>
  <c r="X181" i="5"/>
  <c r="W181" i="5"/>
  <c r="BE180" i="5"/>
  <c r="BB180" i="5"/>
  <c r="AX180" i="5"/>
  <c r="AQ180" i="5"/>
  <c r="AN180" i="5"/>
  <c r="AO180" i="5" s="1"/>
  <c r="AM180" i="5"/>
  <c r="AD180" i="5"/>
  <c r="AF180" i="5" s="1"/>
  <c r="Z180" i="5"/>
  <c r="X180" i="5"/>
  <c r="Y180" i="5" s="1"/>
  <c r="W180" i="5"/>
  <c r="BE179" i="5"/>
  <c r="BB179" i="5"/>
  <c r="AX179" i="5"/>
  <c r="AQ179" i="5"/>
  <c r="AN179" i="5"/>
  <c r="AO179" i="5" s="1"/>
  <c r="AM179" i="5"/>
  <c r="AD179" i="5"/>
  <c r="Z179" i="5"/>
  <c r="X179" i="5"/>
  <c r="Y179" i="5" s="1"/>
  <c r="W179" i="5"/>
  <c r="BE178" i="5"/>
  <c r="BB178" i="5"/>
  <c r="AX178" i="5"/>
  <c r="AQ178" i="5"/>
  <c r="AN178" i="5"/>
  <c r="AO178" i="5" s="1"/>
  <c r="AM178" i="5"/>
  <c r="AE178" i="5"/>
  <c r="AD178" i="5"/>
  <c r="AF178" i="5" s="1"/>
  <c r="Z178" i="5"/>
  <c r="X178" i="5"/>
  <c r="Y178" i="5" s="1"/>
  <c r="W178" i="5"/>
  <c r="BE177" i="5"/>
  <c r="BB177" i="5"/>
  <c r="AX177" i="5"/>
  <c r="AQ177" i="5"/>
  <c r="AN177" i="5"/>
  <c r="AO177" i="5" s="1"/>
  <c r="AM177" i="5"/>
  <c r="AD177" i="5"/>
  <c r="AF177" i="5" s="1"/>
  <c r="Z177" i="5"/>
  <c r="X177" i="5"/>
  <c r="Y177" i="5" s="1"/>
  <c r="W177" i="5"/>
  <c r="BE176" i="5"/>
  <c r="BB176" i="5"/>
  <c r="AX176" i="5"/>
  <c r="AQ176" i="5"/>
  <c r="AN176" i="5"/>
  <c r="AO176" i="5" s="1"/>
  <c r="AM176" i="5"/>
  <c r="AE176" i="5"/>
  <c r="AD176" i="5"/>
  <c r="AF176" i="5" s="1"/>
  <c r="Z176" i="5"/>
  <c r="X176" i="5"/>
  <c r="Y176" i="5" s="1"/>
  <c r="W176" i="5"/>
  <c r="BE175" i="5"/>
  <c r="BB175" i="5"/>
  <c r="AX175" i="5"/>
  <c r="AQ175" i="5"/>
  <c r="AN175" i="5"/>
  <c r="AO175" i="5" s="1"/>
  <c r="AM175" i="5"/>
  <c r="AD175" i="5"/>
  <c r="Z175" i="5"/>
  <c r="X175" i="5"/>
  <c r="Y175" i="5" s="1"/>
  <c r="W175" i="5"/>
  <c r="BE174" i="5"/>
  <c r="BB174" i="5"/>
  <c r="AX174" i="5"/>
  <c r="AQ174" i="5"/>
  <c r="AR174" i="5" s="1"/>
  <c r="AN174" i="5"/>
  <c r="AO174" i="5" s="1"/>
  <c r="AM174" i="5"/>
  <c r="AD174" i="5"/>
  <c r="AF174" i="5" s="1"/>
  <c r="Z174" i="5"/>
  <c r="AA174" i="5" s="1"/>
  <c r="X174" i="5"/>
  <c r="Y174" i="5" s="1"/>
  <c r="W174" i="5"/>
  <c r="BE173" i="5"/>
  <c r="BB173" i="5"/>
  <c r="AX173" i="5"/>
  <c r="AQ173" i="5"/>
  <c r="AN173" i="5"/>
  <c r="AO173" i="5" s="1"/>
  <c r="AM173" i="5"/>
  <c r="AE173" i="5"/>
  <c r="AD173" i="5"/>
  <c r="AF173" i="5" s="1"/>
  <c r="Z173" i="5"/>
  <c r="X173" i="5"/>
  <c r="Y173" i="5" s="1"/>
  <c r="W173" i="5"/>
  <c r="BE172" i="5"/>
  <c r="BB172" i="5"/>
  <c r="AX172" i="5"/>
  <c r="AQ172" i="5"/>
  <c r="AR172" i="5" s="1"/>
  <c r="AN172" i="5"/>
  <c r="AO172" i="5" s="1"/>
  <c r="AM172" i="5"/>
  <c r="AD172" i="5"/>
  <c r="AF172" i="5" s="1"/>
  <c r="Z172" i="5"/>
  <c r="AA172" i="5" s="1"/>
  <c r="Y172" i="5"/>
  <c r="X172" i="5"/>
  <c r="W172" i="5"/>
  <c r="BE171" i="5"/>
  <c r="BB171" i="5"/>
  <c r="AX171" i="5"/>
  <c r="AQ171" i="5"/>
  <c r="AN171" i="5"/>
  <c r="AO171" i="5" s="1"/>
  <c r="AM171" i="5"/>
  <c r="AD171" i="5"/>
  <c r="AF171" i="5" s="1"/>
  <c r="Z171" i="5"/>
  <c r="X171" i="5"/>
  <c r="Y171" i="5" s="1"/>
  <c r="W171" i="5"/>
  <c r="BE170" i="5"/>
  <c r="BB170" i="5"/>
  <c r="AX170" i="5"/>
  <c r="AQ170" i="5"/>
  <c r="AR170" i="5" s="1"/>
  <c r="AN170" i="5"/>
  <c r="AO170" i="5" s="1"/>
  <c r="AM170" i="5"/>
  <c r="AD170" i="5"/>
  <c r="AF170" i="5" s="1"/>
  <c r="Z170" i="5"/>
  <c r="AA170" i="5" s="1"/>
  <c r="X170" i="5"/>
  <c r="Y170" i="5" s="1"/>
  <c r="W170" i="5"/>
  <c r="BE169" i="5"/>
  <c r="BB169" i="5"/>
  <c r="AX169" i="5"/>
  <c r="AQ169" i="5"/>
  <c r="AN169" i="5"/>
  <c r="AO169" i="5" s="1"/>
  <c r="AM169" i="5"/>
  <c r="AD169" i="5"/>
  <c r="AF169" i="5" s="1"/>
  <c r="Z169" i="5"/>
  <c r="X169" i="5"/>
  <c r="Y169" i="5" s="1"/>
  <c r="W169" i="5"/>
  <c r="BE168" i="5"/>
  <c r="BB168" i="5"/>
  <c r="AX168" i="5"/>
  <c r="AQ168" i="5"/>
  <c r="AR168" i="5" s="1"/>
  <c r="AN168" i="5"/>
  <c r="AO168" i="5" s="1"/>
  <c r="AM168" i="5"/>
  <c r="AD168" i="5"/>
  <c r="AF168" i="5" s="1"/>
  <c r="Z168" i="5"/>
  <c r="AA168" i="5" s="1"/>
  <c r="X168" i="5"/>
  <c r="Y168" i="5" s="1"/>
  <c r="W168" i="5"/>
  <c r="BE167" i="5"/>
  <c r="BB167" i="5"/>
  <c r="AX167" i="5"/>
  <c r="AQ167" i="5"/>
  <c r="AN167" i="5"/>
  <c r="AO167" i="5" s="1"/>
  <c r="AM167" i="5"/>
  <c r="AD167" i="5"/>
  <c r="Z167" i="5"/>
  <c r="X167" i="5"/>
  <c r="Y167" i="5" s="1"/>
  <c r="W167" i="5"/>
  <c r="BE166" i="5"/>
  <c r="BB166" i="5"/>
  <c r="AX166" i="5"/>
  <c r="AQ166" i="5"/>
  <c r="AR166" i="5" s="1"/>
  <c r="AN166" i="5"/>
  <c r="AO166" i="5" s="1"/>
  <c r="AM166" i="5"/>
  <c r="AD166" i="5"/>
  <c r="AF166" i="5" s="1"/>
  <c r="Z166" i="5"/>
  <c r="AA166" i="5" s="1"/>
  <c r="X166" i="5"/>
  <c r="Y166" i="5" s="1"/>
  <c r="W166" i="5"/>
  <c r="BE165" i="5"/>
  <c r="BB165" i="5"/>
  <c r="AX165" i="5"/>
  <c r="AQ165" i="5"/>
  <c r="AN165" i="5"/>
  <c r="AO165" i="5" s="1"/>
  <c r="AM165" i="5"/>
  <c r="AE165" i="5"/>
  <c r="AD165" i="5"/>
  <c r="AF165" i="5" s="1"/>
  <c r="Z165" i="5"/>
  <c r="X165" i="5"/>
  <c r="Y165" i="5" s="1"/>
  <c r="W165" i="5"/>
  <c r="BE164" i="5"/>
  <c r="BB164" i="5"/>
  <c r="AX164" i="5"/>
  <c r="AQ164" i="5"/>
  <c r="AR164" i="5" s="1"/>
  <c r="AN164" i="5"/>
  <c r="AO164" i="5" s="1"/>
  <c r="AM164" i="5"/>
  <c r="AD164" i="5"/>
  <c r="AF164" i="5" s="1"/>
  <c r="Z164" i="5"/>
  <c r="AA164" i="5" s="1"/>
  <c r="X164" i="5"/>
  <c r="Y164" i="5" s="1"/>
  <c r="W164" i="5"/>
  <c r="BE163" i="5"/>
  <c r="BB163" i="5"/>
  <c r="AX163" i="5"/>
  <c r="AQ163" i="5"/>
  <c r="AN163" i="5"/>
  <c r="AO163" i="5" s="1"/>
  <c r="AM163" i="5"/>
  <c r="AD163" i="5"/>
  <c r="AF163" i="5" s="1"/>
  <c r="Z163" i="5"/>
  <c r="X163" i="5"/>
  <c r="Y163" i="5" s="1"/>
  <c r="W163" i="5"/>
  <c r="BE162" i="5"/>
  <c r="BB162" i="5"/>
  <c r="AX162" i="5"/>
  <c r="AQ162" i="5"/>
  <c r="AR162" i="5" s="1"/>
  <c r="AN162" i="5"/>
  <c r="AO162" i="5" s="1"/>
  <c r="AP166" i="5" s="1"/>
  <c r="AM162" i="5"/>
  <c r="AD162" i="5"/>
  <c r="AF162" i="5" s="1"/>
  <c r="Z162" i="5"/>
  <c r="AA162" i="5" s="1"/>
  <c r="X162" i="5"/>
  <c r="Y162" i="5" s="1"/>
  <c r="W162" i="5"/>
  <c r="BE161" i="5"/>
  <c r="BB161" i="5"/>
  <c r="AX161" i="5"/>
  <c r="AQ161" i="5"/>
  <c r="AN161" i="5"/>
  <c r="AO161" i="5" s="1"/>
  <c r="AM161" i="5"/>
  <c r="AE161" i="5"/>
  <c r="AD161" i="5"/>
  <c r="AF161" i="5" s="1"/>
  <c r="Z161" i="5"/>
  <c r="Y161" i="5"/>
  <c r="X161" i="5"/>
  <c r="W161" i="5"/>
  <c r="BE160" i="5"/>
  <c r="BB160" i="5"/>
  <c r="AX160" i="5"/>
  <c r="AQ160" i="5"/>
  <c r="AR160" i="5" s="1"/>
  <c r="AN160" i="5"/>
  <c r="AO160" i="5" s="1"/>
  <c r="AM160" i="5"/>
  <c r="AD160" i="5"/>
  <c r="Z160" i="5"/>
  <c r="AA160" i="5" s="1"/>
  <c r="X160" i="5"/>
  <c r="Y160" i="5" s="1"/>
  <c r="W160" i="5"/>
  <c r="BE159" i="5"/>
  <c r="BB159" i="5"/>
  <c r="AX159" i="5"/>
  <c r="AQ159" i="5"/>
  <c r="AR159" i="5" s="1"/>
  <c r="AN159" i="5"/>
  <c r="AO159" i="5" s="1"/>
  <c r="AM159" i="5"/>
  <c r="AD159" i="5"/>
  <c r="AF159" i="5" s="1"/>
  <c r="Z159" i="5"/>
  <c r="AA159" i="5" s="1"/>
  <c r="X159" i="5"/>
  <c r="W159" i="5"/>
  <c r="BE158" i="5"/>
  <c r="BB158" i="5"/>
  <c r="AX158" i="5"/>
  <c r="AQ158" i="5"/>
  <c r="AR158" i="5" s="1"/>
  <c r="AN158" i="5"/>
  <c r="AO158" i="5" s="1"/>
  <c r="AM158" i="5"/>
  <c r="AD158" i="5"/>
  <c r="AF158" i="5" s="1"/>
  <c r="Z158" i="5"/>
  <c r="AA158" i="5" s="1"/>
  <c r="X158" i="5"/>
  <c r="W158" i="5"/>
  <c r="BE157" i="5"/>
  <c r="BB157" i="5"/>
  <c r="AX157" i="5"/>
  <c r="AQ157" i="5"/>
  <c r="AN157" i="5"/>
  <c r="AO157" i="5" s="1"/>
  <c r="AM157" i="5"/>
  <c r="AD157" i="5"/>
  <c r="AF157" i="5" s="1"/>
  <c r="Z157" i="5"/>
  <c r="X157" i="5"/>
  <c r="W157" i="5"/>
  <c r="BE156" i="5"/>
  <c r="BB156" i="5"/>
  <c r="AX156" i="5"/>
  <c r="AQ156" i="5"/>
  <c r="AR156" i="5" s="1"/>
  <c r="AN156" i="5"/>
  <c r="AO156" i="5" s="1"/>
  <c r="AM156" i="5"/>
  <c r="AD156" i="5"/>
  <c r="AF156" i="5" s="1"/>
  <c r="Z156" i="5"/>
  <c r="AA156" i="5" s="1"/>
  <c r="X156" i="5"/>
  <c r="W156" i="5"/>
  <c r="BE155" i="5"/>
  <c r="BB155" i="5"/>
  <c r="AX155" i="5"/>
  <c r="AR155" i="5"/>
  <c r="AQ155" i="5"/>
  <c r="AN155" i="5"/>
  <c r="AO155" i="5" s="1"/>
  <c r="AM155" i="5"/>
  <c r="AD155" i="5"/>
  <c r="AF155" i="5" s="1"/>
  <c r="Z155" i="5"/>
  <c r="X155" i="5"/>
  <c r="W155" i="5"/>
  <c r="BE154" i="5"/>
  <c r="BB154" i="5"/>
  <c r="AX154" i="5"/>
  <c r="AR154" i="5"/>
  <c r="AQ154" i="5"/>
  <c r="AN154" i="5"/>
  <c r="AO154" i="5" s="1"/>
  <c r="AM154" i="5"/>
  <c r="AD154" i="5"/>
  <c r="AF154" i="5" s="1"/>
  <c r="Z154" i="5"/>
  <c r="AA154" i="5" s="1"/>
  <c r="X154" i="5"/>
  <c r="W154" i="5"/>
  <c r="BE153" i="5"/>
  <c r="BB153" i="5"/>
  <c r="AX153" i="5"/>
  <c r="AQ153" i="5"/>
  <c r="AN153" i="5"/>
  <c r="AO153" i="5" s="1"/>
  <c r="AM153" i="5"/>
  <c r="AD153" i="5"/>
  <c r="AF153" i="5" s="1"/>
  <c r="Z153" i="5"/>
  <c r="X153" i="5"/>
  <c r="W153" i="5"/>
  <c r="BE152" i="5"/>
  <c r="BB152" i="5"/>
  <c r="AX152" i="5"/>
  <c r="AQ152" i="5"/>
  <c r="AR152" i="5" s="1"/>
  <c r="AN152" i="5"/>
  <c r="AO152" i="5" s="1"/>
  <c r="AM152" i="5"/>
  <c r="AD152" i="5"/>
  <c r="AF152" i="5" s="1"/>
  <c r="Z152" i="5"/>
  <c r="AA152" i="5" s="1"/>
  <c r="X152" i="5"/>
  <c r="W152" i="5"/>
  <c r="BE151" i="5"/>
  <c r="BB151" i="5"/>
  <c r="AX151" i="5"/>
  <c r="AQ151" i="5"/>
  <c r="AN151" i="5"/>
  <c r="AO151" i="5" s="1"/>
  <c r="AM151" i="5"/>
  <c r="AD151" i="5"/>
  <c r="AF151" i="5" s="1"/>
  <c r="Z151" i="5"/>
  <c r="X151" i="5"/>
  <c r="W151" i="5"/>
  <c r="BE150" i="5"/>
  <c r="BB150" i="5"/>
  <c r="AX150" i="5"/>
  <c r="AQ150" i="5"/>
  <c r="AR150" i="5" s="1"/>
  <c r="AN150" i="5"/>
  <c r="AO150" i="5" s="1"/>
  <c r="AM150" i="5"/>
  <c r="AD150" i="5"/>
  <c r="AF150" i="5" s="1"/>
  <c r="Z150" i="5"/>
  <c r="AA150" i="5" s="1"/>
  <c r="X150" i="5"/>
  <c r="W150" i="5"/>
  <c r="BE149" i="5"/>
  <c r="BB149" i="5"/>
  <c r="AX149" i="5"/>
  <c r="AQ149" i="5"/>
  <c r="AN149" i="5"/>
  <c r="AO149" i="5" s="1"/>
  <c r="AM149" i="5"/>
  <c r="AD149" i="5"/>
  <c r="AF149" i="5" s="1"/>
  <c r="Z149" i="5"/>
  <c r="X149" i="5"/>
  <c r="W149" i="5"/>
  <c r="BE148" i="5"/>
  <c r="BB148" i="5"/>
  <c r="AX148" i="5"/>
  <c r="AQ148" i="5"/>
  <c r="AR148" i="5" s="1"/>
  <c r="AN148" i="5"/>
  <c r="AO148" i="5" s="1"/>
  <c r="AM148" i="5"/>
  <c r="AE148" i="5"/>
  <c r="AD148" i="5"/>
  <c r="AF148" i="5" s="1"/>
  <c r="Z148" i="5"/>
  <c r="AA148" i="5" s="1"/>
  <c r="X148" i="5"/>
  <c r="W148" i="5"/>
  <c r="BE147" i="5"/>
  <c r="BB147" i="5"/>
  <c r="AX147" i="5"/>
  <c r="AQ147" i="5"/>
  <c r="AN147" i="5"/>
  <c r="AO147" i="5" s="1"/>
  <c r="AM147" i="5"/>
  <c r="AD147" i="5"/>
  <c r="AF147" i="5" s="1"/>
  <c r="Z147" i="5"/>
  <c r="X147" i="5"/>
  <c r="W147" i="5"/>
  <c r="BE146" i="5"/>
  <c r="BB146" i="5"/>
  <c r="AX146" i="5"/>
  <c r="AQ146" i="5"/>
  <c r="AN146" i="5"/>
  <c r="AO146" i="5" s="1"/>
  <c r="AM146" i="5"/>
  <c r="AD146" i="5"/>
  <c r="AF146" i="5" s="1"/>
  <c r="Z146" i="5"/>
  <c r="AA146" i="5" s="1"/>
  <c r="X146" i="5"/>
  <c r="W146" i="5"/>
  <c r="BE145" i="5"/>
  <c r="BB145" i="5"/>
  <c r="AX145" i="5"/>
  <c r="AQ145" i="5"/>
  <c r="AR145" i="5" s="1"/>
  <c r="AO145" i="5"/>
  <c r="AN145" i="5"/>
  <c r="AM145" i="5"/>
  <c r="AD145" i="5"/>
  <c r="AE145" i="5" s="1"/>
  <c r="Z145" i="5"/>
  <c r="X145" i="5"/>
  <c r="W145" i="5"/>
  <c r="BE144" i="5"/>
  <c r="BB144" i="5"/>
  <c r="AX144" i="5"/>
  <c r="AQ144" i="5"/>
  <c r="AN144" i="5"/>
  <c r="AO144" i="5" s="1"/>
  <c r="AP148" i="5" s="1"/>
  <c r="AM144" i="5"/>
  <c r="AD144" i="5"/>
  <c r="Z144" i="5"/>
  <c r="AA144" i="5" s="1"/>
  <c r="X144" i="5"/>
  <c r="W144" i="5"/>
  <c r="BE143" i="5"/>
  <c r="BB143" i="5"/>
  <c r="AX143" i="5"/>
  <c r="AQ143" i="5"/>
  <c r="AR143" i="5" s="1"/>
  <c r="AN143" i="5"/>
  <c r="AO143" i="5" s="1"/>
  <c r="AM143" i="5"/>
  <c r="AD143" i="5"/>
  <c r="AE143" i="5" s="1"/>
  <c r="AA143" i="5"/>
  <c r="Z143" i="5"/>
  <c r="X143" i="5"/>
  <c r="W143" i="5"/>
  <c r="BE142" i="5"/>
  <c r="BB142" i="5"/>
  <c r="AX142" i="5"/>
  <c r="AQ142" i="5"/>
  <c r="AN142" i="5"/>
  <c r="AO142" i="5" s="1"/>
  <c r="AM142" i="5"/>
  <c r="AD142" i="5"/>
  <c r="AF142" i="5" s="1"/>
  <c r="Z142" i="5"/>
  <c r="AA142" i="5" s="1"/>
  <c r="X142" i="5"/>
  <c r="W142" i="5"/>
  <c r="BE141" i="5"/>
  <c r="BB141" i="5"/>
  <c r="AX141" i="5"/>
  <c r="AQ141" i="5"/>
  <c r="AR141" i="5" s="1"/>
  <c r="AO141" i="5"/>
  <c r="AN141" i="5"/>
  <c r="AM141" i="5"/>
  <c r="AD141" i="5"/>
  <c r="AE141" i="5" s="1"/>
  <c r="Z141" i="5"/>
  <c r="X141" i="5"/>
  <c r="W141" i="5"/>
  <c r="BE140" i="5"/>
  <c r="BB140" i="5"/>
  <c r="AX140" i="5"/>
  <c r="AQ140" i="5"/>
  <c r="AN140" i="5"/>
  <c r="AO140" i="5" s="1"/>
  <c r="AM140" i="5"/>
  <c r="AD140" i="5"/>
  <c r="AE140" i="5" s="1"/>
  <c r="Z140" i="5"/>
  <c r="AA140" i="5" s="1"/>
  <c r="X140" i="5"/>
  <c r="W140" i="5"/>
  <c r="BE139" i="5"/>
  <c r="BB139" i="5"/>
  <c r="AX139" i="5"/>
  <c r="AQ139" i="5"/>
  <c r="AR139" i="5" s="1"/>
  <c r="AN139" i="5"/>
  <c r="AO139" i="5" s="1"/>
  <c r="AM139" i="5"/>
  <c r="AD139" i="5"/>
  <c r="AA139" i="5"/>
  <c r="Z139" i="5"/>
  <c r="X139" i="5"/>
  <c r="W139" i="5"/>
  <c r="BE138" i="5"/>
  <c r="BB138" i="5"/>
  <c r="AX138" i="5"/>
  <c r="AQ138" i="5"/>
  <c r="AN138" i="5"/>
  <c r="AO138" i="5" s="1"/>
  <c r="AM138" i="5"/>
  <c r="AD138" i="5"/>
  <c r="AF138" i="5" s="1"/>
  <c r="Z138" i="5"/>
  <c r="AA138" i="5" s="1"/>
  <c r="X138" i="5"/>
  <c r="W138" i="5"/>
  <c r="BE137" i="5"/>
  <c r="BB137" i="5"/>
  <c r="AX137" i="5"/>
  <c r="AQ137" i="5"/>
  <c r="AR137" i="5" s="1"/>
  <c r="AO137" i="5"/>
  <c r="AN137" i="5"/>
  <c r="AM137" i="5"/>
  <c r="AD137" i="5"/>
  <c r="AE137" i="5" s="1"/>
  <c r="Z137" i="5"/>
  <c r="X137" i="5"/>
  <c r="W137" i="5"/>
  <c r="BE136" i="5"/>
  <c r="BB136" i="5"/>
  <c r="AX136" i="5"/>
  <c r="AQ136" i="5"/>
  <c r="AN136" i="5"/>
  <c r="AO136" i="5" s="1"/>
  <c r="AP140" i="5" s="1"/>
  <c r="AM136" i="5"/>
  <c r="AD136" i="5"/>
  <c r="Z136" i="5"/>
  <c r="AA136" i="5" s="1"/>
  <c r="X136" i="5"/>
  <c r="W136" i="5"/>
  <c r="BE135" i="5"/>
  <c r="BB135" i="5"/>
  <c r="AX135" i="5"/>
  <c r="AQ135" i="5"/>
  <c r="AR135" i="5" s="1"/>
  <c r="AN135" i="5"/>
  <c r="AO135" i="5" s="1"/>
  <c r="AM135" i="5"/>
  <c r="AD135" i="5"/>
  <c r="AE135" i="5" s="1"/>
  <c r="Z135" i="5"/>
  <c r="AA135" i="5" s="1"/>
  <c r="X135" i="5"/>
  <c r="W135" i="5"/>
  <c r="BG135" i="5" s="1"/>
  <c r="BE134" i="5"/>
  <c r="BB134" i="5"/>
  <c r="AX134" i="5"/>
  <c r="AQ134" i="5"/>
  <c r="AN134" i="5"/>
  <c r="AO134" i="5" s="1"/>
  <c r="AM134" i="5"/>
  <c r="AD134" i="5"/>
  <c r="AF134" i="5" s="1"/>
  <c r="Z134" i="5"/>
  <c r="AA134" i="5" s="1"/>
  <c r="X134" i="5"/>
  <c r="W134" i="5"/>
  <c r="AY134" i="5" s="1"/>
  <c r="BE133" i="5"/>
  <c r="BB133" i="5"/>
  <c r="AX133" i="5"/>
  <c r="AQ133" i="5"/>
  <c r="AR133" i="5" s="1"/>
  <c r="AN133" i="5"/>
  <c r="AO133" i="5" s="1"/>
  <c r="AM133" i="5"/>
  <c r="AD133" i="5"/>
  <c r="AE133" i="5" s="1"/>
  <c r="Z133" i="5"/>
  <c r="X133" i="5"/>
  <c r="W133" i="5"/>
  <c r="BE132" i="5"/>
  <c r="BB132" i="5"/>
  <c r="AX132" i="5"/>
  <c r="AQ132" i="5"/>
  <c r="AN132" i="5"/>
  <c r="AO132" i="5" s="1"/>
  <c r="AM132" i="5"/>
  <c r="AD132" i="5"/>
  <c r="Z132" i="5"/>
  <c r="AA132" i="5" s="1"/>
  <c r="X132" i="5"/>
  <c r="W132" i="5"/>
  <c r="BE131" i="5"/>
  <c r="BB131" i="5"/>
  <c r="AX131" i="5"/>
  <c r="AQ131" i="5"/>
  <c r="AR131" i="5" s="1"/>
  <c r="AN131" i="5"/>
  <c r="AO131" i="5" s="1"/>
  <c r="AM131" i="5"/>
  <c r="AD131" i="5"/>
  <c r="AE131" i="5" s="1"/>
  <c r="Z131" i="5"/>
  <c r="AA131" i="5" s="1"/>
  <c r="X131" i="5"/>
  <c r="W131" i="5"/>
  <c r="BG131" i="5" s="1"/>
  <c r="BE130" i="5"/>
  <c r="BB130" i="5"/>
  <c r="AX130" i="5"/>
  <c r="AQ130" i="5"/>
  <c r="AN130" i="5"/>
  <c r="AO130" i="5" s="1"/>
  <c r="AM130" i="5"/>
  <c r="AD130" i="5"/>
  <c r="AF130" i="5" s="1"/>
  <c r="Z130" i="5"/>
  <c r="AA130" i="5" s="1"/>
  <c r="X130" i="5"/>
  <c r="W130" i="5"/>
  <c r="AY130" i="5" s="1"/>
  <c r="BE129" i="5"/>
  <c r="BB129" i="5"/>
  <c r="AY129" i="5"/>
  <c r="AX129" i="5"/>
  <c r="AQ129" i="5"/>
  <c r="AR129" i="5" s="1"/>
  <c r="AO129" i="5"/>
  <c r="AN129" i="5"/>
  <c r="AM129" i="5"/>
  <c r="AD129" i="5"/>
  <c r="AE129" i="5" s="1"/>
  <c r="Z129" i="5"/>
  <c r="X129" i="5"/>
  <c r="W129" i="5"/>
  <c r="BG129" i="5" s="1"/>
  <c r="BE128" i="5"/>
  <c r="BB128" i="5"/>
  <c r="AX128" i="5"/>
  <c r="AQ128" i="5"/>
  <c r="AN128" i="5"/>
  <c r="AO128" i="5" s="1"/>
  <c r="AM128" i="5"/>
  <c r="AD128" i="5"/>
  <c r="Z128" i="5"/>
  <c r="X128" i="5"/>
  <c r="W128" i="5"/>
  <c r="BD128" i="5" s="1"/>
  <c r="BE127" i="5"/>
  <c r="BB127" i="5"/>
  <c r="AX127" i="5"/>
  <c r="AQ127" i="5"/>
  <c r="AR127" i="5" s="1"/>
  <c r="AN127" i="5"/>
  <c r="AO127" i="5" s="1"/>
  <c r="AM127" i="5"/>
  <c r="AD127" i="5"/>
  <c r="AE127" i="5" s="1"/>
  <c r="Z127" i="5"/>
  <c r="AA127" i="5" s="1"/>
  <c r="X127" i="5"/>
  <c r="W127" i="5"/>
  <c r="BE126" i="5"/>
  <c r="BB126" i="5"/>
  <c r="AX126" i="5"/>
  <c r="AQ126" i="5"/>
  <c r="AN126" i="5"/>
  <c r="AO126" i="5" s="1"/>
  <c r="AM126" i="5"/>
  <c r="AD126" i="5"/>
  <c r="AF126" i="5" s="1"/>
  <c r="Z126" i="5"/>
  <c r="AA126" i="5" s="1"/>
  <c r="X126" i="5"/>
  <c r="W126" i="5"/>
  <c r="BG126" i="5" s="1"/>
  <c r="BE125" i="5"/>
  <c r="BB125" i="5"/>
  <c r="AX125" i="5"/>
  <c r="AQ125" i="5"/>
  <c r="AR125" i="5" s="1"/>
  <c r="AN125" i="5"/>
  <c r="AO125" i="5" s="1"/>
  <c r="AM125" i="5"/>
  <c r="AD125" i="5"/>
  <c r="Z125" i="5"/>
  <c r="X125" i="5"/>
  <c r="W125" i="5"/>
  <c r="BG125" i="5" s="1"/>
  <c r="BE124" i="5"/>
  <c r="BB124" i="5"/>
  <c r="AX124" i="5"/>
  <c r="AQ124" i="5"/>
  <c r="AN124" i="5"/>
  <c r="AO124" i="5" s="1"/>
  <c r="AM124" i="5"/>
  <c r="AF124" i="5"/>
  <c r="AE124" i="5"/>
  <c r="AD124" i="5"/>
  <c r="Z124" i="5"/>
  <c r="X124" i="5"/>
  <c r="W124" i="5"/>
  <c r="BE123" i="5"/>
  <c r="BB123" i="5"/>
  <c r="AX123" i="5"/>
  <c r="AQ123" i="5"/>
  <c r="AR123" i="5" s="1"/>
  <c r="AN123" i="5"/>
  <c r="AO123" i="5" s="1"/>
  <c r="AM123" i="5"/>
  <c r="AD123" i="5"/>
  <c r="AA123" i="5"/>
  <c r="Z123" i="5"/>
  <c r="X123" i="5"/>
  <c r="W123" i="5"/>
  <c r="BG123" i="5" s="1"/>
  <c r="BE122" i="5"/>
  <c r="BB122" i="5"/>
  <c r="AX122" i="5"/>
  <c r="AQ122" i="5"/>
  <c r="AN122" i="5"/>
  <c r="AO122" i="5" s="1"/>
  <c r="AM122" i="5"/>
  <c r="AD122" i="5"/>
  <c r="AF122" i="5" s="1"/>
  <c r="Z122" i="5"/>
  <c r="AA122" i="5" s="1"/>
  <c r="X122" i="5"/>
  <c r="W122" i="5"/>
  <c r="BG122" i="5" s="1"/>
  <c r="BE121" i="5"/>
  <c r="BB121" i="5"/>
  <c r="AX121" i="5"/>
  <c r="AQ121" i="5"/>
  <c r="AR121" i="5" s="1"/>
  <c r="AN121" i="5"/>
  <c r="AO121" i="5" s="1"/>
  <c r="AM121" i="5"/>
  <c r="AD121" i="5"/>
  <c r="Z121" i="5"/>
  <c r="X121" i="5"/>
  <c r="W121" i="5"/>
  <c r="BD121" i="5" s="1"/>
  <c r="BE120" i="5"/>
  <c r="BB120" i="5"/>
  <c r="AX120" i="5"/>
  <c r="AQ120" i="5"/>
  <c r="AN120" i="5"/>
  <c r="AO120" i="5" s="1"/>
  <c r="AM120" i="5"/>
  <c r="AD120" i="5"/>
  <c r="AF120" i="5" s="1"/>
  <c r="Z120" i="5"/>
  <c r="X120" i="5"/>
  <c r="W120" i="5"/>
  <c r="BA120" i="5" s="1"/>
  <c r="BE119" i="5"/>
  <c r="BB119" i="5"/>
  <c r="AX119" i="5"/>
  <c r="AQ119" i="5"/>
  <c r="AR119" i="5" s="1"/>
  <c r="AN119" i="5"/>
  <c r="AO119" i="5" s="1"/>
  <c r="AP123" i="5" s="1"/>
  <c r="AM119" i="5"/>
  <c r="AD119" i="5"/>
  <c r="Z119" i="5"/>
  <c r="AA119" i="5" s="1"/>
  <c r="X119" i="5"/>
  <c r="W119" i="5"/>
  <c r="BG119" i="5" s="1"/>
  <c r="BG118" i="5"/>
  <c r="BE118" i="5"/>
  <c r="BB118" i="5"/>
  <c r="AX118" i="5"/>
  <c r="AQ118" i="5"/>
  <c r="AN118" i="5"/>
  <c r="AO118" i="5" s="1"/>
  <c r="AM118" i="5"/>
  <c r="AD118" i="5"/>
  <c r="AF118" i="5" s="1"/>
  <c r="Z118" i="5"/>
  <c r="AA118" i="5" s="1"/>
  <c r="X118" i="5"/>
  <c r="W118" i="5"/>
  <c r="BE117" i="5"/>
  <c r="BD117" i="5"/>
  <c r="BB117" i="5"/>
  <c r="BA117" i="5"/>
  <c r="AX117" i="5"/>
  <c r="AQ117" i="5"/>
  <c r="AN117" i="5"/>
  <c r="AO117" i="5" s="1"/>
  <c r="AM117" i="5"/>
  <c r="AD117" i="5"/>
  <c r="AF117" i="5" s="1"/>
  <c r="Z117" i="5"/>
  <c r="X117" i="5"/>
  <c r="W117" i="5"/>
  <c r="BG117" i="5" s="1"/>
  <c r="BE116" i="5"/>
  <c r="BB116" i="5"/>
  <c r="AX116" i="5"/>
  <c r="AQ116" i="5"/>
  <c r="AN116" i="5"/>
  <c r="AO116" i="5" s="1"/>
  <c r="AM116" i="5"/>
  <c r="AD116" i="5"/>
  <c r="AE116" i="5" s="1"/>
  <c r="Z116" i="5"/>
  <c r="AA116" i="5" s="1"/>
  <c r="X116" i="5"/>
  <c r="W116" i="5"/>
  <c r="AY116" i="5" s="1"/>
  <c r="BE115" i="5"/>
  <c r="BB115" i="5"/>
  <c r="AX115" i="5"/>
  <c r="AQ115" i="5"/>
  <c r="AR115" i="5" s="1"/>
  <c r="AN115" i="5"/>
  <c r="AO115" i="5" s="1"/>
  <c r="AM115" i="5"/>
  <c r="AD115" i="5"/>
  <c r="Z115" i="5"/>
  <c r="AA115" i="5" s="1"/>
  <c r="X115" i="5"/>
  <c r="W115" i="5"/>
  <c r="BA115" i="5" s="1"/>
  <c r="BE114" i="5"/>
  <c r="BB114" i="5"/>
  <c r="AX114" i="5"/>
  <c r="AQ114" i="5"/>
  <c r="AN114" i="5"/>
  <c r="AO114" i="5" s="1"/>
  <c r="AM114" i="5"/>
  <c r="AD114" i="5"/>
  <c r="AF114" i="5" s="1"/>
  <c r="Z114" i="5"/>
  <c r="AA114" i="5" s="1"/>
  <c r="X114" i="5"/>
  <c r="W114" i="5"/>
  <c r="BE113" i="5"/>
  <c r="BB113" i="5"/>
  <c r="AX113" i="5"/>
  <c r="AQ113" i="5"/>
  <c r="AN113" i="5"/>
  <c r="AO113" i="5" s="1"/>
  <c r="AM113" i="5"/>
  <c r="AD113" i="5"/>
  <c r="AF113" i="5" s="1"/>
  <c r="Z113" i="5"/>
  <c r="AA113" i="5" s="1"/>
  <c r="X113" i="5"/>
  <c r="W113" i="5"/>
  <c r="BG113" i="5" s="1"/>
  <c r="BE112" i="5"/>
  <c r="BB112" i="5"/>
  <c r="AX112" i="5"/>
  <c r="AQ112" i="5"/>
  <c r="AN112" i="5"/>
  <c r="AO112" i="5" s="1"/>
  <c r="AM112" i="5"/>
  <c r="AD112" i="5"/>
  <c r="AE112" i="5" s="1"/>
  <c r="Z112" i="5"/>
  <c r="AA112" i="5" s="1"/>
  <c r="X112" i="5"/>
  <c r="W112" i="5"/>
  <c r="AY112" i="5" s="1"/>
  <c r="BE111" i="5"/>
  <c r="BB111" i="5"/>
  <c r="AX111" i="5"/>
  <c r="AQ111" i="5"/>
  <c r="AN111" i="5"/>
  <c r="AO111" i="5" s="1"/>
  <c r="AM111" i="5"/>
  <c r="AD111" i="5"/>
  <c r="AE111" i="5" s="1"/>
  <c r="Z111" i="5"/>
  <c r="AA111" i="5" s="1"/>
  <c r="X111" i="5"/>
  <c r="W111" i="5"/>
  <c r="BD111" i="5" s="1"/>
  <c r="BE110" i="5"/>
  <c r="BB110" i="5"/>
  <c r="AX110" i="5"/>
  <c r="AQ110" i="5"/>
  <c r="AN110" i="5"/>
  <c r="AO110" i="5" s="1"/>
  <c r="AM110" i="5"/>
  <c r="AD110" i="5"/>
  <c r="AF110" i="5" s="1"/>
  <c r="Z110" i="5"/>
  <c r="AA110" i="5" s="1"/>
  <c r="X110" i="5"/>
  <c r="W110" i="5"/>
  <c r="BA110" i="5" s="1"/>
  <c r="BE109" i="5"/>
  <c r="BB109" i="5"/>
  <c r="AX109" i="5"/>
  <c r="AQ109" i="5"/>
  <c r="AR109" i="5" s="1"/>
  <c r="AN109" i="5"/>
  <c r="AO109" i="5" s="1"/>
  <c r="AM109" i="5"/>
  <c r="AD109" i="5"/>
  <c r="Z109" i="5"/>
  <c r="AA109" i="5" s="1"/>
  <c r="X109" i="5"/>
  <c r="W109" i="5"/>
  <c r="BG109" i="5" s="1"/>
  <c r="BE108" i="5"/>
  <c r="BB108" i="5"/>
  <c r="AX108" i="5"/>
  <c r="AQ108" i="5"/>
  <c r="AR108" i="5" s="1"/>
  <c r="AN108" i="5"/>
  <c r="AO108" i="5" s="1"/>
  <c r="AM108" i="5"/>
  <c r="AD108" i="5"/>
  <c r="AE108" i="5" s="1"/>
  <c r="Z108" i="5"/>
  <c r="X108" i="5"/>
  <c r="W108" i="5"/>
  <c r="AY108" i="5" s="1"/>
  <c r="BE107" i="5"/>
  <c r="BB107" i="5"/>
  <c r="AX107" i="5"/>
  <c r="AQ107" i="5"/>
  <c r="AR107" i="5" s="1"/>
  <c r="AN107" i="5"/>
  <c r="AO107" i="5" s="1"/>
  <c r="AM107" i="5"/>
  <c r="AD107" i="5"/>
  <c r="AE107" i="5" s="1"/>
  <c r="Z107" i="5"/>
  <c r="AA107" i="5" s="1"/>
  <c r="X107" i="5"/>
  <c r="W107" i="5"/>
  <c r="BD107" i="5" s="1"/>
  <c r="BE106" i="5"/>
  <c r="BB106" i="5"/>
  <c r="AX106" i="5"/>
  <c r="AQ106" i="5"/>
  <c r="AN106" i="5"/>
  <c r="AO106" i="5" s="1"/>
  <c r="AM106" i="5"/>
  <c r="AD106" i="5"/>
  <c r="AF106" i="5" s="1"/>
  <c r="Z106" i="5"/>
  <c r="AA106" i="5" s="1"/>
  <c r="X106" i="5"/>
  <c r="W106" i="5"/>
  <c r="BA106" i="5" s="1"/>
  <c r="BE105" i="5"/>
  <c r="BB105" i="5"/>
  <c r="AX105" i="5"/>
  <c r="AQ105" i="5"/>
  <c r="AN105" i="5"/>
  <c r="AO105" i="5" s="1"/>
  <c r="AM105" i="5"/>
  <c r="AD105" i="5"/>
  <c r="AF105" i="5" s="1"/>
  <c r="Z105" i="5"/>
  <c r="AA105" i="5" s="1"/>
  <c r="X105" i="5"/>
  <c r="W105" i="5"/>
  <c r="BG105" i="5" s="1"/>
  <c r="BE104" i="5"/>
  <c r="BB104" i="5"/>
  <c r="AX104" i="5"/>
  <c r="AQ104" i="5"/>
  <c r="AN104" i="5"/>
  <c r="AO104" i="5" s="1"/>
  <c r="AM104" i="5"/>
  <c r="AD104" i="5"/>
  <c r="Z104" i="5"/>
  <c r="AA104" i="5" s="1"/>
  <c r="X104" i="5"/>
  <c r="W104" i="5"/>
  <c r="AY104" i="5" s="1"/>
  <c r="BE103" i="5"/>
  <c r="BB103" i="5"/>
  <c r="AX103" i="5"/>
  <c r="AQ103" i="5"/>
  <c r="AN103" i="5"/>
  <c r="AO103" i="5" s="1"/>
  <c r="AM103" i="5"/>
  <c r="AD103" i="5"/>
  <c r="AE103" i="5" s="1"/>
  <c r="Z103" i="5"/>
  <c r="AA103" i="5" s="1"/>
  <c r="X103" i="5"/>
  <c r="W103" i="5"/>
  <c r="BD103" i="5" s="1"/>
  <c r="BE102" i="5"/>
  <c r="BB102" i="5"/>
  <c r="AX102" i="5"/>
  <c r="AQ102" i="5"/>
  <c r="AN102" i="5"/>
  <c r="AO102" i="5" s="1"/>
  <c r="AM102" i="5"/>
  <c r="AD102" i="5"/>
  <c r="Z102" i="5"/>
  <c r="AA102" i="5" s="1"/>
  <c r="X102" i="5"/>
  <c r="W102" i="5"/>
  <c r="BA102" i="5" s="1"/>
  <c r="BE101" i="5"/>
  <c r="BB101" i="5"/>
  <c r="AX101" i="5"/>
  <c r="AQ101" i="5"/>
  <c r="AR101" i="5" s="1"/>
  <c r="AN101" i="5"/>
  <c r="AO101" i="5" s="1"/>
  <c r="AM101" i="5"/>
  <c r="AF101" i="5"/>
  <c r="AD101" i="5"/>
  <c r="AE101" i="5" s="1"/>
  <c r="Z101" i="5"/>
  <c r="AA101" i="5" s="1"/>
  <c r="X101" i="5"/>
  <c r="W101" i="5"/>
  <c r="BG101" i="5" s="1"/>
  <c r="BE100" i="5"/>
  <c r="BB100" i="5"/>
  <c r="AX100" i="5"/>
  <c r="AQ100" i="5"/>
  <c r="AN100" i="5"/>
  <c r="AO100" i="5" s="1"/>
  <c r="AM100" i="5"/>
  <c r="AD100" i="5"/>
  <c r="AF100" i="5" s="1"/>
  <c r="Z100" i="5"/>
  <c r="X100" i="5"/>
  <c r="W100" i="5"/>
  <c r="AY100" i="5" s="1"/>
  <c r="BE99" i="5"/>
  <c r="BB99" i="5"/>
  <c r="AX99" i="5"/>
  <c r="AQ99" i="5"/>
  <c r="AR99" i="5" s="1"/>
  <c r="AN99" i="5"/>
  <c r="AO99" i="5" s="1"/>
  <c r="AM99" i="5"/>
  <c r="AD99" i="5"/>
  <c r="AE99" i="5" s="1"/>
  <c r="Z99" i="5"/>
  <c r="AA99" i="5" s="1"/>
  <c r="X99" i="5"/>
  <c r="W99" i="5"/>
  <c r="BD99" i="5" s="1"/>
  <c r="BE98" i="5"/>
  <c r="BB98" i="5"/>
  <c r="AX98" i="5"/>
  <c r="AQ98" i="5"/>
  <c r="AN98" i="5"/>
  <c r="AO98" i="5" s="1"/>
  <c r="AM98" i="5"/>
  <c r="AD98" i="5"/>
  <c r="AF98" i="5" s="1"/>
  <c r="Z98" i="5"/>
  <c r="AA98" i="5" s="1"/>
  <c r="X98" i="5"/>
  <c r="W98" i="5"/>
  <c r="BA98" i="5" s="1"/>
  <c r="BE97" i="5"/>
  <c r="BB97" i="5"/>
  <c r="AX97" i="5"/>
  <c r="AQ97" i="5"/>
  <c r="AN97" i="5"/>
  <c r="AO97" i="5" s="1"/>
  <c r="AM97" i="5"/>
  <c r="AD97" i="5"/>
  <c r="AF97" i="5" s="1"/>
  <c r="Z97" i="5"/>
  <c r="AA97" i="5" s="1"/>
  <c r="X97" i="5"/>
  <c r="W97" i="5"/>
  <c r="BG97" i="5" s="1"/>
  <c r="BE96" i="5"/>
  <c r="BB96" i="5"/>
  <c r="AX96" i="5"/>
  <c r="AQ96" i="5"/>
  <c r="AN96" i="5"/>
  <c r="AO96" i="5" s="1"/>
  <c r="AM96" i="5"/>
  <c r="AD96" i="5"/>
  <c r="Z96" i="5"/>
  <c r="AA96" i="5" s="1"/>
  <c r="X96" i="5"/>
  <c r="W96" i="5"/>
  <c r="AY96" i="5" s="1"/>
  <c r="BE95" i="5"/>
  <c r="BB95" i="5"/>
  <c r="AX95" i="5"/>
  <c r="AQ95" i="5"/>
  <c r="AN95" i="5"/>
  <c r="AO95" i="5" s="1"/>
  <c r="AM95" i="5"/>
  <c r="AD95" i="5"/>
  <c r="AE95" i="5" s="1"/>
  <c r="Z95" i="5"/>
  <c r="AA95" i="5" s="1"/>
  <c r="X95" i="5"/>
  <c r="W95" i="5"/>
  <c r="BD95" i="5" s="1"/>
  <c r="BE94" i="5"/>
  <c r="BB94" i="5"/>
  <c r="AX94" i="5"/>
  <c r="AQ94" i="5"/>
  <c r="AN94" i="5"/>
  <c r="AO94" i="5" s="1"/>
  <c r="AM94" i="5"/>
  <c r="AD94" i="5"/>
  <c r="AF94" i="5" s="1"/>
  <c r="Z94" i="5"/>
  <c r="AA94" i="5" s="1"/>
  <c r="X94" i="5"/>
  <c r="W94" i="5"/>
  <c r="BA94" i="5" s="1"/>
  <c r="BE93" i="5"/>
  <c r="BB93" i="5"/>
  <c r="AX93" i="5"/>
  <c r="AQ93" i="5"/>
  <c r="AR93" i="5" s="1"/>
  <c r="AO93" i="5"/>
  <c r="AN93" i="5"/>
  <c r="AM93" i="5"/>
  <c r="AD93" i="5"/>
  <c r="AE93" i="5" s="1"/>
  <c r="Z93" i="5"/>
  <c r="AA93" i="5" s="1"/>
  <c r="X93" i="5"/>
  <c r="W93" i="5"/>
  <c r="BG93" i="5" s="1"/>
  <c r="BE92" i="5"/>
  <c r="BB92" i="5"/>
  <c r="AX92" i="5"/>
  <c r="AQ92" i="5"/>
  <c r="AR92" i="5" s="1"/>
  <c r="AN92" i="5"/>
  <c r="AO92" i="5" s="1"/>
  <c r="AP96" i="5" s="1"/>
  <c r="AM92" i="5"/>
  <c r="AD92" i="5"/>
  <c r="AF92" i="5" s="1"/>
  <c r="Z92" i="5"/>
  <c r="AA92" i="5" s="1"/>
  <c r="X92" i="5"/>
  <c r="W92" i="5"/>
  <c r="AY92" i="5" s="1"/>
  <c r="BE91" i="5"/>
  <c r="BD91" i="5"/>
  <c r="BB91" i="5"/>
  <c r="AX91" i="5"/>
  <c r="AQ91" i="5"/>
  <c r="AN91" i="5"/>
  <c r="AO91" i="5" s="1"/>
  <c r="AM91" i="5"/>
  <c r="AD91" i="5"/>
  <c r="AE91" i="5" s="1"/>
  <c r="Z91" i="5"/>
  <c r="X91" i="5"/>
  <c r="W91" i="5"/>
  <c r="AY91" i="5" s="1"/>
  <c r="BE90" i="5"/>
  <c r="BB90" i="5"/>
  <c r="AX90" i="5"/>
  <c r="AQ90" i="5"/>
  <c r="AR90" i="5" s="1"/>
  <c r="AN90" i="5"/>
  <c r="AO90" i="5" s="1"/>
  <c r="AM90" i="5"/>
  <c r="AD90" i="5"/>
  <c r="AF90" i="5" s="1"/>
  <c r="Z90" i="5"/>
  <c r="AA90" i="5" s="1"/>
  <c r="X90" i="5"/>
  <c r="W90" i="5"/>
  <c r="BD90" i="5" s="1"/>
  <c r="BE89" i="5"/>
  <c r="BB89" i="5"/>
  <c r="AX89" i="5"/>
  <c r="AQ89" i="5"/>
  <c r="AR89" i="5" s="1"/>
  <c r="AN89" i="5"/>
  <c r="AO89" i="5" s="1"/>
  <c r="AM89" i="5"/>
  <c r="AD89" i="5"/>
  <c r="Z89" i="5"/>
  <c r="AA89" i="5" s="1"/>
  <c r="X89" i="5"/>
  <c r="W89" i="5"/>
  <c r="BG89" i="5" s="1"/>
  <c r="BE88" i="5"/>
  <c r="BB88" i="5"/>
  <c r="AX88" i="5"/>
  <c r="AQ88" i="5"/>
  <c r="AR88" i="5" s="1"/>
  <c r="AN88" i="5"/>
  <c r="AO88" i="5" s="1"/>
  <c r="AM88" i="5"/>
  <c r="AD88" i="5"/>
  <c r="AF88" i="5" s="1"/>
  <c r="Z88" i="5"/>
  <c r="AA88" i="5" s="1"/>
  <c r="X88" i="5"/>
  <c r="W88" i="5"/>
  <c r="BG88" i="5" s="1"/>
  <c r="BE87" i="5"/>
  <c r="BD87" i="5"/>
  <c r="BB87" i="5"/>
  <c r="AX87" i="5"/>
  <c r="AQ87" i="5"/>
  <c r="AN87" i="5"/>
  <c r="AO87" i="5" s="1"/>
  <c r="AM87" i="5"/>
  <c r="AD87" i="5"/>
  <c r="AE87" i="5" s="1"/>
  <c r="Z87" i="5"/>
  <c r="X87" i="5"/>
  <c r="W87" i="5"/>
  <c r="AY87" i="5" s="1"/>
  <c r="BE86" i="5"/>
  <c r="BB86" i="5"/>
  <c r="AX86" i="5"/>
  <c r="AR86" i="5"/>
  <c r="AQ86" i="5"/>
  <c r="AN86" i="5"/>
  <c r="AO86" i="5" s="1"/>
  <c r="AM86" i="5"/>
  <c r="AD86" i="5"/>
  <c r="AF86" i="5" s="1"/>
  <c r="Z86" i="5"/>
  <c r="AA86" i="5" s="1"/>
  <c r="X86" i="5"/>
  <c r="W86" i="5"/>
  <c r="BD86" i="5" s="1"/>
  <c r="BE85" i="5"/>
  <c r="BB85" i="5"/>
  <c r="AX85" i="5"/>
  <c r="AQ85" i="5"/>
  <c r="AN85" i="5"/>
  <c r="AO85" i="5" s="1"/>
  <c r="AM85" i="5"/>
  <c r="AF85" i="5"/>
  <c r="AD85" i="5"/>
  <c r="AE85" i="5" s="1"/>
  <c r="Z85" i="5"/>
  <c r="AA85" i="5" s="1"/>
  <c r="X85" i="5"/>
  <c r="W85" i="5"/>
  <c r="BE84" i="5"/>
  <c r="BB84" i="5"/>
  <c r="AX84" i="5"/>
  <c r="AQ84" i="5"/>
  <c r="AR84" i="5" s="1"/>
  <c r="AN84" i="5"/>
  <c r="AO84" i="5" s="1"/>
  <c r="AM84" i="5"/>
  <c r="AD84" i="5"/>
  <c r="AF84" i="5" s="1"/>
  <c r="Z84" i="5"/>
  <c r="AA84" i="5" s="1"/>
  <c r="X84" i="5"/>
  <c r="Y84" i="5" s="1"/>
  <c r="W84" i="5"/>
  <c r="BG84" i="5" s="1"/>
  <c r="BE83" i="5"/>
  <c r="BB83" i="5"/>
  <c r="AX83" i="5"/>
  <c r="AQ83" i="5"/>
  <c r="AR83" i="5" s="1"/>
  <c r="AN83" i="5"/>
  <c r="AO83" i="5" s="1"/>
  <c r="AM83" i="5"/>
  <c r="AD83" i="5"/>
  <c r="AF83" i="5" s="1"/>
  <c r="Z83" i="5"/>
  <c r="AA83" i="5" s="1"/>
  <c r="X83" i="5"/>
  <c r="Y83" i="5" s="1"/>
  <c r="W83" i="5"/>
  <c r="BA83" i="5" s="1"/>
  <c r="BE82" i="5"/>
  <c r="BB82" i="5"/>
  <c r="AX82" i="5"/>
  <c r="AR82" i="5"/>
  <c r="AQ82" i="5"/>
  <c r="AN82" i="5"/>
  <c r="AO82" i="5" s="1"/>
  <c r="AM82" i="5"/>
  <c r="AE82" i="5"/>
  <c r="AD82" i="5"/>
  <c r="AF82" i="5" s="1"/>
  <c r="Z82" i="5"/>
  <c r="AA82" i="5" s="1"/>
  <c r="X82" i="5"/>
  <c r="Y82" i="5" s="1"/>
  <c r="W82" i="5"/>
  <c r="BA82" i="5" s="1"/>
  <c r="BE81" i="5"/>
  <c r="BB81" i="5"/>
  <c r="AX81" i="5"/>
  <c r="AQ81" i="5"/>
  <c r="AR81" i="5" s="1"/>
  <c r="AN81" i="5"/>
  <c r="AO81" i="5" s="1"/>
  <c r="AM81" i="5"/>
  <c r="AD81" i="5"/>
  <c r="Z81" i="5"/>
  <c r="AA81" i="5" s="1"/>
  <c r="X81" i="5"/>
  <c r="Y81" i="5" s="1"/>
  <c r="W81" i="5"/>
  <c r="BA81" i="5" s="1"/>
  <c r="BE80" i="5"/>
  <c r="BB80" i="5"/>
  <c r="AX80" i="5"/>
  <c r="AQ80" i="5"/>
  <c r="AR80" i="5" s="1"/>
  <c r="AN80" i="5"/>
  <c r="AO80" i="5" s="1"/>
  <c r="AM80" i="5"/>
  <c r="AD80" i="5"/>
  <c r="AF80" i="5" s="1"/>
  <c r="Z80" i="5"/>
  <c r="AA80" i="5" s="1"/>
  <c r="Y80" i="5"/>
  <c r="X80" i="5"/>
  <c r="W80" i="5"/>
  <c r="BA80" i="5" s="1"/>
  <c r="BE79" i="5"/>
  <c r="BB79" i="5"/>
  <c r="AX79" i="5"/>
  <c r="AQ79" i="5"/>
  <c r="AR79" i="5" s="1"/>
  <c r="AN79" i="5"/>
  <c r="AO79" i="5" s="1"/>
  <c r="AM79" i="5"/>
  <c r="AD79" i="5"/>
  <c r="AF79" i="5" s="1"/>
  <c r="Z79" i="5"/>
  <c r="AA79" i="5" s="1"/>
  <c r="X79" i="5"/>
  <c r="Y79" i="5" s="1"/>
  <c r="W79" i="5"/>
  <c r="BA79" i="5" s="1"/>
  <c r="BE78" i="5"/>
  <c r="BB78" i="5"/>
  <c r="AX78" i="5"/>
  <c r="AQ78" i="5"/>
  <c r="AR78" i="5" s="1"/>
  <c r="AN78" i="5"/>
  <c r="AO78" i="5" s="1"/>
  <c r="AM78" i="5"/>
  <c r="AD78" i="5"/>
  <c r="AF78" i="5" s="1"/>
  <c r="Z78" i="5"/>
  <c r="AA78" i="5" s="1"/>
  <c r="X78" i="5"/>
  <c r="Y78" i="5" s="1"/>
  <c r="W78" i="5"/>
  <c r="BE77" i="5"/>
  <c r="BB77" i="5"/>
  <c r="AX77" i="5"/>
  <c r="AQ77" i="5"/>
  <c r="AR77" i="5" s="1"/>
  <c r="AN77" i="5"/>
  <c r="AO77" i="5" s="1"/>
  <c r="AM77" i="5"/>
  <c r="AD77" i="5"/>
  <c r="Z77" i="5"/>
  <c r="AA77" i="5" s="1"/>
  <c r="X77" i="5"/>
  <c r="Y77" i="5" s="1"/>
  <c r="W77" i="5"/>
  <c r="BD77" i="5" s="1"/>
  <c r="BE76" i="5"/>
  <c r="BB76" i="5"/>
  <c r="AX76" i="5"/>
  <c r="AQ76" i="5"/>
  <c r="AR76" i="5" s="1"/>
  <c r="AN76" i="5"/>
  <c r="AO76" i="5" s="1"/>
  <c r="AM76" i="5"/>
  <c r="AD76" i="5"/>
  <c r="AF76" i="5" s="1"/>
  <c r="Z76" i="5"/>
  <c r="AA76" i="5" s="1"/>
  <c r="Y76" i="5"/>
  <c r="X76" i="5"/>
  <c r="W76" i="5"/>
  <c r="BD76" i="5" s="1"/>
  <c r="BE75" i="5"/>
  <c r="BB75" i="5"/>
  <c r="AX75" i="5"/>
  <c r="AR75" i="5"/>
  <c r="AQ75" i="5"/>
  <c r="AN75" i="5"/>
  <c r="AO75" i="5" s="1"/>
  <c r="AM75" i="5"/>
  <c r="AE75" i="5"/>
  <c r="AD75" i="5"/>
  <c r="AF75" i="5" s="1"/>
  <c r="Z75" i="5"/>
  <c r="AA75" i="5" s="1"/>
  <c r="X75" i="5"/>
  <c r="Y75" i="5" s="1"/>
  <c r="W75" i="5"/>
  <c r="BD75" i="5" s="1"/>
  <c r="BE74" i="5"/>
  <c r="BB74" i="5"/>
  <c r="AX74" i="5"/>
  <c r="AQ74" i="5"/>
  <c r="AR74" i="5" s="1"/>
  <c r="AN74" i="5"/>
  <c r="AO74" i="5" s="1"/>
  <c r="AM74" i="5"/>
  <c r="AD74" i="5"/>
  <c r="Z74" i="5"/>
  <c r="AA74" i="5" s="1"/>
  <c r="X74" i="5"/>
  <c r="Y74" i="5" s="1"/>
  <c r="W74" i="5"/>
  <c r="BE73" i="5"/>
  <c r="BB73" i="5"/>
  <c r="AX73" i="5"/>
  <c r="AQ73" i="5"/>
  <c r="AR73" i="5" s="1"/>
  <c r="AN73" i="5"/>
  <c r="AO73" i="5" s="1"/>
  <c r="AP77" i="5" s="1"/>
  <c r="AM73" i="5"/>
  <c r="AD73" i="5"/>
  <c r="AF73" i="5" s="1"/>
  <c r="Z73" i="5"/>
  <c r="AA73" i="5" s="1"/>
  <c r="Y73" i="5"/>
  <c r="X73" i="5"/>
  <c r="W73" i="5"/>
  <c r="BE72" i="5"/>
  <c r="BB72" i="5"/>
  <c r="AX72" i="5"/>
  <c r="AQ72" i="5"/>
  <c r="AR72" i="5" s="1"/>
  <c r="AN72" i="5"/>
  <c r="AO72" i="5" s="1"/>
  <c r="AM72" i="5"/>
  <c r="AD72" i="5"/>
  <c r="AF72" i="5" s="1"/>
  <c r="Z72" i="5"/>
  <c r="AA72" i="5" s="1"/>
  <c r="X72" i="5"/>
  <c r="Y72" i="5" s="1"/>
  <c r="W72" i="5"/>
  <c r="BE71" i="5"/>
  <c r="BB71" i="5"/>
  <c r="AX71" i="5"/>
  <c r="AQ71" i="5"/>
  <c r="AR71" i="5" s="1"/>
  <c r="AN71" i="5"/>
  <c r="AO71" i="5" s="1"/>
  <c r="AM71" i="5"/>
  <c r="AD71" i="5"/>
  <c r="AF71" i="5" s="1"/>
  <c r="Z71" i="5"/>
  <c r="AA71" i="5" s="1"/>
  <c r="X71" i="5"/>
  <c r="Y71" i="5" s="1"/>
  <c r="W71" i="5"/>
  <c r="BE70" i="5"/>
  <c r="BB70" i="5"/>
  <c r="AX70" i="5"/>
  <c r="AQ70" i="5"/>
  <c r="AN70" i="5"/>
  <c r="AO70" i="5" s="1"/>
  <c r="AM70" i="5"/>
  <c r="AD70" i="5"/>
  <c r="AF70" i="5" s="1"/>
  <c r="Z70" i="5"/>
  <c r="AA70" i="5" s="1"/>
  <c r="X70" i="5"/>
  <c r="Y70" i="5" s="1"/>
  <c r="W70" i="5"/>
  <c r="BA70" i="5" s="1"/>
  <c r="BE69" i="5"/>
  <c r="BB69" i="5"/>
  <c r="AX69" i="5"/>
  <c r="AQ69" i="5"/>
  <c r="AR69" i="5" s="1"/>
  <c r="AN69" i="5"/>
  <c r="AO69" i="5" s="1"/>
  <c r="AM69" i="5"/>
  <c r="AD69" i="5"/>
  <c r="AF69" i="5" s="1"/>
  <c r="Z69" i="5"/>
  <c r="AA69" i="5" s="1"/>
  <c r="X69" i="5"/>
  <c r="Y69" i="5" s="1"/>
  <c r="W69" i="5"/>
  <c r="BA69" i="5" s="1"/>
  <c r="BE68" i="5"/>
  <c r="BB68" i="5"/>
  <c r="AX68" i="5"/>
  <c r="AQ68" i="5"/>
  <c r="AN68" i="5"/>
  <c r="AO68" i="5" s="1"/>
  <c r="AM68" i="5"/>
  <c r="AD68" i="5"/>
  <c r="Z68" i="5"/>
  <c r="X68" i="5"/>
  <c r="Y68" i="5" s="1"/>
  <c r="W68" i="5"/>
  <c r="BA68" i="5" s="1"/>
  <c r="BE67" i="5"/>
  <c r="BB67" i="5"/>
  <c r="AX67" i="5"/>
  <c r="AQ67" i="5"/>
  <c r="AR67" i="5" s="1"/>
  <c r="AN67" i="5"/>
  <c r="AO67" i="5" s="1"/>
  <c r="AM67" i="5"/>
  <c r="AD67" i="5"/>
  <c r="AF67" i="5" s="1"/>
  <c r="Z67" i="5"/>
  <c r="AA67" i="5" s="1"/>
  <c r="X67" i="5"/>
  <c r="Y67" i="5" s="1"/>
  <c r="W67" i="5"/>
  <c r="BA67" i="5" s="1"/>
  <c r="BE66" i="5"/>
  <c r="BB66" i="5"/>
  <c r="AX66" i="5"/>
  <c r="AQ66" i="5"/>
  <c r="AN66" i="5"/>
  <c r="AO66" i="5" s="1"/>
  <c r="AM66" i="5"/>
  <c r="AD66" i="5"/>
  <c r="AF66" i="5" s="1"/>
  <c r="Z66" i="5"/>
  <c r="AA66" i="5" s="1"/>
  <c r="X66" i="5"/>
  <c r="Y66" i="5" s="1"/>
  <c r="W66" i="5"/>
  <c r="BA66" i="5" s="1"/>
  <c r="BE65" i="5"/>
  <c r="BB65" i="5"/>
  <c r="AX65" i="5"/>
  <c r="AQ65" i="5"/>
  <c r="AR65" i="5" s="1"/>
  <c r="AN65" i="5"/>
  <c r="AO65" i="5" s="1"/>
  <c r="AM65" i="5"/>
  <c r="AD65" i="5"/>
  <c r="AF65" i="5" s="1"/>
  <c r="Z65" i="5"/>
  <c r="X65" i="5"/>
  <c r="Y65" i="5" s="1"/>
  <c r="W65" i="5"/>
  <c r="BA65" i="5" s="1"/>
  <c r="BE64" i="5"/>
  <c r="BB64" i="5"/>
  <c r="AX64" i="5"/>
  <c r="AQ64" i="5"/>
  <c r="AN64" i="5"/>
  <c r="AO64" i="5" s="1"/>
  <c r="AM64" i="5"/>
  <c r="AD64" i="5"/>
  <c r="AF64" i="5" s="1"/>
  <c r="Z64" i="5"/>
  <c r="X64" i="5"/>
  <c r="Y64" i="5" s="1"/>
  <c r="W64" i="5"/>
  <c r="BA64" i="5" s="1"/>
  <c r="BE63" i="5"/>
  <c r="BB63" i="5"/>
  <c r="AX63" i="5"/>
  <c r="AR63" i="5"/>
  <c r="AQ63" i="5"/>
  <c r="AN63" i="5"/>
  <c r="AO63" i="5" s="1"/>
  <c r="AM63" i="5"/>
  <c r="AD63" i="5"/>
  <c r="AF63" i="5" s="1"/>
  <c r="Z63" i="5"/>
  <c r="AA63" i="5" s="1"/>
  <c r="X63" i="5"/>
  <c r="Y63" i="5" s="1"/>
  <c r="W63" i="5"/>
  <c r="BA63" i="5" s="1"/>
  <c r="BE62" i="5"/>
  <c r="BB62" i="5"/>
  <c r="AY62" i="5"/>
  <c r="AX62" i="5"/>
  <c r="AQ62" i="5"/>
  <c r="AN62" i="5"/>
  <c r="AO62" i="5" s="1"/>
  <c r="AM62" i="5"/>
  <c r="AD62" i="5"/>
  <c r="Z62" i="5"/>
  <c r="AA62" i="5" s="1"/>
  <c r="X62" i="5"/>
  <c r="Y62" i="5" s="1"/>
  <c r="W62" i="5"/>
  <c r="BA62" i="5" s="1"/>
  <c r="BE61" i="5"/>
  <c r="BB61" i="5"/>
  <c r="AX61" i="5"/>
  <c r="AQ61" i="5"/>
  <c r="AR61" i="5" s="1"/>
  <c r="AN61" i="5"/>
  <c r="AO61" i="5" s="1"/>
  <c r="AM61" i="5"/>
  <c r="AD61" i="5"/>
  <c r="AF61" i="5" s="1"/>
  <c r="Z61" i="5"/>
  <c r="X61" i="5"/>
  <c r="Y61" i="5" s="1"/>
  <c r="W61" i="5"/>
  <c r="BA61" i="5" s="1"/>
  <c r="BE60" i="5"/>
  <c r="BB60" i="5"/>
  <c r="AX60" i="5"/>
  <c r="AQ60" i="5"/>
  <c r="AN60" i="5"/>
  <c r="AO60" i="5" s="1"/>
  <c r="AM60" i="5"/>
  <c r="AD60" i="5"/>
  <c r="AF60" i="5" s="1"/>
  <c r="Z60" i="5"/>
  <c r="Y60" i="5"/>
  <c r="X60" i="5"/>
  <c r="W60" i="5"/>
  <c r="BA60" i="5" s="1"/>
  <c r="BE59" i="5"/>
  <c r="BB59" i="5"/>
  <c r="AX59" i="5"/>
  <c r="AQ59" i="5"/>
  <c r="AR59" i="5" s="1"/>
  <c r="AN59" i="5"/>
  <c r="AO59" i="5" s="1"/>
  <c r="AM59" i="5"/>
  <c r="AD59" i="5"/>
  <c r="AF59" i="5" s="1"/>
  <c r="Z59" i="5"/>
  <c r="AA59" i="5" s="1"/>
  <c r="X59" i="5"/>
  <c r="Y59" i="5" s="1"/>
  <c r="W59" i="5"/>
  <c r="BA59" i="5" s="1"/>
  <c r="BE58" i="5"/>
  <c r="BB58" i="5"/>
  <c r="AX58" i="5"/>
  <c r="AQ58" i="5"/>
  <c r="AN58" i="5"/>
  <c r="AO58" i="5" s="1"/>
  <c r="AM58" i="5"/>
  <c r="AD58" i="5"/>
  <c r="Z58" i="5"/>
  <c r="AA58" i="5" s="1"/>
  <c r="X58" i="5"/>
  <c r="Y58" i="5" s="1"/>
  <c r="W58" i="5"/>
  <c r="BA58" i="5" s="1"/>
  <c r="BE57" i="5"/>
  <c r="BB57" i="5"/>
  <c r="AX57" i="5"/>
  <c r="AQ57" i="5"/>
  <c r="AR57" i="5" s="1"/>
  <c r="AN57" i="5"/>
  <c r="AO57" i="5" s="1"/>
  <c r="AM57" i="5"/>
  <c r="AD57" i="5"/>
  <c r="AF57" i="5" s="1"/>
  <c r="Z57" i="5"/>
  <c r="Y57" i="5"/>
  <c r="X57" i="5"/>
  <c r="W57" i="5"/>
  <c r="BA57" i="5" s="1"/>
  <c r="BE56" i="5"/>
  <c r="BB56" i="5"/>
  <c r="AX56" i="5"/>
  <c r="AQ56" i="5"/>
  <c r="AN56" i="5"/>
  <c r="AO56" i="5" s="1"/>
  <c r="AM56" i="5"/>
  <c r="AD56" i="5"/>
  <c r="AF56" i="5" s="1"/>
  <c r="Z56" i="5"/>
  <c r="X56" i="5"/>
  <c r="Y56" i="5" s="1"/>
  <c r="W56" i="5"/>
  <c r="BA56" i="5" s="1"/>
  <c r="BE55" i="5"/>
  <c r="BB55" i="5"/>
  <c r="AX55" i="5"/>
  <c r="AQ55" i="5"/>
  <c r="AR55" i="5" s="1"/>
  <c r="AN55" i="5"/>
  <c r="AO55" i="5" s="1"/>
  <c r="AM55" i="5"/>
  <c r="AD55" i="5"/>
  <c r="AF55" i="5" s="1"/>
  <c r="Z55" i="5"/>
  <c r="AA55" i="5" s="1"/>
  <c r="X55" i="5"/>
  <c r="Y55" i="5" s="1"/>
  <c r="W55" i="5"/>
  <c r="BA55" i="5" s="1"/>
  <c r="BE54" i="5"/>
  <c r="BB54" i="5"/>
  <c r="AX54" i="5"/>
  <c r="AQ54" i="5"/>
  <c r="AN54" i="5"/>
  <c r="AO54" i="5" s="1"/>
  <c r="AM54" i="5"/>
  <c r="AD54" i="5"/>
  <c r="AF54" i="5" s="1"/>
  <c r="Z54" i="5"/>
  <c r="AA54" i="5" s="1"/>
  <c r="X54" i="5"/>
  <c r="Y54" i="5" s="1"/>
  <c r="W54" i="5"/>
  <c r="BA54" i="5" s="1"/>
  <c r="BE53" i="5"/>
  <c r="BB53" i="5"/>
  <c r="AX53" i="5"/>
  <c r="AQ53" i="5"/>
  <c r="AR53" i="5" s="1"/>
  <c r="AN53" i="5"/>
  <c r="AO53" i="5" s="1"/>
  <c r="AM53" i="5"/>
  <c r="AD53" i="5"/>
  <c r="AF53" i="5" s="1"/>
  <c r="Z53" i="5"/>
  <c r="X53" i="5"/>
  <c r="Y53" i="5" s="1"/>
  <c r="W53" i="5"/>
  <c r="BA53" i="5" s="1"/>
  <c r="BE52" i="5"/>
  <c r="BB52" i="5"/>
  <c r="AX52" i="5"/>
  <c r="AQ52" i="5"/>
  <c r="AN52" i="5"/>
  <c r="AO52" i="5" s="1"/>
  <c r="AM52" i="5"/>
  <c r="AD52" i="5"/>
  <c r="Z52" i="5"/>
  <c r="X52" i="5"/>
  <c r="Y52" i="5" s="1"/>
  <c r="W52" i="5"/>
  <c r="BA52" i="5" s="1"/>
  <c r="BE51" i="5"/>
  <c r="BB51" i="5"/>
  <c r="AX51" i="5"/>
  <c r="AQ51" i="5"/>
  <c r="AR51" i="5" s="1"/>
  <c r="AN51" i="5"/>
  <c r="AO51" i="5" s="1"/>
  <c r="AM51" i="5"/>
  <c r="AD51" i="5"/>
  <c r="AF51" i="5" s="1"/>
  <c r="Z51" i="5"/>
  <c r="AA51" i="5" s="1"/>
  <c r="X51" i="5"/>
  <c r="Y51" i="5" s="1"/>
  <c r="W51" i="5"/>
  <c r="BA51" i="5" s="1"/>
  <c r="BE50" i="5"/>
  <c r="BB50" i="5"/>
  <c r="AX50" i="5"/>
  <c r="AQ50" i="5"/>
  <c r="AV112" i="5" s="1"/>
  <c r="AN50" i="5"/>
  <c r="AO50" i="5" s="1"/>
  <c r="AM50" i="5"/>
  <c r="AD50" i="5"/>
  <c r="AF50" i="5" s="1"/>
  <c r="Z50" i="5"/>
  <c r="AA50" i="5" s="1"/>
  <c r="X50" i="5"/>
  <c r="Y50" i="5" s="1"/>
  <c r="W50" i="5"/>
  <c r="BA50" i="5" s="1"/>
  <c r="BE49" i="5"/>
  <c r="BB49" i="5"/>
  <c r="AX49" i="5"/>
  <c r="AQ49" i="5"/>
  <c r="AR49" i="5" s="1"/>
  <c r="AN49" i="5"/>
  <c r="AO49" i="5" s="1"/>
  <c r="AM49" i="5"/>
  <c r="AD49" i="5"/>
  <c r="AA49" i="5"/>
  <c r="Z49" i="5"/>
  <c r="X49" i="5"/>
  <c r="W49" i="5"/>
  <c r="BA49" i="5" s="1"/>
  <c r="BE48" i="5"/>
  <c r="BB48" i="5"/>
  <c r="AX48" i="5"/>
  <c r="AR48" i="5"/>
  <c r="AQ48" i="5"/>
  <c r="AN48" i="5"/>
  <c r="AO48" i="5" s="1"/>
  <c r="AM48" i="5"/>
  <c r="AF48" i="5"/>
  <c r="AD48" i="5"/>
  <c r="AE48" i="5" s="1"/>
  <c r="Z48" i="5"/>
  <c r="AA48" i="5" s="1"/>
  <c r="X48" i="5"/>
  <c r="W48" i="5"/>
  <c r="BD48" i="5" s="1"/>
  <c r="BE47" i="5"/>
  <c r="BB47" i="5"/>
  <c r="AX47" i="5"/>
  <c r="AQ47" i="5"/>
  <c r="AR47" i="5" s="1"/>
  <c r="AN47" i="5"/>
  <c r="AO47" i="5" s="1"/>
  <c r="AM47" i="5"/>
  <c r="AF47" i="5"/>
  <c r="AD47" i="5"/>
  <c r="AE47" i="5" s="1"/>
  <c r="Z47" i="5"/>
  <c r="AA47" i="5" s="1"/>
  <c r="X47" i="5"/>
  <c r="Y47" i="5" s="1"/>
  <c r="W47" i="5"/>
  <c r="BD47" i="5" s="1"/>
  <c r="BE46" i="5"/>
  <c r="BB46" i="5"/>
  <c r="AX46" i="5"/>
  <c r="AQ46" i="5"/>
  <c r="AR46" i="5" s="1"/>
  <c r="AN46" i="5"/>
  <c r="AO46" i="5" s="1"/>
  <c r="AM46" i="5"/>
  <c r="AF46" i="5"/>
  <c r="AE46" i="5"/>
  <c r="AD46" i="5"/>
  <c r="Z46" i="5"/>
  <c r="AA46" i="5" s="1"/>
  <c r="X46" i="5"/>
  <c r="W46" i="5"/>
  <c r="BG46" i="5" s="1"/>
  <c r="BE45" i="5"/>
  <c r="BB45" i="5"/>
  <c r="AX45" i="5"/>
  <c r="AQ45" i="5"/>
  <c r="AR45" i="5" s="1"/>
  <c r="AN45" i="5"/>
  <c r="AO45" i="5" s="1"/>
  <c r="AM45" i="5"/>
  <c r="AD45" i="5"/>
  <c r="AF45" i="5" s="1"/>
  <c r="Z45" i="5"/>
  <c r="AA45" i="5" s="1"/>
  <c r="X45" i="5"/>
  <c r="W45" i="5"/>
  <c r="BG45" i="5" s="1"/>
  <c r="BE44" i="5"/>
  <c r="BB44" i="5"/>
  <c r="AX44" i="5"/>
  <c r="AQ44" i="5"/>
  <c r="AR44" i="5" s="1"/>
  <c r="AN44" i="5"/>
  <c r="AO44" i="5" s="1"/>
  <c r="AM44" i="5"/>
  <c r="AD44" i="5"/>
  <c r="AA44" i="5"/>
  <c r="Z44" i="5"/>
  <c r="X44" i="5"/>
  <c r="W44" i="5"/>
  <c r="BG44" i="5" s="1"/>
  <c r="BE43" i="5"/>
  <c r="BB43" i="5"/>
  <c r="AX43" i="5"/>
  <c r="AR43" i="5"/>
  <c r="AQ43" i="5"/>
  <c r="AN43" i="5"/>
  <c r="AO43" i="5" s="1"/>
  <c r="AM43" i="5"/>
  <c r="AF43" i="5"/>
  <c r="AD43" i="5"/>
  <c r="AE43" i="5" s="1"/>
  <c r="Z43" i="5"/>
  <c r="AA43" i="5" s="1"/>
  <c r="X43" i="5"/>
  <c r="W43" i="5"/>
  <c r="BG43" i="5" s="1"/>
  <c r="BE42" i="5"/>
  <c r="BB42" i="5"/>
  <c r="AX42" i="5"/>
  <c r="AQ42" i="5"/>
  <c r="AR42" i="5" s="1"/>
  <c r="AN42" i="5"/>
  <c r="AO42" i="5" s="1"/>
  <c r="AM42" i="5"/>
  <c r="AD42" i="5"/>
  <c r="AF42" i="5" s="1"/>
  <c r="Z42" i="5"/>
  <c r="AA42" i="5" s="1"/>
  <c r="X42" i="5"/>
  <c r="W42" i="5"/>
  <c r="BG42" i="5" s="1"/>
  <c r="BE41" i="5"/>
  <c r="BB41" i="5"/>
  <c r="AX41" i="5"/>
  <c r="AQ41" i="5"/>
  <c r="AR41" i="5" s="1"/>
  <c r="AN41" i="5"/>
  <c r="AO41" i="5" s="1"/>
  <c r="AM41" i="5"/>
  <c r="AD41" i="5"/>
  <c r="AF41" i="5" s="1"/>
  <c r="Z41" i="5"/>
  <c r="AA41" i="5" s="1"/>
  <c r="X41" i="5"/>
  <c r="W41" i="5"/>
  <c r="BG41" i="5" s="1"/>
  <c r="BE40" i="5"/>
  <c r="BB40" i="5"/>
  <c r="AX40" i="5"/>
  <c r="AQ40" i="5"/>
  <c r="AR40" i="5" s="1"/>
  <c r="AN40" i="5"/>
  <c r="AO40" i="5" s="1"/>
  <c r="AP44" i="5" s="1"/>
  <c r="AM40" i="5"/>
  <c r="AD40" i="5"/>
  <c r="Z40" i="5"/>
  <c r="AA40" i="5" s="1"/>
  <c r="X40" i="5"/>
  <c r="W40" i="5"/>
  <c r="BG40" i="5" s="1"/>
  <c r="BE39" i="5"/>
  <c r="BB39" i="5"/>
  <c r="AX39" i="5"/>
  <c r="AQ39" i="5"/>
  <c r="AR39" i="5" s="1"/>
  <c r="AN39" i="5"/>
  <c r="AO39" i="5" s="1"/>
  <c r="AM39" i="5"/>
  <c r="AD39" i="5"/>
  <c r="AE39" i="5" s="1"/>
  <c r="Z39" i="5"/>
  <c r="AA39" i="5" s="1"/>
  <c r="X39" i="5"/>
  <c r="W39" i="5"/>
  <c r="BG39" i="5" s="1"/>
  <c r="BE38" i="5"/>
  <c r="BB38" i="5"/>
  <c r="AX38" i="5"/>
  <c r="AQ38" i="5"/>
  <c r="AR38" i="5" s="1"/>
  <c r="AN38" i="5"/>
  <c r="AO38" i="5" s="1"/>
  <c r="AM38" i="5"/>
  <c r="AD38" i="5"/>
  <c r="AE38" i="5" s="1"/>
  <c r="Z38" i="5"/>
  <c r="AA38" i="5" s="1"/>
  <c r="X38" i="5"/>
  <c r="W38" i="5"/>
  <c r="BG38" i="5" s="1"/>
  <c r="BE37" i="5"/>
  <c r="BB37" i="5"/>
  <c r="AX37" i="5"/>
  <c r="AQ37" i="5"/>
  <c r="AR37" i="5" s="1"/>
  <c r="AN37" i="5"/>
  <c r="AO37" i="5" s="1"/>
  <c r="AM37" i="5"/>
  <c r="AD37" i="5"/>
  <c r="Z37" i="5"/>
  <c r="AA37" i="5" s="1"/>
  <c r="X37" i="5"/>
  <c r="W37" i="5"/>
  <c r="BG37" i="5" s="1"/>
  <c r="BE36" i="5"/>
  <c r="BB36" i="5"/>
  <c r="AX36" i="5"/>
  <c r="AQ36" i="5"/>
  <c r="AR36" i="5" s="1"/>
  <c r="AN36" i="5"/>
  <c r="AO36" i="5" s="1"/>
  <c r="AM36" i="5"/>
  <c r="AD36" i="5"/>
  <c r="AF36" i="5" s="1"/>
  <c r="Z36" i="5"/>
  <c r="AA36" i="5" s="1"/>
  <c r="X36" i="5"/>
  <c r="W36" i="5"/>
  <c r="BG36" i="5" s="1"/>
  <c r="BE35" i="5"/>
  <c r="BB35" i="5"/>
  <c r="AX35" i="5"/>
  <c r="AQ35" i="5"/>
  <c r="AR35" i="5" s="1"/>
  <c r="AN35" i="5"/>
  <c r="AO35" i="5" s="1"/>
  <c r="AM35" i="5"/>
  <c r="AD35" i="5"/>
  <c r="AA35" i="5"/>
  <c r="Z35" i="5"/>
  <c r="X35" i="5"/>
  <c r="W35" i="5"/>
  <c r="BG35" i="5" s="1"/>
  <c r="BE34" i="5"/>
  <c r="BB34" i="5"/>
  <c r="AX34" i="5"/>
  <c r="AR34" i="5"/>
  <c r="AQ34" i="5"/>
  <c r="AN34" i="5"/>
  <c r="AO34" i="5" s="1"/>
  <c r="AM34" i="5"/>
  <c r="AE34" i="5"/>
  <c r="AD34" i="5"/>
  <c r="AF34" i="5" s="1"/>
  <c r="Z34" i="5"/>
  <c r="AA34" i="5" s="1"/>
  <c r="X34" i="5"/>
  <c r="W34" i="5"/>
  <c r="BD34" i="5" s="1"/>
  <c r="BE33" i="5"/>
  <c r="BB33" i="5"/>
  <c r="AX33" i="5"/>
  <c r="AQ33" i="5"/>
  <c r="AR33" i="5" s="1"/>
  <c r="AN33" i="5"/>
  <c r="AO33" i="5" s="1"/>
  <c r="AM33" i="5"/>
  <c r="AD33" i="5"/>
  <c r="AF33" i="5" s="1"/>
  <c r="Z33" i="5"/>
  <c r="AA33" i="5" s="1"/>
  <c r="X33" i="5"/>
  <c r="W33" i="5"/>
  <c r="BG33" i="5" s="1"/>
  <c r="BE32" i="5"/>
  <c r="BB32" i="5"/>
  <c r="AX32" i="5"/>
  <c r="AQ32" i="5"/>
  <c r="AR32" i="5" s="1"/>
  <c r="AN32" i="5"/>
  <c r="AO32" i="5" s="1"/>
  <c r="AD32" i="5"/>
  <c r="AF32" i="5" s="1"/>
  <c r="Z32" i="5"/>
  <c r="AA32" i="5" s="1"/>
  <c r="X32" i="5"/>
  <c r="W32" i="5"/>
  <c r="BG32" i="5" s="1"/>
  <c r="BE31" i="5"/>
  <c r="BB31" i="5"/>
  <c r="AX31" i="5"/>
  <c r="AQ31" i="5"/>
  <c r="AR31" i="5" s="1"/>
  <c r="AN31" i="5"/>
  <c r="AO31" i="5" s="1"/>
  <c r="AD31" i="5"/>
  <c r="AF31" i="5" s="1"/>
  <c r="Z31" i="5"/>
  <c r="Y31" i="5"/>
  <c r="X31" i="5"/>
  <c r="W31" i="5"/>
  <c r="BA31" i="5" s="1"/>
  <c r="BE30" i="5"/>
  <c r="BB30" i="5"/>
  <c r="AX30" i="5"/>
  <c r="AQ30" i="5"/>
  <c r="AN30" i="5"/>
  <c r="AO30" i="5" s="1"/>
  <c r="AP34" i="5" s="1"/>
  <c r="AD30" i="5"/>
  <c r="AE30" i="5" s="1"/>
  <c r="Z30" i="5"/>
  <c r="AA30" i="5" s="1"/>
  <c r="X30" i="5"/>
  <c r="W30" i="5"/>
  <c r="BA30" i="5" s="1"/>
  <c r="BE29" i="5"/>
  <c r="BB29" i="5"/>
  <c r="AX29" i="5"/>
  <c r="AQ29" i="5"/>
  <c r="AR29" i="5" s="1"/>
  <c r="AN29" i="5"/>
  <c r="AO29" i="5" s="1"/>
  <c r="AD29" i="5"/>
  <c r="AF29" i="5" s="1"/>
  <c r="Z29" i="5"/>
  <c r="X29" i="5"/>
  <c r="Y29" i="5" s="1"/>
  <c r="W29" i="5"/>
  <c r="BG29" i="5" s="1"/>
  <c r="BE28" i="5"/>
  <c r="BB28" i="5"/>
  <c r="AX28" i="5"/>
  <c r="AQ28" i="5"/>
  <c r="AN28" i="5"/>
  <c r="AO28" i="5" s="1"/>
  <c r="AP32" i="5" s="1"/>
  <c r="AD28" i="5"/>
  <c r="AE28" i="5" s="1"/>
  <c r="Z28" i="5"/>
  <c r="AA28" i="5" s="1"/>
  <c r="X28" i="5"/>
  <c r="W28" i="5"/>
  <c r="BA28" i="5" s="1"/>
  <c r="BE27" i="5"/>
  <c r="BD27" i="5"/>
  <c r="BB27" i="5"/>
  <c r="AX27" i="5"/>
  <c r="AQ27" i="5"/>
  <c r="AR27" i="5" s="1"/>
  <c r="AN27" i="5"/>
  <c r="AO27" i="5" s="1"/>
  <c r="AD27" i="5"/>
  <c r="AF27" i="5" s="1"/>
  <c r="Z27" i="5"/>
  <c r="X27" i="5"/>
  <c r="Y27" i="5" s="1"/>
  <c r="W27" i="5"/>
  <c r="BG27" i="5" s="1"/>
  <c r="BE26" i="5"/>
  <c r="BB26" i="5"/>
  <c r="AX26" i="5"/>
  <c r="AQ26" i="5"/>
  <c r="AN26" i="5"/>
  <c r="AO26" i="5" s="1"/>
  <c r="AD26" i="5"/>
  <c r="AE26" i="5" s="1"/>
  <c r="Z26" i="5"/>
  <c r="AA26" i="5" s="1"/>
  <c r="X26" i="5"/>
  <c r="W26" i="5"/>
  <c r="BA26" i="5" s="1"/>
  <c r="BE25" i="5"/>
  <c r="BB25" i="5"/>
  <c r="AX25" i="5"/>
  <c r="AQ25" i="5"/>
  <c r="AR25" i="5" s="1"/>
  <c r="AN25" i="5"/>
  <c r="AO25" i="5" s="1"/>
  <c r="AD25" i="5"/>
  <c r="AF25" i="5" s="1"/>
  <c r="Z25" i="5"/>
  <c r="X25" i="5"/>
  <c r="Y25" i="5" s="1"/>
  <c r="W25" i="5"/>
  <c r="BG25" i="5" s="1"/>
  <c r="BE24" i="5"/>
  <c r="BB24" i="5"/>
  <c r="AY24" i="5"/>
  <c r="AX24" i="5"/>
  <c r="AQ24" i="5"/>
  <c r="AN24" i="5"/>
  <c r="AO24" i="5" s="1"/>
  <c r="AD24" i="5"/>
  <c r="AE24" i="5" s="1"/>
  <c r="Z24" i="5"/>
  <c r="AA24" i="5" s="1"/>
  <c r="X24" i="5"/>
  <c r="W24" i="5"/>
  <c r="BA24" i="5" s="1"/>
  <c r="BE23" i="5"/>
  <c r="BB23" i="5"/>
  <c r="AX23" i="5"/>
  <c r="AQ23" i="5"/>
  <c r="AR23" i="5" s="1"/>
  <c r="AN23" i="5"/>
  <c r="AO23" i="5" s="1"/>
  <c r="AD23" i="5"/>
  <c r="AF23" i="5" s="1"/>
  <c r="Z23" i="5"/>
  <c r="Y23" i="5"/>
  <c r="X23" i="5"/>
  <c r="W23" i="5"/>
  <c r="BG23" i="5" s="1"/>
  <c r="BE22" i="5"/>
  <c r="BB22" i="5"/>
  <c r="AX22" i="5"/>
  <c r="AQ22" i="5"/>
  <c r="AN22" i="5"/>
  <c r="AO22" i="5" s="1"/>
  <c r="AD22" i="5"/>
  <c r="AE22" i="5" s="1"/>
  <c r="Z22" i="5"/>
  <c r="AA22" i="5" s="1"/>
  <c r="X22" i="5"/>
  <c r="W22" i="5"/>
  <c r="BA22" i="5" s="1"/>
  <c r="BE21" i="5"/>
  <c r="BB21" i="5"/>
  <c r="AX21" i="5"/>
  <c r="AQ21" i="5"/>
  <c r="AR21" i="5" s="1"/>
  <c r="AN21" i="5"/>
  <c r="AO21" i="5" s="1"/>
  <c r="AD21" i="5"/>
  <c r="AF21" i="5" s="1"/>
  <c r="Z21" i="5"/>
  <c r="X21" i="5"/>
  <c r="Y21" i="5" s="1"/>
  <c r="W21" i="5"/>
  <c r="BG21" i="5" s="1"/>
  <c r="BE20" i="5"/>
  <c r="BB20" i="5"/>
  <c r="AX20" i="5"/>
  <c r="AQ20" i="5"/>
  <c r="AN20" i="5"/>
  <c r="AO20" i="5" s="1"/>
  <c r="AD20" i="5"/>
  <c r="AE20" i="5" s="1"/>
  <c r="Z20" i="5"/>
  <c r="AA20" i="5" s="1"/>
  <c r="X20" i="5"/>
  <c r="W20" i="5"/>
  <c r="BA20" i="5" s="1"/>
  <c r="BE19" i="5"/>
  <c r="BD19" i="5"/>
  <c r="BB19" i="5"/>
  <c r="AX19" i="5"/>
  <c r="AQ19" i="5"/>
  <c r="AR19" i="5" s="1"/>
  <c r="AN19" i="5"/>
  <c r="AO19" i="5" s="1"/>
  <c r="AD19" i="5"/>
  <c r="AF19" i="5" s="1"/>
  <c r="Z19" i="5"/>
  <c r="X19" i="5"/>
  <c r="Y19" i="5" s="1"/>
  <c r="W19" i="5"/>
  <c r="BG19" i="5" s="1"/>
  <c r="BE18" i="5"/>
  <c r="BB18" i="5"/>
  <c r="AX18" i="5"/>
  <c r="AQ18" i="5"/>
  <c r="AN18" i="5"/>
  <c r="AO18" i="5" s="1"/>
  <c r="AD18" i="5"/>
  <c r="AF18" i="5" s="1"/>
  <c r="Z18" i="5"/>
  <c r="AA18" i="5" s="1"/>
  <c r="X18" i="5"/>
  <c r="W18" i="5"/>
  <c r="BA18" i="5" s="1"/>
  <c r="BE17" i="5"/>
  <c r="BB17" i="5"/>
  <c r="AX17" i="5"/>
  <c r="AQ17" i="5"/>
  <c r="AN17" i="5"/>
  <c r="AO17" i="5" s="1"/>
  <c r="AD17" i="5"/>
  <c r="AF17" i="5" s="1"/>
  <c r="Z17" i="5"/>
  <c r="X17" i="5"/>
  <c r="Y17" i="5" s="1"/>
  <c r="W17" i="5"/>
  <c r="BG17" i="5" s="1"/>
  <c r="BE16" i="5"/>
  <c r="BB16" i="5"/>
  <c r="AX16" i="5"/>
  <c r="AQ16" i="5"/>
  <c r="AV78" i="5" s="1"/>
  <c r="AN16" i="5"/>
  <c r="AO16" i="5" s="1"/>
  <c r="AD16" i="5"/>
  <c r="AF16" i="5" s="1"/>
  <c r="Z16" i="5"/>
  <c r="AA16" i="5" s="1"/>
  <c r="X16" i="5"/>
  <c r="Y16" i="5" s="1"/>
  <c r="W16" i="5"/>
  <c r="BA16" i="5" s="1"/>
  <c r="BE15" i="5"/>
  <c r="BB15" i="5"/>
  <c r="AX15" i="5"/>
  <c r="AQ15" i="5"/>
  <c r="AN15" i="5"/>
  <c r="AO15" i="5" s="1"/>
  <c r="AD15" i="5"/>
  <c r="AF15" i="5" s="1"/>
  <c r="Z15" i="5"/>
  <c r="X15" i="5"/>
  <c r="Y15" i="5" s="1"/>
  <c r="W15" i="5"/>
  <c r="BG15" i="5" s="1"/>
  <c r="BE14" i="5"/>
  <c r="BB14" i="5"/>
  <c r="AX14" i="5"/>
  <c r="AQ14" i="5"/>
  <c r="AN14" i="5"/>
  <c r="AO14" i="5" s="1"/>
  <c r="AD14" i="5"/>
  <c r="AF14" i="5" s="1"/>
  <c r="Z14" i="5"/>
  <c r="X14" i="5"/>
  <c r="Y14" i="5" s="1"/>
  <c r="W14" i="5"/>
  <c r="BA14" i="5" s="1"/>
  <c r="BE13" i="5"/>
  <c r="BB13" i="5"/>
  <c r="AX13" i="5"/>
  <c r="AQ13" i="5"/>
  <c r="AN13" i="5"/>
  <c r="AD13" i="5"/>
  <c r="AF13" i="5" s="1"/>
  <c r="AA13" i="5"/>
  <c r="Z13" i="5"/>
  <c r="X13" i="5"/>
  <c r="W13" i="5"/>
  <c r="AY13" i="5" s="1"/>
  <c r="BE12" i="5"/>
  <c r="BB12" i="5"/>
  <c r="AX12" i="5"/>
  <c r="AQ12" i="5"/>
  <c r="AN12" i="5"/>
  <c r="AD12" i="5"/>
  <c r="AE12" i="5" s="1"/>
  <c r="AG12" i="5" s="1"/>
  <c r="Z12" i="5"/>
  <c r="AA12" i="5" s="1"/>
  <c r="X12" i="5"/>
  <c r="Y12" i="5" s="1"/>
  <c r="W12" i="5"/>
  <c r="BG12" i="5" s="1"/>
  <c r="BB11" i="5"/>
  <c r="AX11" i="5"/>
  <c r="AK11" i="5"/>
  <c r="AB11" i="5"/>
  <c r="AC11" i="5" s="1"/>
  <c r="X11" i="5"/>
  <c r="AZ11" i="5" s="1"/>
  <c r="W11" i="5"/>
  <c r="BA11" i="5" s="1"/>
  <c r="AY66" i="5" l="1"/>
  <c r="AY99" i="5"/>
  <c r="BD23" i="5"/>
  <c r="AY28" i="5"/>
  <c r="BG31" i="5"/>
  <c r="BG56" i="5"/>
  <c r="AY58" i="5"/>
  <c r="BG69" i="5"/>
  <c r="AY84" i="5"/>
  <c r="AY93" i="5"/>
  <c r="BA109" i="5"/>
  <c r="AY117" i="5"/>
  <c r="BA119" i="5"/>
  <c r="BA135" i="5"/>
  <c r="AY31" i="5"/>
  <c r="AY56" i="5"/>
  <c r="BG60" i="5"/>
  <c r="AY70" i="5"/>
  <c r="AY107" i="5"/>
  <c r="BG107" i="5"/>
  <c r="AY113" i="5"/>
  <c r="BG115" i="5"/>
  <c r="AY125" i="5"/>
  <c r="BA12" i="5"/>
  <c r="AY20" i="5"/>
  <c r="AY60" i="5"/>
  <c r="BD93" i="5"/>
  <c r="BA97" i="5"/>
  <c r="BA107" i="5"/>
  <c r="BA113" i="5"/>
  <c r="BA125" i="5"/>
  <c r="BA129" i="5"/>
  <c r="AP24" i="5"/>
  <c r="BA15" i="5"/>
  <c r="AE13" i="5"/>
  <c r="BF80" i="5"/>
  <c r="AP23" i="5"/>
  <c r="BA19" i="5"/>
  <c r="AF20" i="5"/>
  <c r="AZ271" i="5"/>
  <c r="BG20" i="5"/>
  <c r="BD21" i="5"/>
  <c r="BA23" i="5"/>
  <c r="AF24" i="5"/>
  <c r="BG24" i="5"/>
  <c r="BD25" i="5"/>
  <c r="BA27" i="5"/>
  <c r="AF28" i="5"/>
  <c r="BG28" i="5"/>
  <c r="BD29" i="5"/>
  <c r="AP35" i="5"/>
  <c r="AF38" i="5"/>
  <c r="AP48" i="5"/>
  <c r="AY50" i="5"/>
  <c r="BG53" i="5"/>
  <c r="AY54" i="5"/>
  <c r="BD56" i="5"/>
  <c r="AZ308" i="5"/>
  <c r="BD58" i="5"/>
  <c r="AY64" i="5"/>
  <c r="BG64" i="5"/>
  <c r="AE76" i="5"/>
  <c r="AY86" i="5"/>
  <c r="AF87" i="5"/>
  <c r="AF91" i="5"/>
  <c r="AF95" i="5"/>
  <c r="AY97" i="5"/>
  <c r="AF99" i="5"/>
  <c r="BA101" i="5"/>
  <c r="BA105" i="5"/>
  <c r="AP113" i="5"/>
  <c r="AY109" i="5"/>
  <c r="AF112" i="5"/>
  <c r="BD113" i="5"/>
  <c r="BA116" i="5"/>
  <c r="AY120" i="5"/>
  <c r="BD120" i="5"/>
  <c r="AE120" i="5"/>
  <c r="AY128" i="5"/>
  <c r="BA128" i="5"/>
  <c r="AP274" i="5"/>
  <c r="BD52" i="5"/>
  <c r="BG65" i="5"/>
  <c r="BD68" i="5"/>
  <c r="BA86" i="5"/>
  <c r="AY88" i="5"/>
  <c r="BA90" i="5"/>
  <c r="BG121" i="5"/>
  <c r="BA121" i="5"/>
  <c r="AE123" i="5"/>
  <c r="AF123" i="5"/>
  <c r="BG127" i="5"/>
  <c r="BA127" i="5"/>
  <c r="AY132" i="5"/>
  <c r="BD132" i="5"/>
  <c r="BG133" i="5"/>
  <c r="BD133" i="5"/>
  <c r="AY133" i="5"/>
  <c r="AZ273" i="5"/>
  <c r="BG22" i="5"/>
  <c r="BA25" i="5"/>
  <c r="AF26" i="5"/>
  <c r="BG26" i="5"/>
  <c r="AP33" i="5"/>
  <c r="BA29" i="5"/>
  <c r="AF30" i="5"/>
  <c r="BG30" i="5"/>
  <c r="AE36" i="5"/>
  <c r="AF39" i="5"/>
  <c r="AE42" i="5"/>
  <c r="BD50" i="5"/>
  <c r="AE54" i="5"/>
  <c r="BD54" i="5"/>
  <c r="AP59" i="5"/>
  <c r="BG61" i="5"/>
  <c r="BD64" i="5"/>
  <c r="AE71" i="5"/>
  <c r="AE78" i="5"/>
  <c r="AP83" i="5"/>
  <c r="BA88" i="5"/>
  <c r="AE90" i="5"/>
  <c r="BD101" i="5"/>
  <c r="BD105" i="5"/>
  <c r="AF108" i="5"/>
  <c r="AF116" i="5"/>
  <c r="BD116" i="5"/>
  <c r="AP125" i="5"/>
  <c r="AY121" i="5"/>
  <c r="AY124" i="5"/>
  <c r="BA124" i="5"/>
  <c r="BD124" i="5"/>
  <c r="BA131" i="5"/>
  <c r="AP136" i="5"/>
  <c r="BA132" i="5"/>
  <c r="BA133" i="5"/>
  <c r="AE139" i="5"/>
  <c r="AF139" i="5"/>
  <c r="BA17" i="5"/>
  <c r="AZ265" i="5"/>
  <c r="AE16" i="5"/>
  <c r="AP25" i="5"/>
  <c r="BA21" i="5"/>
  <c r="AF22" i="5"/>
  <c r="BD12" i="5"/>
  <c r="BD15" i="5"/>
  <c r="BD17" i="5"/>
  <c r="AY22" i="5"/>
  <c r="AY26" i="5"/>
  <c r="AY30" i="5"/>
  <c r="BD31" i="5"/>
  <c r="AY52" i="5"/>
  <c r="BG52" i="5"/>
  <c r="BG57" i="5"/>
  <c r="BD60" i="5"/>
  <c r="BD62" i="5"/>
  <c r="AE66" i="5"/>
  <c r="BD66" i="5"/>
  <c r="AP71" i="5"/>
  <c r="AY68" i="5"/>
  <c r="BG68" i="5"/>
  <c r="AE70" i="5"/>
  <c r="BD70" i="5"/>
  <c r="BA93" i="5"/>
  <c r="AE94" i="5"/>
  <c r="BD97" i="5"/>
  <c r="AY101" i="5"/>
  <c r="AY105" i="5"/>
  <c r="BD109" i="5"/>
  <c r="AE119" i="5"/>
  <c r="AF119" i="5"/>
  <c r="BA123" i="5"/>
  <c r="BD125" i="5"/>
  <c r="BD129" i="5"/>
  <c r="AF140" i="5"/>
  <c r="AF143" i="5"/>
  <c r="AP152" i="5"/>
  <c r="AV247" i="5"/>
  <c r="AP190" i="5"/>
  <c r="AP216" i="5"/>
  <c r="AF224" i="5"/>
  <c r="AF228" i="5"/>
  <c r="AV297" i="5"/>
  <c r="AP239" i="5"/>
  <c r="AV301" i="5"/>
  <c r="AP250" i="5"/>
  <c r="AE248" i="5"/>
  <c r="AP254" i="5"/>
  <c r="AE264" i="5"/>
  <c r="AE267" i="5"/>
  <c r="AF270" i="5"/>
  <c r="AF272" i="5"/>
  <c r="AF274" i="5"/>
  <c r="AF276" i="5"/>
  <c r="AF278" i="5"/>
  <c r="AF280" i="5"/>
  <c r="AE298" i="5"/>
  <c r="AP308" i="5"/>
  <c r="AE307" i="5"/>
  <c r="AP173" i="5"/>
  <c r="AP174" i="5"/>
  <c r="AV269" i="5"/>
  <c r="AP225" i="5"/>
  <c r="AP246" i="5"/>
  <c r="AP273" i="5"/>
  <c r="AP275" i="5"/>
  <c r="AP277" i="5"/>
  <c r="AP279" i="5"/>
  <c r="AE169" i="5"/>
  <c r="AP180" i="5"/>
  <c r="AE180" i="5"/>
  <c r="AV245" i="5"/>
  <c r="AP188" i="5"/>
  <c r="AE188" i="5"/>
  <c r="AF206" i="5"/>
  <c r="AF221" i="5"/>
  <c r="AE231" i="5"/>
  <c r="AE252" i="5"/>
  <c r="AP258" i="5"/>
  <c r="AF289" i="5"/>
  <c r="AP298" i="5"/>
  <c r="AE303" i="5"/>
  <c r="AP65" i="5"/>
  <c r="BC15" i="5"/>
  <c r="BF16" i="5"/>
  <c r="AF35" i="5"/>
  <c r="AE35" i="5"/>
  <c r="AF49" i="5"/>
  <c r="AE49" i="5"/>
  <c r="BC61" i="5"/>
  <c r="AF132" i="5"/>
  <c r="AE132" i="5"/>
  <c r="AF144" i="5"/>
  <c r="AE144" i="5"/>
  <c r="AF175" i="5"/>
  <c r="AE175" i="5"/>
  <c r="AF183" i="5"/>
  <c r="AE183" i="5"/>
  <c r="AZ74" i="5"/>
  <c r="AF12" i="5"/>
  <c r="AH12" i="5" s="1"/>
  <c r="AK12" i="5" s="1"/>
  <c r="BF15" i="5"/>
  <c r="AV77" i="5"/>
  <c r="AZ267" i="5"/>
  <c r="BC17" i="5"/>
  <c r="AZ18" i="5"/>
  <c r="AE18" i="5"/>
  <c r="AE32" i="5"/>
  <c r="AF37" i="5"/>
  <c r="AE37" i="5"/>
  <c r="AF40" i="5"/>
  <c r="AE40" i="5"/>
  <c r="AE41" i="5"/>
  <c r="AF44" i="5"/>
  <c r="AE44" i="5"/>
  <c r="AE45" i="5"/>
  <c r="AZ300" i="5"/>
  <c r="AE50" i="5"/>
  <c r="BC51" i="5"/>
  <c r="BC57" i="5"/>
  <c r="BC60" i="5"/>
  <c r="AF68" i="5"/>
  <c r="AE68" i="5"/>
  <c r="AP76" i="5"/>
  <c r="AF77" i="5"/>
  <c r="AE77" i="5"/>
  <c r="AP88" i="5"/>
  <c r="AE115" i="5"/>
  <c r="AF115" i="5"/>
  <c r="AF128" i="5"/>
  <c r="AE128" i="5"/>
  <c r="AV241" i="5"/>
  <c r="AP184" i="5"/>
  <c r="AF52" i="5"/>
  <c r="AE52" i="5"/>
  <c r="AF58" i="5"/>
  <c r="AE58" i="5"/>
  <c r="AF81" i="5"/>
  <c r="AE81" i="5"/>
  <c r="AV75" i="5"/>
  <c r="AP18" i="5"/>
  <c r="BF17" i="5"/>
  <c r="AV79" i="5"/>
  <c r="AZ269" i="5"/>
  <c r="BC19" i="5"/>
  <c r="BC21" i="5"/>
  <c r="BC23" i="5"/>
  <c r="BC25" i="5"/>
  <c r="BC27" i="5"/>
  <c r="BC29" i="5"/>
  <c r="BF31" i="5"/>
  <c r="BF297" i="5"/>
  <c r="AF74" i="5"/>
  <c r="AE74" i="5"/>
  <c r="AF89" i="5"/>
  <c r="AE89" i="5"/>
  <c r="AG13" i="5"/>
  <c r="AP53" i="5"/>
  <c r="BC55" i="5"/>
  <c r="AP62" i="5"/>
  <c r="AV124" i="5"/>
  <c r="BF75" i="5"/>
  <c r="AP93" i="5"/>
  <c r="AF104" i="5"/>
  <c r="AE104" i="5"/>
  <c r="AF109" i="5"/>
  <c r="AE109" i="5"/>
  <c r="AV175" i="5"/>
  <c r="AF167" i="5"/>
  <c r="AE167" i="5"/>
  <c r="AF179" i="5"/>
  <c r="AE179" i="5"/>
  <c r="AF187" i="5"/>
  <c r="AE187" i="5"/>
  <c r="BC84" i="5"/>
  <c r="AB12" i="5"/>
  <c r="AB13" i="5" s="1"/>
  <c r="AC13" i="5" s="1"/>
  <c r="AV74" i="5"/>
  <c r="AV76" i="5"/>
  <c r="BF19" i="5"/>
  <c r="AV81" i="5"/>
  <c r="BF21" i="5"/>
  <c r="AV83" i="5"/>
  <c r="BF23" i="5"/>
  <c r="AV85" i="5"/>
  <c r="BF25" i="5"/>
  <c r="BF27" i="5"/>
  <c r="BF29" i="5"/>
  <c r="BC31" i="5"/>
  <c r="AP36" i="5"/>
  <c r="AE33" i="5"/>
  <c r="BC303" i="5"/>
  <c r="BC54" i="5"/>
  <c r="AF62" i="5"/>
  <c r="AE62" i="5"/>
  <c r="BC67" i="5"/>
  <c r="AF96" i="5"/>
  <c r="AE96" i="5"/>
  <c r="AP105" i="5"/>
  <c r="AF102" i="5"/>
  <c r="AE102" i="5"/>
  <c r="AV173" i="5"/>
  <c r="AR111" i="5"/>
  <c r="AP132" i="5"/>
  <c r="AF136" i="5"/>
  <c r="AE136" i="5"/>
  <c r="AV120" i="5"/>
  <c r="AP61" i="5"/>
  <c r="BC63" i="5"/>
  <c r="BC66" i="5"/>
  <c r="BC70" i="5"/>
  <c r="BF81" i="5"/>
  <c r="AV158" i="5"/>
  <c r="AP104" i="5"/>
  <c r="AV166" i="5"/>
  <c r="AP111" i="5"/>
  <c r="AP131" i="5"/>
  <c r="AP135" i="5"/>
  <c r="AV194" i="5"/>
  <c r="AP139" i="5"/>
  <c r="AV198" i="5"/>
  <c r="AP146" i="5"/>
  <c r="AV206" i="5"/>
  <c r="AP156" i="5"/>
  <c r="AV215" i="5"/>
  <c r="AP160" i="5"/>
  <c r="AV223" i="5"/>
  <c r="AP175" i="5"/>
  <c r="AP176" i="5"/>
  <c r="AV238" i="5"/>
  <c r="AP181" i="5"/>
  <c r="AV242" i="5"/>
  <c r="AP185" i="5"/>
  <c r="AV246" i="5"/>
  <c r="AP189" i="5"/>
  <c r="AP194" i="5"/>
  <c r="AV261" i="5"/>
  <c r="AP38" i="5"/>
  <c r="AP40" i="5"/>
  <c r="AP43" i="5"/>
  <c r="BF292" i="5"/>
  <c r="BG292" i="5" s="1"/>
  <c r="AP47" i="5"/>
  <c r="AP52" i="5"/>
  <c r="BC50" i="5"/>
  <c r="AP55" i="5"/>
  <c r="AP58" i="5"/>
  <c r="BC56" i="5"/>
  <c r="AP57" i="5"/>
  <c r="BC59" i="5"/>
  <c r="BC62" i="5"/>
  <c r="AP67" i="5"/>
  <c r="AE64" i="5"/>
  <c r="AP70" i="5"/>
  <c r="BC68" i="5"/>
  <c r="BC69" i="5"/>
  <c r="AP74" i="5"/>
  <c r="AP75" i="5"/>
  <c r="AE73" i="5"/>
  <c r="AP80" i="5"/>
  <c r="AP82" i="5"/>
  <c r="AE80" i="5"/>
  <c r="AE84" i="5"/>
  <c r="AE86" i="5"/>
  <c r="AP95" i="5"/>
  <c r="AV157" i="5"/>
  <c r="AV159" i="5"/>
  <c r="AE98" i="5"/>
  <c r="AP103" i="5"/>
  <c r="AE100" i="5"/>
  <c r="AV165" i="5"/>
  <c r="AV167" i="5"/>
  <c r="AP112" i="5"/>
  <c r="AP118" i="5"/>
  <c r="AV211" i="5"/>
  <c r="AV219" i="5"/>
  <c r="AP178" i="5"/>
  <c r="AV239" i="5"/>
  <c r="AP182" i="5"/>
  <c r="AV243" i="5"/>
  <c r="AP186" i="5"/>
  <c r="AF202" i="5"/>
  <c r="AE202" i="5"/>
  <c r="AF210" i="5"/>
  <c r="AE210" i="5"/>
  <c r="AF212" i="5"/>
  <c r="AE212" i="5"/>
  <c r="BC47" i="5"/>
  <c r="AP54" i="5"/>
  <c r="BC52" i="5"/>
  <c r="BC53" i="5"/>
  <c r="AZ304" i="5"/>
  <c r="AV116" i="5"/>
  <c r="BC307" i="5"/>
  <c r="BC58" i="5"/>
  <c r="AP63" i="5"/>
  <c r="AE60" i="5"/>
  <c r="AP66" i="5"/>
  <c r="BC64" i="5"/>
  <c r="BC65" i="5"/>
  <c r="AV128" i="5"/>
  <c r="AP72" i="5"/>
  <c r="AP73" i="5"/>
  <c r="AV132" i="5"/>
  <c r="AE72" i="5"/>
  <c r="AP78" i="5"/>
  <c r="AP79" i="5"/>
  <c r="AE79" i="5"/>
  <c r="AE83" i="5"/>
  <c r="AP89" i="5"/>
  <c r="AV153" i="5"/>
  <c r="AF93" i="5"/>
  <c r="AR95" i="5"/>
  <c r="AR103" i="5"/>
  <c r="AF107" i="5"/>
  <c r="AE110" i="5"/>
  <c r="AV174" i="5"/>
  <c r="AP119" i="5"/>
  <c r="AV178" i="5"/>
  <c r="AP124" i="5"/>
  <c r="AP130" i="5"/>
  <c r="AF127" i="5"/>
  <c r="AF131" i="5"/>
  <c r="AF135" i="5"/>
  <c r="AV202" i="5"/>
  <c r="AP150" i="5"/>
  <c r="AE152" i="5"/>
  <c r="AE156" i="5"/>
  <c r="AE157" i="5"/>
  <c r="AP164" i="5"/>
  <c r="AE163" i="5"/>
  <c r="AP171" i="5"/>
  <c r="AP172" i="5"/>
  <c r="AE171" i="5"/>
  <c r="AE177" i="5"/>
  <c r="AV240" i="5"/>
  <c r="AP183" i="5"/>
  <c r="AE181" i="5"/>
  <c r="AV244" i="5"/>
  <c r="AP187" i="5"/>
  <c r="AE185" i="5"/>
  <c r="AV248" i="5"/>
  <c r="AP191" i="5"/>
  <c r="AE189" i="5"/>
  <c r="AF190" i="5"/>
  <c r="AE190" i="5"/>
  <c r="AF205" i="5"/>
  <c r="AE205" i="5"/>
  <c r="AP214" i="5"/>
  <c r="AP292" i="5"/>
  <c r="AV250" i="5"/>
  <c r="AP193" i="5"/>
  <c r="AV254" i="5"/>
  <c r="AV255" i="5"/>
  <c r="AP201" i="5"/>
  <c r="AP202" i="5"/>
  <c r="AF213" i="5"/>
  <c r="AF214" i="5"/>
  <c r="AF215" i="5"/>
  <c r="AF216" i="5"/>
  <c r="AF217" i="5"/>
  <c r="AF218" i="5"/>
  <c r="AF219" i="5"/>
  <c r="AP236" i="5"/>
  <c r="AP243" i="5"/>
  <c r="AV310" i="5"/>
  <c r="AE249" i="5"/>
  <c r="AE253" i="5"/>
  <c r="AE257" i="5"/>
  <c r="AP263" i="5"/>
  <c r="AE261" i="5"/>
  <c r="AE265" i="5"/>
  <c r="AF283" i="5"/>
  <c r="AF286" i="5"/>
  <c r="AF287" i="5"/>
  <c r="AF288" i="5"/>
  <c r="AE301" i="5"/>
  <c r="AE305" i="5"/>
  <c r="AE309" i="5"/>
  <c r="AP266" i="5"/>
  <c r="AP300" i="5"/>
  <c r="AP208" i="5"/>
  <c r="AE232" i="5"/>
  <c r="AE235" i="5"/>
  <c r="AE237" i="5"/>
  <c r="AE239" i="5"/>
  <c r="AP244" i="5"/>
  <c r="AE241" i="5"/>
  <c r="AE243" i="5"/>
  <c r="AE247" i="5"/>
  <c r="AR247" i="5"/>
  <c r="AP253" i="5"/>
  <c r="AE251" i="5"/>
  <c r="AP257" i="5"/>
  <c r="AE255" i="5"/>
  <c r="AP261" i="5"/>
  <c r="AE259" i="5"/>
  <c r="AP265" i="5"/>
  <c r="AE263" i="5"/>
  <c r="AE266" i="5"/>
  <c r="AP287" i="5"/>
  <c r="AE284" i="5"/>
  <c r="AE285" i="5"/>
  <c r="AF296" i="5"/>
  <c r="AV249" i="5"/>
  <c r="AP192" i="5"/>
  <c r="AV253" i="5"/>
  <c r="AP205" i="5"/>
  <c r="AV264" i="5"/>
  <c r="AP213" i="5"/>
  <c r="AV272" i="5"/>
  <c r="AP229" i="5"/>
  <c r="AP231" i="5"/>
  <c r="AE229" i="5"/>
  <c r="AE233" i="5"/>
  <c r="AE246" i="5"/>
  <c r="AR246" i="5"/>
  <c r="AE250" i="5"/>
  <c r="AE254" i="5"/>
  <c r="AE258" i="5"/>
  <c r="AP264" i="5"/>
  <c r="AE262" i="5"/>
  <c r="AF292" i="5"/>
  <c r="AP27" i="5"/>
  <c r="AP26" i="5"/>
  <c r="AP29" i="5"/>
  <c r="AP28" i="5"/>
  <c r="AP31" i="5"/>
  <c r="AP30" i="5"/>
  <c r="AP20" i="5"/>
  <c r="AP15" i="5"/>
  <c r="AP16" i="5"/>
  <c r="BF14" i="5"/>
  <c r="BC14" i="5"/>
  <c r="AI12" i="5"/>
  <c r="AJ12" i="5" s="1"/>
  <c r="AB14" i="5"/>
  <c r="AC14" i="5" s="1"/>
  <c r="AP19" i="5"/>
  <c r="AP22" i="5"/>
  <c r="AP42" i="5"/>
  <c r="AP46" i="5"/>
  <c r="AP50" i="5"/>
  <c r="AP51" i="5"/>
  <c r="AP17" i="5"/>
  <c r="AP21" i="5"/>
  <c r="AP37" i="5"/>
  <c r="AP39" i="5"/>
  <c r="AP41" i="5"/>
  <c r="AP45" i="5"/>
  <c r="AP49" i="5"/>
  <c r="BG13" i="5"/>
  <c r="AZ17" i="5"/>
  <c r="AR12" i="5"/>
  <c r="AZ13" i="5"/>
  <c r="AE14" i="5"/>
  <c r="AG14" i="5" s="1"/>
  <c r="BG14" i="5"/>
  <c r="AR15" i="5"/>
  <c r="BC16" i="5"/>
  <c r="BD32" i="5"/>
  <c r="AZ33" i="5"/>
  <c r="BD33" i="5"/>
  <c r="AZ35" i="5"/>
  <c r="AZ36" i="5"/>
  <c r="BD36" i="5"/>
  <c r="BD37" i="5"/>
  <c r="BD39" i="5"/>
  <c r="BD43" i="5"/>
  <c r="AZ46" i="5"/>
  <c r="BD46" i="5"/>
  <c r="Y11" i="5"/>
  <c r="BC11" i="5" s="1"/>
  <c r="AZ263" i="5"/>
  <c r="BF12" i="5"/>
  <c r="AZ266" i="5"/>
  <c r="AZ16" i="5"/>
  <c r="BD16" i="5"/>
  <c r="AA17" i="5"/>
  <c r="AE17" i="5"/>
  <c r="Y18" i="5"/>
  <c r="BF18" i="5" s="1"/>
  <c r="BD18" i="5"/>
  <c r="AA19" i="5"/>
  <c r="AE19" i="5"/>
  <c r="AV82" i="5"/>
  <c r="AZ20" i="5"/>
  <c r="BD20" i="5"/>
  <c r="AA21" i="5"/>
  <c r="AE21" i="5"/>
  <c r="AZ272" i="5"/>
  <c r="Y22" i="5"/>
  <c r="BF22" i="5" s="1"/>
  <c r="AV86" i="5"/>
  <c r="AE25" i="5"/>
  <c r="AV88" i="5"/>
  <c r="AZ26" i="5"/>
  <c r="BD26" i="5"/>
  <c r="AA27" i="5"/>
  <c r="AE27" i="5"/>
  <c r="AZ278" i="5"/>
  <c r="Y28" i="5"/>
  <c r="BC28" i="5" s="1"/>
  <c r="AV90" i="5"/>
  <c r="AZ28" i="5"/>
  <c r="BD28" i="5"/>
  <c r="AA29" i="5"/>
  <c r="AE29" i="5"/>
  <c r="AZ280" i="5"/>
  <c r="Y30" i="5"/>
  <c r="BF30" i="5" s="1"/>
  <c r="AV92" i="5"/>
  <c r="AZ30" i="5"/>
  <c r="BD30" i="5"/>
  <c r="AA31" i="5"/>
  <c r="AE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AV111" i="5"/>
  <c r="AY49" i="5"/>
  <c r="BD49" i="5"/>
  <c r="AR50" i="5"/>
  <c r="AZ50" i="5"/>
  <c r="BC302" i="5"/>
  <c r="BF51" i="5"/>
  <c r="AZ303" i="5"/>
  <c r="AE53" i="5"/>
  <c r="AV115" i="5"/>
  <c r="AY53" i="5"/>
  <c r="BD53" i="5"/>
  <c r="AR54" i="5"/>
  <c r="AZ54" i="5"/>
  <c r="BC306" i="5"/>
  <c r="BF55" i="5"/>
  <c r="AP56" i="5"/>
  <c r="AZ307" i="5"/>
  <c r="AE57" i="5"/>
  <c r="AV119" i="5"/>
  <c r="AY57" i="5"/>
  <c r="BD57" i="5"/>
  <c r="AR58" i="5"/>
  <c r="AZ58" i="5"/>
  <c r="BF59" i="5"/>
  <c r="AP60" i="5"/>
  <c r="AE61" i="5"/>
  <c r="AV123" i="5"/>
  <c r="AY61" i="5"/>
  <c r="BD61" i="5"/>
  <c r="AR62" i="5"/>
  <c r="AZ62" i="5"/>
  <c r="BF63" i="5"/>
  <c r="AP64" i="5"/>
  <c r="AE65" i="5"/>
  <c r="AV127" i="5"/>
  <c r="AY65" i="5"/>
  <c r="BD65" i="5"/>
  <c r="AR66" i="5"/>
  <c r="AZ66" i="5"/>
  <c r="BF67" i="5"/>
  <c r="AP68" i="5"/>
  <c r="AE69" i="5"/>
  <c r="AV131" i="5"/>
  <c r="AY69" i="5"/>
  <c r="BD69" i="5"/>
  <c r="AR70" i="5"/>
  <c r="AZ70" i="5"/>
  <c r="BC72" i="5"/>
  <c r="AZ72" i="5"/>
  <c r="BF72" i="5"/>
  <c r="BA74" i="5"/>
  <c r="BG74" i="5"/>
  <c r="AY74" i="5"/>
  <c r="BF74" i="5"/>
  <c r="BC76" i="5"/>
  <c r="BA78" i="5"/>
  <c r="BD78" i="5"/>
  <c r="BG78" i="5"/>
  <c r="AY78" i="5"/>
  <c r="AP85" i="5"/>
  <c r="BC82" i="5"/>
  <c r="BC83" i="5"/>
  <c r="AP84" i="5"/>
  <c r="AZ94" i="5"/>
  <c r="AC12" i="5"/>
  <c r="BF242" i="5"/>
  <c r="BF244" i="5"/>
  <c r="BF240" i="5"/>
  <c r="BG240" i="5" s="1"/>
  <c r="BF238" i="5"/>
  <c r="BG238" i="5" s="1"/>
  <c r="BF236" i="5"/>
  <c r="BG236" i="5" s="1"/>
  <c r="BF234" i="5"/>
  <c r="BG234" i="5" s="1"/>
  <c r="BF232" i="5"/>
  <c r="BG232" i="5" s="1"/>
  <c r="BF230" i="5"/>
  <c r="BG230" i="5" s="1"/>
  <c r="BF225" i="5"/>
  <c r="BF221" i="5"/>
  <c r="BF215" i="5"/>
  <c r="BF213" i="5"/>
  <c r="BF227" i="5"/>
  <c r="BF223" i="5"/>
  <c r="BF219" i="5"/>
  <c r="BF173" i="5"/>
  <c r="BF171" i="5"/>
  <c r="BF169" i="5"/>
  <c r="BF167" i="5"/>
  <c r="BF165" i="5"/>
  <c r="BF163" i="5"/>
  <c r="BF161" i="5"/>
  <c r="BD13" i="5"/>
  <c r="AA14" i="5"/>
  <c r="AY14" i="5"/>
  <c r="AY16" i="5"/>
  <c r="BG16" i="5"/>
  <c r="AY18" i="5"/>
  <c r="BG18" i="5"/>
  <c r="BC30" i="5"/>
  <c r="AZ31" i="5"/>
  <c r="BD35" i="5"/>
  <c r="BD38" i="5"/>
  <c r="BD40" i="5"/>
  <c r="BD41" i="5"/>
  <c r="BD42" i="5"/>
  <c r="BD44" i="5"/>
  <c r="AZ45" i="5"/>
  <c r="BD45" i="5"/>
  <c r="AZ47" i="5"/>
  <c r="BG49" i="5"/>
  <c r="AZ51" i="5"/>
  <c r="AZ261" i="5"/>
  <c r="AZ262" i="5"/>
  <c r="AZ244" i="5"/>
  <c r="AZ243" i="5"/>
  <c r="AZ260" i="5"/>
  <c r="AZ259" i="5"/>
  <c r="AZ258" i="5"/>
  <c r="AZ257" i="5"/>
  <c r="AZ256" i="5"/>
  <c r="AZ252" i="5"/>
  <c r="AZ248" i="5"/>
  <c r="AZ242" i="5"/>
  <c r="AZ241" i="5"/>
  <c r="AZ239" i="5"/>
  <c r="AZ237" i="5"/>
  <c r="AZ235" i="5"/>
  <c r="AZ255" i="5"/>
  <c r="AZ251" i="5"/>
  <c r="AZ247" i="5"/>
  <c r="AZ254" i="5"/>
  <c r="AZ250" i="5"/>
  <c r="AZ246" i="5"/>
  <c r="AZ245" i="5"/>
  <c r="AZ240" i="5"/>
  <c r="AZ238" i="5"/>
  <c r="AZ236" i="5"/>
  <c r="AZ234" i="5"/>
  <c r="AZ232" i="5"/>
  <c r="AZ230" i="5"/>
  <c r="AZ228" i="5"/>
  <c r="AZ253" i="5"/>
  <c r="AZ249" i="5"/>
  <c r="AZ233" i="5"/>
  <c r="AZ229" i="5"/>
  <c r="AZ226" i="5"/>
  <c r="AZ224" i="5"/>
  <c r="AZ222" i="5"/>
  <c r="AZ220" i="5"/>
  <c r="AZ218" i="5"/>
  <c r="AZ216" i="5"/>
  <c r="AZ214" i="5"/>
  <c r="AZ213" i="5"/>
  <c r="AZ199" i="5"/>
  <c r="AZ198" i="5"/>
  <c r="AZ197" i="5"/>
  <c r="AZ196" i="5"/>
  <c r="AZ195" i="5"/>
  <c r="AZ194" i="5"/>
  <c r="AZ193" i="5"/>
  <c r="AZ231" i="5"/>
  <c r="AZ227" i="5"/>
  <c r="AZ223" i="5"/>
  <c r="AZ219" i="5"/>
  <c r="AZ210" i="5"/>
  <c r="AZ206" i="5"/>
  <c r="AZ202" i="5"/>
  <c r="AY199" i="5"/>
  <c r="AZ217" i="5"/>
  <c r="AZ209" i="5"/>
  <c r="AZ205" i="5"/>
  <c r="AZ201" i="5"/>
  <c r="AZ225" i="5"/>
  <c r="AZ221" i="5"/>
  <c r="AZ215" i="5"/>
  <c r="AY197" i="5"/>
  <c r="AZ174" i="5"/>
  <c r="AZ172" i="5"/>
  <c r="AZ170" i="5"/>
  <c r="AZ168" i="5"/>
  <c r="AZ166" i="5"/>
  <c r="AZ164" i="5"/>
  <c r="AZ162" i="5"/>
  <c r="AZ160" i="5"/>
  <c r="AY196" i="5"/>
  <c r="AY195" i="5"/>
  <c r="AZ192" i="5"/>
  <c r="AZ191" i="5"/>
  <c r="AZ190" i="5"/>
  <c r="AZ189" i="5"/>
  <c r="AZ188" i="5"/>
  <c r="AZ187" i="5"/>
  <c r="AZ186" i="5"/>
  <c r="AZ185" i="5"/>
  <c r="AZ184" i="5"/>
  <c r="AZ183" i="5"/>
  <c r="AZ182" i="5"/>
  <c r="AZ181" i="5"/>
  <c r="AZ180" i="5"/>
  <c r="AZ179" i="5"/>
  <c r="AZ178" i="5"/>
  <c r="AZ177" i="5"/>
  <c r="AZ176" i="5"/>
  <c r="AZ175" i="5"/>
  <c r="AY198" i="5"/>
  <c r="AY194" i="5"/>
  <c r="AZ167" i="5"/>
  <c r="AZ161" i="5"/>
  <c r="AZ155" i="5"/>
  <c r="AZ151" i="5"/>
  <c r="AZ147" i="5"/>
  <c r="AZ173" i="5"/>
  <c r="AZ165" i="5"/>
  <c r="AZ156" i="5"/>
  <c r="AZ152" i="5"/>
  <c r="AZ148" i="5"/>
  <c r="AZ144" i="5"/>
  <c r="AZ140" i="5"/>
  <c r="AZ136" i="5"/>
  <c r="AZ132" i="5"/>
  <c r="AZ128" i="5"/>
  <c r="AZ171" i="5"/>
  <c r="AZ163" i="5"/>
  <c r="AZ159" i="5"/>
  <c r="AZ157" i="5"/>
  <c r="AZ153" i="5"/>
  <c r="AZ149" i="5"/>
  <c r="AZ169" i="5"/>
  <c r="AZ158" i="5"/>
  <c r="AZ154" i="5"/>
  <c r="AZ150" i="5"/>
  <c r="AZ108" i="5"/>
  <c r="AZ106" i="5"/>
  <c r="AZ100" i="5"/>
  <c r="AZ98" i="5"/>
  <c r="AZ91" i="5"/>
  <c r="AZ87" i="5"/>
  <c r="AZ124" i="5"/>
  <c r="AZ112" i="5"/>
  <c r="AZ104" i="5"/>
  <c r="AZ96" i="5"/>
  <c r="AZ85" i="5"/>
  <c r="AZ83" i="5"/>
  <c r="AZ82" i="5"/>
  <c r="AZ81" i="5"/>
  <c r="AZ80" i="5"/>
  <c r="AZ79" i="5"/>
  <c r="AZ78" i="5"/>
  <c r="AZ120" i="5"/>
  <c r="AZ116" i="5"/>
  <c r="BC262" i="5"/>
  <c r="BD262" i="5" s="1"/>
  <c r="BC261" i="5"/>
  <c r="BC260" i="5"/>
  <c r="BC259" i="5"/>
  <c r="BC258" i="5"/>
  <c r="BC257" i="5"/>
  <c r="BC256" i="5"/>
  <c r="BC255" i="5"/>
  <c r="BC254" i="5"/>
  <c r="BC253" i="5"/>
  <c r="BC252" i="5"/>
  <c r="BC251" i="5"/>
  <c r="BC250" i="5"/>
  <c r="BC249" i="5"/>
  <c r="BC248" i="5"/>
  <c r="BC247" i="5"/>
  <c r="BC246" i="5"/>
  <c r="BC240" i="5"/>
  <c r="BC238" i="5"/>
  <c r="BC236" i="5"/>
  <c r="BC234" i="5"/>
  <c r="BC233" i="5"/>
  <c r="BD233" i="5" s="1"/>
  <c r="BC231" i="5"/>
  <c r="BD231" i="5" s="1"/>
  <c r="BC229" i="5"/>
  <c r="BD229" i="5" s="1"/>
  <c r="BC232" i="5"/>
  <c r="BC199" i="5"/>
  <c r="BC230" i="5"/>
  <c r="BC195" i="5"/>
  <c r="BC192" i="5"/>
  <c r="BC191" i="5"/>
  <c r="BC190" i="5"/>
  <c r="BC189" i="5"/>
  <c r="BC188" i="5"/>
  <c r="BC187" i="5"/>
  <c r="BC186" i="5"/>
  <c r="BD186" i="5" s="1"/>
  <c r="BC185" i="5"/>
  <c r="BC184" i="5"/>
  <c r="BD184" i="5" s="1"/>
  <c r="BC183" i="5"/>
  <c r="BC182" i="5"/>
  <c r="BC181" i="5"/>
  <c r="BC180" i="5"/>
  <c r="BC179" i="5"/>
  <c r="BC178" i="5"/>
  <c r="BD178" i="5" s="1"/>
  <c r="BC177" i="5"/>
  <c r="BC176" i="5"/>
  <c r="BC175" i="5"/>
  <c r="BC173" i="5"/>
  <c r="BD173" i="5" s="1"/>
  <c r="BC171" i="5"/>
  <c r="BC169" i="5"/>
  <c r="BC167" i="5"/>
  <c r="BC165" i="5"/>
  <c r="BC163" i="5"/>
  <c r="BC161" i="5"/>
  <c r="BC198" i="5"/>
  <c r="BC194" i="5"/>
  <c r="BC197" i="5"/>
  <c r="BC193" i="5"/>
  <c r="BC196" i="5"/>
  <c r="BC174" i="5"/>
  <c r="BD174" i="5" s="1"/>
  <c r="BC166" i="5"/>
  <c r="BD166" i="5" s="1"/>
  <c r="BC172" i="5"/>
  <c r="BD172" i="5" s="1"/>
  <c r="BC164" i="5"/>
  <c r="BD164" i="5" s="1"/>
  <c r="BC170" i="5"/>
  <c r="BD170" i="5" s="1"/>
  <c r="BC162" i="5"/>
  <c r="BD162" i="5" s="1"/>
  <c r="BC168" i="5"/>
  <c r="BD168" i="5" s="1"/>
  <c r="BG11" i="5"/>
  <c r="BC263" i="5"/>
  <c r="Y13" i="5"/>
  <c r="BC13" i="5" s="1"/>
  <c r="AR13" i="5"/>
  <c r="BA13" i="5"/>
  <c r="AZ14" i="5"/>
  <c r="BD14" i="5"/>
  <c r="AA15" i="5"/>
  <c r="AE15" i="5"/>
  <c r="AG15" i="5" s="1"/>
  <c r="AV80" i="5"/>
  <c r="AZ270" i="5"/>
  <c r="Y20" i="5"/>
  <c r="BC20" i="5" s="1"/>
  <c r="AV84" i="5"/>
  <c r="AZ22" i="5"/>
  <c r="BD22" i="5"/>
  <c r="AA23" i="5"/>
  <c r="AE23" i="5"/>
  <c r="AZ274" i="5"/>
  <c r="Y24" i="5"/>
  <c r="BC24" i="5" s="1"/>
  <c r="AZ24" i="5"/>
  <c r="BD24" i="5"/>
  <c r="AA25" i="5"/>
  <c r="AZ276" i="5"/>
  <c r="Y26" i="5"/>
  <c r="BF26" i="5" s="1"/>
  <c r="AY11" i="5"/>
  <c r="AY12" i="5"/>
  <c r="BC12" i="5"/>
  <c r="AZ264" i="5"/>
  <c r="BC264" i="5"/>
  <c r="BD264" i="5" s="1"/>
  <c r="AR14" i="5"/>
  <c r="AY15" i="5"/>
  <c r="AR16" i="5"/>
  <c r="AY17" i="5"/>
  <c r="AR18" i="5"/>
  <c r="AY19" i="5"/>
  <c r="AR20" i="5"/>
  <c r="AY21" i="5"/>
  <c r="AR22" i="5"/>
  <c r="AY23" i="5"/>
  <c r="AR24" i="5"/>
  <c r="AY25" i="5"/>
  <c r="AR26" i="5"/>
  <c r="AY27" i="5"/>
  <c r="AR28" i="5"/>
  <c r="AY29" i="5"/>
  <c r="AR30" i="5"/>
  <c r="AZ282" i="5"/>
  <c r="Y32" i="5"/>
  <c r="BC32" i="5" s="1"/>
  <c r="AZ283" i="5"/>
  <c r="Y33" i="5"/>
  <c r="BC33" i="5" s="1"/>
  <c r="Y34" i="5"/>
  <c r="BC34" i="5" s="1"/>
  <c r="Y35" i="5"/>
  <c r="BC35" i="5" s="1"/>
  <c r="Y36" i="5"/>
  <c r="BC36" i="5" s="1"/>
  <c r="Y37" i="5"/>
  <c r="BC37" i="5" s="1"/>
  <c r="Y38" i="5"/>
  <c r="BC38" i="5" s="1"/>
  <c r="BF38" i="5"/>
  <c r="Y39" i="5"/>
  <c r="BC39" i="5" s="1"/>
  <c r="Y40" i="5"/>
  <c r="BC40" i="5" s="1"/>
  <c r="BC291" i="5"/>
  <c r="BF40" i="5"/>
  <c r="Y41" i="5"/>
  <c r="BF41" i="5" s="1"/>
  <c r="Y42" i="5"/>
  <c r="BC42" i="5" s="1"/>
  <c r="Y43" i="5"/>
  <c r="BC43" i="5" s="1"/>
  <c r="Y44" i="5"/>
  <c r="BC44" i="5" s="1"/>
  <c r="Y45" i="5"/>
  <c r="BF45" i="5" s="1"/>
  <c r="Y46" i="5"/>
  <c r="BF46" i="5" s="1"/>
  <c r="AZ297" i="5"/>
  <c r="AZ298" i="5"/>
  <c r="BF47" i="5"/>
  <c r="Y48" i="5"/>
  <c r="BC48" i="5" s="1"/>
  <c r="AZ299" i="5"/>
  <c r="BC299" i="5"/>
  <c r="Y49" i="5"/>
  <c r="BC49" i="5" s="1"/>
  <c r="AZ49" i="5"/>
  <c r="BC301" i="5"/>
  <c r="BF50" i="5"/>
  <c r="AZ302" i="5"/>
  <c r="BG51" i="5"/>
  <c r="AV114" i="5"/>
  <c r="AA53" i="5"/>
  <c r="AZ53" i="5"/>
  <c r="BC305" i="5"/>
  <c r="BF54" i="5"/>
  <c r="AZ306" i="5"/>
  <c r="BG55" i="5"/>
  <c r="AE56" i="5"/>
  <c r="AV118" i="5"/>
  <c r="AA57" i="5"/>
  <c r="AZ57" i="5"/>
  <c r="BC309" i="5"/>
  <c r="BF58" i="5"/>
  <c r="BG59" i="5"/>
  <c r="AV122" i="5"/>
  <c r="AA61" i="5"/>
  <c r="AZ61" i="5"/>
  <c r="BF62" i="5"/>
  <c r="BG63" i="5"/>
  <c r="AV126" i="5"/>
  <c r="AA65" i="5"/>
  <c r="AZ65" i="5"/>
  <c r="BF66" i="5"/>
  <c r="BG67" i="5"/>
  <c r="AV130" i="5"/>
  <c r="AZ69" i="5"/>
  <c r="BF70" i="5"/>
  <c r="BC71" i="5"/>
  <c r="AZ71" i="5"/>
  <c r="BF71" i="5"/>
  <c r="BA73" i="5"/>
  <c r="BG73" i="5"/>
  <c r="AY73" i="5"/>
  <c r="BD73" i="5"/>
  <c r="BA75" i="5"/>
  <c r="BG75" i="5"/>
  <c r="AY75" i="5"/>
  <c r="AZ75" i="5"/>
  <c r="BC77" i="5"/>
  <c r="BC79" i="5"/>
  <c r="AP81" i="5"/>
  <c r="AP86" i="5"/>
  <c r="AZ84" i="5"/>
  <c r="AP91" i="5"/>
  <c r="AZ88" i="5"/>
  <c r="AZ102" i="5"/>
  <c r="AZ109" i="5"/>
  <c r="AZ12" i="5"/>
  <c r="AZ15" i="5"/>
  <c r="AZ19" i="5"/>
  <c r="AZ21" i="5"/>
  <c r="AZ23" i="5"/>
  <c r="AZ275" i="5"/>
  <c r="AV87" i="5"/>
  <c r="AZ25" i="5"/>
  <c r="AZ277" i="5"/>
  <c r="AV89" i="5"/>
  <c r="AZ27" i="5"/>
  <c r="AZ279" i="5"/>
  <c r="AV91" i="5"/>
  <c r="AZ29" i="5"/>
  <c r="AZ281" i="5"/>
  <c r="AV93" i="5"/>
  <c r="AV94" i="5"/>
  <c r="AY32" i="5"/>
  <c r="AV95" i="5"/>
  <c r="AY33" i="5"/>
  <c r="AV96" i="5"/>
  <c r="AY34" i="5"/>
  <c r="BG34" i="5"/>
  <c r="AV97" i="5"/>
  <c r="AY35" i="5"/>
  <c r="AV98" i="5"/>
  <c r="AY36" i="5"/>
  <c r="AV99" i="5"/>
  <c r="AY37" i="5"/>
  <c r="AV100" i="5"/>
  <c r="AY38" i="5"/>
  <c r="AV101" i="5"/>
  <c r="AY39" i="5"/>
  <c r="AV102" i="5"/>
  <c r="AY40" i="5"/>
  <c r="AV103" i="5"/>
  <c r="AY41" i="5"/>
  <c r="AV104" i="5"/>
  <c r="AY42" i="5"/>
  <c r="AV105" i="5"/>
  <c r="AY43" i="5"/>
  <c r="AV106" i="5"/>
  <c r="AY44" i="5"/>
  <c r="AV107" i="5"/>
  <c r="AY45" i="5"/>
  <c r="AV108" i="5"/>
  <c r="AY46" i="5"/>
  <c r="AV109" i="5"/>
  <c r="AY47" i="5"/>
  <c r="BG47" i="5"/>
  <c r="AV110" i="5"/>
  <c r="AY48" i="5"/>
  <c r="BG48" i="5"/>
  <c r="BC300" i="5"/>
  <c r="AZ301" i="5"/>
  <c r="BG50" i="5"/>
  <c r="AE51" i="5"/>
  <c r="AV113" i="5"/>
  <c r="AY51" i="5"/>
  <c r="BD51" i="5"/>
  <c r="AA52" i="5"/>
  <c r="AR52" i="5"/>
  <c r="AZ52" i="5"/>
  <c r="BC304" i="5"/>
  <c r="BF53" i="5"/>
  <c r="AZ305" i="5"/>
  <c r="BG54" i="5"/>
  <c r="AE55" i="5"/>
  <c r="AV117" i="5"/>
  <c r="AY55" i="5"/>
  <c r="BD55" i="5"/>
  <c r="AA56" i="5"/>
  <c r="AR56" i="5"/>
  <c r="AZ56" i="5"/>
  <c r="BC308" i="5"/>
  <c r="BF57" i="5"/>
  <c r="AZ309" i="5"/>
  <c r="BG58" i="5"/>
  <c r="AE59" i="5"/>
  <c r="AV121" i="5"/>
  <c r="AY59" i="5"/>
  <c r="BD59" i="5"/>
  <c r="AA60" i="5"/>
  <c r="AR60" i="5"/>
  <c r="AZ60" i="5"/>
  <c r="BF61" i="5"/>
  <c r="BG62" i="5"/>
  <c r="AE63" i="5"/>
  <c r="AV125" i="5"/>
  <c r="AY63" i="5"/>
  <c r="BD63" i="5"/>
  <c r="AA64" i="5"/>
  <c r="AR64" i="5"/>
  <c r="AZ64" i="5"/>
  <c r="BF65" i="5"/>
  <c r="BG66" i="5"/>
  <c r="AE67" i="5"/>
  <c r="AV129" i="5"/>
  <c r="AY67" i="5"/>
  <c r="BD67" i="5"/>
  <c r="AA68" i="5"/>
  <c r="AR68" i="5"/>
  <c r="AZ68" i="5"/>
  <c r="BF69" i="5"/>
  <c r="BG70" i="5"/>
  <c r="BA72" i="5"/>
  <c r="BG72" i="5"/>
  <c r="AY72" i="5"/>
  <c r="BD72" i="5"/>
  <c r="BC74" i="5"/>
  <c r="BD74" i="5"/>
  <c r="BA76" i="5"/>
  <c r="BG76" i="5"/>
  <c r="AY76" i="5"/>
  <c r="AZ76" i="5"/>
  <c r="BF76" i="5"/>
  <c r="BC78" i="5"/>
  <c r="BF78" i="5"/>
  <c r="BC80" i="5"/>
  <c r="BF82" i="5"/>
  <c r="AP87" i="5"/>
  <c r="BA85" i="5"/>
  <c r="BD85" i="5"/>
  <c r="AY85" i="5"/>
  <c r="BG85" i="5"/>
  <c r="AV149" i="5"/>
  <c r="AR87" i="5"/>
  <c r="AP94" i="5"/>
  <c r="BD11" i="5"/>
  <c r="AR17" i="5"/>
  <c r="AZ32" i="5"/>
  <c r="AZ34" i="5"/>
  <c r="AZ37" i="5"/>
  <c r="AZ38" i="5"/>
  <c r="AZ39" i="5"/>
  <c r="AZ40" i="5"/>
  <c r="AZ41" i="5"/>
  <c r="AZ42" i="5"/>
  <c r="AZ43" i="5"/>
  <c r="AZ44" i="5"/>
  <c r="AZ48" i="5"/>
  <c r="BF52" i="5"/>
  <c r="AZ55" i="5"/>
  <c r="BF56" i="5"/>
  <c r="AZ59" i="5"/>
  <c r="BF60" i="5"/>
  <c r="AZ63" i="5"/>
  <c r="BF64" i="5"/>
  <c r="AZ67" i="5"/>
  <c r="BF68" i="5"/>
  <c r="AP69" i="5"/>
  <c r="BA71" i="5"/>
  <c r="BG71" i="5"/>
  <c r="AY71" i="5"/>
  <c r="BD71" i="5"/>
  <c r="BC73" i="5"/>
  <c r="AZ73" i="5"/>
  <c r="BF73" i="5"/>
  <c r="BC75" i="5"/>
  <c r="BA77" i="5"/>
  <c r="BG77" i="5"/>
  <c r="AY77" i="5"/>
  <c r="AZ77" i="5"/>
  <c r="BF77" i="5"/>
  <c r="BF79" i="5"/>
  <c r="BC81" i="5"/>
  <c r="BF83" i="5"/>
  <c r="AA87" i="5"/>
  <c r="AZ93" i="5"/>
  <c r="AZ101" i="5"/>
  <c r="AZ110" i="5"/>
  <c r="AV133" i="5"/>
  <c r="AV134" i="5"/>
  <c r="AV135" i="5"/>
  <c r="AV136" i="5"/>
  <c r="AV137" i="5"/>
  <c r="AV138" i="5"/>
  <c r="AV139" i="5"/>
  <c r="AV140" i="5"/>
  <c r="AV141" i="5"/>
  <c r="AY79" i="5"/>
  <c r="BG79" i="5"/>
  <c r="AV142" i="5"/>
  <c r="AY80" i="5"/>
  <c r="BG80" i="5"/>
  <c r="AV143" i="5"/>
  <c r="AY81" i="5"/>
  <c r="BG81" i="5"/>
  <c r="AV144" i="5"/>
  <c r="AY82" i="5"/>
  <c r="BG82" i="5"/>
  <c r="AV145" i="5"/>
  <c r="AY83" i="5"/>
  <c r="BG83" i="5"/>
  <c r="AV146" i="5"/>
  <c r="BD84" i="5"/>
  <c r="Y85" i="5"/>
  <c r="BC85" i="5" s="1"/>
  <c r="BG86" i="5"/>
  <c r="BA87" i="5"/>
  <c r="AE88" i="5"/>
  <c r="AV150" i="5"/>
  <c r="BD88" i="5"/>
  <c r="Y89" i="5"/>
  <c r="BC89" i="5" s="1"/>
  <c r="AY89" i="5"/>
  <c r="BG90" i="5"/>
  <c r="AA91" i="5"/>
  <c r="AR91" i="5"/>
  <c r="BA91" i="5"/>
  <c r="AE92" i="5"/>
  <c r="AV154" i="5"/>
  <c r="BA92" i="5"/>
  <c r="BG92" i="5"/>
  <c r="AP97" i="5"/>
  <c r="AY94" i="5"/>
  <c r="BD94" i="5"/>
  <c r="Y95" i="5"/>
  <c r="BC95" i="5" s="1"/>
  <c r="AZ95" i="5"/>
  <c r="AR96" i="5"/>
  <c r="BD96" i="5"/>
  <c r="Y97" i="5"/>
  <c r="BC97" i="5" s="1"/>
  <c r="AE97" i="5"/>
  <c r="AR97" i="5"/>
  <c r="AV160" i="5"/>
  <c r="AR98" i="5"/>
  <c r="BG98" i="5"/>
  <c r="BA99" i="5"/>
  <c r="BG99" i="5"/>
  <c r="AA100" i="5"/>
  <c r="BA100" i="5"/>
  <c r="BG100" i="5"/>
  <c r="AY102" i="5"/>
  <c r="BD102" i="5"/>
  <c r="Y103" i="5"/>
  <c r="BF103" i="5" s="1"/>
  <c r="AZ103" i="5"/>
  <c r="AR104" i="5"/>
  <c r="BD104" i="5"/>
  <c r="Y105" i="5"/>
  <c r="BC105" i="5" s="1"/>
  <c r="AE105" i="5"/>
  <c r="AR105" i="5"/>
  <c r="AV168" i="5"/>
  <c r="AR106" i="5"/>
  <c r="BG106" i="5"/>
  <c r="AA108" i="5"/>
  <c r="BA108" i="5"/>
  <c r="BG108" i="5"/>
  <c r="AY110" i="5"/>
  <c r="BD110" i="5"/>
  <c r="Y111" i="5"/>
  <c r="BC111" i="5" s="1"/>
  <c r="AZ111" i="5"/>
  <c r="AR112" i="5"/>
  <c r="BD112" i="5"/>
  <c r="BF113" i="5"/>
  <c r="Y113" i="5"/>
  <c r="BC113" i="5" s="1"/>
  <c r="AE113" i="5"/>
  <c r="AR113" i="5"/>
  <c r="BA114" i="5"/>
  <c r="BD114" i="5"/>
  <c r="AV176" i="5"/>
  <c r="AR114" i="5"/>
  <c r="AR116" i="5"/>
  <c r="AP122" i="5"/>
  <c r="AV182" i="5"/>
  <c r="AR120" i="5"/>
  <c r="AE121" i="5"/>
  <c r="AF121" i="5"/>
  <c r="AZ122" i="5"/>
  <c r="Y125" i="5"/>
  <c r="BF125" i="5" s="1"/>
  <c r="AZ125" i="5"/>
  <c r="AV190" i="5"/>
  <c r="AR128" i="5"/>
  <c r="AZ142" i="5"/>
  <c r="BD79" i="5"/>
  <c r="BD80" i="5"/>
  <c r="BD81" i="5"/>
  <c r="BD82" i="5"/>
  <c r="BD83" i="5"/>
  <c r="BA84" i="5"/>
  <c r="AV147" i="5"/>
  <c r="Y86" i="5"/>
  <c r="BC86" i="5" s="1"/>
  <c r="AP90" i="5"/>
  <c r="BG87" i="5"/>
  <c r="AV151" i="5"/>
  <c r="AZ89" i="5"/>
  <c r="BD89" i="5"/>
  <c r="Y90" i="5"/>
  <c r="BF90" i="5" s="1"/>
  <c r="AY90" i="5"/>
  <c r="BG91" i="5"/>
  <c r="AV155" i="5"/>
  <c r="AP98" i="5"/>
  <c r="AY95" i="5"/>
  <c r="Y98" i="5"/>
  <c r="BF98" i="5" s="1"/>
  <c r="AV161" i="5"/>
  <c r="AV162" i="5"/>
  <c r="AV163" i="5"/>
  <c r="AP106" i="5"/>
  <c r="AF103" i="5"/>
  <c r="AY103" i="5"/>
  <c r="Y106" i="5"/>
  <c r="BC106" i="5" s="1"/>
  <c r="AE106" i="5"/>
  <c r="AV169" i="5"/>
  <c r="AV170" i="5"/>
  <c r="AV171" i="5"/>
  <c r="AP114" i="5"/>
  <c r="AF111" i="5"/>
  <c r="AY111" i="5"/>
  <c r="Y114" i="5"/>
  <c r="BC114" i="5" s="1"/>
  <c r="AZ114" i="5"/>
  <c r="AE114" i="5"/>
  <c r="AY114" i="5"/>
  <c r="BG114" i="5"/>
  <c r="AE117" i="5"/>
  <c r="AY118" i="5"/>
  <c r="BA118" i="5"/>
  <c r="BD118" i="5"/>
  <c r="AA120" i="5"/>
  <c r="AP127" i="5"/>
  <c r="AP128" i="5"/>
  <c r="AY126" i="5"/>
  <c r="BA126" i="5"/>
  <c r="BD126" i="5"/>
  <c r="AA128" i="5"/>
  <c r="AP144" i="5"/>
  <c r="AP147" i="5"/>
  <c r="BF84" i="5"/>
  <c r="AR85" i="5"/>
  <c r="AV148" i="5"/>
  <c r="AZ86" i="5"/>
  <c r="Y87" i="5"/>
  <c r="BC87" i="5" s="1"/>
  <c r="BA89" i="5"/>
  <c r="AV152" i="5"/>
  <c r="AZ90" i="5"/>
  <c r="Y91" i="5"/>
  <c r="BC91" i="5" s="1"/>
  <c r="BD92" i="5"/>
  <c r="Y93" i="5"/>
  <c r="BC93" i="5" s="1"/>
  <c r="AV156" i="5"/>
  <c r="AR94" i="5"/>
  <c r="BG94" i="5"/>
  <c r="AP99" i="5"/>
  <c r="BA95" i="5"/>
  <c r="BG95" i="5"/>
  <c r="AP100" i="5"/>
  <c r="BA96" i="5"/>
  <c r="BG96" i="5"/>
  <c r="AP101" i="5"/>
  <c r="AZ97" i="5"/>
  <c r="AY98" i="5"/>
  <c r="BD98" i="5"/>
  <c r="Y99" i="5"/>
  <c r="BF99" i="5" s="1"/>
  <c r="AZ99" i="5"/>
  <c r="AR100" i="5"/>
  <c r="BD100" i="5"/>
  <c r="Y101" i="5"/>
  <c r="BC101" i="5" s="1"/>
  <c r="AV164" i="5"/>
  <c r="AR102" i="5"/>
  <c r="BG102" i="5"/>
  <c r="AP107" i="5"/>
  <c r="BA103" i="5"/>
  <c r="BG103" i="5"/>
  <c r="AP108" i="5"/>
  <c r="BA104" i="5"/>
  <c r="BG104" i="5"/>
  <c r="AP109" i="5"/>
  <c r="AZ105" i="5"/>
  <c r="AY106" i="5"/>
  <c r="BD106" i="5"/>
  <c r="Y107" i="5"/>
  <c r="BF107" i="5" s="1"/>
  <c r="AZ107" i="5"/>
  <c r="BD108" i="5"/>
  <c r="BF109" i="5"/>
  <c r="Y109" i="5"/>
  <c r="BC109" i="5" s="1"/>
  <c r="AV172" i="5"/>
  <c r="AR110" i="5"/>
  <c r="BG110" i="5"/>
  <c r="AP115" i="5"/>
  <c r="BA111" i="5"/>
  <c r="BG111" i="5"/>
  <c r="AP116" i="5"/>
  <c r="BA112" i="5"/>
  <c r="BG112" i="5"/>
  <c r="AP117" i="5"/>
  <c r="AZ113" i="5"/>
  <c r="BD115" i="5"/>
  <c r="AY115" i="5"/>
  <c r="AP120" i="5"/>
  <c r="BF117" i="5"/>
  <c r="Y117" i="5"/>
  <c r="AZ117" i="5"/>
  <c r="AP121" i="5"/>
  <c r="BC117" i="5"/>
  <c r="AZ118" i="5"/>
  <c r="Y121" i="5"/>
  <c r="BC121" i="5" s="1"/>
  <c r="AZ121" i="5"/>
  <c r="AP126" i="5"/>
  <c r="AV186" i="5"/>
  <c r="AR124" i="5"/>
  <c r="AE125" i="5"/>
  <c r="AF125" i="5"/>
  <c r="AP129" i="5"/>
  <c r="AZ126" i="5"/>
  <c r="AZ138" i="5"/>
  <c r="AP142" i="5"/>
  <c r="AZ146" i="5"/>
  <c r="AY160" i="5"/>
  <c r="BA160" i="5" s="1"/>
  <c r="Y88" i="5"/>
  <c r="BF88" i="5" s="1"/>
  <c r="AP92" i="5"/>
  <c r="Y92" i="5"/>
  <c r="BC92" i="5" s="1"/>
  <c r="AZ92" i="5"/>
  <c r="Y94" i="5"/>
  <c r="BF94" i="5" s="1"/>
  <c r="AP102" i="5"/>
  <c r="Y102" i="5"/>
  <c r="BF102" i="5" s="1"/>
  <c r="AP110" i="5"/>
  <c r="Y110" i="5"/>
  <c r="BF110" i="5" s="1"/>
  <c r="AA117" i="5"/>
  <c r="AV179" i="5"/>
  <c r="AR117" i="5"/>
  <c r="AY122" i="5"/>
  <c r="BA122" i="5"/>
  <c r="BD122" i="5"/>
  <c r="AA124" i="5"/>
  <c r="AZ130" i="5"/>
  <c r="AP134" i="5"/>
  <c r="AZ134" i="5"/>
  <c r="AP138" i="5"/>
  <c r="AP143" i="5"/>
  <c r="Y115" i="5"/>
  <c r="BF115" i="5" s="1"/>
  <c r="BC115" i="5"/>
  <c r="BG116" i="5"/>
  <c r="AE118" i="5"/>
  <c r="AV180" i="5"/>
  <c r="Y119" i="5"/>
  <c r="BF119" i="5" s="1"/>
  <c r="AY119" i="5"/>
  <c r="BG120" i="5"/>
  <c r="AA121" i="5"/>
  <c r="AE122" i="5"/>
  <c r="AV184" i="5"/>
  <c r="Y123" i="5"/>
  <c r="BF123" i="5" s="1"/>
  <c r="AY123" i="5"/>
  <c r="BG124" i="5"/>
  <c r="AA125" i="5"/>
  <c r="AE126" i="5"/>
  <c r="AV188" i="5"/>
  <c r="Y127" i="5"/>
  <c r="BF127" i="5" s="1"/>
  <c r="AY127" i="5"/>
  <c r="BG128" i="5"/>
  <c r="AA129" i="5"/>
  <c r="AF129" i="5"/>
  <c r="AE130" i="5"/>
  <c r="AV192" i="5"/>
  <c r="BD130" i="5"/>
  <c r="Y131" i="5"/>
  <c r="BF131" i="5" s="1"/>
  <c r="AY131" i="5"/>
  <c r="BG132" i="5"/>
  <c r="AA133" i="5"/>
  <c r="AF133" i="5"/>
  <c r="AE134" i="5"/>
  <c r="AV196" i="5"/>
  <c r="BD134" i="5"/>
  <c r="BF135" i="5"/>
  <c r="Y135" i="5"/>
  <c r="BC135" i="5" s="1"/>
  <c r="AY135" i="5"/>
  <c r="AA137" i="5"/>
  <c r="AF137" i="5"/>
  <c r="AE138" i="5"/>
  <c r="AV200" i="5"/>
  <c r="Y139" i="5"/>
  <c r="BF139" i="5" s="1"/>
  <c r="BG139" i="5" s="1"/>
  <c r="AA141" i="5"/>
  <c r="AF141" i="5"/>
  <c r="AE142" i="5"/>
  <c r="AV204" i="5"/>
  <c r="Y143" i="5"/>
  <c r="BF143" i="5" s="1"/>
  <c r="BG143" i="5" s="1"/>
  <c r="AA145" i="5"/>
  <c r="AF145" i="5"/>
  <c r="AE146" i="5"/>
  <c r="AV208" i="5"/>
  <c r="AV209" i="5"/>
  <c r="AE150" i="5"/>
  <c r="AP154" i="5"/>
  <c r="AV213" i="5"/>
  <c r="AE154" i="5"/>
  <c r="AP158" i="5"/>
  <c r="AV217" i="5"/>
  <c r="AE158" i="5"/>
  <c r="AP162" i="5"/>
  <c r="AV221" i="5"/>
  <c r="BD163" i="5"/>
  <c r="AP167" i="5"/>
  <c r="AP168" i="5"/>
  <c r="AA165" i="5"/>
  <c r="AY168" i="5"/>
  <c r="AV231" i="5"/>
  <c r="AR169" i="5"/>
  <c r="BD171" i="5"/>
  <c r="AA173" i="5"/>
  <c r="BD176" i="5"/>
  <c r="BD180" i="5"/>
  <c r="BD188" i="5"/>
  <c r="BD192" i="5"/>
  <c r="BF96" i="5"/>
  <c r="Y96" i="5"/>
  <c r="BC96" i="5" s="1"/>
  <c r="Y100" i="5"/>
  <c r="BC100" i="5" s="1"/>
  <c r="Y104" i="5"/>
  <c r="BF104" i="5" s="1"/>
  <c r="Y108" i="5"/>
  <c r="BF108" i="5" s="1"/>
  <c r="Y112" i="5"/>
  <c r="BC112" i="5" s="1"/>
  <c r="AV177" i="5"/>
  <c r="AZ115" i="5"/>
  <c r="Y116" i="5"/>
  <c r="BF116" i="5" s="1"/>
  <c r="AR118" i="5"/>
  <c r="AV181" i="5"/>
  <c r="AZ119" i="5"/>
  <c r="BD119" i="5"/>
  <c r="Y120" i="5"/>
  <c r="BF120" i="5" s="1"/>
  <c r="AR122" i="5"/>
  <c r="AV185" i="5"/>
  <c r="AZ123" i="5"/>
  <c r="BD123" i="5"/>
  <c r="Y124" i="5"/>
  <c r="BC124" i="5" s="1"/>
  <c r="AR126" i="5"/>
  <c r="AV189" i="5"/>
  <c r="AZ127" i="5"/>
  <c r="BD127" i="5"/>
  <c r="Y128" i="5"/>
  <c r="BF128" i="5" s="1"/>
  <c r="AR130" i="5"/>
  <c r="BA130" i="5"/>
  <c r="AV193" i="5"/>
  <c r="AZ131" i="5"/>
  <c r="BD131" i="5"/>
  <c r="Y132" i="5"/>
  <c r="BF132" i="5" s="1"/>
  <c r="AR134" i="5"/>
  <c r="BA134" i="5"/>
  <c r="AV197" i="5"/>
  <c r="AZ135" i="5"/>
  <c r="BD135" i="5"/>
  <c r="Y136" i="5"/>
  <c r="BF136" i="5" s="1"/>
  <c r="BG136" i="5" s="1"/>
  <c r="AR138" i="5"/>
  <c r="AV201" i="5"/>
  <c r="AZ139" i="5"/>
  <c r="Y140" i="5"/>
  <c r="BF140" i="5" s="1"/>
  <c r="BG140" i="5" s="1"/>
  <c r="AR142" i="5"/>
  <c r="AV205" i="5"/>
  <c r="AZ143" i="5"/>
  <c r="Y144" i="5"/>
  <c r="BF144" i="5" s="1"/>
  <c r="BG144" i="5" s="1"/>
  <c r="AR146" i="5"/>
  <c r="AA147" i="5"/>
  <c r="AR147" i="5"/>
  <c r="AE149" i="5"/>
  <c r="AP153" i="5"/>
  <c r="AV212" i="5"/>
  <c r="AA151" i="5"/>
  <c r="AR151" i="5"/>
  <c r="AE153" i="5"/>
  <c r="AP157" i="5"/>
  <c r="AV216" i="5"/>
  <c r="AA155" i="5"/>
  <c r="AP161" i="5"/>
  <c r="AV220" i="5"/>
  <c r="AP165" i="5"/>
  <c r="AY162" i="5"/>
  <c r="BA162" i="5" s="1"/>
  <c r="AV225" i="5"/>
  <c r="AR163" i="5"/>
  <c r="BD165" i="5"/>
  <c r="AP169" i="5"/>
  <c r="AP170" i="5"/>
  <c r="AA167" i="5"/>
  <c r="AY170" i="5"/>
  <c r="BA170" i="5" s="1"/>
  <c r="AV233" i="5"/>
  <c r="AR171" i="5"/>
  <c r="AA175" i="5"/>
  <c r="BD177" i="5"/>
  <c r="BD181" i="5"/>
  <c r="BD185" i="5"/>
  <c r="BD189" i="5"/>
  <c r="Y129" i="5"/>
  <c r="BC129" i="5" s="1"/>
  <c r="AP133" i="5"/>
  <c r="BG130" i="5"/>
  <c r="Y133" i="5"/>
  <c r="BC133" i="5" s="1"/>
  <c r="AP137" i="5"/>
  <c r="BG134" i="5"/>
  <c r="Y137" i="5"/>
  <c r="BF137" i="5" s="1"/>
  <c r="BG137" i="5" s="1"/>
  <c r="AP141" i="5"/>
  <c r="Y141" i="5"/>
  <c r="BF141" i="5" s="1"/>
  <c r="BG141" i="5" s="1"/>
  <c r="AP145" i="5"/>
  <c r="AY141" i="5"/>
  <c r="Y145" i="5"/>
  <c r="BF145" i="5" s="1"/>
  <c r="BG145" i="5" s="1"/>
  <c r="AP149" i="5"/>
  <c r="BF152" i="5"/>
  <c r="BG152" i="5" s="1"/>
  <c r="AF160" i="5"/>
  <c r="AE160" i="5"/>
  <c r="AY164" i="5"/>
  <c r="BA164" i="5" s="1"/>
  <c r="AV227" i="5"/>
  <c r="AR165" i="5"/>
  <c r="BD167" i="5"/>
  <c r="AA169" i="5"/>
  <c r="AY172" i="5"/>
  <c r="BA172" i="5" s="1"/>
  <c r="AV235" i="5"/>
  <c r="AR173" i="5"/>
  <c r="BD175" i="5"/>
  <c r="BD182" i="5"/>
  <c r="BD190" i="5"/>
  <c r="Y118" i="5"/>
  <c r="BC118" i="5" s="1"/>
  <c r="AV183" i="5"/>
  <c r="Y122" i="5"/>
  <c r="BC122" i="5" s="1"/>
  <c r="AV187" i="5"/>
  <c r="Y126" i="5"/>
  <c r="BC126" i="5" s="1"/>
  <c r="AV191" i="5"/>
  <c r="AZ129" i="5"/>
  <c r="Y130" i="5"/>
  <c r="BF130" i="5" s="1"/>
  <c r="BC130" i="5"/>
  <c r="AR132" i="5"/>
  <c r="AV195" i="5"/>
  <c r="AZ133" i="5"/>
  <c r="Y134" i="5"/>
  <c r="BF134" i="5" s="1"/>
  <c r="AR136" i="5"/>
  <c r="AV199" i="5"/>
  <c r="AZ137" i="5"/>
  <c r="Y138" i="5"/>
  <c r="AY138" i="5" s="1"/>
  <c r="AR140" i="5"/>
  <c r="AV203" i="5"/>
  <c r="AZ141" i="5"/>
  <c r="Y142" i="5"/>
  <c r="AY142" i="5" s="1"/>
  <c r="BA142" i="5" s="1"/>
  <c r="AR144" i="5"/>
  <c r="AV207" i="5"/>
  <c r="AZ145" i="5"/>
  <c r="BF146" i="5"/>
  <c r="BG146" i="5" s="1"/>
  <c r="Y146" i="5"/>
  <c r="BC146" i="5" s="1"/>
  <c r="BD146" i="5" s="1"/>
  <c r="AE147" i="5"/>
  <c r="AP151" i="5"/>
  <c r="AV210" i="5"/>
  <c r="AA149" i="5"/>
  <c r="AR149" i="5"/>
  <c r="AE151" i="5"/>
  <c r="AP155" i="5"/>
  <c r="AV214" i="5"/>
  <c r="AA153" i="5"/>
  <c r="AR153" i="5"/>
  <c r="AE155" i="5"/>
  <c r="AP159" i="5"/>
  <c r="AV218" i="5"/>
  <c r="AA157" i="5"/>
  <c r="AR157" i="5"/>
  <c r="AE159" i="5"/>
  <c r="AP163" i="5"/>
  <c r="BF160" i="5"/>
  <c r="BG160" i="5" s="1"/>
  <c r="BC160" i="5"/>
  <c r="BD160" i="5" s="1"/>
  <c r="BG161" i="5"/>
  <c r="BD161" i="5"/>
  <c r="AY161" i="5"/>
  <c r="BA161" i="5" s="1"/>
  <c r="AA161" i="5"/>
  <c r="AR161" i="5"/>
  <c r="AA163" i="5"/>
  <c r="AY166" i="5"/>
  <c r="BA166" i="5" s="1"/>
  <c r="AV229" i="5"/>
  <c r="AR167" i="5"/>
  <c r="BD169" i="5"/>
  <c r="AA171" i="5"/>
  <c r="AY174" i="5"/>
  <c r="BA174" i="5" s="1"/>
  <c r="AV237" i="5"/>
  <c r="AR175" i="5"/>
  <c r="BD179" i="5"/>
  <c r="BD183" i="5"/>
  <c r="BD187" i="5"/>
  <c r="BD191" i="5"/>
  <c r="Y147" i="5"/>
  <c r="BC147" i="5" s="1"/>
  <c r="BD147" i="5" s="1"/>
  <c r="Y148" i="5"/>
  <c r="BC148" i="5" s="1"/>
  <c r="BD148" i="5" s="1"/>
  <c r="Y149" i="5"/>
  <c r="BC149" i="5" s="1"/>
  <c r="BD149" i="5" s="1"/>
  <c r="Y150" i="5"/>
  <c r="BC150" i="5" s="1"/>
  <c r="BD150" i="5" s="1"/>
  <c r="Y151" i="5"/>
  <c r="BC151" i="5" s="1"/>
  <c r="BD151" i="5" s="1"/>
  <c r="Y152" i="5"/>
  <c r="BC152" i="5" s="1"/>
  <c r="BD152" i="5" s="1"/>
  <c r="Y153" i="5"/>
  <c r="BC153" i="5" s="1"/>
  <c r="BD153" i="5" s="1"/>
  <c r="Y154" i="5"/>
  <c r="BC154" i="5" s="1"/>
  <c r="BD154" i="5" s="1"/>
  <c r="Y155" i="5"/>
  <c r="BC155" i="5" s="1"/>
  <c r="BD155" i="5" s="1"/>
  <c r="Y156" i="5"/>
  <c r="BC156" i="5" s="1"/>
  <c r="BD156" i="5" s="1"/>
  <c r="Y157" i="5"/>
  <c r="BC157" i="5" s="1"/>
  <c r="BD157" i="5" s="1"/>
  <c r="Y158" i="5"/>
  <c r="BC158" i="5" s="1"/>
  <c r="BD158" i="5" s="1"/>
  <c r="Y159" i="5"/>
  <c r="BF159" i="5" s="1"/>
  <c r="BG159" i="5" s="1"/>
  <c r="BF162" i="5"/>
  <c r="BG162" i="5" s="1"/>
  <c r="AY163" i="5"/>
  <c r="BA163" i="5" s="1"/>
  <c r="BF164" i="5"/>
  <c r="BG164" i="5" s="1"/>
  <c r="AY165" i="5"/>
  <c r="BA165" i="5" s="1"/>
  <c r="BF166" i="5"/>
  <c r="BG166" i="5" s="1"/>
  <c r="AY167" i="5"/>
  <c r="BA167" i="5" s="1"/>
  <c r="BA168" i="5"/>
  <c r="BF168" i="5"/>
  <c r="BG168" i="5" s="1"/>
  <c r="AY169" i="5"/>
  <c r="BA169" i="5" s="1"/>
  <c r="BF170" i="5"/>
  <c r="BG170" i="5" s="1"/>
  <c r="AY171" i="5"/>
  <c r="BA171" i="5" s="1"/>
  <c r="BF172" i="5"/>
  <c r="BG172" i="5" s="1"/>
  <c r="AY173" i="5"/>
  <c r="BA173" i="5" s="1"/>
  <c r="BF174" i="5"/>
  <c r="BG174" i="5" s="1"/>
  <c r="BF175" i="5"/>
  <c r="AY175" i="5"/>
  <c r="BA175" i="5" s="1"/>
  <c r="AY176" i="5"/>
  <c r="AY177" i="5"/>
  <c r="AY178" i="5"/>
  <c r="BA178" i="5" s="1"/>
  <c r="AY179" i="5"/>
  <c r="BA179" i="5" s="1"/>
  <c r="AY180" i="5"/>
  <c r="BA180" i="5" s="1"/>
  <c r="AY181" i="5"/>
  <c r="BA181" i="5" s="1"/>
  <c r="AY182" i="5"/>
  <c r="BA182" i="5" s="1"/>
  <c r="AY183" i="5"/>
  <c r="BA183" i="5" s="1"/>
  <c r="AY184" i="5"/>
  <c r="AY185" i="5"/>
  <c r="BA185" i="5" s="1"/>
  <c r="AY186" i="5"/>
  <c r="BA186" i="5" s="1"/>
  <c r="AY187" i="5"/>
  <c r="BA187" i="5" s="1"/>
  <c r="AY188" i="5"/>
  <c r="BA188" i="5" s="1"/>
  <c r="AY189" i="5"/>
  <c r="AY190" i="5"/>
  <c r="BA190" i="5" s="1"/>
  <c r="AY191" i="5"/>
  <c r="BA191" i="5" s="1"/>
  <c r="AY192" i="5"/>
  <c r="BD194" i="5"/>
  <c r="AE194" i="5"/>
  <c r="AF194" i="5"/>
  <c r="AV256" i="5"/>
  <c r="AR194" i="5"/>
  <c r="AA195" i="5"/>
  <c r="AP199" i="5"/>
  <c r="BF196" i="5"/>
  <c r="BG196" i="5" s="1"/>
  <c r="BD198" i="5"/>
  <c r="AE198" i="5"/>
  <c r="AF198" i="5"/>
  <c r="AV260" i="5"/>
  <c r="AR198" i="5"/>
  <c r="AA199" i="5"/>
  <c r="AP203" i="5"/>
  <c r="AP204" i="5"/>
  <c r="AP212" i="5"/>
  <c r="BF176" i="5"/>
  <c r="BG176" i="5" s="1"/>
  <c r="BF177" i="5"/>
  <c r="BG177" i="5" s="1"/>
  <c r="BF178" i="5"/>
  <c r="BG178" i="5" s="1"/>
  <c r="BF179" i="5"/>
  <c r="BG179" i="5" s="1"/>
  <c r="BF180" i="5"/>
  <c r="BG180" i="5" s="1"/>
  <c r="BF181" i="5"/>
  <c r="BG181" i="5" s="1"/>
  <c r="BF182" i="5"/>
  <c r="BG182" i="5" s="1"/>
  <c r="BF183" i="5"/>
  <c r="BG183" i="5" s="1"/>
  <c r="BF184" i="5"/>
  <c r="BG184" i="5" s="1"/>
  <c r="BF185" i="5"/>
  <c r="BG185" i="5" s="1"/>
  <c r="BF186" i="5"/>
  <c r="BG186" i="5" s="1"/>
  <c r="BF187" i="5"/>
  <c r="BG187" i="5" s="1"/>
  <c r="BF188" i="5"/>
  <c r="BG188" i="5" s="1"/>
  <c r="BF189" i="5"/>
  <c r="BG189" i="5" s="1"/>
  <c r="BF190" i="5"/>
  <c r="BG190" i="5" s="1"/>
  <c r="BF191" i="5"/>
  <c r="BG191" i="5" s="1"/>
  <c r="AP195" i="5"/>
  <c r="BF192" i="5"/>
  <c r="BG192" i="5" s="1"/>
  <c r="AP196" i="5"/>
  <c r="BF193" i="5"/>
  <c r="BG193" i="5" s="1"/>
  <c r="AE193" i="5"/>
  <c r="AP197" i="5"/>
  <c r="BD195" i="5"/>
  <c r="AE195" i="5"/>
  <c r="AF195" i="5"/>
  <c r="AV257" i="5"/>
  <c r="AR195" i="5"/>
  <c r="AA196" i="5"/>
  <c r="AP200" i="5"/>
  <c r="BF197" i="5"/>
  <c r="BG197" i="5" s="1"/>
  <c r="BD199" i="5"/>
  <c r="AE199" i="5"/>
  <c r="AF199" i="5"/>
  <c r="AZ204" i="5"/>
  <c r="AP209" i="5"/>
  <c r="BG175" i="5"/>
  <c r="BF194" i="5"/>
  <c r="BG194" i="5" s="1"/>
  <c r="BD196" i="5"/>
  <c r="AE196" i="5"/>
  <c r="AF196" i="5"/>
  <c r="AV258" i="5"/>
  <c r="AR196" i="5"/>
  <c r="AA197" i="5"/>
  <c r="BF198" i="5"/>
  <c r="BG198" i="5" s="1"/>
  <c r="AV222" i="5"/>
  <c r="AE162" i="5"/>
  <c r="AV224" i="5"/>
  <c r="BG163" i="5"/>
  <c r="AE164" i="5"/>
  <c r="AV226" i="5"/>
  <c r="BG165" i="5"/>
  <c r="AE166" i="5"/>
  <c r="AV228" i="5"/>
  <c r="BG167" i="5"/>
  <c r="AE168" i="5"/>
  <c r="AV230" i="5"/>
  <c r="BG169" i="5"/>
  <c r="AE170" i="5"/>
  <c r="AV232" i="5"/>
  <c r="BG171" i="5"/>
  <c r="AE172" i="5"/>
  <c r="AV234" i="5"/>
  <c r="AP177" i="5"/>
  <c r="BG173" i="5"/>
  <c r="AE174" i="5"/>
  <c r="AV236" i="5"/>
  <c r="AP179" i="5"/>
  <c r="BA176" i="5"/>
  <c r="AA176" i="5"/>
  <c r="AR176" i="5"/>
  <c r="BA177" i="5"/>
  <c r="AA177" i="5"/>
  <c r="AR177" i="5"/>
  <c r="AA178" i="5"/>
  <c r="AR178" i="5"/>
  <c r="AA179" i="5"/>
  <c r="AR179" i="5"/>
  <c r="AA180" i="5"/>
  <c r="AR180" i="5"/>
  <c r="AA181" i="5"/>
  <c r="AR181" i="5"/>
  <c r="AA182" i="5"/>
  <c r="AR182" i="5"/>
  <c r="AA183" i="5"/>
  <c r="AR183" i="5"/>
  <c r="BA184" i="5"/>
  <c r="AA184" i="5"/>
  <c r="AR184" i="5"/>
  <c r="AA185" i="5"/>
  <c r="AR185" i="5"/>
  <c r="AA186" i="5"/>
  <c r="AR186" i="5"/>
  <c r="AA187" i="5"/>
  <c r="AR187" i="5"/>
  <c r="AA188" i="5"/>
  <c r="AR188" i="5"/>
  <c r="BA189" i="5"/>
  <c r="AA189" i="5"/>
  <c r="AR189" i="5"/>
  <c r="AA190" i="5"/>
  <c r="AR190" i="5"/>
  <c r="AA191" i="5"/>
  <c r="AR191" i="5"/>
  <c r="BA192" i="5"/>
  <c r="AA192" i="5"/>
  <c r="AR192" i="5"/>
  <c r="BD193" i="5"/>
  <c r="AA193" i="5"/>
  <c r="AY193" i="5"/>
  <c r="BA193" i="5" s="1"/>
  <c r="AA194" i="5"/>
  <c r="BF195" i="5"/>
  <c r="BG195" i="5" s="1"/>
  <c r="BD197" i="5"/>
  <c r="AE197" i="5"/>
  <c r="AF197" i="5"/>
  <c r="AV259" i="5"/>
  <c r="AR197" i="5"/>
  <c r="AA198" i="5"/>
  <c r="AZ200" i="5"/>
  <c r="AZ208" i="5"/>
  <c r="BF217" i="5"/>
  <c r="BG217" i="5" s="1"/>
  <c r="BA194" i="5"/>
  <c r="BA195" i="5"/>
  <c r="BA196" i="5"/>
  <c r="BA197" i="5"/>
  <c r="BA198" i="5"/>
  <c r="BF199" i="5"/>
  <c r="BG199" i="5" s="1"/>
  <c r="BA199" i="5"/>
  <c r="AE200" i="5"/>
  <c r="AV262" i="5"/>
  <c r="Y201" i="5"/>
  <c r="BF201" i="5" s="1"/>
  <c r="BG201" i="5" s="1"/>
  <c r="BC201" i="5"/>
  <c r="BD201" i="5" s="1"/>
  <c r="AA203" i="5"/>
  <c r="AF203" i="5"/>
  <c r="AE204" i="5"/>
  <c r="AV266" i="5"/>
  <c r="Y205" i="5"/>
  <c r="BF205" i="5" s="1"/>
  <c r="BG205" i="5" s="1"/>
  <c r="AA207" i="5"/>
  <c r="AF207" i="5"/>
  <c r="AR207" i="5"/>
  <c r="AE208" i="5"/>
  <c r="AV270" i="5"/>
  <c r="Y209" i="5"/>
  <c r="BF209" i="5" s="1"/>
  <c r="BG209" i="5" s="1"/>
  <c r="AA211" i="5"/>
  <c r="AF211" i="5"/>
  <c r="BC213" i="5"/>
  <c r="BD213" i="5" s="1"/>
  <c r="BG215" i="5"/>
  <c r="AY215" i="5"/>
  <c r="BA215" i="5" s="1"/>
  <c r="AY216" i="5"/>
  <c r="BA216" i="5" s="1"/>
  <c r="BF220" i="5"/>
  <c r="BG220" i="5" s="1"/>
  <c r="BC221" i="5"/>
  <c r="BD221" i="5" s="1"/>
  <c r="AP222" i="5"/>
  <c r="AP227" i="5"/>
  <c r="BF224" i="5"/>
  <c r="BC225" i="5"/>
  <c r="AP226" i="5"/>
  <c r="BC228" i="5"/>
  <c r="BD228" i="5" s="1"/>
  <c r="AV263" i="5"/>
  <c r="Y202" i="5"/>
  <c r="BF202" i="5" s="1"/>
  <c r="BG202" i="5" s="1"/>
  <c r="AP206" i="5"/>
  <c r="AV267" i="5"/>
  <c r="Y206" i="5"/>
  <c r="BF206" i="5" s="1"/>
  <c r="BG206" i="5" s="1"/>
  <c r="AP210" i="5"/>
  <c r="AV271" i="5"/>
  <c r="BF210" i="5"/>
  <c r="BG210" i="5" s="1"/>
  <c r="Y210" i="5"/>
  <c r="BC210" i="5" s="1"/>
  <c r="BD210" i="5" s="1"/>
  <c r="BF214" i="5"/>
  <c r="BG214" i="5" s="1"/>
  <c r="BC215" i="5"/>
  <c r="BD215" i="5" s="1"/>
  <c r="AP215" i="5"/>
  <c r="AY217" i="5"/>
  <c r="BA217" i="5" s="1"/>
  <c r="AY218" i="5"/>
  <c r="BA218" i="5" s="1"/>
  <c r="AP218" i="5"/>
  <c r="BG223" i="5"/>
  <c r="AY223" i="5"/>
  <c r="BA223" i="5" s="1"/>
  <c r="BG227" i="5"/>
  <c r="AY227" i="5"/>
  <c r="BA227" i="5" s="1"/>
  <c r="AA229" i="5"/>
  <c r="BF203" i="5"/>
  <c r="BG203" i="5" s="1"/>
  <c r="Y203" i="5"/>
  <c r="AY203" i="5" s="1"/>
  <c r="AP207" i="5"/>
  <c r="BC203" i="5"/>
  <c r="BD203" i="5" s="1"/>
  <c r="Y207" i="5"/>
  <c r="BF207" i="5" s="1"/>
  <c r="BG207" i="5" s="1"/>
  <c r="AP211" i="5"/>
  <c r="AZ211" i="5"/>
  <c r="Y211" i="5"/>
  <c r="BC211" i="5" s="1"/>
  <c r="BD211" i="5" s="1"/>
  <c r="BF216" i="5"/>
  <c r="BG216" i="5" s="1"/>
  <c r="BC217" i="5"/>
  <c r="BD217" i="5" s="1"/>
  <c r="BG219" i="5"/>
  <c r="AY219" i="5"/>
  <c r="BA219" i="5" s="1"/>
  <c r="AY220" i="5"/>
  <c r="BA220" i="5" s="1"/>
  <c r="AP220" i="5"/>
  <c r="BF222" i="5"/>
  <c r="BG222" i="5" s="1"/>
  <c r="BC223" i="5"/>
  <c r="BD223" i="5" s="1"/>
  <c r="AP224" i="5"/>
  <c r="BF226" i="5"/>
  <c r="BC227" i="5"/>
  <c r="BD227" i="5" s="1"/>
  <c r="AP228" i="5"/>
  <c r="AR199" i="5"/>
  <c r="Y200" i="5"/>
  <c r="AY200" i="5" s="1"/>
  <c r="BC200" i="5"/>
  <c r="BD200" i="5" s="1"/>
  <c r="AR202" i="5"/>
  <c r="AV265" i="5"/>
  <c r="AZ203" i="5"/>
  <c r="Y204" i="5"/>
  <c r="AR206" i="5"/>
  <c r="AZ207" i="5"/>
  <c r="Y208" i="5"/>
  <c r="AY208" i="5" s="1"/>
  <c r="BA208" i="5" s="1"/>
  <c r="AR210" i="5"/>
  <c r="Y212" i="5"/>
  <c r="BF212" i="5" s="1"/>
  <c r="BG212" i="5" s="1"/>
  <c r="AZ212" i="5"/>
  <c r="BG213" i="5"/>
  <c r="AY213" i="5"/>
  <c r="BA213" i="5" s="1"/>
  <c r="AY214" i="5"/>
  <c r="BA214" i="5" s="1"/>
  <c r="BF218" i="5"/>
  <c r="BG218" i="5" s="1"/>
  <c r="BC219" i="5"/>
  <c r="BD219" i="5" s="1"/>
  <c r="BG221" i="5"/>
  <c r="AY221" i="5"/>
  <c r="BA221" i="5" s="1"/>
  <c r="BG225" i="5"/>
  <c r="AY225" i="5"/>
  <c r="BA225" i="5" s="1"/>
  <c r="BD225" i="5"/>
  <c r="AV293" i="5"/>
  <c r="AR231" i="5"/>
  <c r="AY222" i="5"/>
  <c r="BA222" i="5" s="1"/>
  <c r="BG224" i="5"/>
  <c r="AY224" i="5"/>
  <c r="BA224" i="5" s="1"/>
  <c r="BG226" i="5"/>
  <c r="AY226" i="5"/>
  <c r="BA226" i="5" s="1"/>
  <c r="BA228" i="5"/>
  <c r="AY228" i="5"/>
  <c r="AP233" i="5"/>
  <c r="BD230" i="5"/>
  <c r="AY231" i="5"/>
  <c r="BA231" i="5" s="1"/>
  <c r="AP237" i="5"/>
  <c r="BD234" i="5"/>
  <c r="BC214" i="5"/>
  <c r="BD214" i="5" s="1"/>
  <c r="BC216" i="5"/>
  <c r="BD216" i="5" s="1"/>
  <c r="BC218" i="5"/>
  <c r="BD218" i="5" s="1"/>
  <c r="BC220" i="5"/>
  <c r="BD220" i="5" s="1"/>
  <c r="BC222" i="5"/>
  <c r="BD222" i="5" s="1"/>
  <c r="BC224" i="5"/>
  <c r="BD224" i="5" s="1"/>
  <c r="BC226" i="5"/>
  <c r="BD226" i="5" s="1"/>
  <c r="AP230" i="5"/>
  <c r="BF228" i="5"/>
  <c r="BG228" i="5" s="1"/>
  <c r="AP232" i="5"/>
  <c r="AV291" i="5"/>
  <c r="AR229" i="5"/>
  <c r="AP234" i="5"/>
  <c r="AA231" i="5"/>
  <c r="AV295" i="5"/>
  <c r="AR233" i="5"/>
  <c r="AY229" i="5"/>
  <c r="BA229" i="5" s="1"/>
  <c r="AP235" i="5"/>
  <c r="BD232" i="5"/>
  <c r="AY233" i="5"/>
  <c r="BA233" i="5" s="1"/>
  <c r="BD236" i="5"/>
  <c r="BD238" i="5"/>
  <c r="BD240" i="5"/>
  <c r="BF243" i="5"/>
  <c r="AA233" i="5"/>
  <c r="AY235" i="5"/>
  <c r="BA235" i="5" s="1"/>
  <c r="AY237" i="5"/>
  <c r="BA237" i="5" s="1"/>
  <c r="AY239" i="5"/>
  <c r="BA239" i="5" s="1"/>
  <c r="AY241" i="5"/>
  <c r="BA241" i="5" s="1"/>
  <c r="AV273" i="5"/>
  <c r="AV274" i="5"/>
  <c r="AV275" i="5"/>
  <c r="AV276" i="5"/>
  <c r="AV277" i="5"/>
  <c r="AV278" i="5"/>
  <c r="AV279" i="5"/>
  <c r="AV280" i="5"/>
  <c r="AV281" i="5"/>
  <c r="AV282" i="5"/>
  <c r="AV283" i="5"/>
  <c r="AV284" i="5"/>
  <c r="AV285" i="5"/>
  <c r="AV286" i="5"/>
  <c r="AV287" i="5"/>
  <c r="AV288" i="5"/>
  <c r="AV289" i="5"/>
  <c r="AV290" i="5"/>
  <c r="BF229" i="5"/>
  <c r="BG229" i="5" s="1"/>
  <c r="AY230" i="5"/>
  <c r="BA230" i="5" s="1"/>
  <c r="BF231" i="5"/>
  <c r="BG231" i="5" s="1"/>
  <c r="AY232" i="5"/>
  <c r="BA232" i="5" s="1"/>
  <c r="BF233" i="5"/>
  <c r="BG233" i="5" s="1"/>
  <c r="AY234" i="5"/>
  <c r="BA234" i="5" s="1"/>
  <c r="AR235" i="5"/>
  <c r="BF235" i="5"/>
  <c r="BG235" i="5" s="1"/>
  <c r="AY236" i="5"/>
  <c r="BA236" i="5" s="1"/>
  <c r="AR237" i="5"/>
  <c r="AT298" i="5" s="1"/>
  <c r="BF237" i="5"/>
  <c r="BG237" i="5" s="1"/>
  <c r="AY238" i="5"/>
  <c r="BA238" i="5" s="1"/>
  <c r="AR239" i="5"/>
  <c r="BF239" i="5"/>
  <c r="BG239" i="5" s="1"/>
  <c r="AP240" i="5"/>
  <c r="AY240" i="5"/>
  <c r="BA240" i="5" s="1"/>
  <c r="AR241" i="5"/>
  <c r="BF241" i="5"/>
  <c r="BG241" i="5" s="1"/>
  <c r="BC242" i="5"/>
  <c r="BD242" i="5" s="1"/>
  <c r="AP242" i="5"/>
  <c r="BG243" i="5"/>
  <c r="AY243" i="5"/>
  <c r="BA243" i="5" s="1"/>
  <c r="AP247" i="5"/>
  <c r="BC244" i="5"/>
  <c r="BD244" i="5" s="1"/>
  <c r="AP251" i="5"/>
  <c r="AP255" i="5"/>
  <c r="BF253" i="5"/>
  <c r="BG253" i="5" s="1"/>
  <c r="AP259" i="5"/>
  <c r="BF257" i="5"/>
  <c r="BG257" i="5" s="1"/>
  <c r="AV292" i="5"/>
  <c r="AV294" i="5"/>
  <c r="AV296" i="5"/>
  <c r="BC235" i="5"/>
  <c r="BD235" i="5" s="1"/>
  <c r="AV298" i="5"/>
  <c r="BC237" i="5"/>
  <c r="BD237" i="5" s="1"/>
  <c r="AV300" i="5"/>
  <c r="BC239" i="5"/>
  <c r="BD239" i="5" s="1"/>
  <c r="AV302" i="5"/>
  <c r="AP245" i="5"/>
  <c r="BC241" i="5"/>
  <c r="BD241" i="5" s="1"/>
  <c r="AE242" i="5"/>
  <c r="AP248" i="5"/>
  <c r="BC245" i="5"/>
  <c r="BD245" i="5" s="1"/>
  <c r="AV307" i="5"/>
  <c r="AR245" i="5"/>
  <c r="AT300" i="5" s="1"/>
  <c r="AP252" i="5"/>
  <c r="BF250" i="5"/>
  <c r="BG250" i="5" s="1"/>
  <c r="AP256" i="5"/>
  <c r="BF254" i="5"/>
  <c r="BG254" i="5" s="1"/>
  <c r="AP260" i="5"/>
  <c r="AA230" i="5"/>
  <c r="AR230" i="5"/>
  <c r="AA232" i="5"/>
  <c r="AR232" i="5"/>
  <c r="AA234" i="5"/>
  <c r="BG242" i="5"/>
  <c r="AY242" i="5"/>
  <c r="BA242" i="5" s="1"/>
  <c r="BC243" i="5"/>
  <c r="BD243" i="5" s="1"/>
  <c r="BF247" i="5"/>
  <c r="BG247" i="5" s="1"/>
  <c r="BF251" i="5"/>
  <c r="BG251" i="5" s="1"/>
  <c r="BF255" i="5"/>
  <c r="BG255" i="5" s="1"/>
  <c r="BD261" i="5"/>
  <c r="BF248" i="5"/>
  <c r="BG248" i="5" s="1"/>
  <c r="BF252" i="5"/>
  <c r="BG252" i="5" s="1"/>
  <c r="BF256" i="5"/>
  <c r="BG256" i="5" s="1"/>
  <c r="BF258" i="5"/>
  <c r="BG258" i="5" s="1"/>
  <c r="BF259" i="5"/>
  <c r="BG259" i="5" s="1"/>
  <c r="BF260" i="5"/>
  <c r="BG260" i="5" s="1"/>
  <c r="BF261" i="5"/>
  <c r="BG261" i="5" s="1"/>
  <c r="BF263" i="5"/>
  <c r="BG263" i="5" s="1"/>
  <c r="AY265" i="5"/>
  <c r="BA265" i="5" s="1"/>
  <c r="AF268" i="5"/>
  <c r="AE268" i="5"/>
  <c r="AP285" i="5"/>
  <c r="AV304" i="5"/>
  <c r="AV305" i="5"/>
  <c r="AV306" i="5"/>
  <c r="AY244" i="5"/>
  <c r="BA244" i="5" s="1"/>
  <c r="BG244" i="5"/>
  <c r="BF262" i="5"/>
  <c r="BG262" i="5" s="1"/>
  <c r="AY264" i="5"/>
  <c r="BA264" i="5" s="1"/>
  <c r="AP269" i="5"/>
  <c r="AA267" i="5"/>
  <c r="Y268" i="5"/>
  <c r="AZ268" i="5"/>
  <c r="AA245" i="5"/>
  <c r="AE245" i="5"/>
  <c r="AP249" i="5"/>
  <c r="AA246" i="5"/>
  <c r="AT308" i="5"/>
  <c r="AS308" i="5"/>
  <c r="AU308" i="5" s="1"/>
  <c r="AT309" i="5"/>
  <c r="AS309" i="5"/>
  <c r="AT310" i="5"/>
  <c r="AS310" i="5"/>
  <c r="AY261" i="5"/>
  <c r="BA261" i="5" s="1"/>
  <c r="AY263" i="5"/>
  <c r="BA263" i="5" s="1"/>
  <c r="AP268" i="5"/>
  <c r="BF245" i="5"/>
  <c r="BG245" i="5" s="1"/>
  <c r="AY245" i="5"/>
  <c r="BA245" i="5" s="1"/>
  <c r="BF246" i="5"/>
  <c r="BG246" i="5" s="1"/>
  <c r="AY246" i="5"/>
  <c r="BA246" i="5" s="1"/>
  <c r="BD246" i="5"/>
  <c r="AY247" i="5"/>
  <c r="BA247" i="5" s="1"/>
  <c r="BD247" i="5"/>
  <c r="AY248" i="5"/>
  <c r="BA248" i="5" s="1"/>
  <c r="BD248" i="5"/>
  <c r="BF249" i="5"/>
  <c r="BG249" i="5" s="1"/>
  <c r="AY249" i="5"/>
  <c r="BA249" i="5" s="1"/>
  <c r="BD249" i="5"/>
  <c r="AY250" i="5"/>
  <c r="BA250" i="5" s="1"/>
  <c r="BD250" i="5"/>
  <c r="AY251" i="5"/>
  <c r="BA251" i="5" s="1"/>
  <c r="BD251" i="5"/>
  <c r="AY252" i="5"/>
  <c r="BA252" i="5" s="1"/>
  <c r="BD252" i="5"/>
  <c r="AY253" i="5"/>
  <c r="BA253" i="5" s="1"/>
  <c r="BD253" i="5"/>
  <c r="AY254" i="5"/>
  <c r="BA254" i="5" s="1"/>
  <c r="BD254" i="5"/>
  <c r="AY255" i="5"/>
  <c r="BA255" i="5" s="1"/>
  <c r="BD255" i="5"/>
  <c r="AY256" i="5"/>
  <c r="BA256" i="5" s="1"/>
  <c r="BD256" i="5"/>
  <c r="AY257" i="5"/>
  <c r="BA257" i="5" s="1"/>
  <c r="BD257" i="5"/>
  <c r="AY258" i="5"/>
  <c r="BA258" i="5" s="1"/>
  <c r="BD258" i="5"/>
  <c r="AY259" i="5"/>
  <c r="BA259" i="5" s="1"/>
  <c r="BD259" i="5"/>
  <c r="AY260" i="5"/>
  <c r="BA260" i="5" s="1"/>
  <c r="BD260" i="5"/>
  <c r="AY262" i="5"/>
  <c r="BA262" i="5" s="1"/>
  <c r="AP267" i="5"/>
  <c r="BD263" i="5"/>
  <c r="BF264" i="5"/>
  <c r="BG264" i="5" s="1"/>
  <c r="AP286" i="5"/>
  <c r="AP281" i="5"/>
  <c r="AP282" i="5"/>
  <c r="AP283" i="5"/>
  <c r="AP284" i="5"/>
  <c r="AP294" i="5"/>
  <c r="AP293" i="5"/>
  <c r="BF265" i="5"/>
  <c r="BG265" i="5" s="1"/>
  <c r="BC265" i="5"/>
  <c r="BD265" i="5" s="1"/>
  <c r="Y269" i="5"/>
  <c r="BC270" i="5"/>
  <c r="BD270" i="5" s="1"/>
  <c r="Y270" i="5"/>
  <c r="AY270" i="5" s="1"/>
  <c r="BA270" i="5" s="1"/>
  <c r="Y271" i="5"/>
  <c r="AY271" i="5" s="1"/>
  <c r="BA271" i="5" s="1"/>
  <c r="Y272" i="5"/>
  <c r="BC272" i="5" s="1"/>
  <c r="BD272" i="5" s="1"/>
  <c r="Y273" i="5"/>
  <c r="AY273" i="5" s="1"/>
  <c r="BA273" i="5" s="1"/>
  <c r="Y274" i="5"/>
  <c r="AY274" i="5" s="1"/>
  <c r="BA274" i="5" s="1"/>
  <c r="BF275" i="5"/>
  <c r="BG275" i="5" s="1"/>
  <c r="Y275" i="5"/>
  <c r="AY275" i="5" s="1"/>
  <c r="BA275" i="5" s="1"/>
  <c r="Y276" i="5"/>
  <c r="BC276" i="5" s="1"/>
  <c r="BD276" i="5" s="1"/>
  <c r="Y277" i="5"/>
  <c r="BC278" i="5"/>
  <c r="BD278" i="5" s="1"/>
  <c r="Y278" i="5"/>
  <c r="BF278" i="5" s="1"/>
  <c r="BG278" i="5" s="1"/>
  <c r="Y279" i="5"/>
  <c r="AY279" i="5" s="1"/>
  <c r="BA279" i="5" s="1"/>
  <c r="Y280" i="5"/>
  <c r="BC280" i="5" s="1"/>
  <c r="BD280" i="5" s="1"/>
  <c r="Y281" i="5"/>
  <c r="Y282" i="5"/>
  <c r="AY282" i="5" s="1"/>
  <c r="BA282" i="5" s="1"/>
  <c r="Y283" i="5"/>
  <c r="AY283" i="5" s="1"/>
  <c r="BA283" i="5" s="1"/>
  <c r="AZ284" i="5"/>
  <c r="AP288" i="5"/>
  <c r="BF290" i="5"/>
  <c r="BF266" i="5"/>
  <c r="BG266" i="5" s="1"/>
  <c r="Y266" i="5"/>
  <c r="AY266" i="5" s="1"/>
  <c r="BA266" i="5" s="1"/>
  <c r="AP270" i="5"/>
  <c r="BC266" i="5"/>
  <c r="BD266" i="5" s="1"/>
  <c r="AP289" i="5"/>
  <c r="AP290" i="5"/>
  <c r="BF293" i="5"/>
  <c r="BG293" i="5" s="1"/>
  <c r="BC295" i="5"/>
  <c r="BD295" i="5" s="1"/>
  <c r="Y267" i="5"/>
  <c r="BF267" i="5" s="1"/>
  <c r="BG267" i="5" s="1"/>
  <c r="AP271" i="5"/>
  <c r="AY267" i="5"/>
  <c r="BA267" i="5" s="1"/>
  <c r="BF286" i="5"/>
  <c r="BG286" i="5" s="1"/>
  <c r="BF288" i="5"/>
  <c r="BG288" i="5" s="1"/>
  <c r="Y284" i="5"/>
  <c r="AY284" i="5" s="1"/>
  <c r="AY286" i="5"/>
  <c r="BC287" i="5"/>
  <c r="BD287" i="5" s="1"/>
  <c r="AZ287" i="5"/>
  <c r="Y288" i="5"/>
  <c r="BC288" i="5" s="1"/>
  <c r="BD288" i="5" s="1"/>
  <c r="BG290" i="5"/>
  <c r="AY290" i="5"/>
  <c r="AZ291" i="5"/>
  <c r="BF291" i="5"/>
  <c r="BG291" i="5" s="1"/>
  <c r="AF293" i="5"/>
  <c r="AY293" i="5"/>
  <c r="AY285" i="5"/>
  <c r="BC286" i="5"/>
  <c r="BD286" i="5" s="1"/>
  <c r="AZ286" i="5"/>
  <c r="BF287" i="5"/>
  <c r="BG287" i="5" s="1"/>
  <c r="AY289" i="5"/>
  <c r="BC290" i="5"/>
  <c r="BD290" i="5" s="1"/>
  <c r="AZ290" i="5"/>
  <c r="AP297" i="5"/>
  <c r="BC285" i="5"/>
  <c r="BD285" i="5" s="1"/>
  <c r="AZ285" i="5"/>
  <c r="AY288" i="5"/>
  <c r="BC289" i="5"/>
  <c r="BD289" i="5" s="1"/>
  <c r="AZ289" i="5"/>
  <c r="AA293" i="5"/>
  <c r="AZ294" i="5"/>
  <c r="AE294" i="5"/>
  <c r="AF294" i="5"/>
  <c r="AZ296" i="5"/>
  <c r="Y296" i="5"/>
  <c r="BC296" i="5" s="1"/>
  <c r="BD296" i="5" s="1"/>
  <c r="BF285" i="5"/>
  <c r="BG285" i="5" s="1"/>
  <c r="AY287" i="5"/>
  <c r="AP291" i="5"/>
  <c r="AZ288" i="5"/>
  <c r="BF289" i="5"/>
  <c r="BG289" i="5" s="1"/>
  <c r="BD291" i="5"/>
  <c r="AY291" i="5"/>
  <c r="BA291" i="5" s="1"/>
  <c r="AY292" i="5"/>
  <c r="Y294" i="5"/>
  <c r="AY294" i="5" s="1"/>
  <c r="BG297" i="5"/>
  <c r="AY297" i="5"/>
  <c r="BA297" i="5" s="1"/>
  <c r="BC298" i="5"/>
  <c r="BD298" i="5" s="1"/>
  <c r="AZ292" i="5"/>
  <c r="BC292" i="5"/>
  <c r="BD292" i="5" s="1"/>
  <c r="AP299" i="5"/>
  <c r="BC297" i="5"/>
  <c r="BD297" i="5" s="1"/>
  <c r="AP302" i="5"/>
  <c r="BF299" i="5"/>
  <c r="BG299" i="5" s="1"/>
  <c r="BG301" i="5"/>
  <c r="BD301" i="5"/>
  <c r="AY301" i="5"/>
  <c r="BA301" i="5" s="1"/>
  <c r="AP306" i="5"/>
  <c r="BF303" i="5"/>
  <c r="BG303" i="5" s="1"/>
  <c r="BD305" i="5"/>
  <c r="AY305" i="5"/>
  <c r="BA305" i="5" s="1"/>
  <c r="AP310" i="5"/>
  <c r="BF307" i="5"/>
  <c r="BG307" i="5" s="1"/>
  <c r="BD309" i="5"/>
  <c r="AY309" i="5"/>
  <c r="BA309" i="5" s="1"/>
  <c r="AP296" i="5"/>
  <c r="AZ293" i="5"/>
  <c r="BC293" i="5"/>
  <c r="BD293" i="5" s="1"/>
  <c r="AP295" i="5"/>
  <c r="BF298" i="5"/>
  <c r="BG298" i="5" s="1"/>
  <c r="BD300" i="5"/>
  <c r="AY300" i="5"/>
  <c r="BA300" i="5" s="1"/>
  <c r="AP305" i="5"/>
  <c r="BF302" i="5"/>
  <c r="BG302" i="5" s="1"/>
  <c r="BA304" i="5"/>
  <c r="BD304" i="5"/>
  <c r="AY304" i="5"/>
  <c r="AP309" i="5"/>
  <c r="BF306" i="5"/>
  <c r="BG306" i="5" s="1"/>
  <c r="BD308" i="5"/>
  <c r="AY308" i="5"/>
  <c r="BA308" i="5" s="1"/>
  <c r="AY310" i="5"/>
  <c r="BD299" i="5"/>
  <c r="AY299" i="5"/>
  <c r="BA299" i="5" s="1"/>
  <c r="BF301" i="5"/>
  <c r="BD303" i="5"/>
  <c r="AY303" i="5"/>
  <c r="BA303" i="5" s="1"/>
  <c r="BF305" i="5"/>
  <c r="BG305" i="5" s="1"/>
  <c r="BD307" i="5"/>
  <c r="AY307" i="5"/>
  <c r="BA307" i="5" s="1"/>
  <c r="BF309" i="5"/>
  <c r="BG309" i="5" s="1"/>
  <c r="AZ295" i="5"/>
  <c r="BF295" i="5"/>
  <c r="BG295" i="5" s="1"/>
  <c r="AY295" i="5"/>
  <c r="AF297" i="5"/>
  <c r="AE297" i="5"/>
  <c r="AY298" i="5"/>
  <c r="BA298" i="5" s="1"/>
  <c r="AP303" i="5"/>
  <c r="BF300" i="5"/>
  <c r="BG300" i="5" s="1"/>
  <c r="BD302" i="5"/>
  <c r="AY302" i="5"/>
  <c r="BA302" i="5" s="1"/>
  <c r="AP307" i="5"/>
  <c r="BF304" i="5"/>
  <c r="BG304" i="5" s="1"/>
  <c r="BD306" i="5"/>
  <c r="AY306" i="5"/>
  <c r="BA306" i="5" s="1"/>
  <c r="BF308" i="5"/>
  <c r="BG308" i="5" s="1"/>
  <c r="AZ310" i="5"/>
  <c r="BC310" i="5"/>
  <c r="BD310" i="5" s="1"/>
  <c r="AP301" i="5"/>
  <c r="BF310" i="5"/>
  <c r="BG310" i="5" s="1"/>
  <c r="AX11" i="4"/>
  <c r="X310" i="4"/>
  <c r="Y310" i="4" s="1"/>
  <c r="W309" i="4"/>
  <c r="X308" i="4"/>
  <c r="W308" i="4"/>
  <c r="X307" i="4"/>
  <c r="W307" i="4"/>
  <c r="X306" i="4"/>
  <c r="Y306" i="4" s="1"/>
  <c r="W305" i="4"/>
  <c r="X304" i="4"/>
  <c r="W304" i="4"/>
  <c r="X303" i="4"/>
  <c r="Y303" i="4" s="1"/>
  <c r="W303" i="4"/>
  <c r="X302" i="4"/>
  <c r="Y302" i="4" s="1"/>
  <c r="W301" i="4"/>
  <c r="X300" i="4"/>
  <c r="W300" i="4"/>
  <c r="X299" i="4"/>
  <c r="W299" i="4"/>
  <c r="X298" i="4"/>
  <c r="Y298" i="4" s="1"/>
  <c r="W297" i="4"/>
  <c r="X296" i="4"/>
  <c r="W296" i="4"/>
  <c r="X295" i="4"/>
  <c r="Y295" i="4" s="1"/>
  <c r="W295" i="4"/>
  <c r="X294" i="4"/>
  <c r="Y294" i="4" s="1"/>
  <c r="W293" i="4"/>
  <c r="X292" i="4"/>
  <c r="W292" i="4"/>
  <c r="X291" i="4"/>
  <c r="Y291" i="4" s="1"/>
  <c r="W291" i="4"/>
  <c r="X290" i="4"/>
  <c r="Y290" i="4" s="1"/>
  <c r="W289" i="4"/>
  <c r="X288" i="4"/>
  <c r="W288" i="4"/>
  <c r="X287" i="4"/>
  <c r="Y287" i="4" s="1"/>
  <c r="W287" i="4"/>
  <c r="X286" i="4"/>
  <c r="Y286" i="4" s="1"/>
  <c r="W285" i="4"/>
  <c r="X284" i="4"/>
  <c r="W284" i="4"/>
  <c r="X283" i="4"/>
  <c r="Y283" i="4" s="1"/>
  <c r="W283" i="4"/>
  <c r="X282" i="4"/>
  <c r="Y282" i="4" s="1"/>
  <c r="W281" i="4"/>
  <c r="X280" i="4"/>
  <c r="W280" i="4"/>
  <c r="X279" i="4"/>
  <c r="Y279" i="4" s="1"/>
  <c r="W279" i="4"/>
  <c r="X278" i="4"/>
  <c r="Y278" i="4" s="1"/>
  <c r="W277" i="4"/>
  <c r="X276" i="4"/>
  <c r="W276" i="4"/>
  <c r="X275" i="4"/>
  <c r="Y275" i="4" s="1"/>
  <c r="W275" i="4"/>
  <c r="X274" i="4"/>
  <c r="Y274" i="4" s="1"/>
  <c r="W273" i="4"/>
  <c r="X272" i="4"/>
  <c r="W272" i="4"/>
  <c r="X271" i="4"/>
  <c r="Y271" i="4" s="1"/>
  <c r="W271" i="4"/>
  <c r="X270" i="4"/>
  <c r="Y270" i="4" s="1"/>
  <c r="W269" i="4"/>
  <c r="X268" i="4"/>
  <c r="W268" i="4"/>
  <c r="X267" i="4"/>
  <c r="W267" i="4"/>
  <c r="X266" i="4"/>
  <c r="Y266" i="4" s="1"/>
  <c r="W265" i="4"/>
  <c r="X264" i="4"/>
  <c r="W264" i="4"/>
  <c r="X263" i="4"/>
  <c r="W263" i="4"/>
  <c r="X262" i="4"/>
  <c r="Y262" i="4" s="1"/>
  <c r="W261" i="4"/>
  <c r="X260" i="4"/>
  <c r="W260" i="4"/>
  <c r="X259" i="4"/>
  <c r="W259" i="4"/>
  <c r="X258" i="4"/>
  <c r="Y258" i="4" s="1"/>
  <c r="W257" i="4"/>
  <c r="X256" i="4"/>
  <c r="W256" i="4"/>
  <c r="X255" i="4"/>
  <c r="W255" i="4"/>
  <c r="X254" i="4"/>
  <c r="Y254" i="4" s="1"/>
  <c r="W253" i="4"/>
  <c r="X252" i="4"/>
  <c r="W252" i="4"/>
  <c r="X251" i="4"/>
  <c r="W251" i="4"/>
  <c r="X250" i="4"/>
  <c r="Y250" i="4" s="1"/>
  <c r="W249" i="4"/>
  <c r="X248" i="4"/>
  <c r="W248" i="4"/>
  <c r="X247" i="4"/>
  <c r="W247" i="4"/>
  <c r="X246" i="4"/>
  <c r="Y246" i="4" s="1"/>
  <c r="W245" i="4"/>
  <c r="X244" i="4"/>
  <c r="W244" i="4"/>
  <c r="X243" i="4"/>
  <c r="W243" i="4"/>
  <c r="X242" i="4"/>
  <c r="Y242" i="4" s="1"/>
  <c r="W241" i="4"/>
  <c r="X240" i="4"/>
  <c r="W240" i="4"/>
  <c r="X239" i="4"/>
  <c r="W239" i="4"/>
  <c r="X238" i="4"/>
  <c r="Y238" i="4" s="1"/>
  <c r="W237" i="4"/>
  <c r="X236" i="4"/>
  <c r="W236" i="4"/>
  <c r="X235" i="4"/>
  <c r="W235" i="4"/>
  <c r="X234" i="4"/>
  <c r="Y234" i="4" s="1"/>
  <c r="W233" i="4"/>
  <c r="X232" i="4"/>
  <c r="W232" i="4"/>
  <c r="X231" i="4"/>
  <c r="W231" i="4"/>
  <c r="X230" i="4"/>
  <c r="Y230" i="4" s="1"/>
  <c r="W229" i="4"/>
  <c r="X228" i="4"/>
  <c r="W228" i="4"/>
  <c r="X227" i="4"/>
  <c r="W227" i="4"/>
  <c r="W225" i="4"/>
  <c r="X224" i="4"/>
  <c r="W224" i="4"/>
  <c r="X223" i="4"/>
  <c r="W223" i="4"/>
  <c r="W221" i="4"/>
  <c r="X220" i="4"/>
  <c r="W220" i="4"/>
  <c r="X219" i="4"/>
  <c r="W219" i="4"/>
  <c r="X216" i="4"/>
  <c r="W216" i="4"/>
  <c r="X215" i="4"/>
  <c r="W215" i="4"/>
  <c r="X214" i="4"/>
  <c r="Y214" i="4" s="1"/>
  <c r="X212" i="4"/>
  <c r="W212" i="4"/>
  <c r="X211" i="4"/>
  <c r="W211" i="4"/>
  <c r="X210" i="4"/>
  <c r="X208" i="4"/>
  <c r="W208" i="4"/>
  <c r="X207" i="4"/>
  <c r="W207" i="4"/>
  <c r="X206" i="4"/>
  <c r="X204" i="4"/>
  <c r="W204" i="4"/>
  <c r="X203" i="4"/>
  <c r="W203" i="4"/>
  <c r="X202" i="4"/>
  <c r="X200" i="4"/>
  <c r="Y200" i="4" s="1"/>
  <c r="W200" i="4"/>
  <c r="X199" i="4"/>
  <c r="W199" i="4"/>
  <c r="X198" i="4"/>
  <c r="X196" i="4"/>
  <c r="W196" i="4"/>
  <c r="X195" i="4"/>
  <c r="W195" i="4"/>
  <c r="X194" i="4"/>
  <c r="X192" i="4"/>
  <c r="W192" i="4"/>
  <c r="X191" i="4"/>
  <c r="W191" i="4"/>
  <c r="X190" i="4"/>
  <c r="X188" i="4"/>
  <c r="W188" i="4"/>
  <c r="X187" i="4"/>
  <c r="W187" i="4"/>
  <c r="X186" i="4"/>
  <c r="X184" i="4"/>
  <c r="W184" i="4"/>
  <c r="X183" i="4"/>
  <c r="W183" i="4"/>
  <c r="X182" i="4"/>
  <c r="X180" i="4"/>
  <c r="W180" i="4"/>
  <c r="X179" i="4"/>
  <c r="W179" i="4"/>
  <c r="X178" i="4"/>
  <c r="X176" i="4"/>
  <c r="W176" i="4"/>
  <c r="X175" i="4"/>
  <c r="W175" i="4"/>
  <c r="X174" i="4"/>
  <c r="X172" i="4"/>
  <c r="W172" i="4"/>
  <c r="X171" i="4"/>
  <c r="W171" i="4"/>
  <c r="W170" i="4"/>
  <c r="X170" i="4"/>
  <c r="X169" i="4"/>
  <c r="X168" i="4"/>
  <c r="W168" i="4"/>
  <c r="X167" i="4"/>
  <c r="W167" i="4"/>
  <c r="X166" i="4"/>
  <c r="W166" i="4"/>
  <c r="W165" i="4"/>
  <c r="X165" i="4"/>
  <c r="W164" i="4"/>
  <c r="X163" i="4"/>
  <c r="W163" i="4"/>
  <c r="X162" i="4"/>
  <c r="X161" i="4"/>
  <c r="W160" i="4"/>
  <c r="X159" i="4"/>
  <c r="W159" i="4"/>
  <c r="X158" i="4"/>
  <c r="W158" i="4"/>
  <c r="X157" i="4"/>
  <c r="W156" i="4"/>
  <c r="X155" i="4"/>
  <c r="W155" i="4"/>
  <c r="X154" i="4"/>
  <c r="X153" i="4"/>
  <c r="W152" i="4"/>
  <c r="X151" i="4"/>
  <c r="W151" i="4"/>
  <c r="X150" i="4"/>
  <c r="W150" i="4"/>
  <c r="X149" i="4"/>
  <c r="W148" i="4"/>
  <c r="X147" i="4"/>
  <c r="W147" i="4"/>
  <c r="X146" i="4"/>
  <c r="X145" i="4"/>
  <c r="W144" i="4"/>
  <c r="X143" i="4"/>
  <c r="W143" i="4"/>
  <c r="X142" i="4"/>
  <c r="W142" i="4"/>
  <c r="X141" i="4"/>
  <c r="W140" i="4"/>
  <c r="X139" i="4"/>
  <c r="W139" i="4"/>
  <c r="X138" i="4"/>
  <c r="W138" i="4"/>
  <c r="X137" i="4"/>
  <c r="W136" i="4"/>
  <c r="X135" i="4"/>
  <c r="W135" i="4"/>
  <c r="BA135" i="4" s="1"/>
  <c r="X134" i="4"/>
  <c r="W134" i="4"/>
  <c r="BG134" i="4" s="1"/>
  <c r="X133" i="4"/>
  <c r="W132" i="4"/>
  <c r="BA132" i="4" s="1"/>
  <c r="X131" i="4"/>
  <c r="W131" i="4"/>
  <c r="BG131" i="4" s="1"/>
  <c r="X130" i="4"/>
  <c r="W130" i="4"/>
  <c r="BG130" i="4" s="1"/>
  <c r="X129" i="4"/>
  <c r="W128" i="4"/>
  <c r="BG128" i="4" s="1"/>
  <c r="X127" i="4"/>
  <c r="W127" i="4"/>
  <c r="BA127" i="4" s="1"/>
  <c r="X126" i="4"/>
  <c r="W126" i="4"/>
  <c r="BG126" i="4" s="1"/>
  <c r="X125" i="4"/>
  <c r="W124" i="4"/>
  <c r="BA124" i="4" s="1"/>
  <c r="X123" i="4"/>
  <c r="W123" i="4"/>
  <c r="BG123" i="4" s="1"/>
  <c r="X122" i="4"/>
  <c r="W122" i="4"/>
  <c r="BG122" i="4" s="1"/>
  <c r="X121" i="4"/>
  <c r="W120" i="4"/>
  <c r="BG120" i="4" s="1"/>
  <c r="X119" i="4"/>
  <c r="W119" i="4"/>
  <c r="BA119" i="4" s="1"/>
  <c r="X118" i="4"/>
  <c r="W118" i="4"/>
  <c r="BG118" i="4" s="1"/>
  <c r="X117" i="4"/>
  <c r="W116" i="4"/>
  <c r="BA116" i="4" s="1"/>
  <c r="X115" i="4"/>
  <c r="W115" i="4"/>
  <c r="BG115" i="4" s="1"/>
  <c r="X114" i="4"/>
  <c r="W114" i="4"/>
  <c r="BG114" i="4" s="1"/>
  <c r="X113" i="4"/>
  <c r="W112" i="4"/>
  <c r="BG112" i="4" s="1"/>
  <c r="X111" i="4"/>
  <c r="W111" i="4"/>
  <c r="BA111" i="4" s="1"/>
  <c r="X110" i="4"/>
  <c r="W110" i="4"/>
  <c r="BG110" i="4" s="1"/>
  <c r="X109" i="4"/>
  <c r="W108" i="4"/>
  <c r="BA108" i="4" s="1"/>
  <c r="X107" i="4"/>
  <c r="W107" i="4"/>
  <c r="BG107" i="4" s="1"/>
  <c r="X106" i="4"/>
  <c r="W106" i="4"/>
  <c r="BG106" i="4" s="1"/>
  <c r="X105" i="4"/>
  <c r="W104" i="4"/>
  <c r="BG104" i="4" s="1"/>
  <c r="X103" i="4"/>
  <c r="W103" i="4"/>
  <c r="BA103" i="4" s="1"/>
  <c r="X102" i="4"/>
  <c r="W102" i="4"/>
  <c r="BG102" i="4" s="1"/>
  <c r="X101" i="4"/>
  <c r="W100" i="4"/>
  <c r="BA100" i="4" s="1"/>
  <c r="X99" i="4"/>
  <c r="W99" i="4"/>
  <c r="BG99" i="4" s="1"/>
  <c r="X98" i="4"/>
  <c r="W98" i="4"/>
  <c r="BG98" i="4" s="1"/>
  <c r="X97" i="4"/>
  <c r="W96" i="4"/>
  <c r="BG96" i="4" s="1"/>
  <c r="X95" i="4"/>
  <c r="W95" i="4"/>
  <c r="BA95" i="4" s="1"/>
  <c r="X94" i="4"/>
  <c r="W94" i="4"/>
  <c r="BG94" i="4" s="1"/>
  <c r="X93" i="4"/>
  <c r="W92" i="4"/>
  <c r="BA92" i="4" s="1"/>
  <c r="X91" i="4"/>
  <c r="W91" i="4"/>
  <c r="BG91" i="4" s="1"/>
  <c r="X90" i="4"/>
  <c r="W90" i="4"/>
  <c r="BG90" i="4" s="1"/>
  <c r="X89" i="4"/>
  <c r="W88" i="4"/>
  <c r="BG88" i="4" s="1"/>
  <c r="X87" i="4"/>
  <c r="W87" i="4"/>
  <c r="BA87" i="4" s="1"/>
  <c r="X86" i="4"/>
  <c r="W86" i="4"/>
  <c r="BG86" i="4" s="1"/>
  <c r="X85" i="4"/>
  <c r="W84" i="4"/>
  <c r="BA84" i="4" s="1"/>
  <c r="X83" i="4"/>
  <c r="W83" i="4"/>
  <c r="BG83" i="4" s="1"/>
  <c r="X82" i="4"/>
  <c r="W82" i="4"/>
  <c r="BG82" i="4" s="1"/>
  <c r="X81" i="4"/>
  <c r="W80" i="4"/>
  <c r="BG80" i="4" s="1"/>
  <c r="X79" i="4"/>
  <c r="W79" i="4"/>
  <c r="BA79" i="4" s="1"/>
  <c r="X78" i="4"/>
  <c r="W78" i="4"/>
  <c r="BG78" i="4" s="1"/>
  <c r="X77" i="4"/>
  <c r="W76" i="4"/>
  <c r="BA76" i="4" s="1"/>
  <c r="X75" i="4"/>
  <c r="W75" i="4"/>
  <c r="BG75" i="4" s="1"/>
  <c r="X74" i="4"/>
  <c r="W74" i="4"/>
  <c r="BG74" i="4" s="1"/>
  <c r="X73" i="4"/>
  <c r="W72" i="4"/>
  <c r="BG72" i="4" s="1"/>
  <c r="X71" i="4"/>
  <c r="W71" i="4"/>
  <c r="BA71" i="4" s="1"/>
  <c r="X70" i="4"/>
  <c r="W70" i="4"/>
  <c r="BG70" i="4" s="1"/>
  <c r="X69" i="4"/>
  <c r="W68" i="4"/>
  <c r="BA68" i="4" s="1"/>
  <c r="X67" i="4"/>
  <c r="W67" i="4"/>
  <c r="BG67" i="4" s="1"/>
  <c r="X66" i="4"/>
  <c r="W66" i="4"/>
  <c r="BG66" i="4" s="1"/>
  <c r="X65" i="4"/>
  <c r="W64" i="4"/>
  <c r="BG64" i="4" s="1"/>
  <c r="X63" i="4"/>
  <c r="W63" i="4"/>
  <c r="BA63" i="4" s="1"/>
  <c r="X62" i="4"/>
  <c r="W62" i="4"/>
  <c r="BG62" i="4" s="1"/>
  <c r="X61" i="4"/>
  <c r="W60" i="4"/>
  <c r="BA60" i="4" s="1"/>
  <c r="X59" i="4"/>
  <c r="W59" i="4"/>
  <c r="BG59" i="4" s="1"/>
  <c r="X58" i="4"/>
  <c r="W58" i="4"/>
  <c r="BG58" i="4" s="1"/>
  <c r="X57" i="4"/>
  <c r="W56" i="4"/>
  <c r="BG56" i="4" s="1"/>
  <c r="X55" i="4"/>
  <c r="W55" i="4"/>
  <c r="BA55" i="4" s="1"/>
  <c r="X54" i="4"/>
  <c r="W54" i="4"/>
  <c r="BG54" i="4" s="1"/>
  <c r="X53" i="4"/>
  <c r="W52" i="4"/>
  <c r="BA52" i="4" s="1"/>
  <c r="X51" i="4"/>
  <c r="W51" i="4"/>
  <c r="BG51" i="4" s="1"/>
  <c r="X50" i="4"/>
  <c r="W50" i="4"/>
  <c r="BG50" i="4" s="1"/>
  <c r="X49" i="4"/>
  <c r="W48" i="4"/>
  <c r="BG48" i="4" s="1"/>
  <c r="X47" i="4"/>
  <c r="W47" i="4"/>
  <c r="BA47" i="4" s="1"/>
  <c r="X46" i="4"/>
  <c r="W46" i="4"/>
  <c r="BG46" i="4" s="1"/>
  <c r="X45" i="4"/>
  <c r="W44" i="4"/>
  <c r="BA44" i="4" s="1"/>
  <c r="X43" i="4"/>
  <c r="W43" i="4"/>
  <c r="BG43" i="4" s="1"/>
  <c r="X42" i="4"/>
  <c r="W42" i="4"/>
  <c r="BG42" i="4" s="1"/>
  <c r="X41" i="4"/>
  <c r="W40" i="4"/>
  <c r="BG40" i="4" s="1"/>
  <c r="X39" i="4"/>
  <c r="W39" i="4"/>
  <c r="BA39" i="4" s="1"/>
  <c r="X38" i="4"/>
  <c r="W38" i="4"/>
  <c r="BG38" i="4" s="1"/>
  <c r="X37" i="4"/>
  <c r="W36" i="4"/>
  <c r="BA36" i="4" s="1"/>
  <c r="X35" i="4"/>
  <c r="W35" i="4"/>
  <c r="BG35" i="4" s="1"/>
  <c r="X34" i="4"/>
  <c r="W34" i="4"/>
  <c r="BG34" i="4" s="1"/>
  <c r="X33" i="4"/>
  <c r="W32" i="4"/>
  <c r="BG32" i="4" s="1"/>
  <c r="X31" i="4"/>
  <c r="W31" i="4"/>
  <c r="BA31" i="4" s="1"/>
  <c r="X30" i="4"/>
  <c r="W30" i="4"/>
  <c r="BG30" i="4" s="1"/>
  <c r="X29" i="4"/>
  <c r="W28" i="4"/>
  <c r="BG28" i="4" s="1"/>
  <c r="X27" i="4"/>
  <c r="W27" i="4"/>
  <c r="BG27" i="4" s="1"/>
  <c r="X26" i="4"/>
  <c r="W26" i="4"/>
  <c r="BG26" i="4" s="1"/>
  <c r="X25" i="4"/>
  <c r="W24" i="4"/>
  <c r="BG24" i="4" s="1"/>
  <c r="X23" i="4"/>
  <c r="W23" i="4"/>
  <c r="BG23" i="4" s="1"/>
  <c r="X22" i="4"/>
  <c r="W22" i="4"/>
  <c r="BG22" i="4" s="1"/>
  <c r="X21" i="4"/>
  <c r="W20" i="4"/>
  <c r="BG20" i="4" s="1"/>
  <c r="X19" i="4"/>
  <c r="W19" i="4"/>
  <c r="BG19" i="4" s="1"/>
  <c r="X18" i="4"/>
  <c r="W18" i="4"/>
  <c r="BG18" i="4" s="1"/>
  <c r="X17" i="4"/>
  <c r="W16" i="4"/>
  <c r="BG16" i="4" s="1"/>
  <c r="X15" i="4"/>
  <c r="W15" i="4"/>
  <c r="BG15" i="4" s="1"/>
  <c r="X14" i="4"/>
  <c r="W14" i="4"/>
  <c r="BG14" i="4" s="1"/>
  <c r="X13" i="4"/>
  <c r="W12" i="4"/>
  <c r="BG12" i="4" s="1"/>
  <c r="X11" i="4"/>
  <c r="AZ11" i="4" s="1"/>
  <c r="W11" i="4"/>
  <c r="BG11" i="4" s="1"/>
  <c r="BE310" i="4"/>
  <c r="BB310" i="4"/>
  <c r="AX310" i="4"/>
  <c r="AQ310" i="4"/>
  <c r="AR310" i="4" s="1"/>
  <c r="AN310" i="4"/>
  <c r="AO310" i="4" s="1"/>
  <c r="AM310" i="4"/>
  <c r="AD310" i="4"/>
  <c r="Z310" i="4"/>
  <c r="AA310" i="4" s="1"/>
  <c r="BE309" i="4"/>
  <c r="BB309" i="4"/>
  <c r="AX309" i="4"/>
  <c r="AQ309" i="4"/>
  <c r="AR309" i="4" s="1"/>
  <c r="AN309" i="4"/>
  <c r="AO309" i="4" s="1"/>
  <c r="AM309" i="4"/>
  <c r="AD309" i="4"/>
  <c r="AF309" i="4" s="1"/>
  <c r="Z309" i="4"/>
  <c r="AA309" i="4" s="1"/>
  <c r="BE308" i="4"/>
  <c r="BB308" i="4"/>
  <c r="AX308" i="4"/>
  <c r="AQ308" i="4"/>
  <c r="AR308" i="4" s="1"/>
  <c r="AN308" i="4"/>
  <c r="AO308" i="4" s="1"/>
  <c r="AM308" i="4"/>
  <c r="AD308" i="4"/>
  <c r="AF308" i="4" s="1"/>
  <c r="Z308" i="4"/>
  <c r="AA308" i="4" s="1"/>
  <c r="BE307" i="4"/>
  <c r="BB307" i="4"/>
  <c r="AX307" i="4"/>
  <c r="AQ307" i="4"/>
  <c r="AR307" i="4" s="1"/>
  <c r="AN307" i="4"/>
  <c r="AO307" i="4" s="1"/>
  <c r="AM307" i="4"/>
  <c r="AD307" i="4"/>
  <c r="AF307" i="4" s="1"/>
  <c r="Z307" i="4"/>
  <c r="AA307" i="4" s="1"/>
  <c r="BE306" i="4"/>
  <c r="BB306" i="4"/>
  <c r="AX306" i="4"/>
  <c r="AQ306" i="4"/>
  <c r="AR306" i="4" s="1"/>
  <c r="AN306" i="4"/>
  <c r="AO306" i="4" s="1"/>
  <c r="AM306" i="4"/>
  <c r="AD306" i="4"/>
  <c r="AF306" i="4" s="1"/>
  <c r="Z306" i="4"/>
  <c r="AA306" i="4" s="1"/>
  <c r="BE305" i="4"/>
  <c r="BB305" i="4"/>
  <c r="AX305" i="4"/>
  <c r="AQ305" i="4"/>
  <c r="AR305" i="4" s="1"/>
  <c r="AN305" i="4"/>
  <c r="AO305" i="4" s="1"/>
  <c r="AM305" i="4"/>
  <c r="AD305" i="4"/>
  <c r="AF305" i="4" s="1"/>
  <c r="Z305" i="4"/>
  <c r="AA305" i="4" s="1"/>
  <c r="BE304" i="4"/>
  <c r="BB304" i="4"/>
  <c r="AX304" i="4"/>
  <c r="AQ304" i="4"/>
  <c r="AR304" i="4" s="1"/>
  <c r="AN304" i="4"/>
  <c r="AO304" i="4" s="1"/>
  <c r="AM304" i="4"/>
  <c r="AD304" i="4"/>
  <c r="AF304" i="4" s="1"/>
  <c r="Z304" i="4"/>
  <c r="BE303" i="4"/>
  <c r="BB303" i="4"/>
  <c r="AX303" i="4"/>
  <c r="AQ303" i="4"/>
  <c r="AR303" i="4" s="1"/>
  <c r="AN303" i="4"/>
  <c r="AO303" i="4" s="1"/>
  <c r="AM303" i="4"/>
  <c r="AD303" i="4"/>
  <c r="AF303" i="4" s="1"/>
  <c r="Z303" i="4"/>
  <c r="AA303" i="4" s="1"/>
  <c r="BE302" i="4"/>
  <c r="BB302" i="4"/>
  <c r="AX302" i="4"/>
  <c r="AQ302" i="4"/>
  <c r="AR302" i="4" s="1"/>
  <c r="AN302" i="4"/>
  <c r="AO302" i="4" s="1"/>
  <c r="AM302" i="4"/>
  <c r="AD302" i="4"/>
  <c r="AF302" i="4" s="1"/>
  <c r="Z302" i="4"/>
  <c r="AA302" i="4" s="1"/>
  <c r="BE301" i="4"/>
  <c r="BB301" i="4"/>
  <c r="AX301" i="4"/>
  <c r="AQ301" i="4"/>
  <c r="AR301" i="4" s="1"/>
  <c r="AN301" i="4"/>
  <c r="AO301" i="4" s="1"/>
  <c r="AM301" i="4"/>
  <c r="AD301" i="4"/>
  <c r="AF301" i="4" s="1"/>
  <c r="Z301" i="4"/>
  <c r="AA301" i="4" s="1"/>
  <c r="BE300" i="4"/>
  <c r="BB300" i="4"/>
  <c r="AX300" i="4"/>
  <c r="AQ300" i="4"/>
  <c r="AR300" i="4" s="1"/>
  <c r="AN300" i="4"/>
  <c r="AO300" i="4" s="1"/>
  <c r="AM300" i="4"/>
  <c r="AD300" i="4"/>
  <c r="AF300" i="4" s="1"/>
  <c r="Z300" i="4"/>
  <c r="AA300" i="4" s="1"/>
  <c r="BE299" i="4"/>
  <c r="BB299" i="4"/>
  <c r="AX299" i="4"/>
  <c r="AQ299" i="4"/>
  <c r="AR299" i="4" s="1"/>
  <c r="AN299" i="4"/>
  <c r="AO299" i="4" s="1"/>
  <c r="AM299" i="4"/>
  <c r="AD299" i="4"/>
  <c r="AF299" i="4" s="1"/>
  <c r="Z299" i="4"/>
  <c r="AA299" i="4" s="1"/>
  <c r="BE298" i="4"/>
  <c r="BB298" i="4"/>
  <c r="AX298" i="4"/>
  <c r="AQ298" i="4"/>
  <c r="AR298" i="4" s="1"/>
  <c r="AN298" i="4"/>
  <c r="AO298" i="4" s="1"/>
  <c r="AM298" i="4"/>
  <c r="AD298" i="4"/>
  <c r="AF298" i="4" s="1"/>
  <c r="Z298" i="4"/>
  <c r="AA298" i="4" s="1"/>
  <c r="BE297" i="4"/>
  <c r="BB297" i="4"/>
  <c r="AX297" i="4"/>
  <c r="AQ297" i="4"/>
  <c r="AR297" i="4" s="1"/>
  <c r="AN297" i="4"/>
  <c r="AO297" i="4" s="1"/>
  <c r="AM297" i="4"/>
  <c r="AD297" i="4"/>
  <c r="Z297" i="4"/>
  <c r="AA297" i="4" s="1"/>
  <c r="BE296" i="4"/>
  <c r="BB296" i="4"/>
  <c r="AX296" i="4"/>
  <c r="AQ296" i="4"/>
  <c r="AR296" i="4" s="1"/>
  <c r="AN296" i="4"/>
  <c r="AO296" i="4" s="1"/>
  <c r="AM296" i="4"/>
  <c r="AD296" i="4"/>
  <c r="AF296" i="4" s="1"/>
  <c r="Z296" i="4"/>
  <c r="AA296" i="4" s="1"/>
  <c r="BE295" i="4"/>
  <c r="BB295" i="4"/>
  <c r="AX295" i="4"/>
  <c r="AQ295" i="4"/>
  <c r="AR295" i="4" s="1"/>
  <c r="AN295" i="4"/>
  <c r="AO295" i="4" s="1"/>
  <c r="AM295" i="4"/>
  <c r="AD295" i="4"/>
  <c r="AF295" i="4" s="1"/>
  <c r="Z295" i="4"/>
  <c r="AA295" i="4" s="1"/>
  <c r="BE294" i="4"/>
  <c r="BB294" i="4"/>
  <c r="AX294" i="4"/>
  <c r="AQ294" i="4"/>
  <c r="AR294" i="4" s="1"/>
  <c r="AN294" i="4"/>
  <c r="AO294" i="4" s="1"/>
  <c r="AM294" i="4"/>
  <c r="AD294" i="4"/>
  <c r="AF294" i="4" s="1"/>
  <c r="Z294" i="4"/>
  <c r="BE293" i="4"/>
  <c r="BB293" i="4"/>
  <c r="AX293" i="4"/>
  <c r="AQ293" i="4"/>
  <c r="AR293" i="4" s="1"/>
  <c r="AN293" i="4"/>
  <c r="AO293" i="4" s="1"/>
  <c r="AM293" i="4"/>
  <c r="AD293" i="4"/>
  <c r="AF293" i="4" s="1"/>
  <c r="Z293" i="4"/>
  <c r="AA293" i="4" s="1"/>
  <c r="BE292" i="4"/>
  <c r="BB292" i="4"/>
  <c r="AX292" i="4"/>
  <c r="AQ292" i="4"/>
  <c r="AR292" i="4" s="1"/>
  <c r="AN292" i="4"/>
  <c r="AO292" i="4" s="1"/>
  <c r="AM292" i="4"/>
  <c r="AD292" i="4"/>
  <c r="Z292" i="4"/>
  <c r="AA292" i="4" s="1"/>
  <c r="BE291" i="4"/>
  <c r="BB291" i="4"/>
  <c r="AX291" i="4"/>
  <c r="AQ291" i="4"/>
  <c r="AR291" i="4" s="1"/>
  <c r="AN291" i="4"/>
  <c r="AO291" i="4" s="1"/>
  <c r="AM291" i="4"/>
  <c r="AD291" i="4"/>
  <c r="Z291" i="4"/>
  <c r="AA291" i="4" s="1"/>
  <c r="BE290" i="4"/>
  <c r="BB290" i="4"/>
  <c r="AX290" i="4"/>
  <c r="AQ290" i="4"/>
  <c r="AR290" i="4" s="1"/>
  <c r="AN290" i="4"/>
  <c r="AO290" i="4" s="1"/>
  <c r="AM290" i="4"/>
  <c r="AD290" i="4"/>
  <c r="AF290" i="4" s="1"/>
  <c r="Z290" i="4"/>
  <c r="BE289" i="4"/>
  <c r="BB289" i="4"/>
  <c r="AX289" i="4"/>
  <c r="AQ289" i="4"/>
  <c r="AR289" i="4" s="1"/>
  <c r="AN289" i="4"/>
  <c r="AO289" i="4" s="1"/>
  <c r="AM289" i="4"/>
  <c r="AD289" i="4"/>
  <c r="AF289" i="4" s="1"/>
  <c r="Z289" i="4"/>
  <c r="AA289" i="4" s="1"/>
  <c r="BE288" i="4"/>
  <c r="BB288" i="4"/>
  <c r="AX288" i="4"/>
  <c r="AQ288" i="4"/>
  <c r="AR288" i="4" s="1"/>
  <c r="AN288" i="4"/>
  <c r="AO288" i="4" s="1"/>
  <c r="AM288" i="4"/>
  <c r="AD288" i="4"/>
  <c r="Z288" i="4"/>
  <c r="AA288" i="4" s="1"/>
  <c r="BE287" i="4"/>
  <c r="BB287" i="4"/>
  <c r="AX287" i="4"/>
  <c r="AQ287" i="4"/>
  <c r="AR287" i="4" s="1"/>
  <c r="AN287" i="4"/>
  <c r="AO287" i="4" s="1"/>
  <c r="AM287" i="4"/>
  <c r="AD287" i="4"/>
  <c r="Z287" i="4"/>
  <c r="AA287" i="4" s="1"/>
  <c r="BE286" i="4"/>
  <c r="BB286" i="4"/>
  <c r="AX286" i="4"/>
  <c r="AQ286" i="4"/>
  <c r="AR286" i="4" s="1"/>
  <c r="AN286" i="4"/>
  <c r="AO286" i="4" s="1"/>
  <c r="AM286" i="4"/>
  <c r="AD286" i="4"/>
  <c r="Z286" i="4"/>
  <c r="AA286" i="4" s="1"/>
  <c r="BE285" i="4"/>
  <c r="BB285" i="4"/>
  <c r="AX285" i="4"/>
  <c r="AQ285" i="4"/>
  <c r="AR285" i="4" s="1"/>
  <c r="AN285" i="4"/>
  <c r="AO285" i="4" s="1"/>
  <c r="AM285" i="4"/>
  <c r="AD285" i="4"/>
  <c r="AF285" i="4" s="1"/>
  <c r="Z285" i="4"/>
  <c r="AA285" i="4" s="1"/>
  <c r="BE284" i="4"/>
  <c r="BB284" i="4"/>
  <c r="AX284" i="4"/>
  <c r="AQ284" i="4"/>
  <c r="AR284" i="4" s="1"/>
  <c r="AN284" i="4"/>
  <c r="AO284" i="4" s="1"/>
  <c r="AM284" i="4"/>
  <c r="AD284" i="4"/>
  <c r="AF284" i="4" s="1"/>
  <c r="Z284" i="4"/>
  <c r="AA284" i="4" s="1"/>
  <c r="BE283" i="4"/>
  <c r="BB283" i="4"/>
  <c r="AX283" i="4"/>
  <c r="AQ283" i="4"/>
  <c r="AR283" i="4" s="1"/>
  <c r="AN283" i="4"/>
  <c r="AO283" i="4" s="1"/>
  <c r="AM283" i="4"/>
  <c r="AD283" i="4"/>
  <c r="AF283" i="4" s="1"/>
  <c r="Z283" i="4"/>
  <c r="AA283" i="4" s="1"/>
  <c r="BE282" i="4"/>
  <c r="BB282" i="4"/>
  <c r="AX282" i="4"/>
  <c r="AQ282" i="4"/>
  <c r="AR282" i="4" s="1"/>
  <c r="AN282" i="4"/>
  <c r="AO282" i="4" s="1"/>
  <c r="AM282" i="4"/>
  <c r="AD282" i="4"/>
  <c r="AF282" i="4" s="1"/>
  <c r="Z282" i="4"/>
  <c r="AA282" i="4" s="1"/>
  <c r="BE281" i="4"/>
  <c r="BB281" i="4"/>
  <c r="AX281" i="4"/>
  <c r="AQ281" i="4"/>
  <c r="AR281" i="4" s="1"/>
  <c r="AN281" i="4"/>
  <c r="AO281" i="4" s="1"/>
  <c r="AM281" i="4"/>
  <c r="AD281" i="4"/>
  <c r="AF281" i="4" s="1"/>
  <c r="Z281" i="4"/>
  <c r="AA281" i="4" s="1"/>
  <c r="BE280" i="4"/>
  <c r="BB280" i="4"/>
  <c r="AX280" i="4"/>
  <c r="AQ280" i="4"/>
  <c r="AR280" i="4" s="1"/>
  <c r="AN280" i="4"/>
  <c r="AO280" i="4" s="1"/>
  <c r="AM280" i="4"/>
  <c r="AD280" i="4"/>
  <c r="AF280" i="4" s="1"/>
  <c r="Z280" i="4"/>
  <c r="BE279" i="4"/>
  <c r="BB279" i="4"/>
  <c r="AX279" i="4"/>
  <c r="AQ279" i="4"/>
  <c r="AR279" i="4" s="1"/>
  <c r="AN279" i="4"/>
  <c r="AO279" i="4" s="1"/>
  <c r="AM279" i="4"/>
  <c r="AD279" i="4"/>
  <c r="AF279" i="4" s="1"/>
  <c r="Z279" i="4"/>
  <c r="AA279" i="4" s="1"/>
  <c r="BE278" i="4"/>
  <c r="BB278" i="4"/>
  <c r="AX278" i="4"/>
  <c r="AQ278" i="4"/>
  <c r="AR278" i="4" s="1"/>
  <c r="AN278" i="4"/>
  <c r="AO278" i="4" s="1"/>
  <c r="AM278" i="4"/>
  <c r="AD278" i="4"/>
  <c r="AF278" i="4" s="1"/>
  <c r="Z278" i="4"/>
  <c r="AA278" i="4" s="1"/>
  <c r="BE277" i="4"/>
  <c r="BB277" i="4"/>
  <c r="AX277" i="4"/>
  <c r="AQ277" i="4"/>
  <c r="AR277" i="4" s="1"/>
  <c r="AN277" i="4"/>
  <c r="AO277" i="4" s="1"/>
  <c r="AM277" i="4"/>
  <c r="AD277" i="4"/>
  <c r="AF277" i="4" s="1"/>
  <c r="Z277" i="4"/>
  <c r="AA277" i="4" s="1"/>
  <c r="BE276" i="4"/>
  <c r="BB276" i="4"/>
  <c r="AX276" i="4"/>
  <c r="AQ276" i="4"/>
  <c r="AR276" i="4" s="1"/>
  <c r="AN276" i="4"/>
  <c r="AO276" i="4" s="1"/>
  <c r="AM276" i="4"/>
  <c r="AD276" i="4"/>
  <c r="AE276" i="4" s="1"/>
  <c r="Z276" i="4"/>
  <c r="AA276" i="4" s="1"/>
  <c r="BE275" i="4"/>
  <c r="BB275" i="4"/>
  <c r="AX275" i="4"/>
  <c r="AQ275" i="4"/>
  <c r="AR275" i="4" s="1"/>
  <c r="AN275" i="4"/>
  <c r="AO275" i="4" s="1"/>
  <c r="AM275" i="4"/>
  <c r="AD275" i="4"/>
  <c r="AF275" i="4" s="1"/>
  <c r="Z275" i="4"/>
  <c r="AA275" i="4" s="1"/>
  <c r="BE274" i="4"/>
  <c r="BB274" i="4"/>
  <c r="AX274" i="4"/>
  <c r="AQ274" i="4"/>
  <c r="AR274" i="4" s="1"/>
  <c r="AN274" i="4"/>
  <c r="AO274" i="4" s="1"/>
  <c r="AM274" i="4"/>
  <c r="AD274" i="4"/>
  <c r="Z274" i="4"/>
  <c r="AA274" i="4" s="1"/>
  <c r="BE273" i="4"/>
  <c r="BB273" i="4"/>
  <c r="AX273" i="4"/>
  <c r="AQ273" i="4"/>
  <c r="AR273" i="4" s="1"/>
  <c r="AN273" i="4"/>
  <c r="AO273" i="4" s="1"/>
  <c r="AM273" i="4"/>
  <c r="AD273" i="4"/>
  <c r="Z273" i="4"/>
  <c r="AA273" i="4" s="1"/>
  <c r="BE272" i="4"/>
  <c r="BB272" i="4"/>
  <c r="AX272" i="4"/>
  <c r="AQ272" i="4"/>
  <c r="AR272" i="4" s="1"/>
  <c r="AN272" i="4"/>
  <c r="AO272" i="4" s="1"/>
  <c r="AM272" i="4"/>
  <c r="AD272" i="4"/>
  <c r="AF272" i="4" s="1"/>
  <c r="Z272" i="4"/>
  <c r="AA272" i="4" s="1"/>
  <c r="BE271" i="4"/>
  <c r="BB271" i="4"/>
  <c r="AX271" i="4"/>
  <c r="AQ271" i="4"/>
  <c r="AR271" i="4" s="1"/>
  <c r="AN271" i="4"/>
  <c r="AO271" i="4" s="1"/>
  <c r="AM271" i="4"/>
  <c r="AD271" i="4"/>
  <c r="AF271" i="4" s="1"/>
  <c r="Z271" i="4"/>
  <c r="AA271" i="4" s="1"/>
  <c r="BE270" i="4"/>
  <c r="BB270" i="4"/>
  <c r="AX270" i="4"/>
  <c r="AQ270" i="4"/>
  <c r="AR270" i="4" s="1"/>
  <c r="AN270" i="4"/>
  <c r="AO270" i="4" s="1"/>
  <c r="AM270" i="4"/>
  <c r="AD270" i="4"/>
  <c r="AF270" i="4" s="1"/>
  <c r="Z270" i="4"/>
  <c r="AA270" i="4" s="1"/>
  <c r="BE269" i="4"/>
  <c r="BB269" i="4"/>
  <c r="AX269" i="4"/>
  <c r="AQ269" i="4"/>
  <c r="AR269" i="4" s="1"/>
  <c r="AN269" i="4"/>
  <c r="AO269" i="4" s="1"/>
  <c r="AM269" i="4"/>
  <c r="AD269" i="4"/>
  <c r="AF269" i="4" s="1"/>
  <c r="Z269" i="4"/>
  <c r="AA269" i="4" s="1"/>
  <c r="BE268" i="4"/>
  <c r="BB268" i="4"/>
  <c r="AX268" i="4"/>
  <c r="AQ268" i="4"/>
  <c r="AR268" i="4" s="1"/>
  <c r="AN268" i="4"/>
  <c r="AO268" i="4" s="1"/>
  <c r="AM268" i="4"/>
  <c r="AD268" i="4"/>
  <c r="AF268" i="4" s="1"/>
  <c r="Z268" i="4"/>
  <c r="AA268" i="4" s="1"/>
  <c r="BE267" i="4"/>
  <c r="BB267" i="4"/>
  <c r="AX267" i="4"/>
  <c r="AQ267" i="4"/>
  <c r="AR267" i="4" s="1"/>
  <c r="AN267" i="4"/>
  <c r="AO267" i="4" s="1"/>
  <c r="AM267" i="4"/>
  <c r="AD267" i="4"/>
  <c r="AF267" i="4" s="1"/>
  <c r="Z267" i="4"/>
  <c r="AA267" i="4" s="1"/>
  <c r="BE266" i="4"/>
  <c r="BB266" i="4"/>
  <c r="AX266" i="4"/>
  <c r="AQ266" i="4"/>
  <c r="AR266" i="4" s="1"/>
  <c r="AN266" i="4"/>
  <c r="AO266" i="4" s="1"/>
  <c r="AM266" i="4"/>
  <c r="AD266" i="4"/>
  <c r="AF266" i="4" s="1"/>
  <c r="Z266" i="4"/>
  <c r="AA266" i="4" s="1"/>
  <c r="BE265" i="4"/>
  <c r="BB265" i="4"/>
  <c r="AX265" i="4"/>
  <c r="AQ265" i="4"/>
  <c r="AR265" i="4" s="1"/>
  <c r="AN265" i="4"/>
  <c r="AO265" i="4" s="1"/>
  <c r="AM265" i="4"/>
  <c r="AD265" i="4"/>
  <c r="AF265" i="4" s="1"/>
  <c r="Z265" i="4"/>
  <c r="AA265" i="4" s="1"/>
  <c r="BE264" i="4"/>
  <c r="BB264" i="4"/>
  <c r="AX264" i="4"/>
  <c r="AQ264" i="4"/>
  <c r="AR264" i="4" s="1"/>
  <c r="AN264" i="4"/>
  <c r="AO264" i="4" s="1"/>
  <c r="AM264" i="4"/>
  <c r="AD264" i="4"/>
  <c r="AF264" i="4" s="1"/>
  <c r="Z264" i="4"/>
  <c r="AA264" i="4" s="1"/>
  <c r="BE263" i="4"/>
  <c r="BB263" i="4"/>
  <c r="AX263" i="4"/>
  <c r="AQ263" i="4"/>
  <c r="AR263" i="4" s="1"/>
  <c r="AN263" i="4"/>
  <c r="AO263" i="4" s="1"/>
  <c r="AM263" i="4"/>
  <c r="AD263" i="4"/>
  <c r="AF263" i="4" s="1"/>
  <c r="Z263" i="4"/>
  <c r="AA263" i="4" s="1"/>
  <c r="BE262" i="4"/>
  <c r="BB262" i="4"/>
  <c r="AX262" i="4"/>
  <c r="AQ262" i="4"/>
  <c r="AR262" i="4" s="1"/>
  <c r="AN262" i="4"/>
  <c r="AO262" i="4" s="1"/>
  <c r="AM262" i="4"/>
  <c r="AD262" i="4"/>
  <c r="AE262" i="4" s="1"/>
  <c r="Z262" i="4"/>
  <c r="AA262" i="4" s="1"/>
  <c r="BE261" i="4"/>
  <c r="BB261" i="4"/>
  <c r="AX261" i="4"/>
  <c r="AQ261" i="4"/>
  <c r="AR261" i="4" s="1"/>
  <c r="AN261" i="4"/>
  <c r="AO261" i="4" s="1"/>
  <c r="AM261" i="4"/>
  <c r="AD261" i="4"/>
  <c r="AF261" i="4" s="1"/>
  <c r="Z261" i="4"/>
  <c r="AA261" i="4" s="1"/>
  <c r="BE260" i="4"/>
  <c r="BB260" i="4"/>
  <c r="AX260" i="4"/>
  <c r="AQ260" i="4"/>
  <c r="AR260" i="4" s="1"/>
  <c r="AN260" i="4"/>
  <c r="AO260" i="4" s="1"/>
  <c r="AM260" i="4"/>
  <c r="AD260" i="4"/>
  <c r="AF260" i="4" s="1"/>
  <c r="Z260" i="4"/>
  <c r="AA260" i="4" s="1"/>
  <c r="BE259" i="4"/>
  <c r="BB259" i="4"/>
  <c r="AX259" i="4"/>
  <c r="AQ259" i="4"/>
  <c r="AR259" i="4" s="1"/>
  <c r="AN259" i="4"/>
  <c r="AO259" i="4" s="1"/>
  <c r="AM259" i="4"/>
  <c r="AD259" i="4"/>
  <c r="AF259" i="4" s="1"/>
  <c r="Z259" i="4"/>
  <c r="BE258" i="4"/>
  <c r="BB258" i="4"/>
  <c r="AX258" i="4"/>
  <c r="AQ258" i="4"/>
  <c r="AR258" i="4" s="1"/>
  <c r="AN258" i="4"/>
  <c r="AO258" i="4" s="1"/>
  <c r="AM258" i="4"/>
  <c r="AD258" i="4"/>
  <c r="AE258" i="4" s="1"/>
  <c r="Z258" i="4"/>
  <c r="AA258" i="4" s="1"/>
  <c r="BE257" i="4"/>
  <c r="BB257" i="4"/>
  <c r="AX257" i="4"/>
  <c r="AQ257" i="4"/>
  <c r="AR257" i="4" s="1"/>
  <c r="AN257" i="4"/>
  <c r="AO257" i="4" s="1"/>
  <c r="AM257" i="4"/>
  <c r="AD257" i="4"/>
  <c r="Z257" i="4"/>
  <c r="BE256" i="4"/>
  <c r="BB256" i="4"/>
  <c r="AX256" i="4"/>
  <c r="AQ256" i="4"/>
  <c r="AR256" i="4" s="1"/>
  <c r="AN256" i="4"/>
  <c r="AO256" i="4" s="1"/>
  <c r="AM256" i="4"/>
  <c r="AD256" i="4"/>
  <c r="AE256" i="4" s="1"/>
  <c r="Z256" i="4"/>
  <c r="AA256" i="4" s="1"/>
  <c r="BE255" i="4"/>
  <c r="BB255" i="4"/>
  <c r="AX255" i="4"/>
  <c r="AQ255" i="4"/>
  <c r="AR255" i="4" s="1"/>
  <c r="AN255" i="4"/>
  <c r="AO255" i="4" s="1"/>
  <c r="AM255" i="4"/>
  <c r="AD255" i="4"/>
  <c r="AF255" i="4" s="1"/>
  <c r="Z255" i="4"/>
  <c r="AA255" i="4" s="1"/>
  <c r="BE254" i="4"/>
  <c r="BB254" i="4"/>
  <c r="AX254" i="4"/>
  <c r="AQ254" i="4"/>
  <c r="AR254" i="4" s="1"/>
  <c r="AN254" i="4"/>
  <c r="AO254" i="4" s="1"/>
  <c r="AM254" i="4"/>
  <c r="AD254" i="4"/>
  <c r="AE254" i="4" s="1"/>
  <c r="Z254" i="4"/>
  <c r="AA254" i="4" s="1"/>
  <c r="BE253" i="4"/>
  <c r="BB253" i="4"/>
  <c r="AX253" i="4"/>
  <c r="AQ253" i="4"/>
  <c r="AR253" i="4" s="1"/>
  <c r="AN253" i="4"/>
  <c r="AO253" i="4" s="1"/>
  <c r="AM253" i="4"/>
  <c r="AD253" i="4"/>
  <c r="AF253" i="4" s="1"/>
  <c r="Z253" i="4"/>
  <c r="AA253" i="4" s="1"/>
  <c r="BE252" i="4"/>
  <c r="BB252" i="4"/>
  <c r="AX252" i="4"/>
  <c r="AQ252" i="4"/>
  <c r="AR252" i="4" s="1"/>
  <c r="AN252" i="4"/>
  <c r="AO252" i="4" s="1"/>
  <c r="AM252" i="4"/>
  <c r="AD252" i="4"/>
  <c r="AF252" i="4" s="1"/>
  <c r="Z252" i="4"/>
  <c r="AA252" i="4" s="1"/>
  <c r="BE251" i="4"/>
  <c r="BB251" i="4"/>
  <c r="AX251" i="4"/>
  <c r="AQ251" i="4"/>
  <c r="AR251" i="4" s="1"/>
  <c r="AN251" i="4"/>
  <c r="AO251" i="4" s="1"/>
  <c r="AM251" i="4"/>
  <c r="AD251" i="4"/>
  <c r="AF251" i="4" s="1"/>
  <c r="Z251" i="4"/>
  <c r="AA251" i="4" s="1"/>
  <c r="BE250" i="4"/>
  <c r="BB250" i="4"/>
  <c r="AX250" i="4"/>
  <c r="AQ250" i="4"/>
  <c r="AR250" i="4" s="1"/>
  <c r="AN250" i="4"/>
  <c r="AO250" i="4" s="1"/>
  <c r="AM250" i="4"/>
  <c r="AD250" i="4"/>
  <c r="AE250" i="4" s="1"/>
  <c r="Z250" i="4"/>
  <c r="AA250" i="4" s="1"/>
  <c r="BE249" i="4"/>
  <c r="BB249" i="4"/>
  <c r="AX249" i="4"/>
  <c r="AQ249" i="4"/>
  <c r="AR249" i="4" s="1"/>
  <c r="AN249" i="4"/>
  <c r="AO249" i="4" s="1"/>
  <c r="AM249" i="4"/>
  <c r="AD249" i="4"/>
  <c r="AF249" i="4" s="1"/>
  <c r="Z249" i="4"/>
  <c r="AA249" i="4" s="1"/>
  <c r="BE248" i="4"/>
  <c r="BB248" i="4"/>
  <c r="AX248" i="4"/>
  <c r="AQ248" i="4"/>
  <c r="AR248" i="4" s="1"/>
  <c r="AN248" i="4"/>
  <c r="AO248" i="4" s="1"/>
  <c r="AM248" i="4"/>
  <c r="AD248" i="4"/>
  <c r="AE248" i="4" s="1"/>
  <c r="Z248" i="4"/>
  <c r="AA248" i="4" s="1"/>
  <c r="BE247" i="4"/>
  <c r="BB247" i="4"/>
  <c r="AX247" i="4"/>
  <c r="AQ247" i="4"/>
  <c r="AR247" i="4" s="1"/>
  <c r="AN247" i="4"/>
  <c r="AO247" i="4" s="1"/>
  <c r="AM247" i="4"/>
  <c r="AD247" i="4"/>
  <c r="AF247" i="4" s="1"/>
  <c r="Z247" i="4"/>
  <c r="AA247" i="4" s="1"/>
  <c r="BE246" i="4"/>
  <c r="BB246" i="4"/>
  <c r="AX246" i="4"/>
  <c r="AQ246" i="4"/>
  <c r="AN246" i="4"/>
  <c r="AO246" i="4" s="1"/>
  <c r="AM246" i="4"/>
  <c r="AD246" i="4"/>
  <c r="AE246" i="4" s="1"/>
  <c r="Z246" i="4"/>
  <c r="AA246" i="4" s="1"/>
  <c r="BE245" i="4"/>
  <c r="BB245" i="4"/>
  <c r="AX245" i="4"/>
  <c r="AQ245" i="4"/>
  <c r="AR245" i="4" s="1"/>
  <c r="AN245" i="4"/>
  <c r="AO245" i="4" s="1"/>
  <c r="AM245" i="4"/>
  <c r="AD245" i="4"/>
  <c r="AE245" i="4" s="1"/>
  <c r="Z245" i="4"/>
  <c r="AA245" i="4" s="1"/>
  <c r="BE244" i="4"/>
  <c r="BB244" i="4"/>
  <c r="AX244" i="4"/>
  <c r="AQ244" i="4"/>
  <c r="AN244" i="4"/>
  <c r="AO244" i="4" s="1"/>
  <c r="AM244" i="4"/>
  <c r="AD244" i="4"/>
  <c r="AE244" i="4" s="1"/>
  <c r="Z244" i="4"/>
  <c r="AA244" i="4" s="1"/>
  <c r="BE243" i="4"/>
  <c r="BB243" i="4"/>
  <c r="AX243" i="4"/>
  <c r="AQ243" i="4"/>
  <c r="AR243" i="4" s="1"/>
  <c r="AN243" i="4"/>
  <c r="AO243" i="4" s="1"/>
  <c r="AM243" i="4"/>
  <c r="AD243" i="4"/>
  <c r="AE243" i="4" s="1"/>
  <c r="Z243" i="4"/>
  <c r="AA243" i="4" s="1"/>
  <c r="BE242" i="4"/>
  <c r="BB242" i="4"/>
  <c r="AX242" i="4"/>
  <c r="AQ242" i="4"/>
  <c r="AN242" i="4"/>
  <c r="AO242" i="4" s="1"/>
  <c r="AM242" i="4"/>
  <c r="AD242" i="4"/>
  <c r="AE242" i="4" s="1"/>
  <c r="Z242" i="4"/>
  <c r="AA242" i="4" s="1"/>
  <c r="BE241" i="4"/>
  <c r="BB241" i="4"/>
  <c r="AX241" i="4"/>
  <c r="AQ241" i="4"/>
  <c r="AR241" i="4" s="1"/>
  <c r="AN241" i="4"/>
  <c r="AO241" i="4" s="1"/>
  <c r="AM241" i="4"/>
  <c r="AD241" i="4"/>
  <c r="AF241" i="4" s="1"/>
  <c r="Z241" i="4"/>
  <c r="AA241" i="4" s="1"/>
  <c r="BE240" i="4"/>
  <c r="BB240" i="4"/>
  <c r="AX240" i="4"/>
  <c r="AQ240" i="4"/>
  <c r="AN240" i="4"/>
  <c r="AO240" i="4" s="1"/>
  <c r="AM240" i="4"/>
  <c r="AD240" i="4"/>
  <c r="AE240" i="4" s="1"/>
  <c r="Z240" i="4"/>
  <c r="AA240" i="4" s="1"/>
  <c r="BE239" i="4"/>
  <c r="BB239" i="4"/>
  <c r="AX239" i="4"/>
  <c r="AQ239" i="4"/>
  <c r="AR239" i="4" s="1"/>
  <c r="AN239" i="4"/>
  <c r="AO239" i="4" s="1"/>
  <c r="AM239" i="4"/>
  <c r="AD239" i="4"/>
  <c r="AF239" i="4" s="1"/>
  <c r="Z239" i="4"/>
  <c r="AA239" i="4" s="1"/>
  <c r="BE238" i="4"/>
  <c r="BB238" i="4"/>
  <c r="AX238" i="4"/>
  <c r="AQ238" i="4"/>
  <c r="AN238" i="4"/>
  <c r="AO238" i="4" s="1"/>
  <c r="AM238" i="4"/>
  <c r="AD238" i="4"/>
  <c r="AE238" i="4" s="1"/>
  <c r="Z238" i="4"/>
  <c r="AA238" i="4" s="1"/>
  <c r="BE237" i="4"/>
  <c r="BB237" i="4"/>
  <c r="AX237" i="4"/>
  <c r="AQ237" i="4"/>
  <c r="AR237" i="4" s="1"/>
  <c r="AN237" i="4"/>
  <c r="AO237" i="4" s="1"/>
  <c r="AM237" i="4"/>
  <c r="AD237" i="4"/>
  <c r="AE237" i="4" s="1"/>
  <c r="Z237" i="4"/>
  <c r="AA237" i="4" s="1"/>
  <c r="BE236" i="4"/>
  <c r="BB236" i="4"/>
  <c r="AX236" i="4"/>
  <c r="AQ236" i="4"/>
  <c r="AN236" i="4"/>
  <c r="AO236" i="4" s="1"/>
  <c r="AM236" i="4"/>
  <c r="AD236" i="4"/>
  <c r="AF236" i="4" s="1"/>
  <c r="Z236" i="4"/>
  <c r="BE235" i="4"/>
  <c r="BB235" i="4"/>
  <c r="AX235" i="4"/>
  <c r="AQ235" i="4"/>
  <c r="AR235" i="4" s="1"/>
  <c r="AN235" i="4"/>
  <c r="AO235" i="4" s="1"/>
  <c r="AM235" i="4"/>
  <c r="AD235" i="4"/>
  <c r="AF235" i="4" s="1"/>
  <c r="Z235" i="4"/>
  <c r="AA235" i="4" s="1"/>
  <c r="BE234" i="4"/>
  <c r="BB234" i="4"/>
  <c r="AX234" i="4"/>
  <c r="AQ234" i="4"/>
  <c r="AN234" i="4"/>
  <c r="AO234" i="4" s="1"/>
  <c r="AM234" i="4"/>
  <c r="AD234" i="4"/>
  <c r="AF234" i="4" s="1"/>
  <c r="Z234" i="4"/>
  <c r="AA234" i="4" s="1"/>
  <c r="BE233" i="4"/>
  <c r="BB233" i="4"/>
  <c r="AX233" i="4"/>
  <c r="AQ233" i="4"/>
  <c r="AR233" i="4" s="1"/>
  <c r="AN233" i="4"/>
  <c r="AO233" i="4" s="1"/>
  <c r="AM233" i="4"/>
  <c r="AD233" i="4"/>
  <c r="AE233" i="4" s="1"/>
  <c r="Z233" i="4"/>
  <c r="AA233" i="4" s="1"/>
  <c r="BE232" i="4"/>
  <c r="BB232" i="4"/>
  <c r="AX232" i="4"/>
  <c r="AQ232" i="4"/>
  <c r="AR232" i="4" s="1"/>
  <c r="AN232" i="4"/>
  <c r="AO232" i="4" s="1"/>
  <c r="AM232" i="4"/>
  <c r="AD232" i="4"/>
  <c r="AF232" i="4" s="1"/>
  <c r="Z232" i="4"/>
  <c r="AA232" i="4" s="1"/>
  <c r="BE231" i="4"/>
  <c r="BB231" i="4"/>
  <c r="AX231" i="4"/>
  <c r="AQ231" i="4"/>
  <c r="AR231" i="4" s="1"/>
  <c r="AN231" i="4"/>
  <c r="AO231" i="4" s="1"/>
  <c r="AM231" i="4"/>
  <c r="AD231" i="4"/>
  <c r="AE231" i="4" s="1"/>
  <c r="Z231" i="4"/>
  <c r="AA231" i="4" s="1"/>
  <c r="BE230" i="4"/>
  <c r="BB230" i="4"/>
  <c r="AX230" i="4"/>
  <c r="AQ230" i="4"/>
  <c r="AR230" i="4" s="1"/>
  <c r="AN230" i="4"/>
  <c r="AO230" i="4" s="1"/>
  <c r="AM230" i="4"/>
  <c r="AD230" i="4"/>
  <c r="AF230" i="4" s="1"/>
  <c r="Z230" i="4"/>
  <c r="AA230" i="4" s="1"/>
  <c r="BE229" i="4"/>
  <c r="BB229" i="4"/>
  <c r="AX229" i="4"/>
  <c r="AQ229" i="4"/>
  <c r="AR229" i="4" s="1"/>
  <c r="AN229" i="4"/>
  <c r="AO229" i="4" s="1"/>
  <c r="AM229" i="4"/>
  <c r="AD229" i="4"/>
  <c r="AE229" i="4" s="1"/>
  <c r="Z229" i="4"/>
  <c r="AA229" i="4" s="1"/>
  <c r="BE228" i="4"/>
  <c r="BB228" i="4"/>
  <c r="AX228" i="4"/>
  <c r="AQ228" i="4"/>
  <c r="AN228" i="4"/>
  <c r="AO228" i="4" s="1"/>
  <c r="AM228" i="4"/>
  <c r="AD228" i="4"/>
  <c r="AF228" i="4" s="1"/>
  <c r="Z228" i="4"/>
  <c r="BE227" i="4"/>
  <c r="BB227" i="4"/>
  <c r="AX227" i="4"/>
  <c r="AQ227" i="4"/>
  <c r="AR227" i="4" s="1"/>
  <c r="AN227" i="4"/>
  <c r="AO227" i="4" s="1"/>
  <c r="AM227" i="4"/>
  <c r="AD227" i="4"/>
  <c r="AE227" i="4" s="1"/>
  <c r="Z227" i="4"/>
  <c r="AA227" i="4" s="1"/>
  <c r="BE226" i="4"/>
  <c r="BB226" i="4"/>
  <c r="AX226" i="4"/>
  <c r="AQ226" i="4"/>
  <c r="AR226" i="4" s="1"/>
  <c r="AN226" i="4"/>
  <c r="AO226" i="4" s="1"/>
  <c r="AM226" i="4"/>
  <c r="AD226" i="4"/>
  <c r="AF226" i="4" s="1"/>
  <c r="Z226" i="4"/>
  <c r="AA226" i="4" s="1"/>
  <c r="BE225" i="4"/>
  <c r="BB225" i="4"/>
  <c r="AX225" i="4"/>
  <c r="AQ225" i="4"/>
  <c r="AR225" i="4" s="1"/>
  <c r="AN225" i="4"/>
  <c r="AO225" i="4" s="1"/>
  <c r="AM225" i="4"/>
  <c r="AD225" i="4"/>
  <c r="AF225" i="4" s="1"/>
  <c r="Z225" i="4"/>
  <c r="BE224" i="4"/>
  <c r="BB224" i="4"/>
  <c r="AX224" i="4"/>
  <c r="AQ224" i="4"/>
  <c r="AR224" i="4" s="1"/>
  <c r="AN224" i="4"/>
  <c r="AO224" i="4" s="1"/>
  <c r="AM224" i="4"/>
  <c r="AD224" i="4"/>
  <c r="AE224" i="4" s="1"/>
  <c r="Z224" i="4"/>
  <c r="AA224" i="4" s="1"/>
  <c r="BE223" i="4"/>
  <c r="BB223" i="4"/>
  <c r="AX223" i="4"/>
  <c r="AQ223" i="4"/>
  <c r="AN223" i="4"/>
  <c r="AO223" i="4" s="1"/>
  <c r="AM223" i="4"/>
  <c r="AD223" i="4"/>
  <c r="AF223" i="4" s="1"/>
  <c r="Z223" i="4"/>
  <c r="BE222" i="4"/>
  <c r="BB222" i="4"/>
  <c r="AX222" i="4"/>
  <c r="AQ222" i="4"/>
  <c r="AR222" i="4" s="1"/>
  <c r="AN222" i="4"/>
  <c r="AO222" i="4" s="1"/>
  <c r="AM222" i="4"/>
  <c r="AD222" i="4"/>
  <c r="AE222" i="4" s="1"/>
  <c r="Z222" i="4"/>
  <c r="AA222" i="4" s="1"/>
  <c r="BE221" i="4"/>
  <c r="BB221" i="4"/>
  <c r="AX221" i="4"/>
  <c r="AQ221" i="4"/>
  <c r="AN221" i="4"/>
  <c r="AO221" i="4" s="1"/>
  <c r="AM221" i="4"/>
  <c r="AD221" i="4"/>
  <c r="Z221" i="4"/>
  <c r="BE220" i="4"/>
  <c r="BB220" i="4"/>
  <c r="AX220" i="4"/>
  <c r="AQ220" i="4"/>
  <c r="AR220" i="4" s="1"/>
  <c r="AN220" i="4"/>
  <c r="AO220" i="4" s="1"/>
  <c r="AM220" i="4"/>
  <c r="AD220" i="4"/>
  <c r="AF220" i="4" s="1"/>
  <c r="Z220" i="4"/>
  <c r="AA220" i="4" s="1"/>
  <c r="BE219" i="4"/>
  <c r="BB219" i="4"/>
  <c r="AX219" i="4"/>
  <c r="AQ219" i="4"/>
  <c r="AN219" i="4"/>
  <c r="AO219" i="4" s="1"/>
  <c r="AM219" i="4"/>
  <c r="AD219" i="4"/>
  <c r="Z219" i="4"/>
  <c r="BE218" i="4"/>
  <c r="BB218" i="4"/>
  <c r="AX218" i="4"/>
  <c r="AQ218" i="4"/>
  <c r="AR218" i="4" s="1"/>
  <c r="AN218" i="4"/>
  <c r="AO218" i="4" s="1"/>
  <c r="AM218" i="4"/>
  <c r="AD218" i="4"/>
  <c r="AF218" i="4" s="1"/>
  <c r="Z218" i="4"/>
  <c r="AA218" i="4" s="1"/>
  <c r="BE217" i="4"/>
  <c r="BB217" i="4"/>
  <c r="AX217" i="4"/>
  <c r="AQ217" i="4"/>
  <c r="AN217" i="4"/>
  <c r="AO217" i="4" s="1"/>
  <c r="AM217" i="4"/>
  <c r="AD217" i="4"/>
  <c r="Z217" i="4"/>
  <c r="BE216" i="4"/>
  <c r="BB216" i="4"/>
  <c r="AX216" i="4"/>
  <c r="AQ216" i="4"/>
  <c r="AR216" i="4" s="1"/>
  <c r="AN216" i="4"/>
  <c r="AO216" i="4" s="1"/>
  <c r="AM216" i="4"/>
  <c r="AD216" i="4"/>
  <c r="AF216" i="4" s="1"/>
  <c r="Z216" i="4"/>
  <c r="AA216" i="4" s="1"/>
  <c r="BE215" i="4"/>
  <c r="BB215" i="4"/>
  <c r="AX215" i="4"/>
  <c r="AQ215" i="4"/>
  <c r="AN215" i="4"/>
  <c r="AO215" i="4" s="1"/>
  <c r="AM215" i="4"/>
  <c r="AD215" i="4"/>
  <c r="AE215" i="4" s="1"/>
  <c r="Z215" i="4"/>
  <c r="AA215" i="4" s="1"/>
  <c r="BE214" i="4"/>
  <c r="BB214" i="4"/>
  <c r="AX214" i="4"/>
  <c r="AQ214" i="4"/>
  <c r="AR214" i="4" s="1"/>
  <c r="AN214" i="4"/>
  <c r="AO214" i="4" s="1"/>
  <c r="AM214" i="4"/>
  <c r="AD214" i="4"/>
  <c r="AF214" i="4" s="1"/>
  <c r="Z214" i="4"/>
  <c r="AA214" i="4" s="1"/>
  <c r="BE213" i="4"/>
  <c r="BB213" i="4"/>
  <c r="AX213" i="4"/>
  <c r="AQ213" i="4"/>
  <c r="AN213" i="4"/>
  <c r="AO213" i="4" s="1"/>
  <c r="AM213" i="4"/>
  <c r="AD213" i="4"/>
  <c r="AE213" i="4" s="1"/>
  <c r="Z213" i="4"/>
  <c r="AA213" i="4" s="1"/>
  <c r="BE212" i="4"/>
  <c r="BB212" i="4"/>
  <c r="AX212" i="4"/>
  <c r="AQ212" i="4"/>
  <c r="AR212" i="4" s="1"/>
  <c r="AN212" i="4"/>
  <c r="AO212" i="4" s="1"/>
  <c r="AM212" i="4"/>
  <c r="AD212" i="4"/>
  <c r="AF212" i="4" s="1"/>
  <c r="Z212" i="4"/>
  <c r="AA212" i="4" s="1"/>
  <c r="BE211" i="4"/>
  <c r="BB211" i="4"/>
  <c r="AX211" i="4"/>
  <c r="AQ211" i="4"/>
  <c r="AN211" i="4"/>
  <c r="AO211" i="4" s="1"/>
  <c r="AM211" i="4"/>
  <c r="AD211" i="4"/>
  <c r="AF211" i="4" s="1"/>
  <c r="Z211" i="4"/>
  <c r="BE210" i="4"/>
  <c r="BB210" i="4"/>
  <c r="AX210" i="4"/>
  <c r="AQ210" i="4"/>
  <c r="AN210" i="4"/>
  <c r="AO210" i="4" s="1"/>
  <c r="AM210" i="4"/>
  <c r="AD210" i="4"/>
  <c r="AF210" i="4" s="1"/>
  <c r="Z210" i="4"/>
  <c r="BE209" i="4"/>
  <c r="BB209" i="4"/>
  <c r="AX209" i="4"/>
  <c r="AQ209" i="4"/>
  <c r="AN209" i="4"/>
  <c r="AO209" i="4" s="1"/>
  <c r="AM209" i="4"/>
  <c r="AD209" i="4"/>
  <c r="AF209" i="4" s="1"/>
  <c r="Z209" i="4"/>
  <c r="BE208" i="4"/>
  <c r="BB208" i="4"/>
  <c r="AX208" i="4"/>
  <c r="AQ208" i="4"/>
  <c r="AN208" i="4"/>
  <c r="AO208" i="4" s="1"/>
  <c r="AM208" i="4"/>
  <c r="AD208" i="4"/>
  <c r="AF208" i="4" s="1"/>
  <c r="Z208" i="4"/>
  <c r="BE207" i="4"/>
  <c r="BB207" i="4"/>
  <c r="AX207" i="4"/>
  <c r="AQ207" i="4"/>
  <c r="AN207" i="4"/>
  <c r="AO207" i="4" s="1"/>
  <c r="AM207" i="4"/>
  <c r="AD207" i="4"/>
  <c r="AF207" i="4" s="1"/>
  <c r="Z207" i="4"/>
  <c r="BE206" i="4"/>
  <c r="BB206" i="4"/>
  <c r="AX206" i="4"/>
  <c r="AQ206" i="4"/>
  <c r="AN206" i="4"/>
  <c r="AO206" i="4" s="1"/>
  <c r="AM206" i="4"/>
  <c r="AD206" i="4"/>
  <c r="AF206" i="4" s="1"/>
  <c r="Z206" i="4"/>
  <c r="BE205" i="4"/>
  <c r="BB205" i="4"/>
  <c r="AX205" i="4"/>
  <c r="AQ205" i="4"/>
  <c r="AN205" i="4"/>
  <c r="AO205" i="4" s="1"/>
  <c r="AM205" i="4"/>
  <c r="AD205" i="4"/>
  <c r="AF205" i="4" s="1"/>
  <c r="Z205" i="4"/>
  <c r="BE204" i="4"/>
  <c r="BB204" i="4"/>
  <c r="AX204" i="4"/>
  <c r="AQ204" i="4"/>
  <c r="AN204" i="4"/>
  <c r="AO204" i="4" s="1"/>
  <c r="AM204" i="4"/>
  <c r="AD204" i="4"/>
  <c r="AF204" i="4" s="1"/>
  <c r="Z204" i="4"/>
  <c r="BE203" i="4"/>
  <c r="BB203" i="4"/>
  <c r="AX203" i="4"/>
  <c r="AQ203" i="4"/>
  <c r="AN203" i="4"/>
  <c r="AO203" i="4" s="1"/>
  <c r="AM203" i="4"/>
  <c r="AD203" i="4"/>
  <c r="AF203" i="4" s="1"/>
  <c r="Z203" i="4"/>
  <c r="BE202" i="4"/>
  <c r="BB202" i="4"/>
  <c r="AX202" i="4"/>
  <c r="AQ202" i="4"/>
  <c r="AN202" i="4"/>
  <c r="AO202" i="4" s="1"/>
  <c r="AM202" i="4"/>
  <c r="AD202" i="4"/>
  <c r="AF202" i="4" s="1"/>
  <c r="Z202" i="4"/>
  <c r="BE201" i="4"/>
  <c r="BB201" i="4"/>
  <c r="AX201" i="4"/>
  <c r="AQ201" i="4"/>
  <c r="AN201" i="4"/>
  <c r="AO201" i="4" s="1"/>
  <c r="AM201" i="4"/>
  <c r="AD201" i="4"/>
  <c r="AF201" i="4" s="1"/>
  <c r="Z201" i="4"/>
  <c r="BE200" i="4"/>
  <c r="BB200" i="4"/>
  <c r="AX200" i="4"/>
  <c r="AQ200" i="4"/>
  <c r="AN200" i="4"/>
  <c r="AO200" i="4" s="1"/>
  <c r="AM200" i="4"/>
  <c r="AD200" i="4"/>
  <c r="AE200" i="4" s="1"/>
  <c r="Z200" i="4"/>
  <c r="BE199" i="4"/>
  <c r="BB199" i="4"/>
  <c r="AX199" i="4"/>
  <c r="AQ199" i="4"/>
  <c r="AN199" i="4"/>
  <c r="AO199" i="4" s="1"/>
  <c r="AM199" i="4"/>
  <c r="AD199" i="4"/>
  <c r="AF199" i="4" s="1"/>
  <c r="Z199" i="4"/>
  <c r="BE198" i="4"/>
  <c r="BB198" i="4"/>
  <c r="AX198" i="4"/>
  <c r="AQ198" i="4"/>
  <c r="AN198" i="4"/>
  <c r="AO198" i="4" s="1"/>
  <c r="AM198" i="4"/>
  <c r="AD198" i="4"/>
  <c r="AE198" i="4" s="1"/>
  <c r="Z198" i="4"/>
  <c r="AA198" i="4" s="1"/>
  <c r="BE197" i="4"/>
  <c r="BB197" i="4"/>
  <c r="AX197" i="4"/>
  <c r="AQ197" i="4"/>
  <c r="AN197" i="4"/>
  <c r="AO197" i="4" s="1"/>
  <c r="AM197" i="4"/>
  <c r="AD197" i="4"/>
  <c r="AF197" i="4" s="1"/>
  <c r="Z197" i="4"/>
  <c r="BE196" i="4"/>
  <c r="BB196" i="4"/>
  <c r="AX196" i="4"/>
  <c r="AQ196" i="4"/>
  <c r="AN196" i="4"/>
  <c r="AO196" i="4" s="1"/>
  <c r="AM196" i="4"/>
  <c r="AD196" i="4"/>
  <c r="AE196" i="4" s="1"/>
  <c r="Z196" i="4"/>
  <c r="AA196" i="4" s="1"/>
  <c r="BE195" i="4"/>
  <c r="BB195" i="4"/>
  <c r="AX195" i="4"/>
  <c r="AQ195" i="4"/>
  <c r="AN195" i="4"/>
  <c r="AO195" i="4" s="1"/>
  <c r="AM195" i="4"/>
  <c r="AD195" i="4"/>
  <c r="AF195" i="4" s="1"/>
  <c r="Z195" i="4"/>
  <c r="BE194" i="4"/>
  <c r="BB194" i="4"/>
  <c r="AX194" i="4"/>
  <c r="AQ194" i="4"/>
  <c r="AN194" i="4"/>
  <c r="AO194" i="4" s="1"/>
  <c r="AM194" i="4"/>
  <c r="AD194" i="4"/>
  <c r="AE194" i="4" s="1"/>
  <c r="Z194" i="4"/>
  <c r="AA194" i="4" s="1"/>
  <c r="BE193" i="4"/>
  <c r="BB193" i="4"/>
  <c r="AX193" i="4"/>
  <c r="AQ193" i="4"/>
  <c r="AN193" i="4"/>
  <c r="AO193" i="4" s="1"/>
  <c r="AM193" i="4"/>
  <c r="AD193" i="4"/>
  <c r="AE193" i="4" s="1"/>
  <c r="Z193" i="4"/>
  <c r="AA193" i="4" s="1"/>
  <c r="BE192" i="4"/>
  <c r="BB192" i="4"/>
  <c r="AX192" i="4"/>
  <c r="AQ192" i="4"/>
  <c r="AN192" i="4"/>
  <c r="AO192" i="4" s="1"/>
  <c r="AM192" i="4"/>
  <c r="AD192" i="4"/>
  <c r="AE192" i="4" s="1"/>
  <c r="Z192" i="4"/>
  <c r="AA192" i="4" s="1"/>
  <c r="BE191" i="4"/>
  <c r="BB191" i="4"/>
  <c r="AX191" i="4"/>
  <c r="AQ191" i="4"/>
  <c r="AN191" i="4"/>
  <c r="AO191" i="4" s="1"/>
  <c r="AM191" i="4"/>
  <c r="AD191" i="4"/>
  <c r="AE191" i="4" s="1"/>
  <c r="Z191" i="4"/>
  <c r="AA191" i="4" s="1"/>
  <c r="BE190" i="4"/>
  <c r="BB190" i="4"/>
  <c r="AX190" i="4"/>
  <c r="AQ190" i="4"/>
  <c r="AN190" i="4"/>
  <c r="AO190" i="4" s="1"/>
  <c r="AM190" i="4"/>
  <c r="AD190" i="4"/>
  <c r="AE190" i="4" s="1"/>
  <c r="Z190" i="4"/>
  <c r="AA190" i="4" s="1"/>
  <c r="BE189" i="4"/>
  <c r="BB189" i="4"/>
  <c r="AX189" i="4"/>
  <c r="AQ189" i="4"/>
  <c r="AN189" i="4"/>
  <c r="AO189" i="4" s="1"/>
  <c r="AM189" i="4"/>
  <c r="AD189" i="4"/>
  <c r="AE189" i="4" s="1"/>
  <c r="Z189" i="4"/>
  <c r="AA189" i="4" s="1"/>
  <c r="BE188" i="4"/>
  <c r="BB188" i="4"/>
  <c r="AX188" i="4"/>
  <c r="AQ188" i="4"/>
  <c r="AN188" i="4"/>
  <c r="AO188" i="4" s="1"/>
  <c r="AM188" i="4"/>
  <c r="AD188" i="4"/>
  <c r="AE188" i="4" s="1"/>
  <c r="Z188" i="4"/>
  <c r="AA188" i="4" s="1"/>
  <c r="BE187" i="4"/>
  <c r="BB187" i="4"/>
  <c r="AX187" i="4"/>
  <c r="AQ187" i="4"/>
  <c r="AN187" i="4"/>
  <c r="AO187" i="4" s="1"/>
  <c r="AM187" i="4"/>
  <c r="AD187" i="4"/>
  <c r="AE187" i="4" s="1"/>
  <c r="Z187" i="4"/>
  <c r="AA187" i="4" s="1"/>
  <c r="BE186" i="4"/>
  <c r="BB186" i="4"/>
  <c r="AX186" i="4"/>
  <c r="AQ186" i="4"/>
  <c r="AN186" i="4"/>
  <c r="AO186" i="4" s="1"/>
  <c r="AM186" i="4"/>
  <c r="AD186" i="4"/>
  <c r="AE186" i="4" s="1"/>
  <c r="Z186" i="4"/>
  <c r="AA186" i="4" s="1"/>
  <c r="BE185" i="4"/>
  <c r="BB185" i="4"/>
  <c r="AX185" i="4"/>
  <c r="AQ185" i="4"/>
  <c r="AN185" i="4"/>
  <c r="AO185" i="4" s="1"/>
  <c r="AM185" i="4"/>
  <c r="AD185" i="4"/>
  <c r="AE185" i="4" s="1"/>
  <c r="Z185" i="4"/>
  <c r="AA185" i="4" s="1"/>
  <c r="BE184" i="4"/>
  <c r="BB184" i="4"/>
  <c r="AX184" i="4"/>
  <c r="AQ184" i="4"/>
  <c r="AR184" i="4" s="1"/>
  <c r="AN184" i="4"/>
  <c r="AO184" i="4" s="1"/>
  <c r="AM184" i="4"/>
  <c r="AD184" i="4"/>
  <c r="AF184" i="4" s="1"/>
  <c r="Z184" i="4"/>
  <c r="AA184" i="4" s="1"/>
  <c r="BE183" i="4"/>
  <c r="BB183" i="4"/>
  <c r="AX183" i="4"/>
  <c r="AQ183" i="4"/>
  <c r="AN183" i="4"/>
  <c r="AO183" i="4" s="1"/>
  <c r="AM183" i="4"/>
  <c r="AD183" i="4"/>
  <c r="AF183" i="4" s="1"/>
  <c r="Z183" i="4"/>
  <c r="AA183" i="4" s="1"/>
  <c r="BE182" i="4"/>
  <c r="BB182" i="4"/>
  <c r="AX182" i="4"/>
  <c r="AQ182" i="4"/>
  <c r="AN182" i="4"/>
  <c r="AO182" i="4" s="1"/>
  <c r="AM182" i="4"/>
  <c r="AD182" i="4"/>
  <c r="AF182" i="4" s="1"/>
  <c r="Z182" i="4"/>
  <c r="AA182" i="4" s="1"/>
  <c r="BE181" i="4"/>
  <c r="BB181" i="4"/>
  <c r="AX181" i="4"/>
  <c r="AQ181" i="4"/>
  <c r="AN181" i="4"/>
  <c r="AO181" i="4" s="1"/>
  <c r="AM181" i="4"/>
  <c r="AD181" i="4"/>
  <c r="AF181" i="4" s="1"/>
  <c r="Z181" i="4"/>
  <c r="AA181" i="4" s="1"/>
  <c r="BE180" i="4"/>
  <c r="BB180" i="4"/>
  <c r="AX180" i="4"/>
  <c r="AQ180" i="4"/>
  <c r="AR180" i="4" s="1"/>
  <c r="AN180" i="4"/>
  <c r="AO180" i="4" s="1"/>
  <c r="AM180" i="4"/>
  <c r="AD180" i="4"/>
  <c r="AF180" i="4" s="1"/>
  <c r="Z180" i="4"/>
  <c r="AA180" i="4" s="1"/>
  <c r="BE179" i="4"/>
  <c r="BB179" i="4"/>
  <c r="AX179" i="4"/>
  <c r="AQ179" i="4"/>
  <c r="AR179" i="4" s="1"/>
  <c r="AN179" i="4"/>
  <c r="AO179" i="4" s="1"/>
  <c r="AM179" i="4"/>
  <c r="AD179" i="4"/>
  <c r="AF179" i="4" s="1"/>
  <c r="Z179" i="4"/>
  <c r="AA179" i="4" s="1"/>
  <c r="BE178" i="4"/>
  <c r="BB178" i="4"/>
  <c r="AX178" i="4"/>
  <c r="AQ178" i="4"/>
  <c r="AR178" i="4" s="1"/>
  <c r="AN178" i="4"/>
  <c r="AO178" i="4" s="1"/>
  <c r="AM178" i="4"/>
  <c r="AD178" i="4"/>
  <c r="AF178" i="4" s="1"/>
  <c r="Z178" i="4"/>
  <c r="AA178" i="4" s="1"/>
  <c r="BE177" i="4"/>
  <c r="BB177" i="4"/>
  <c r="AX177" i="4"/>
  <c r="AQ177" i="4"/>
  <c r="AR177" i="4" s="1"/>
  <c r="AN177" i="4"/>
  <c r="AO177" i="4" s="1"/>
  <c r="AM177" i="4"/>
  <c r="AD177" i="4"/>
  <c r="AF177" i="4" s="1"/>
  <c r="Z177" i="4"/>
  <c r="AA177" i="4" s="1"/>
  <c r="BE176" i="4"/>
  <c r="BB176" i="4"/>
  <c r="AX176" i="4"/>
  <c r="AQ176" i="4"/>
  <c r="AR176" i="4" s="1"/>
  <c r="AN176" i="4"/>
  <c r="AO176" i="4" s="1"/>
  <c r="AM176" i="4"/>
  <c r="AD176" i="4"/>
  <c r="AE176" i="4" s="1"/>
  <c r="Z176" i="4"/>
  <c r="AA176" i="4" s="1"/>
  <c r="BE175" i="4"/>
  <c r="BB175" i="4"/>
  <c r="AX175" i="4"/>
  <c r="AQ175" i="4"/>
  <c r="AR175" i="4" s="1"/>
  <c r="AN175" i="4"/>
  <c r="AO175" i="4" s="1"/>
  <c r="AM175" i="4"/>
  <c r="AD175" i="4"/>
  <c r="AF175" i="4" s="1"/>
  <c r="Z175" i="4"/>
  <c r="AA175" i="4" s="1"/>
  <c r="BE174" i="4"/>
  <c r="BB174" i="4"/>
  <c r="AX174" i="4"/>
  <c r="AQ174" i="4"/>
  <c r="AR174" i="4" s="1"/>
  <c r="AN174" i="4"/>
  <c r="AO174" i="4" s="1"/>
  <c r="AM174" i="4"/>
  <c r="AD174" i="4"/>
  <c r="AF174" i="4" s="1"/>
  <c r="Z174" i="4"/>
  <c r="AA174" i="4" s="1"/>
  <c r="BE173" i="4"/>
  <c r="BB173" i="4"/>
  <c r="AX173" i="4"/>
  <c r="AQ173" i="4"/>
  <c r="AR173" i="4" s="1"/>
  <c r="AN173" i="4"/>
  <c r="AO173" i="4" s="1"/>
  <c r="AM173" i="4"/>
  <c r="AD173" i="4"/>
  <c r="AF173" i="4" s="1"/>
  <c r="Z173" i="4"/>
  <c r="AA173" i="4" s="1"/>
  <c r="BE172" i="4"/>
  <c r="BB172" i="4"/>
  <c r="AX172" i="4"/>
  <c r="AQ172" i="4"/>
  <c r="AR172" i="4" s="1"/>
  <c r="AN172" i="4"/>
  <c r="AO172" i="4" s="1"/>
  <c r="AM172" i="4"/>
  <c r="AD172" i="4"/>
  <c r="AF172" i="4" s="1"/>
  <c r="Z172" i="4"/>
  <c r="AA172" i="4" s="1"/>
  <c r="BE171" i="4"/>
  <c r="BB171" i="4"/>
  <c r="AX171" i="4"/>
  <c r="AQ171" i="4"/>
  <c r="AR171" i="4" s="1"/>
  <c r="AN171" i="4"/>
  <c r="AO171" i="4" s="1"/>
  <c r="AM171" i="4"/>
  <c r="AD171" i="4"/>
  <c r="AF171" i="4" s="1"/>
  <c r="Z171" i="4"/>
  <c r="AA171" i="4" s="1"/>
  <c r="BE170" i="4"/>
  <c r="BB170" i="4"/>
  <c r="AX170" i="4"/>
  <c r="AQ170" i="4"/>
  <c r="AR170" i="4" s="1"/>
  <c r="AN170" i="4"/>
  <c r="AO170" i="4" s="1"/>
  <c r="AM170" i="4"/>
  <c r="AD170" i="4"/>
  <c r="AF170" i="4" s="1"/>
  <c r="Z170" i="4"/>
  <c r="AA170" i="4" s="1"/>
  <c r="BE169" i="4"/>
  <c r="BB169" i="4"/>
  <c r="AX169" i="4"/>
  <c r="AQ169" i="4"/>
  <c r="AR169" i="4" s="1"/>
  <c r="AN169" i="4"/>
  <c r="AO169" i="4" s="1"/>
  <c r="AM169" i="4"/>
  <c r="AD169" i="4"/>
  <c r="AF169" i="4" s="1"/>
  <c r="Z169" i="4"/>
  <c r="AA169" i="4" s="1"/>
  <c r="BE168" i="4"/>
  <c r="BB168" i="4"/>
  <c r="AX168" i="4"/>
  <c r="AQ168" i="4"/>
  <c r="AR168" i="4" s="1"/>
  <c r="AN168" i="4"/>
  <c r="AO168" i="4" s="1"/>
  <c r="AM168" i="4"/>
  <c r="AD168" i="4"/>
  <c r="AE168" i="4" s="1"/>
  <c r="Z168" i="4"/>
  <c r="AA168" i="4" s="1"/>
  <c r="BE167" i="4"/>
  <c r="BB167" i="4"/>
  <c r="AX167" i="4"/>
  <c r="AQ167" i="4"/>
  <c r="AR167" i="4" s="1"/>
  <c r="AN167" i="4"/>
  <c r="AO167" i="4" s="1"/>
  <c r="AM167" i="4"/>
  <c r="AD167" i="4"/>
  <c r="AF167" i="4" s="1"/>
  <c r="Z167" i="4"/>
  <c r="AA167" i="4" s="1"/>
  <c r="BE166" i="4"/>
  <c r="BB166" i="4"/>
  <c r="AX166" i="4"/>
  <c r="AQ166" i="4"/>
  <c r="AR166" i="4" s="1"/>
  <c r="AN166" i="4"/>
  <c r="AO166" i="4" s="1"/>
  <c r="AM166" i="4"/>
  <c r="AD166" i="4"/>
  <c r="AF166" i="4" s="1"/>
  <c r="Z166" i="4"/>
  <c r="AA166" i="4" s="1"/>
  <c r="BE165" i="4"/>
  <c r="BB165" i="4"/>
  <c r="AX165" i="4"/>
  <c r="AQ165" i="4"/>
  <c r="AN165" i="4"/>
  <c r="AO165" i="4" s="1"/>
  <c r="AM165" i="4"/>
  <c r="AD165" i="4"/>
  <c r="AF165" i="4" s="1"/>
  <c r="Z165" i="4"/>
  <c r="AA165" i="4" s="1"/>
  <c r="BE164" i="4"/>
  <c r="BB164" i="4"/>
  <c r="AX164" i="4"/>
  <c r="AQ164" i="4"/>
  <c r="AR164" i="4" s="1"/>
  <c r="AN164" i="4"/>
  <c r="AO164" i="4" s="1"/>
  <c r="AM164" i="4"/>
  <c r="AD164" i="4"/>
  <c r="Z164" i="4"/>
  <c r="AA164" i="4" s="1"/>
  <c r="BE163" i="4"/>
  <c r="BB163" i="4"/>
  <c r="AX163" i="4"/>
  <c r="AQ163" i="4"/>
  <c r="AN163" i="4"/>
  <c r="AO163" i="4" s="1"/>
  <c r="AM163" i="4"/>
  <c r="AD163" i="4"/>
  <c r="AF163" i="4" s="1"/>
  <c r="Z163" i="4"/>
  <c r="BE162" i="4"/>
  <c r="BB162" i="4"/>
  <c r="AX162" i="4"/>
  <c r="AQ162" i="4"/>
  <c r="AR162" i="4" s="1"/>
  <c r="AN162" i="4"/>
  <c r="AO162" i="4" s="1"/>
  <c r="AM162" i="4"/>
  <c r="AD162" i="4"/>
  <c r="AF162" i="4" s="1"/>
  <c r="Z162" i="4"/>
  <c r="AA162" i="4" s="1"/>
  <c r="BE161" i="4"/>
  <c r="BB161" i="4"/>
  <c r="AX161" i="4"/>
  <c r="AQ161" i="4"/>
  <c r="AR161" i="4" s="1"/>
  <c r="AN161" i="4"/>
  <c r="AO161" i="4" s="1"/>
  <c r="AM161" i="4"/>
  <c r="AD161" i="4"/>
  <c r="AF161" i="4" s="1"/>
  <c r="Z161" i="4"/>
  <c r="AA161" i="4" s="1"/>
  <c r="BE160" i="4"/>
  <c r="BB160" i="4"/>
  <c r="AX160" i="4"/>
  <c r="AQ160" i="4"/>
  <c r="AR160" i="4" s="1"/>
  <c r="AN160" i="4"/>
  <c r="AO160" i="4" s="1"/>
  <c r="AM160" i="4"/>
  <c r="AD160" i="4"/>
  <c r="AE160" i="4" s="1"/>
  <c r="Z160" i="4"/>
  <c r="AA160" i="4" s="1"/>
  <c r="BE159" i="4"/>
  <c r="BB159" i="4"/>
  <c r="AX159" i="4"/>
  <c r="AQ159" i="4"/>
  <c r="AR159" i="4" s="1"/>
  <c r="AN159" i="4"/>
  <c r="AO159" i="4" s="1"/>
  <c r="AM159" i="4"/>
  <c r="AD159" i="4"/>
  <c r="AF159" i="4" s="1"/>
  <c r="Z159" i="4"/>
  <c r="AA159" i="4" s="1"/>
  <c r="BE158" i="4"/>
  <c r="BB158" i="4"/>
  <c r="AX158" i="4"/>
  <c r="AQ158" i="4"/>
  <c r="AR158" i="4" s="1"/>
  <c r="AN158" i="4"/>
  <c r="AO158" i="4" s="1"/>
  <c r="AM158" i="4"/>
  <c r="AD158" i="4"/>
  <c r="AF158" i="4" s="1"/>
  <c r="Z158" i="4"/>
  <c r="AA158" i="4" s="1"/>
  <c r="BE157" i="4"/>
  <c r="BB157" i="4"/>
  <c r="AX157" i="4"/>
  <c r="AQ157" i="4"/>
  <c r="AR157" i="4" s="1"/>
  <c r="AN157" i="4"/>
  <c r="AO157" i="4" s="1"/>
  <c r="AM157" i="4"/>
  <c r="AD157" i="4"/>
  <c r="AF157" i="4" s="1"/>
  <c r="Z157" i="4"/>
  <c r="BE156" i="4"/>
  <c r="BB156" i="4"/>
  <c r="AX156" i="4"/>
  <c r="AQ156" i="4"/>
  <c r="AR156" i="4" s="1"/>
  <c r="AN156" i="4"/>
  <c r="AO156" i="4" s="1"/>
  <c r="AM156" i="4"/>
  <c r="AD156" i="4"/>
  <c r="AF156" i="4" s="1"/>
  <c r="Z156" i="4"/>
  <c r="AA156" i="4" s="1"/>
  <c r="BE155" i="4"/>
  <c r="BB155" i="4"/>
  <c r="AX155" i="4"/>
  <c r="AQ155" i="4"/>
  <c r="AN155" i="4"/>
  <c r="AO155" i="4" s="1"/>
  <c r="AM155" i="4"/>
  <c r="AD155" i="4"/>
  <c r="AF155" i="4" s="1"/>
  <c r="Z155" i="4"/>
  <c r="BE154" i="4"/>
  <c r="BB154" i="4"/>
  <c r="AX154" i="4"/>
  <c r="AQ154" i="4"/>
  <c r="AR154" i="4" s="1"/>
  <c r="AN154" i="4"/>
  <c r="AO154" i="4" s="1"/>
  <c r="AM154" i="4"/>
  <c r="AD154" i="4"/>
  <c r="AE154" i="4" s="1"/>
  <c r="Z154" i="4"/>
  <c r="AA154" i="4" s="1"/>
  <c r="BE153" i="4"/>
  <c r="BB153" i="4"/>
  <c r="AX153" i="4"/>
  <c r="AQ153" i="4"/>
  <c r="AR153" i="4" s="1"/>
  <c r="AN153" i="4"/>
  <c r="AO153" i="4" s="1"/>
  <c r="AM153" i="4"/>
  <c r="AD153" i="4"/>
  <c r="AF153" i="4" s="1"/>
  <c r="Z153" i="4"/>
  <c r="AA153" i="4" s="1"/>
  <c r="BE152" i="4"/>
  <c r="BB152" i="4"/>
  <c r="AX152" i="4"/>
  <c r="AQ152" i="4"/>
  <c r="AR152" i="4" s="1"/>
  <c r="AN152" i="4"/>
  <c r="AO152" i="4" s="1"/>
  <c r="AM152" i="4"/>
  <c r="AD152" i="4"/>
  <c r="Z152" i="4"/>
  <c r="AA152" i="4" s="1"/>
  <c r="BE151" i="4"/>
  <c r="BB151" i="4"/>
  <c r="AX151" i="4"/>
  <c r="AQ151" i="4"/>
  <c r="AN151" i="4"/>
  <c r="AO151" i="4" s="1"/>
  <c r="AM151" i="4"/>
  <c r="AD151" i="4"/>
  <c r="AE151" i="4" s="1"/>
  <c r="Z151" i="4"/>
  <c r="AA151" i="4" s="1"/>
  <c r="BE150" i="4"/>
  <c r="BB150" i="4"/>
  <c r="AX150" i="4"/>
  <c r="AQ150" i="4"/>
  <c r="AR150" i="4" s="1"/>
  <c r="AN150" i="4"/>
  <c r="AO150" i="4" s="1"/>
  <c r="AM150" i="4"/>
  <c r="AD150" i="4"/>
  <c r="AF150" i="4" s="1"/>
  <c r="Z150" i="4"/>
  <c r="AA150" i="4" s="1"/>
  <c r="BE149" i="4"/>
  <c r="BB149" i="4"/>
  <c r="AX149" i="4"/>
  <c r="AQ149" i="4"/>
  <c r="AN149" i="4"/>
  <c r="AO149" i="4" s="1"/>
  <c r="AM149" i="4"/>
  <c r="AD149" i="4"/>
  <c r="AE149" i="4" s="1"/>
  <c r="Z149" i="4"/>
  <c r="AA149" i="4" s="1"/>
  <c r="BE148" i="4"/>
  <c r="BB148" i="4"/>
  <c r="AX148" i="4"/>
  <c r="AQ148" i="4"/>
  <c r="AR148" i="4" s="1"/>
  <c r="AN148" i="4"/>
  <c r="AO148" i="4" s="1"/>
  <c r="AM148" i="4"/>
  <c r="AD148" i="4"/>
  <c r="AF148" i="4" s="1"/>
  <c r="Z148" i="4"/>
  <c r="AA148" i="4" s="1"/>
  <c r="BE147" i="4"/>
  <c r="BB147" i="4"/>
  <c r="AX147" i="4"/>
  <c r="AQ147" i="4"/>
  <c r="AN147" i="4"/>
  <c r="AO147" i="4" s="1"/>
  <c r="AM147" i="4"/>
  <c r="AD147" i="4"/>
  <c r="AE147" i="4" s="1"/>
  <c r="Z147" i="4"/>
  <c r="BE146" i="4"/>
  <c r="BB146" i="4"/>
  <c r="AX146" i="4"/>
  <c r="AQ146" i="4"/>
  <c r="AR146" i="4" s="1"/>
  <c r="AN146" i="4"/>
  <c r="AO146" i="4" s="1"/>
  <c r="AM146" i="4"/>
  <c r="AD146" i="4"/>
  <c r="AE146" i="4" s="1"/>
  <c r="Z146" i="4"/>
  <c r="AA146" i="4" s="1"/>
  <c r="BE145" i="4"/>
  <c r="BB145" i="4"/>
  <c r="AX145" i="4"/>
  <c r="AQ145" i="4"/>
  <c r="AN145" i="4"/>
  <c r="AO145" i="4" s="1"/>
  <c r="AM145" i="4"/>
  <c r="AD145" i="4"/>
  <c r="Z145" i="4"/>
  <c r="BE144" i="4"/>
  <c r="BB144" i="4"/>
  <c r="AX144" i="4"/>
  <c r="AQ144" i="4"/>
  <c r="AR144" i="4" s="1"/>
  <c r="AN144" i="4"/>
  <c r="AO144" i="4" s="1"/>
  <c r="AM144" i="4"/>
  <c r="AD144" i="4"/>
  <c r="AF144" i="4" s="1"/>
  <c r="Z144" i="4"/>
  <c r="AA144" i="4" s="1"/>
  <c r="BE143" i="4"/>
  <c r="BB143" i="4"/>
  <c r="AX143" i="4"/>
  <c r="AQ143" i="4"/>
  <c r="AN143" i="4"/>
  <c r="AO143" i="4" s="1"/>
  <c r="AM143" i="4"/>
  <c r="AD143" i="4"/>
  <c r="Z143" i="4"/>
  <c r="BE142" i="4"/>
  <c r="BB142" i="4"/>
  <c r="AX142" i="4"/>
  <c r="AQ142" i="4"/>
  <c r="AR142" i="4" s="1"/>
  <c r="AN142" i="4"/>
  <c r="AO142" i="4" s="1"/>
  <c r="AM142" i="4"/>
  <c r="AD142" i="4"/>
  <c r="AF142" i="4" s="1"/>
  <c r="Z142" i="4"/>
  <c r="AA142" i="4" s="1"/>
  <c r="BE141" i="4"/>
  <c r="BB141" i="4"/>
  <c r="AX141" i="4"/>
  <c r="AQ141" i="4"/>
  <c r="AN141" i="4"/>
  <c r="AO141" i="4" s="1"/>
  <c r="AM141" i="4"/>
  <c r="AD141" i="4"/>
  <c r="Z141" i="4"/>
  <c r="BE140" i="4"/>
  <c r="BB140" i="4"/>
  <c r="AX140" i="4"/>
  <c r="AQ140" i="4"/>
  <c r="AR140" i="4" s="1"/>
  <c r="AN140" i="4"/>
  <c r="AO140" i="4" s="1"/>
  <c r="AM140" i="4"/>
  <c r="AD140" i="4"/>
  <c r="AF140" i="4" s="1"/>
  <c r="Z140" i="4"/>
  <c r="AA140" i="4" s="1"/>
  <c r="BE139" i="4"/>
  <c r="BB139" i="4"/>
  <c r="AX139" i="4"/>
  <c r="AQ139" i="4"/>
  <c r="AN139" i="4"/>
  <c r="AO139" i="4" s="1"/>
  <c r="AM139" i="4"/>
  <c r="AD139" i="4"/>
  <c r="Z139" i="4"/>
  <c r="BE138" i="4"/>
  <c r="BB138" i="4"/>
  <c r="AX138" i="4"/>
  <c r="AQ138" i="4"/>
  <c r="AR138" i="4" s="1"/>
  <c r="AN138" i="4"/>
  <c r="AO138" i="4" s="1"/>
  <c r="AM138" i="4"/>
  <c r="AD138" i="4"/>
  <c r="AE138" i="4" s="1"/>
  <c r="Z138" i="4"/>
  <c r="AA138" i="4" s="1"/>
  <c r="BE137" i="4"/>
  <c r="BB137" i="4"/>
  <c r="AX137" i="4"/>
  <c r="AQ137" i="4"/>
  <c r="AN137" i="4"/>
  <c r="AO137" i="4" s="1"/>
  <c r="AM137" i="4"/>
  <c r="AD137" i="4"/>
  <c r="Z137" i="4"/>
  <c r="BE136" i="4"/>
  <c r="BB136" i="4"/>
  <c r="AX136" i="4"/>
  <c r="AQ136" i="4"/>
  <c r="AR136" i="4" s="1"/>
  <c r="AN136" i="4"/>
  <c r="AO136" i="4" s="1"/>
  <c r="AM136" i="4"/>
  <c r="AD136" i="4"/>
  <c r="AF136" i="4" s="1"/>
  <c r="Z136" i="4"/>
  <c r="AA136" i="4" s="1"/>
  <c r="BE135" i="4"/>
  <c r="BB135" i="4"/>
  <c r="AX135" i="4"/>
  <c r="AQ135" i="4"/>
  <c r="AN135" i="4"/>
  <c r="AO135" i="4" s="1"/>
  <c r="AM135" i="4"/>
  <c r="AD135" i="4"/>
  <c r="Z135" i="4"/>
  <c r="BE134" i="4"/>
  <c r="BB134" i="4"/>
  <c r="AX134" i="4"/>
  <c r="AQ134" i="4"/>
  <c r="AR134" i="4" s="1"/>
  <c r="AN134" i="4"/>
  <c r="AO134" i="4" s="1"/>
  <c r="AM134" i="4"/>
  <c r="AD134" i="4"/>
  <c r="AF134" i="4" s="1"/>
  <c r="Z134" i="4"/>
  <c r="AA134" i="4" s="1"/>
  <c r="BE133" i="4"/>
  <c r="BB133" i="4"/>
  <c r="AX133" i="4"/>
  <c r="AQ133" i="4"/>
  <c r="AN133" i="4"/>
  <c r="AO133" i="4" s="1"/>
  <c r="AM133" i="4"/>
  <c r="AD133" i="4"/>
  <c r="Z133" i="4"/>
  <c r="BE132" i="4"/>
  <c r="BB132" i="4"/>
  <c r="AX132" i="4"/>
  <c r="AQ132" i="4"/>
  <c r="AR132" i="4" s="1"/>
  <c r="AN132" i="4"/>
  <c r="AO132" i="4" s="1"/>
  <c r="AM132" i="4"/>
  <c r="AD132" i="4"/>
  <c r="AF132" i="4" s="1"/>
  <c r="Z132" i="4"/>
  <c r="AA132" i="4" s="1"/>
  <c r="BE131" i="4"/>
  <c r="BB131" i="4"/>
  <c r="AX131" i="4"/>
  <c r="AQ131" i="4"/>
  <c r="AN131" i="4"/>
  <c r="AO131" i="4" s="1"/>
  <c r="AM131" i="4"/>
  <c r="AD131" i="4"/>
  <c r="Z131" i="4"/>
  <c r="BE130" i="4"/>
  <c r="BB130" i="4"/>
  <c r="AX130" i="4"/>
  <c r="AQ130" i="4"/>
  <c r="AR130" i="4" s="1"/>
  <c r="AN130" i="4"/>
  <c r="AO130" i="4" s="1"/>
  <c r="AM130" i="4"/>
  <c r="AD130" i="4"/>
  <c r="AE130" i="4" s="1"/>
  <c r="Z130" i="4"/>
  <c r="AA130" i="4" s="1"/>
  <c r="BE129" i="4"/>
  <c r="BB129" i="4"/>
  <c r="AX129" i="4"/>
  <c r="AQ129" i="4"/>
  <c r="AN129" i="4"/>
  <c r="AO129" i="4" s="1"/>
  <c r="AM129" i="4"/>
  <c r="AD129" i="4"/>
  <c r="Z129" i="4"/>
  <c r="BE128" i="4"/>
  <c r="BB128" i="4"/>
  <c r="AX128" i="4"/>
  <c r="AQ128" i="4"/>
  <c r="AR128" i="4" s="1"/>
  <c r="AN128" i="4"/>
  <c r="AO128" i="4" s="1"/>
  <c r="AM128" i="4"/>
  <c r="AD128" i="4"/>
  <c r="AF128" i="4" s="1"/>
  <c r="Z128" i="4"/>
  <c r="AA128" i="4" s="1"/>
  <c r="BE127" i="4"/>
  <c r="BB127" i="4"/>
  <c r="AX127" i="4"/>
  <c r="AQ127" i="4"/>
  <c r="AN127" i="4"/>
  <c r="AO127" i="4" s="1"/>
  <c r="AM127" i="4"/>
  <c r="AD127" i="4"/>
  <c r="Z127" i="4"/>
  <c r="BE126" i="4"/>
  <c r="BB126" i="4"/>
  <c r="AX126" i="4"/>
  <c r="AQ126" i="4"/>
  <c r="AR126" i="4" s="1"/>
  <c r="AN126" i="4"/>
  <c r="AO126" i="4" s="1"/>
  <c r="AM126" i="4"/>
  <c r="AD126" i="4"/>
  <c r="AF126" i="4" s="1"/>
  <c r="Z126" i="4"/>
  <c r="AA126" i="4" s="1"/>
  <c r="BE125" i="4"/>
  <c r="BB125" i="4"/>
  <c r="AX125" i="4"/>
  <c r="AQ125" i="4"/>
  <c r="AN125" i="4"/>
  <c r="AO125" i="4" s="1"/>
  <c r="AM125" i="4"/>
  <c r="AD125" i="4"/>
  <c r="Z125" i="4"/>
  <c r="BE124" i="4"/>
  <c r="BB124" i="4"/>
  <c r="AX124" i="4"/>
  <c r="AQ124" i="4"/>
  <c r="AR124" i="4" s="1"/>
  <c r="AN124" i="4"/>
  <c r="AO124" i="4" s="1"/>
  <c r="AM124" i="4"/>
  <c r="AD124" i="4"/>
  <c r="AE124" i="4" s="1"/>
  <c r="Z124" i="4"/>
  <c r="AA124" i="4" s="1"/>
  <c r="BE123" i="4"/>
  <c r="BB123" i="4"/>
  <c r="AX123" i="4"/>
  <c r="AQ123" i="4"/>
  <c r="AN123" i="4"/>
  <c r="AO123" i="4" s="1"/>
  <c r="AM123" i="4"/>
  <c r="AD123" i="4"/>
  <c r="Z123" i="4"/>
  <c r="BE122" i="4"/>
  <c r="BB122" i="4"/>
  <c r="AX122" i="4"/>
  <c r="AQ122" i="4"/>
  <c r="AR122" i="4" s="1"/>
  <c r="AN122" i="4"/>
  <c r="AO122" i="4" s="1"/>
  <c r="AM122" i="4"/>
  <c r="AD122" i="4"/>
  <c r="AF122" i="4" s="1"/>
  <c r="Z122" i="4"/>
  <c r="AA122" i="4" s="1"/>
  <c r="BE121" i="4"/>
  <c r="BB121" i="4"/>
  <c r="AX121" i="4"/>
  <c r="AQ121" i="4"/>
  <c r="AN121" i="4"/>
  <c r="AO121" i="4" s="1"/>
  <c r="AM121" i="4"/>
  <c r="AD121" i="4"/>
  <c r="AF121" i="4" s="1"/>
  <c r="Z121" i="4"/>
  <c r="BE120" i="4"/>
  <c r="BB120" i="4"/>
  <c r="AX120" i="4"/>
  <c r="AQ120" i="4"/>
  <c r="AR120" i="4" s="1"/>
  <c r="AN120" i="4"/>
  <c r="AO120" i="4" s="1"/>
  <c r="AM120" i="4"/>
  <c r="AD120" i="4"/>
  <c r="AF120" i="4" s="1"/>
  <c r="Z120" i="4"/>
  <c r="AA120" i="4" s="1"/>
  <c r="BE119" i="4"/>
  <c r="BB119" i="4"/>
  <c r="AX119" i="4"/>
  <c r="AQ119" i="4"/>
  <c r="AR119" i="4" s="1"/>
  <c r="AN119" i="4"/>
  <c r="AO119" i="4" s="1"/>
  <c r="AM119" i="4"/>
  <c r="AD119" i="4"/>
  <c r="AF119" i="4" s="1"/>
  <c r="Z119" i="4"/>
  <c r="AA119" i="4" s="1"/>
  <c r="BE118" i="4"/>
  <c r="BB118" i="4"/>
  <c r="AX118" i="4"/>
  <c r="AQ118" i="4"/>
  <c r="AR118" i="4" s="1"/>
  <c r="AN118" i="4"/>
  <c r="AO118" i="4" s="1"/>
  <c r="AM118" i="4"/>
  <c r="AD118" i="4"/>
  <c r="AF118" i="4" s="1"/>
  <c r="Z118" i="4"/>
  <c r="AA118" i="4" s="1"/>
  <c r="BE117" i="4"/>
  <c r="BB117" i="4"/>
  <c r="AX117" i="4"/>
  <c r="AQ117" i="4"/>
  <c r="AN117" i="4"/>
  <c r="AO117" i="4" s="1"/>
  <c r="AM117" i="4"/>
  <c r="AD117" i="4"/>
  <c r="AF117" i="4" s="1"/>
  <c r="Z117" i="4"/>
  <c r="BE116" i="4"/>
  <c r="BB116" i="4"/>
  <c r="AX116" i="4"/>
  <c r="AQ116" i="4"/>
  <c r="AR116" i="4" s="1"/>
  <c r="AN116" i="4"/>
  <c r="AO116" i="4" s="1"/>
  <c r="AM116" i="4"/>
  <c r="AD116" i="4"/>
  <c r="AF116" i="4" s="1"/>
  <c r="Z116" i="4"/>
  <c r="AA116" i="4" s="1"/>
  <c r="BE115" i="4"/>
  <c r="BB115" i="4"/>
  <c r="AX115" i="4"/>
  <c r="AQ115" i="4"/>
  <c r="AR115" i="4" s="1"/>
  <c r="AN115" i="4"/>
  <c r="AO115" i="4" s="1"/>
  <c r="AM115" i="4"/>
  <c r="AD115" i="4"/>
  <c r="Z115" i="4"/>
  <c r="AA115" i="4" s="1"/>
  <c r="BE114" i="4"/>
  <c r="BB114" i="4"/>
  <c r="AX114" i="4"/>
  <c r="AQ114" i="4"/>
  <c r="AR114" i="4" s="1"/>
  <c r="AN114" i="4"/>
  <c r="AO114" i="4" s="1"/>
  <c r="AM114" i="4"/>
  <c r="AD114" i="4"/>
  <c r="AF114" i="4" s="1"/>
  <c r="Z114" i="4"/>
  <c r="AA114" i="4" s="1"/>
  <c r="BE113" i="4"/>
  <c r="BB113" i="4"/>
  <c r="AX113" i="4"/>
  <c r="AQ113" i="4"/>
  <c r="AN113" i="4"/>
  <c r="AO113" i="4" s="1"/>
  <c r="AM113" i="4"/>
  <c r="AD113" i="4"/>
  <c r="AF113" i="4" s="1"/>
  <c r="Z113" i="4"/>
  <c r="BE112" i="4"/>
  <c r="BB112" i="4"/>
  <c r="AX112" i="4"/>
  <c r="AQ112" i="4"/>
  <c r="AR112" i="4" s="1"/>
  <c r="AN112" i="4"/>
  <c r="AO112" i="4" s="1"/>
  <c r="AM112" i="4"/>
  <c r="AD112" i="4"/>
  <c r="AF112" i="4" s="1"/>
  <c r="Z112" i="4"/>
  <c r="AA112" i="4" s="1"/>
  <c r="BE111" i="4"/>
  <c r="BB111" i="4"/>
  <c r="AX111" i="4"/>
  <c r="AQ111" i="4"/>
  <c r="AR111" i="4" s="1"/>
  <c r="AN111" i="4"/>
  <c r="AO111" i="4" s="1"/>
  <c r="AM111" i="4"/>
  <c r="AD111" i="4"/>
  <c r="AF111" i="4" s="1"/>
  <c r="Z111" i="4"/>
  <c r="AA111" i="4" s="1"/>
  <c r="BE110" i="4"/>
  <c r="BB110" i="4"/>
  <c r="AX110" i="4"/>
  <c r="AQ110" i="4"/>
  <c r="AR110" i="4" s="1"/>
  <c r="AN110" i="4"/>
  <c r="AO110" i="4" s="1"/>
  <c r="AM110" i="4"/>
  <c r="AD110" i="4"/>
  <c r="AF110" i="4" s="1"/>
  <c r="Z110" i="4"/>
  <c r="AA110" i="4" s="1"/>
  <c r="BE109" i="4"/>
  <c r="BB109" i="4"/>
  <c r="AX109" i="4"/>
  <c r="AQ109" i="4"/>
  <c r="AN109" i="4"/>
  <c r="AO109" i="4" s="1"/>
  <c r="AM109" i="4"/>
  <c r="AD109" i="4"/>
  <c r="AF109" i="4" s="1"/>
  <c r="Z109" i="4"/>
  <c r="BE108" i="4"/>
  <c r="BB108" i="4"/>
  <c r="AX108" i="4"/>
  <c r="AQ108" i="4"/>
  <c r="AR108" i="4" s="1"/>
  <c r="AN108" i="4"/>
  <c r="AO108" i="4" s="1"/>
  <c r="AM108" i="4"/>
  <c r="AD108" i="4"/>
  <c r="AF108" i="4" s="1"/>
  <c r="Z108" i="4"/>
  <c r="AA108" i="4" s="1"/>
  <c r="BE107" i="4"/>
  <c r="BB107" i="4"/>
  <c r="AX107" i="4"/>
  <c r="AQ107" i="4"/>
  <c r="AR107" i="4" s="1"/>
  <c r="AN107" i="4"/>
  <c r="AO107" i="4" s="1"/>
  <c r="AM107" i="4"/>
  <c r="AD107" i="4"/>
  <c r="Z107" i="4"/>
  <c r="AA107" i="4" s="1"/>
  <c r="BE106" i="4"/>
  <c r="BB106" i="4"/>
  <c r="AX106" i="4"/>
  <c r="AQ106" i="4"/>
  <c r="AR106" i="4" s="1"/>
  <c r="AN106" i="4"/>
  <c r="AO106" i="4" s="1"/>
  <c r="AM106" i="4"/>
  <c r="AD106" i="4"/>
  <c r="AF106" i="4" s="1"/>
  <c r="Z106" i="4"/>
  <c r="AA106" i="4" s="1"/>
  <c r="BE105" i="4"/>
  <c r="BB105" i="4"/>
  <c r="AX105" i="4"/>
  <c r="AQ105" i="4"/>
  <c r="AN105" i="4"/>
  <c r="AO105" i="4" s="1"/>
  <c r="AM105" i="4"/>
  <c r="AD105" i="4"/>
  <c r="Z105" i="4"/>
  <c r="BE104" i="4"/>
  <c r="BB104" i="4"/>
  <c r="AX104" i="4"/>
  <c r="AQ104" i="4"/>
  <c r="AN104" i="4"/>
  <c r="AO104" i="4" s="1"/>
  <c r="AM104" i="4"/>
  <c r="AD104" i="4"/>
  <c r="AE104" i="4" s="1"/>
  <c r="Z104" i="4"/>
  <c r="AA104" i="4" s="1"/>
  <c r="BE103" i="4"/>
  <c r="BB103" i="4"/>
  <c r="AX103" i="4"/>
  <c r="AQ103" i="4"/>
  <c r="AN103" i="4"/>
  <c r="AO103" i="4" s="1"/>
  <c r="AM103" i="4"/>
  <c r="AD103" i="4"/>
  <c r="Z103" i="4"/>
  <c r="BE102" i="4"/>
  <c r="BB102" i="4"/>
  <c r="AX102" i="4"/>
  <c r="AQ102" i="4"/>
  <c r="AN102" i="4"/>
  <c r="AO102" i="4" s="1"/>
  <c r="AM102" i="4"/>
  <c r="AD102" i="4"/>
  <c r="AE102" i="4" s="1"/>
  <c r="Z102" i="4"/>
  <c r="AA102" i="4" s="1"/>
  <c r="BE101" i="4"/>
  <c r="BB101" i="4"/>
  <c r="AX101" i="4"/>
  <c r="AQ101" i="4"/>
  <c r="AN101" i="4"/>
  <c r="AO101" i="4" s="1"/>
  <c r="AM101" i="4"/>
  <c r="AD101" i="4"/>
  <c r="Z101" i="4"/>
  <c r="BE100" i="4"/>
  <c r="BB100" i="4"/>
  <c r="AX100" i="4"/>
  <c r="AQ100" i="4"/>
  <c r="AN100" i="4"/>
  <c r="AO100" i="4" s="1"/>
  <c r="AM100" i="4"/>
  <c r="AD100" i="4"/>
  <c r="AE100" i="4" s="1"/>
  <c r="Z100" i="4"/>
  <c r="AA100" i="4" s="1"/>
  <c r="BE99" i="4"/>
  <c r="BB99" i="4"/>
  <c r="AX99" i="4"/>
  <c r="AQ99" i="4"/>
  <c r="AN99" i="4"/>
  <c r="AO99" i="4" s="1"/>
  <c r="AM99" i="4"/>
  <c r="AD99" i="4"/>
  <c r="Z99" i="4"/>
  <c r="BE98" i="4"/>
  <c r="BB98" i="4"/>
  <c r="AX98" i="4"/>
  <c r="AQ98" i="4"/>
  <c r="AN98" i="4"/>
  <c r="AO98" i="4" s="1"/>
  <c r="AM98" i="4"/>
  <c r="AD98" i="4"/>
  <c r="AE98" i="4" s="1"/>
  <c r="Z98" i="4"/>
  <c r="AA98" i="4" s="1"/>
  <c r="BE97" i="4"/>
  <c r="BB97" i="4"/>
  <c r="AX97" i="4"/>
  <c r="AQ97" i="4"/>
  <c r="AN97" i="4"/>
  <c r="AO97" i="4" s="1"/>
  <c r="AM97" i="4"/>
  <c r="AD97" i="4"/>
  <c r="Z97" i="4"/>
  <c r="BE96" i="4"/>
  <c r="BB96" i="4"/>
  <c r="AX96" i="4"/>
  <c r="AQ96" i="4"/>
  <c r="AN96" i="4"/>
  <c r="AO96" i="4" s="1"/>
  <c r="AM96" i="4"/>
  <c r="AD96" i="4"/>
  <c r="AE96" i="4" s="1"/>
  <c r="Z96" i="4"/>
  <c r="AA96" i="4" s="1"/>
  <c r="BE95" i="4"/>
  <c r="BB95" i="4"/>
  <c r="AX95" i="4"/>
  <c r="AQ95" i="4"/>
  <c r="AN95" i="4"/>
  <c r="AO95" i="4" s="1"/>
  <c r="AM95" i="4"/>
  <c r="AD95" i="4"/>
  <c r="Z95" i="4"/>
  <c r="BE94" i="4"/>
  <c r="BB94" i="4"/>
  <c r="AX94" i="4"/>
  <c r="AQ94" i="4"/>
  <c r="AN94" i="4"/>
  <c r="AO94" i="4" s="1"/>
  <c r="AM94" i="4"/>
  <c r="AD94" i="4"/>
  <c r="AE94" i="4" s="1"/>
  <c r="Z94" i="4"/>
  <c r="AA94" i="4" s="1"/>
  <c r="BE93" i="4"/>
  <c r="BB93" i="4"/>
  <c r="AX93" i="4"/>
  <c r="AQ93" i="4"/>
  <c r="AN93" i="4"/>
  <c r="AO93" i="4" s="1"/>
  <c r="AM93" i="4"/>
  <c r="AD93" i="4"/>
  <c r="Z93" i="4"/>
  <c r="BE92" i="4"/>
  <c r="BB92" i="4"/>
  <c r="AX92" i="4"/>
  <c r="AQ92" i="4"/>
  <c r="AN92" i="4"/>
  <c r="AO92" i="4" s="1"/>
  <c r="AM92" i="4"/>
  <c r="AD92" i="4"/>
  <c r="AE92" i="4" s="1"/>
  <c r="Z92" i="4"/>
  <c r="AA92" i="4" s="1"/>
  <c r="BE91" i="4"/>
  <c r="BB91" i="4"/>
  <c r="AX91" i="4"/>
  <c r="AQ91" i="4"/>
  <c r="AR91" i="4" s="1"/>
  <c r="AN91" i="4"/>
  <c r="AO91" i="4" s="1"/>
  <c r="AM91" i="4"/>
  <c r="AD91" i="4"/>
  <c r="AF91" i="4" s="1"/>
  <c r="Z91" i="4"/>
  <c r="AA91" i="4" s="1"/>
  <c r="BE90" i="4"/>
  <c r="BB90" i="4"/>
  <c r="AX90" i="4"/>
  <c r="AQ90" i="4"/>
  <c r="AN90" i="4"/>
  <c r="AO90" i="4" s="1"/>
  <c r="AM90" i="4"/>
  <c r="AD90" i="4"/>
  <c r="AE90" i="4" s="1"/>
  <c r="Z90" i="4"/>
  <c r="AA90" i="4" s="1"/>
  <c r="BE89" i="4"/>
  <c r="BB89" i="4"/>
  <c r="AX89" i="4"/>
  <c r="AQ89" i="4"/>
  <c r="AN89" i="4"/>
  <c r="AO89" i="4" s="1"/>
  <c r="AM89" i="4"/>
  <c r="AD89" i="4"/>
  <c r="AE89" i="4" s="1"/>
  <c r="Z89" i="4"/>
  <c r="BE88" i="4"/>
  <c r="BB88" i="4"/>
  <c r="AX88" i="4"/>
  <c r="AQ88" i="4"/>
  <c r="AN88" i="4"/>
  <c r="AO88" i="4" s="1"/>
  <c r="AM88" i="4"/>
  <c r="AD88" i="4"/>
  <c r="AE88" i="4" s="1"/>
  <c r="Z88" i="4"/>
  <c r="AA88" i="4" s="1"/>
  <c r="BE87" i="4"/>
  <c r="BB87" i="4"/>
  <c r="AX87" i="4"/>
  <c r="AQ87" i="4"/>
  <c r="AN87" i="4"/>
  <c r="AO87" i="4" s="1"/>
  <c r="AM87" i="4"/>
  <c r="AD87" i="4"/>
  <c r="AF87" i="4" s="1"/>
  <c r="Z87" i="4"/>
  <c r="BE86" i="4"/>
  <c r="BB86" i="4"/>
  <c r="AX86" i="4"/>
  <c r="AQ86" i="4"/>
  <c r="AN86" i="4"/>
  <c r="AO86" i="4" s="1"/>
  <c r="AM86" i="4"/>
  <c r="AD86" i="4"/>
  <c r="AE86" i="4" s="1"/>
  <c r="Z86" i="4"/>
  <c r="AA86" i="4" s="1"/>
  <c r="BE85" i="4"/>
  <c r="BB85" i="4"/>
  <c r="AX85" i="4"/>
  <c r="AQ85" i="4"/>
  <c r="AR85" i="4" s="1"/>
  <c r="AN85" i="4"/>
  <c r="AO85" i="4" s="1"/>
  <c r="AM85" i="4"/>
  <c r="AD85" i="4"/>
  <c r="AF85" i="4" s="1"/>
  <c r="Z85" i="4"/>
  <c r="AA85" i="4" s="1"/>
  <c r="BE84" i="4"/>
  <c r="BB84" i="4"/>
  <c r="AX84" i="4"/>
  <c r="AQ84" i="4"/>
  <c r="AR84" i="4" s="1"/>
  <c r="AN84" i="4"/>
  <c r="AO84" i="4" s="1"/>
  <c r="AM84" i="4"/>
  <c r="AD84" i="4"/>
  <c r="AE84" i="4" s="1"/>
  <c r="Z84" i="4"/>
  <c r="AA84" i="4" s="1"/>
  <c r="BE83" i="4"/>
  <c r="BB83" i="4"/>
  <c r="AX83" i="4"/>
  <c r="AQ83" i="4"/>
  <c r="AR83" i="4" s="1"/>
  <c r="AN83" i="4"/>
  <c r="AO83" i="4" s="1"/>
  <c r="AM83" i="4"/>
  <c r="AD83" i="4"/>
  <c r="AF83" i="4" s="1"/>
  <c r="Z83" i="4"/>
  <c r="AA83" i="4" s="1"/>
  <c r="BE82" i="4"/>
  <c r="BB82" i="4"/>
  <c r="AX82" i="4"/>
  <c r="AQ82" i="4"/>
  <c r="AR82" i="4" s="1"/>
  <c r="AN82" i="4"/>
  <c r="AO82" i="4" s="1"/>
  <c r="AM82" i="4"/>
  <c r="AD82" i="4"/>
  <c r="AF82" i="4" s="1"/>
  <c r="Z82" i="4"/>
  <c r="AA82" i="4" s="1"/>
  <c r="BE81" i="4"/>
  <c r="BB81" i="4"/>
  <c r="AX81" i="4"/>
  <c r="AQ81" i="4"/>
  <c r="AR81" i="4" s="1"/>
  <c r="AN81" i="4"/>
  <c r="AO81" i="4" s="1"/>
  <c r="AM81" i="4"/>
  <c r="AD81" i="4"/>
  <c r="AF81" i="4" s="1"/>
  <c r="Z81" i="4"/>
  <c r="AA81" i="4" s="1"/>
  <c r="BE80" i="4"/>
  <c r="BB80" i="4"/>
  <c r="AX80" i="4"/>
  <c r="AQ80" i="4"/>
  <c r="AN80" i="4"/>
  <c r="AO80" i="4" s="1"/>
  <c r="AM80" i="4"/>
  <c r="AD80" i="4"/>
  <c r="AF80" i="4" s="1"/>
  <c r="Z80" i="4"/>
  <c r="AA80" i="4" s="1"/>
  <c r="BE79" i="4"/>
  <c r="BB79" i="4"/>
  <c r="AX79" i="4"/>
  <c r="AQ79" i="4"/>
  <c r="AR79" i="4" s="1"/>
  <c r="AN79" i="4"/>
  <c r="AO79" i="4" s="1"/>
  <c r="AM79" i="4"/>
  <c r="AD79" i="4"/>
  <c r="AF79" i="4" s="1"/>
  <c r="Z79" i="4"/>
  <c r="AA79" i="4" s="1"/>
  <c r="BE78" i="4"/>
  <c r="BB78" i="4"/>
  <c r="AX78" i="4"/>
  <c r="AQ78" i="4"/>
  <c r="AR78" i="4" s="1"/>
  <c r="AN78" i="4"/>
  <c r="AO78" i="4" s="1"/>
  <c r="AM78" i="4"/>
  <c r="AD78" i="4"/>
  <c r="AF78" i="4" s="1"/>
  <c r="Z78" i="4"/>
  <c r="AA78" i="4" s="1"/>
  <c r="BE77" i="4"/>
  <c r="BB77" i="4"/>
  <c r="AX77" i="4"/>
  <c r="AQ77" i="4"/>
  <c r="AR77" i="4" s="1"/>
  <c r="AN77" i="4"/>
  <c r="AO77" i="4" s="1"/>
  <c r="AM77" i="4"/>
  <c r="AD77" i="4"/>
  <c r="AF77" i="4" s="1"/>
  <c r="Z77" i="4"/>
  <c r="AA77" i="4" s="1"/>
  <c r="BE76" i="4"/>
  <c r="BB76" i="4"/>
  <c r="AX76" i="4"/>
  <c r="AQ76" i="4"/>
  <c r="AR76" i="4" s="1"/>
  <c r="AN76" i="4"/>
  <c r="AO76" i="4" s="1"/>
  <c r="AM76" i="4"/>
  <c r="AD76" i="4"/>
  <c r="AF76" i="4" s="1"/>
  <c r="Z76" i="4"/>
  <c r="AA76" i="4" s="1"/>
  <c r="BE75" i="4"/>
  <c r="BB75" i="4"/>
  <c r="AX75" i="4"/>
  <c r="AQ75" i="4"/>
  <c r="AR75" i="4" s="1"/>
  <c r="AN75" i="4"/>
  <c r="AO75" i="4" s="1"/>
  <c r="AM75" i="4"/>
  <c r="AD75" i="4"/>
  <c r="AF75" i="4" s="1"/>
  <c r="Z75" i="4"/>
  <c r="AA75" i="4" s="1"/>
  <c r="BE74" i="4"/>
  <c r="BB74" i="4"/>
  <c r="AX74" i="4"/>
  <c r="AQ74" i="4"/>
  <c r="AR74" i="4" s="1"/>
  <c r="AN74" i="4"/>
  <c r="AO74" i="4" s="1"/>
  <c r="AM74" i="4"/>
  <c r="AD74" i="4"/>
  <c r="AF74" i="4" s="1"/>
  <c r="Z74" i="4"/>
  <c r="AA74" i="4" s="1"/>
  <c r="BE73" i="4"/>
  <c r="BB73" i="4"/>
  <c r="AX73" i="4"/>
  <c r="AQ73" i="4"/>
  <c r="AR73" i="4" s="1"/>
  <c r="AN73" i="4"/>
  <c r="AO73" i="4" s="1"/>
  <c r="AM73" i="4"/>
  <c r="AD73" i="4"/>
  <c r="AF73" i="4" s="1"/>
  <c r="Z73" i="4"/>
  <c r="AA73" i="4" s="1"/>
  <c r="BE72" i="4"/>
  <c r="BB72" i="4"/>
  <c r="AX72" i="4"/>
  <c r="AQ72" i="4"/>
  <c r="AR72" i="4" s="1"/>
  <c r="AN72" i="4"/>
  <c r="AO72" i="4" s="1"/>
  <c r="AM72" i="4"/>
  <c r="AD72" i="4"/>
  <c r="AF72" i="4" s="1"/>
  <c r="Z72" i="4"/>
  <c r="AA72" i="4" s="1"/>
  <c r="BE71" i="4"/>
  <c r="BB71" i="4"/>
  <c r="AX71" i="4"/>
  <c r="AQ71" i="4"/>
  <c r="AR71" i="4" s="1"/>
  <c r="AN71" i="4"/>
  <c r="AO71" i="4" s="1"/>
  <c r="AM71" i="4"/>
  <c r="AD71" i="4"/>
  <c r="Z71" i="4"/>
  <c r="AA71" i="4" s="1"/>
  <c r="BE70" i="4"/>
  <c r="BB70" i="4"/>
  <c r="AX70" i="4"/>
  <c r="AQ70" i="4"/>
  <c r="AR70" i="4" s="1"/>
  <c r="AN70" i="4"/>
  <c r="AO70" i="4" s="1"/>
  <c r="AM70" i="4"/>
  <c r="AD70" i="4"/>
  <c r="AE70" i="4" s="1"/>
  <c r="Z70" i="4"/>
  <c r="AA70" i="4" s="1"/>
  <c r="BE69" i="4"/>
  <c r="BB69" i="4"/>
  <c r="AX69" i="4"/>
  <c r="AQ69" i="4"/>
  <c r="AR69" i="4" s="1"/>
  <c r="AN69" i="4"/>
  <c r="AO69" i="4" s="1"/>
  <c r="AM69" i="4"/>
  <c r="AD69" i="4"/>
  <c r="AF69" i="4" s="1"/>
  <c r="Z69" i="4"/>
  <c r="AA69" i="4" s="1"/>
  <c r="BE68" i="4"/>
  <c r="BB68" i="4"/>
  <c r="AX68" i="4"/>
  <c r="AQ68" i="4"/>
  <c r="AN68" i="4"/>
  <c r="AO68" i="4" s="1"/>
  <c r="AM68" i="4"/>
  <c r="AD68" i="4"/>
  <c r="AE68" i="4" s="1"/>
  <c r="Z68" i="4"/>
  <c r="AA68" i="4" s="1"/>
  <c r="BE67" i="4"/>
  <c r="BB67" i="4"/>
  <c r="AX67" i="4"/>
  <c r="AQ67" i="4"/>
  <c r="AR67" i="4" s="1"/>
  <c r="AN67" i="4"/>
  <c r="AO67" i="4" s="1"/>
  <c r="AM67" i="4"/>
  <c r="AD67" i="4"/>
  <c r="AF67" i="4" s="1"/>
  <c r="Z67" i="4"/>
  <c r="AA67" i="4" s="1"/>
  <c r="BE66" i="4"/>
  <c r="BB66" i="4"/>
  <c r="AX66" i="4"/>
  <c r="AQ66" i="4"/>
  <c r="AN66" i="4"/>
  <c r="AO66" i="4" s="1"/>
  <c r="AM66" i="4"/>
  <c r="AD66" i="4"/>
  <c r="AE66" i="4" s="1"/>
  <c r="Z66" i="4"/>
  <c r="AA66" i="4" s="1"/>
  <c r="BE65" i="4"/>
  <c r="BB65" i="4"/>
  <c r="AX65" i="4"/>
  <c r="AQ65" i="4"/>
  <c r="AR65" i="4" s="1"/>
  <c r="AN65" i="4"/>
  <c r="AO65" i="4" s="1"/>
  <c r="AM65" i="4"/>
  <c r="AD65" i="4"/>
  <c r="AF65" i="4" s="1"/>
  <c r="Z65" i="4"/>
  <c r="AA65" i="4" s="1"/>
  <c r="BE64" i="4"/>
  <c r="BB64" i="4"/>
  <c r="AX64" i="4"/>
  <c r="AQ64" i="4"/>
  <c r="AN64" i="4"/>
  <c r="AO64" i="4" s="1"/>
  <c r="AM64" i="4"/>
  <c r="AD64" i="4"/>
  <c r="AE64" i="4" s="1"/>
  <c r="Z64" i="4"/>
  <c r="AA64" i="4" s="1"/>
  <c r="BE63" i="4"/>
  <c r="BB63" i="4"/>
  <c r="AX63" i="4"/>
  <c r="AQ63" i="4"/>
  <c r="AR63" i="4" s="1"/>
  <c r="AN63" i="4"/>
  <c r="AO63" i="4" s="1"/>
  <c r="AM63" i="4"/>
  <c r="AD63" i="4"/>
  <c r="AF63" i="4" s="1"/>
  <c r="Z63" i="4"/>
  <c r="AA63" i="4" s="1"/>
  <c r="BE62" i="4"/>
  <c r="BB62" i="4"/>
  <c r="AX62" i="4"/>
  <c r="AQ62" i="4"/>
  <c r="AN62" i="4"/>
  <c r="AO62" i="4" s="1"/>
  <c r="AM62" i="4"/>
  <c r="AD62" i="4"/>
  <c r="AE62" i="4" s="1"/>
  <c r="Z62" i="4"/>
  <c r="AA62" i="4" s="1"/>
  <c r="BE61" i="4"/>
  <c r="BB61" i="4"/>
  <c r="AX61" i="4"/>
  <c r="AQ61" i="4"/>
  <c r="AR61" i="4" s="1"/>
  <c r="AN61" i="4"/>
  <c r="AO61" i="4" s="1"/>
  <c r="AM61" i="4"/>
  <c r="AD61" i="4"/>
  <c r="AE61" i="4" s="1"/>
  <c r="Z61" i="4"/>
  <c r="AA61" i="4" s="1"/>
  <c r="BE60" i="4"/>
  <c r="BB60" i="4"/>
  <c r="AX60" i="4"/>
  <c r="AQ60" i="4"/>
  <c r="AN60" i="4"/>
  <c r="AO60" i="4" s="1"/>
  <c r="AM60" i="4"/>
  <c r="AD60" i="4"/>
  <c r="AE60" i="4" s="1"/>
  <c r="Z60" i="4"/>
  <c r="AA60" i="4" s="1"/>
  <c r="BE59" i="4"/>
  <c r="BB59" i="4"/>
  <c r="AX59" i="4"/>
  <c r="AQ59" i="4"/>
  <c r="AR59" i="4" s="1"/>
  <c r="AN59" i="4"/>
  <c r="AO59" i="4" s="1"/>
  <c r="AM59" i="4"/>
  <c r="AD59" i="4"/>
  <c r="AF59" i="4" s="1"/>
  <c r="Z59" i="4"/>
  <c r="AA59" i="4" s="1"/>
  <c r="BE58" i="4"/>
  <c r="BB58" i="4"/>
  <c r="AX58" i="4"/>
  <c r="AQ58" i="4"/>
  <c r="AN58" i="4"/>
  <c r="AO58" i="4" s="1"/>
  <c r="AM58" i="4"/>
  <c r="AD58" i="4"/>
  <c r="AE58" i="4" s="1"/>
  <c r="Z58" i="4"/>
  <c r="AA58" i="4" s="1"/>
  <c r="BE57" i="4"/>
  <c r="BB57" i="4"/>
  <c r="AX57" i="4"/>
  <c r="AQ57" i="4"/>
  <c r="AR57" i="4" s="1"/>
  <c r="AN57" i="4"/>
  <c r="AO57" i="4" s="1"/>
  <c r="AM57" i="4"/>
  <c r="AD57" i="4"/>
  <c r="AF57" i="4" s="1"/>
  <c r="Z57" i="4"/>
  <c r="AA57" i="4" s="1"/>
  <c r="BE56" i="4"/>
  <c r="BB56" i="4"/>
  <c r="AX56" i="4"/>
  <c r="AQ56" i="4"/>
  <c r="AN56" i="4"/>
  <c r="AO56" i="4" s="1"/>
  <c r="AM56" i="4"/>
  <c r="AD56" i="4"/>
  <c r="AE56" i="4" s="1"/>
  <c r="Z56" i="4"/>
  <c r="AA56" i="4" s="1"/>
  <c r="BE55" i="4"/>
  <c r="BB55" i="4"/>
  <c r="AX55" i="4"/>
  <c r="AQ55" i="4"/>
  <c r="AR55" i="4" s="1"/>
  <c r="AN55" i="4"/>
  <c r="AO55" i="4" s="1"/>
  <c r="AM55" i="4"/>
  <c r="AD55" i="4"/>
  <c r="AE55" i="4" s="1"/>
  <c r="Z55" i="4"/>
  <c r="AA55" i="4" s="1"/>
  <c r="BE54" i="4"/>
  <c r="BB54" i="4"/>
  <c r="AX54" i="4"/>
  <c r="AQ54" i="4"/>
  <c r="AR54" i="4" s="1"/>
  <c r="AN54" i="4"/>
  <c r="AO54" i="4" s="1"/>
  <c r="AM54" i="4"/>
  <c r="AD54" i="4"/>
  <c r="AE54" i="4" s="1"/>
  <c r="Z54" i="4"/>
  <c r="AA54" i="4" s="1"/>
  <c r="BE53" i="4"/>
  <c r="BB53" i="4"/>
  <c r="AX53" i="4"/>
  <c r="AQ53" i="4"/>
  <c r="AR53" i="4" s="1"/>
  <c r="AN53" i="4"/>
  <c r="AO53" i="4" s="1"/>
  <c r="AM53" i="4"/>
  <c r="AD53" i="4"/>
  <c r="AF53" i="4" s="1"/>
  <c r="Z53" i="4"/>
  <c r="AA53" i="4" s="1"/>
  <c r="BE52" i="4"/>
  <c r="BB52" i="4"/>
  <c r="AX52" i="4"/>
  <c r="AQ52" i="4"/>
  <c r="AN52" i="4"/>
  <c r="AO52" i="4" s="1"/>
  <c r="AM52" i="4"/>
  <c r="AD52" i="4"/>
  <c r="Z52" i="4"/>
  <c r="BE51" i="4"/>
  <c r="BB51" i="4"/>
  <c r="AX51" i="4"/>
  <c r="AQ51" i="4"/>
  <c r="AR51" i="4" s="1"/>
  <c r="AN51" i="4"/>
  <c r="AO51" i="4" s="1"/>
  <c r="AM51" i="4"/>
  <c r="AD51" i="4"/>
  <c r="AF51" i="4" s="1"/>
  <c r="Z51" i="4"/>
  <c r="AA51" i="4" s="1"/>
  <c r="BE50" i="4"/>
  <c r="BB50" i="4"/>
  <c r="AX50" i="4"/>
  <c r="AQ50" i="4"/>
  <c r="AN50" i="4"/>
  <c r="AO50" i="4" s="1"/>
  <c r="AM50" i="4"/>
  <c r="AD50" i="4"/>
  <c r="Z50" i="4"/>
  <c r="BE49" i="4"/>
  <c r="BB49" i="4"/>
  <c r="AX49" i="4"/>
  <c r="AQ49" i="4"/>
  <c r="AR49" i="4" s="1"/>
  <c r="AN49" i="4"/>
  <c r="AO49" i="4" s="1"/>
  <c r="AM49" i="4"/>
  <c r="AD49" i="4"/>
  <c r="AF49" i="4" s="1"/>
  <c r="Z49" i="4"/>
  <c r="AA49" i="4" s="1"/>
  <c r="BE48" i="4"/>
  <c r="BB48" i="4"/>
  <c r="AX48" i="4"/>
  <c r="AQ48" i="4"/>
  <c r="AN48" i="4"/>
  <c r="AO48" i="4" s="1"/>
  <c r="AM48" i="4"/>
  <c r="AD48" i="4"/>
  <c r="Z48" i="4"/>
  <c r="BE47" i="4"/>
  <c r="BB47" i="4"/>
  <c r="AX47" i="4"/>
  <c r="AQ47" i="4"/>
  <c r="AR47" i="4" s="1"/>
  <c r="AN47" i="4"/>
  <c r="AO47" i="4" s="1"/>
  <c r="AM47" i="4"/>
  <c r="AD47" i="4"/>
  <c r="AF47" i="4" s="1"/>
  <c r="Z47" i="4"/>
  <c r="AA47" i="4" s="1"/>
  <c r="BE46" i="4"/>
  <c r="BB46" i="4"/>
  <c r="AX46" i="4"/>
  <c r="AQ46" i="4"/>
  <c r="AN46" i="4"/>
  <c r="AO46" i="4" s="1"/>
  <c r="AM46" i="4"/>
  <c r="AD46" i="4"/>
  <c r="Z46" i="4"/>
  <c r="BE45" i="4"/>
  <c r="BB45" i="4"/>
  <c r="AX45" i="4"/>
  <c r="AQ45" i="4"/>
  <c r="AR45" i="4" s="1"/>
  <c r="AN45" i="4"/>
  <c r="AO45" i="4" s="1"/>
  <c r="AM45" i="4"/>
  <c r="AD45" i="4"/>
  <c r="AF45" i="4" s="1"/>
  <c r="Z45" i="4"/>
  <c r="AA45" i="4" s="1"/>
  <c r="BE44" i="4"/>
  <c r="BB44" i="4"/>
  <c r="AX44" i="4"/>
  <c r="AQ44" i="4"/>
  <c r="AN44" i="4"/>
  <c r="AO44" i="4" s="1"/>
  <c r="AM44" i="4"/>
  <c r="AD44" i="4"/>
  <c r="Z44" i="4"/>
  <c r="BE43" i="4"/>
  <c r="BB43" i="4"/>
  <c r="AX43" i="4"/>
  <c r="AQ43" i="4"/>
  <c r="AR43" i="4" s="1"/>
  <c r="AN43" i="4"/>
  <c r="AO43" i="4" s="1"/>
  <c r="AM43" i="4"/>
  <c r="AD43" i="4"/>
  <c r="AF43" i="4" s="1"/>
  <c r="Z43" i="4"/>
  <c r="AA43" i="4" s="1"/>
  <c r="BE42" i="4"/>
  <c r="BB42" i="4"/>
  <c r="AX42" i="4"/>
  <c r="AQ42" i="4"/>
  <c r="AN42" i="4"/>
  <c r="AO42" i="4" s="1"/>
  <c r="AM42" i="4"/>
  <c r="AD42" i="4"/>
  <c r="Z42" i="4"/>
  <c r="BE41" i="4"/>
  <c r="BB41" i="4"/>
  <c r="AX41" i="4"/>
  <c r="AQ41" i="4"/>
  <c r="AR41" i="4" s="1"/>
  <c r="AN41" i="4"/>
  <c r="AO41" i="4" s="1"/>
  <c r="AM41" i="4"/>
  <c r="AD41" i="4"/>
  <c r="AE41" i="4" s="1"/>
  <c r="Z41" i="4"/>
  <c r="AA41" i="4" s="1"/>
  <c r="BE40" i="4"/>
  <c r="BB40" i="4"/>
  <c r="AX40" i="4"/>
  <c r="AQ40" i="4"/>
  <c r="AN40" i="4"/>
  <c r="AO40" i="4" s="1"/>
  <c r="AM40" i="4"/>
  <c r="AD40" i="4"/>
  <c r="Z40" i="4"/>
  <c r="BE39" i="4"/>
  <c r="BB39" i="4"/>
  <c r="AX39" i="4"/>
  <c r="AQ39" i="4"/>
  <c r="AR39" i="4" s="1"/>
  <c r="AN39" i="4"/>
  <c r="AO39" i="4" s="1"/>
  <c r="AM39" i="4"/>
  <c r="AD39" i="4"/>
  <c r="AF39" i="4" s="1"/>
  <c r="Z39" i="4"/>
  <c r="AA39" i="4" s="1"/>
  <c r="BE38" i="4"/>
  <c r="BB38" i="4"/>
  <c r="AX38" i="4"/>
  <c r="AQ38" i="4"/>
  <c r="AN38" i="4"/>
  <c r="AO38" i="4" s="1"/>
  <c r="AM38" i="4"/>
  <c r="AD38" i="4"/>
  <c r="Z38" i="4"/>
  <c r="BE37" i="4"/>
  <c r="BB37" i="4"/>
  <c r="AX37" i="4"/>
  <c r="AQ37" i="4"/>
  <c r="AR37" i="4" s="1"/>
  <c r="AN37" i="4"/>
  <c r="AO37" i="4" s="1"/>
  <c r="AM37" i="4"/>
  <c r="AD37" i="4"/>
  <c r="AF37" i="4" s="1"/>
  <c r="Z37" i="4"/>
  <c r="BE36" i="4"/>
  <c r="BB36" i="4"/>
  <c r="AX36" i="4"/>
  <c r="AQ36" i="4"/>
  <c r="AN36" i="4"/>
  <c r="AO36" i="4" s="1"/>
  <c r="AM36" i="4"/>
  <c r="AD36" i="4"/>
  <c r="AE36" i="4" s="1"/>
  <c r="Z36" i="4"/>
  <c r="AA36" i="4" s="1"/>
  <c r="BE35" i="4"/>
  <c r="BB35" i="4"/>
  <c r="AX35" i="4"/>
  <c r="AQ35" i="4"/>
  <c r="AN35" i="4"/>
  <c r="AO35" i="4" s="1"/>
  <c r="AM35" i="4"/>
  <c r="AD35" i="4"/>
  <c r="AE35" i="4" s="1"/>
  <c r="Z35" i="4"/>
  <c r="BE34" i="4"/>
  <c r="BB34" i="4"/>
  <c r="AX34" i="4"/>
  <c r="AQ34" i="4"/>
  <c r="AN34" i="4"/>
  <c r="AO34" i="4" s="1"/>
  <c r="AM34" i="4"/>
  <c r="AD34" i="4"/>
  <c r="AE34" i="4" s="1"/>
  <c r="Z34" i="4"/>
  <c r="AA34" i="4" s="1"/>
  <c r="BE33" i="4"/>
  <c r="BB33" i="4"/>
  <c r="AX33" i="4"/>
  <c r="AQ33" i="4"/>
  <c r="AN33" i="4"/>
  <c r="AO33" i="4" s="1"/>
  <c r="AM33" i="4"/>
  <c r="AD33" i="4"/>
  <c r="AF33" i="4" s="1"/>
  <c r="Z33" i="4"/>
  <c r="BE32" i="4"/>
  <c r="BB32" i="4"/>
  <c r="AX32" i="4"/>
  <c r="AQ32" i="4"/>
  <c r="AN32" i="4"/>
  <c r="AO32" i="4" s="1"/>
  <c r="AM32" i="4"/>
  <c r="AD32" i="4"/>
  <c r="AE32" i="4" s="1"/>
  <c r="Z32" i="4"/>
  <c r="AA32" i="4" s="1"/>
  <c r="BE31" i="4"/>
  <c r="BB31" i="4"/>
  <c r="AX31" i="4"/>
  <c r="AQ31" i="4"/>
  <c r="AN31" i="4"/>
  <c r="AO31" i="4" s="1"/>
  <c r="AD31" i="4"/>
  <c r="AF31" i="4" s="1"/>
  <c r="Z31" i="4"/>
  <c r="AA31" i="4" s="1"/>
  <c r="BE30" i="4"/>
  <c r="BB30" i="4"/>
  <c r="AX30" i="4"/>
  <c r="AQ30" i="4"/>
  <c r="AR30" i="4" s="1"/>
  <c r="AN30" i="4"/>
  <c r="AO30" i="4" s="1"/>
  <c r="AD30" i="4"/>
  <c r="AF30" i="4" s="1"/>
  <c r="Z30" i="4"/>
  <c r="AA30" i="4" s="1"/>
  <c r="BE29" i="4"/>
  <c r="BB29" i="4"/>
  <c r="AX29" i="4"/>
  <c r="AQ29" i="4"/>
  <c r="AN29" i="4"/>
  <c r="AO29" i="4" s="1"/>
  <c r="AD29" i="4"/>
  <c r="AF29" i="4" s="1"/>
  <c r="Z29" i="4"/>
  <c r="AA29" i="4" s="1"/>
  <c r="BE28" i="4"/>
  <c r="BB28" i="4"/>
  <c r="AX28" i="4"/>
  <c r="AQ28" i="4"/>
  <c r="AR28" i="4" s="1"/>
  <c r="AN28" i="4"/>
  <c r="AO28" i="4" s="1"/>
  <c r="AD28" i="4"/>
  <c r="AF28" i="4" s="1"/>
  <c r="Z28" i="4"/>
  <c r="BE27" i="4"/>
  <c r="BB27" i="4"/>
  <c r="AX27" i="4"/>
  <c r="AQ27" i="4"/>
  <c r="AN27" i="4"/>
  <c r="AO27" i="4" s="1"/>
  <c r="AD27" i="4"/>
  <c r="AF27" i="4" s="1"/>
  <c r="Z27" i="4"/>
  <c r="AA27" i="4" s="1"/>
  <c r="BE26" i="4"/>
  <c r="BB26" i="4"/>
  <c r="AX26" i="4"/>
  <c r="AQ26" i="4"/>
  <c r="AR26" i="4" s="1"/>
  <c r="AN26" i="4"/>
  <c r="AO26" i="4" s="1"/>
  <c r="AD26" i="4"/>
  <c r="AF26" i="4" s="1"/>
  <c r="Z26" i="4"/>
  <c r="AA26" i="4" s="1"/>
  <c r="BE25" i="4"/>
  <c r="BB25" i="4"/>
  <c r="AX25" i="4"/>
  <c r="AQ25" i="4"/>
  <c r="AN25" i="4"/>
  <c r="AO25" i="4" s="1"/>
  <c r="AD25" i="4"/>
  <c r="AF25" i="4" s="1"/>
  <c r="Z25" i="4"/>
  <c r="AA25" i="4" s="1"/>
  <c r="BE24" i="4"/>
  <c r="BB24" i="4"/>
  <c r="AX24" i="4"/>
  <c r="AQ24" i="4"/>
  <c r="AR24" i="4" s="1"/>
  <c r="AN24" i="4"/>
  <c r="AO24" i="4" s="1"/>
  <c r="AD24" i="4"/>
  <c r="AF24" i="4" s="1"/>
  <c r="Z24" i="4"/>
  <c r="BE23" i="4"/>
  <c r="BB23" i="4"/>
  <c r="AX23" i="4"/>
  <c r="AQ23" i="4"/>
  <c r="AN23" i="4"/>
  <c r="AO23" i="4" s="1"/>
  <c r="AD23" i="4"/>
  <c r="AF23" i="4" s="1"/>
  <c r="Z23" i="4"/>
  <c r="AA23" i="4" s="1"/>
  <c r="BE22" i="4"/>
  <c r="BB22" i="4"/>
  <c r="AX22" i="4"/>
  <c r="AQ22" i="4"/>
  <c r="AR22" i="4" s="1"/>
  <c r="AN22" i="4"/>
  <c r="AO22" i="4" s="1"/>
  <c r="AD22" i="4"/>
  <c r="AF22" i="4" s="1"/>
  <c r="Z22" i="4"/>
  <c r="AA22" i="4" s="1"/>
  <c r="BE21" i="4"/>
  <c r="BB21" i="4"/>
  <c r="AX21" i="4"/>
  <c r="AQ21" i="4"/>
  <c r="AN21" i="4"/>
  <c r="AO21" i="4" s="1"/>
  <c r="AD21" i="4"/>
  <c r="AF21" i="4" s="1"/>
  <c r="Z21" i="4"/>
  <c r="AA21" i="4" s="1"/>
  <c r="BE20" i="4"/>
  <c r="BB20" i="4"/>
  <c r="AX20" i="4"/>
  <c r="AQ20" i="4"/>
  <c r="AR20" i="4" s="1"/>
  <c r="AN20" i="4"/>
  <c r="AO20" i="4" s="1"/>
  <c r="AD20" i="4"/>
  <c r="AF20" i="4" s="1"/>
  <c r="Z20" i="4"/>
  <c r="BE19" i="4"/>
  <c r="BB19" i="4"/>
  <c r="AX19" i="4"/>
  <c r="AQ19" i="4"/>
  <c r="AN19" i="4"/>
  <c r="AO19" i="4" s="1"/>
  <c r="AD19" i="4"/>
  <c r="AF19" i="4" s="1"/>
  <c r="Z19" i="4"/>
  <c r="AA19" i="4" s="1"/>
  <c r="BE18" i="4"/>
  <c r="BB18" i="4"/>
  <c r="AX18" i="4"/>
  <c r="AQ18" i="4"/>
  <c r="AN18" i="4"/>
  <c r="AO18" i="4" s="1"/>
  <c r="AD18" i="4"/>
  <c r="AF18" i="4" s="1"/>
  <c r="Z18" i="4"/>
  <c r="AA18" i="4" s="1"/>
  <c r="BE17" i="4"/>
  <c r="BB17" i="4"/>
  <c r="AX17" i="4"/>
  <c r="AQ17" i="4"/>
  <c r="AN17" i="4"/>
  <c r="AO17" i="4" s="1"/>
  <c r="AD17" i="4"/>
  <c r="AF17" i="4" s="1"/>
  <c r="Z17" i="4"/>
  <c r="AA17" i="4" s="1"/>
  <c r="BE16" i="4"/>
  <c r="BB16" i="4"/>
  <c r="AX16" i="4"/>
  <c r="AQ16" i="4"/>
  <c r="AN16" i="4"/>
  <c r="AO16" i="4" s="1"/>
  <c r="AD16" i="4"/>
  <c r="AF16" i="4" s="1"/>
  <c r="Z16" i="4"/>
  <c r="AA16" i="4" s="1"/>
  <c r="BE15" i="4"/>
  <c r="BB15" i="4"/>
  <c r="AX15" i="4"/>
  <c r="AQ15" i="4"/>
  <c r="AN15" i="4"/>
  <c r="AO15" i="4" s="1"/>
  <c r="AD15" i="4"/>
  <c r="AF15" i="4" s="1"/>
  <c r="Z15" i="4"/>
  <c r="AA15" i="4" s="1"/>
  <c r="BE14" i="4"/>
  <c r="BB14" i="4"/>
  <c r="AX14" i="4"/>
  <c r="AQ14" i="4"/>
  <c r="AN14" i="4"/>
  <c r="AO14" i="4" s="1"/>
  <c r="AD14" i="4"/>
  <c r="AE14" i="4" s="1"/>
  <c r="Z14" i="4"/>
  <c r="AA14" i="4" s="1"/>
  <c r="BE13" i="4"/>
  <c r="BB13" i="4"/>
  <c r="AX13" i="4"/>
  <c r="AQ13" i="4"/>
  <c r="AR13" i="4" s="1"/>
  <c r="AN13" i="4"/>
  <c r="AO13" i="4" s="1"/>
  <c r="AD13" i="4"/>
  <c r="AE13" i="4" s="1"/>
  <c r="Z13" i="4"/>
  <c r="AA13" i="4" s="1"/>
  <c r="BE12" i="4"/>
  <c r="BB12" i="4"/>
  <c r="AX12" i="4"/>
  <c r="AQ12" i="4"/>
  <c r="AR12" i="4" s="1"/>
  <c r="AN12" i="4"/>
  <c r="AO12" i="4" s="1"/>
  <c r="AD12" i="4"/>
  <c r="AE12" i="4" s="1"/>
  <c r="AG12" i="4" s="1"/>
  <c r="Z12" i="4"/>
  <c r="AA12" i="4" s="1"/>
  <c r="BB11" i="4"/>
  <c r="AK11" i="4"/>
  <c r="AB11" i="4"/>
  <c r="AC11" i="4" s="1"/>
  <c r="BF148" i="5" l="1"/>
  <c r="BG148" i="5" s="1"/>
  <c r="AY152" i="5"/>
  <c r="BA152" i="5" s="1"/>
  <c r="BF112" i="5"/>
  <c r="BF93" i="5"/>
  <c r="BF91" i="5"/>
  <c r="BF114" i="5"/>
  <c r="BF97" i="5"/>
  <c r="BF89" i="5"/>
  <c r="BF85" i="5"/>
  <c r="BC274" i="5"/>
  <c r="BD274" i="5" s="1"/>
  <c r="BF271" i="5"/>
  <c r="BG271" i="5" s="1"/>
  <c r="BA284" i="5"/>
  <c r="BC282" i="5"/>
  <c r="BD282" i="5" s="1"/>
  <c r="AY206" i="5"/>
  <c r="BA206" i="5" s="1"/>
  <c r="BC205" i="5"/>
  <c r="BD205" i="5" s="1"/>
  <c r="AY201" i="5"/>
  <c r="BA201" i="5" s="1"/>
  <c r="AY146" i="5"/>
  <c r="BF126" i="5"/>
  <c r="BF133" i="5"/>
  <c r="BF129" i="5"/>
  <c r="BC108" i="5"/>
  <c r="BF92" i="5"/>
  <c r="BC125" i="5"/>
  <c r="BF101" i="5"/>
  <c r="BF87" i="5"/>
  <c r="BF95" i="5"/>
  <c r="AY205" i="5"/>
  <c r="BA205" i="5" s="1"/>
  <c r="AY137" i="5"/>
  <c r="BF20" i="5"/>
  <c r="BA126" i="4"/>
  <c r="BA110" i="4"/>
  <c r="BA94" i="4"/>
  <c r="BA78" i="4"/>
  <c r="BA56" i="4"/>
  <c r="BA24" i="4"/>
  <c r="BA11" i="4"/>
  <c r="BA120" i="4"/>
  <c r="BA104" i="4"/>
  <c r="BA88" i="4"/>
  <c r="BA72" i="4"/>
  <c r="BA48" i="4"/>
  <c r="BA16" i="4"/>
  <c r="BA134" i="4"/>
  <c r="BA118" i="4"/>
  <c r="BA102" i="4"/>
  <c r="BA86" i="4"/>
  <c r="BA70" i="4"/>
  <c r="BA40" i="4"/>
  <c r="BA128" i="4"/>
  <c r="BA112" i="4"/>
  <c r="BA96" i="4"/>
  <c r="BA80" i="4"/>
  <c r="BA64" i="4"/>
  <c r="BA32" i="4"/>
  <c r="BA290" i="5"/>
  <c r="BA200" i="5"/>
  <c r="BA146" i="5"/>
  <c r="BA310" i="5"/>
  <c r="BA287" i="5"/>
  <c r="BA138" i="5"/>
  <c r="BA28" i="4"/>
  <c r="BA20" i="4"/>
  <c r="BA12" i="4"/>
  <c r="BA131" i="4"/>
  <c r="BA123" i="4"/>
  <c r="BA115" i="4"/>
  <c r="BA107" i="4"/>
  <c r="BA99" i="4"/>
  <c r="BA91" i="4"/>
  <c r="BA83" i="4"/>
  <c r="BA75" i="4"/>
  <c r="BA67" i="4"/>
  <c r="BA59" i="4"/>
  <c r="BA51" i="4"/>
  <c r="BA43" i="4"/>
  <c r="BA35" i="4"/>
  <c r="BA27" i="4"/>
  <c r="BA23" i="4"/>
  <c r="BA19" i="4"/>
  <c r="BA15" i="4"/>
  <c r="BA130" i="4"/>
  <c r="BA122" i="4"/>
  <c r="BA114" i="4"/>
  <c r="BA106" i="4"/>
  <c r="BA98" i="4"/>
  <c r="BA90" i="4"/>
  <c r="BA82" i="4"/>
  <c r="BA74" i="4"/>
  <c r="BA66" i="4"/>
  <c r="BA62" i="4"/>
  <c r="BA58" i="4"/>
  <c r="BA54" i="4"/>
  <c r="BA50" i="4"/>
  <c r="BA46" i="4"/>
  <c r="BA42" i="4"/>
  <c r="BA38" i="4"/>
  <c r="BA34" i="4"/>
  <c r="BA30" i="4"/>
  <c r="BA26" i="4"/>
  <c r="BA22" i="4"/>
  <c r="BA18" i="4"/>
  <c r="BA14" i="4"/>
  <c r="BC279" i="5"/>
  <c r="BD279" i="5" s="1"/>
  <c r="BC271" i="5"/>
  <c r="BD271" i="5" s="1"/>
  <c r="BA295" i="5"/>
  <c r="BC294" i="5"/>
  <c r="BD294" i="5" s="1"/>
  <c r="BC284" i="5"/>
  <c r="BD284" i="5" s="1"/>
  <c r="BF284" i="5"/>
  <c r="BG284" i="5" s="1"/>
  <c r="BC267" i="5"/>
  <c r="BD267" i="5" s="1"/>
  <c r="BF280" i="5"/>
  <c r="BG280" i="5" s="1"/>
  <c r="BF276" i="5"/>
  <c r="BG276" i="5" s="1"/>
  <c r="BF272" i="5"/>
  <c r="BG272" i="5" s="1"/>
  <c r="AY280" i="5"/>
  <c r="BA280" i="5" s="1"/>
  <c r="AY278" i="5"/>
  <c r="BA278" i="5" s="1"/>
  <c r="AS298" i="5"/>
  <c r="AS281" i="5"/>
  <c r="BC212" i="5"/>
  <c r="BD212" i="5" s="1"/>
  <c r="BF200" i="5"/>
  <c r="BG200" i="5" s="1"/>
  <c r="AY212" i="5"/>
  <c r="BC206" i="5"/>
  <c r="BD206" i="5" s="1"/>
  <c r="BC209" i="5"/>
  <c r="BD209" i="5" s="1"/>
  <c r="BF122" i="5"/>
  <c r="BF156" i="5"/>
  <c r="BG156" i="5" s="1"/>
  <c r="BC137" i="5"/>
  <c r="BD137" i="5" s="1"/>
  <c r="BF124" i="5"/>
  <c r="BC116" i="5"/>
  <c r="AY143" i="5"/>
  <c r="BA143" i="5" s="1"/>
  <c r="BC131" i="5"/>
  <c r="BF121" i="5"/>
  <c r="BC107" i="5"/>
  <c r="BF48" i="5"/>
  <c r="BF39" i="5"/>
  <c r="BF37" i="5"/>
  <c r="AT306" i="5"/>
  <c r="AS305" i="5"/>
  <c r="AS302" i="5"/>
  <c r="BA212" i="5"/>
  <c r="AY209" i="5"/>
  <c r="BA209" i="5" s="1"/>
  <c r="BC138" i="5"/>
  <c r="BD138" i="5" s="1"/>
  <c r="BF149" i="5"/>
  <c r="BG149" i="5" s="1"/>
  <c r="BC120" i="5"/>
  <c r="BF294" i="5"/>
  <c r="BG294" i="5" s="1"/>
  <c r="BF279" i="5"/>
  <c r="BG279" i="5" s="1"/>
  <c r="AT296" i="5"/>
  <c r="BF283" i="5"/>
  <c r="BG283" i="5" s="1"/>
  <c r="AT305" i="5"/>
  <c r="AT304" i="5"/>
  <c r="AT302" i="5"/>
  <c r="AS296" i="5"/>
  <c r="AU296" i="5" s="1"/>
  <c r="AT277" i="5"/>
  <c r="BA288" i="5"/>
  <c r="BC283" i="5"/>
  <c r="BD283" i="5" s="1"/>
  <c r="BC275" i="5"/>
  <c r="BD275" i="5" s="1"/>
  <c r="AS300" i="5"/>
  <c r="BF208" i="5"/>
  <c r="BG208" i="5" s="1"/>
  <c r="AY207" i="5"/>
  <c r="BA207" i="5" s="1"/>
  <c r="AY202" i="5"/>
  <c r="BA202" i="5" s="1"/>
  <c r="BF138" i="5"/>
  <c r="BG138" i="5" s="1"/>
  <c r="BF118" i="5"/>
  <c r="AY159" i="5"/>
  <c r="BA159" i="5" s="1"/>
  <c r="BF100" i="5"/>
  <c r="BC143" i="5"/>
  <c r="BD143" i="5" s="1"/>
  <c r="BC88" i="5"/>
  <c r="BF106" i="5"/>
  <c r="BF86" i="5"/>
  <c r="BF111" i="5"/>
  <c r="BF105" i="5"/>
  <c r="BA292" i="5"/>
  <c r="BA285" i="5"/>
  <c r="AS195" i="5"/>
  <c r="AS185" i="5"/>
  <c r="AT150" i="5"/>
  <c r="AT157" i="5"/>
  <c r="AT173" i="5"/>
  <c r="AT89" i="5"/>
  <c r="AT85" i="5"/>
  <c r="AT99" i="5"/>
  <c r="BA203" i="5"/>
  <c r="AS191" i="5"/>
  <c r="BA141" i="5"/>
  <c r="AT181" i="5"/>
  <c r="BA294" i="5"/>
  <c r="AS306" i="5"/>
  <c r="AS304" i="5"/>
  <c r="AT270" i="5"/>
  <c r="AT135" i="5"/>
  <c r="AT123" i="5"/>
  <c r="AH13" i="5"/>
  <c r="AI13" i="5" s="1"/>
  <c r="AJ13" i="5" s="1"/>
  <c r="AT292" i="5"/>
  <c r="AS292" i="5"/>
  <c r="AT273" i="5"/>
  <c r="AT279" i="5"/>
  <c r="AT283" i="5"/>
  <c r="AS288" i="5"/>
  <c r="AT278" i="5"/>
  <c r="AS226" i="5"/>
  <c r="AS222" i="5"/>
  <c r="AT210" i="5"/>
  <c r="AT234" i="5"/>
  <c r="AT224" i="5"/>
  <c r="AS205" i="5"/>
  <c r="AT264" i="5"/>
  <c r="AS264" i="5"/>
  <c r="AS263" i="5"/>
  <c r="AS262" i="5"/>
  <c r="AT263" i="5"/>
  <c r="AT261" i="5"/>
  <c r="AS261" i="5"/>
  <c r="AT226" i="5"/>
  <c r="AT262" i="5"/>
  <c r="AY296" i="5"/>
  <c r="BA296" i="5" s="1"/>
  <c r="BF296" i="5"/>
  <c r="BG296" i="5" s="1"/>
  <c r="BF281" i="5"/>
  <c r="BG281" i="5" s="1"/>
  <c r="BC281" i="5"/>
  <c r="BD281" i="5" s="1"/>
  <c r="BF277" i="5"/>
  <c r="BG277" i="5" s="1"/>
  <c r="BC277" i="5"/>
  <c r="BD277" i="5" s="1"/>
  <c r="BF273" i="5"/>
  <c r="BG273" i="5" s="1"/>
  <c r="BC273" i="5"/>
  <c r="BD273" i="5" s="1"/>
  <c r="BF269" i="5"/>
  <c r="BG269" i="5" s="1"/>
  <c r="BC269" i="5"/>
  <c r="BD269" i="5" s="1"/>
  <c r="AY281" i="5"/>
  <c r="BA281" i="5" s="1"/>
  <c r="AY277" i="5"/>
  <c r="BA277" i="5" s="1"/>
  <c r="AY269" i="5"/>
  <c r="BA269" i="5" s="1"/>
  <c r="AY268" i="5"/>
  <c r="BA268" i="5" s="1"/>
  <c r="BC268" i="5"/>
  <c r="BD268" i="5" s="1"/>
  <c r="BF268" i="5"/>
  <c r="BG268" i="5" s="1"/>
  <c r="BF204" i="5"/>
  <c r="BG204" i="5" s="1"/>
  <c r="AY204" i="5"/>
  <c r="BA204" i="5" s="1"/>
  <c r="BC204" i="5"/>
  <c r="BD204" i="5" s="1"/>
  <c r="AS285" i="5"/>
  <c r="AS275" i="5"/>
  <c r="AT255" i="5"/>
  <c r="AT217" i="5"/>
  <c r="AT284" i="5"/>
  <c r="AT271" i="5"/>
  <c r="AS267" i="5"/>
  <c r="AS266" i="5"/>
  <c r="AS236" i="5"/>
  <c r="AU236" i="5" s="1"/>
  <c r="AT214" i="5"/>
  <c r="BF282" i="5"/>
  <c r="BG282" i="5" s="1"/>
  <c r="BF274" i="5"/>
  <c r="BG274" i="5" s="1"/>
  <c r="BF270" i="5"/>
  <c r="BG270" i="5" s="1"/>
  <c r="AU310" i="5"/>
  <c r="AU298" i="5"/>
  <c r="AT307" i="5"/>
  <c r="AS307" i="5"/>
  <c r="AT301" i="5"/>
  <c r="AS301" i="5"/>
  <c r="AU301" i="5" s="1"/>
  <c r="AT299" i="5"/>
  <c r="AS299" i="5"/>
  <c r="AS297" i="5"/>
  <c r="AT297" i="5"/>
  <c r="AS290" i="5"/>
  <c r="AS286" i="5"/>
  <c r="AS282" i="5"/>
  <c r="AS280" i="5"/>
  <c r="BC208" i="5"/>
  <c r="BD208" i="5" s="1"/>
  <c r="AT268" i="5"/>
  <c r="AS268" i="5"/>
  <c r="AS289" i="5"/>
  <c r="AS274" i="5"/>
  <c r="BC207" i="5"/>
  <c r="BD207" i="5" s="1"/>
  <c r="AT276" i="5"/>
  <c r="AY210" i="5"/>
  <c r="BA210" i="5" s="1"/>
  <c r="BC202" i="5"/>
  <c r="BD202" i="5" s="1"/>
  <c r="AT287" i="5"/>
  <c r="AT254" i="5"/>
  <c r="AS254" i="5"/>
  <c r="AT250" i="5"/>
  <c r="AS250" i="5"/>
  <c r="AT246" i="5"/>
  <c r="AS246" i="5"/>
  <c r="AS242" i="5"/>
  <c r="AU242" i="5" s="1"/>
  <c r="AT242" i="5"/>
  <c r="AS238" i="5"/>
  <c r="AT238" i="5"/>
  <c r="AT256" i="5"/>
  <c r="AS256" i="5"/>
  <c r="AT206" i="5"/>
  <c r="AS206" i="5"/>
  <c r="AU206" i="5" s="1"/>
  <c r="AT198" i="5"/>
  <c r="AS198" i="5"/>
  <c r="AT236" i="5"/>
  <c r="AY155" i="5"/>
  <c r="BA155" i="5" s="1"/>
  <c r="AY151" i="5"/>
  <c r="BA151" i="5" s="1"/>
  <c r="AY147" i="5"/>
  <c r="BA147" i="5" s="1"/>
  <c r="AY145" i="5"/>
  <c r="BA145" i="5" s="1"/>
  <c r="BC141" i="5"/>
  <c r="BD141" i="5" s="1"/>
  <c r="AT197" i="5"/>
  <c r="AT193" i="5"/>
  <c r="AS221" i="5"/>
  <c r="BF153" i="5"/>
  <c r="BG153" i="5" s="1"/>
  <c r="AS213" i="5"/>
  <c r="AU213" i="5" s="1"/>
  <c r="AT213" i="5"/>
  <c r="AY148" i="5"/>
  <c r="BA148" i="5" s="1"/>
  <c r="AT208" i="5"/>
  <c r="AS208" i="5"/>
  <c r="AU208" i="5" s="1"/>
  <c r="AT204" i="5"/>
  <c r="AS204" i="5"/>
  <c r="AT200" i="5"/>
  <c r="AS200" i="5"/>
  <c r="AU200" i="5" s="1"/>
  <c r="AT196" i="5"/>
  <c r="AS196" i="5"/>
  <c r="AT192" i="5"/>
  <c r="AS192" i="5"/>
  <c r="AU192" i="5" s="1"/>
  <c r="AS231" i="5"/>
  <c r="AT231" i="5"/>
  <c r="BC139" i="5"/>
  <c r="BD139" i="5" s="1"/>
  <c r="BC127" i="5"/>
  <c r="BC123" i="5"/>
  <c r="BC119" i="5"/>
  <c r="BC110" i="5"/>
  <c r="BC102" i="5"/>
  <c r="BC94" i="5"/>
  <c r="AS152" i="5"/>
  <c r="AS210" i="5"/>
  <c r="AU210" i="5" s="1"/>
  <c r="AS172" i="5"/>
  <c r="AT172" i="5"/>
  <c r="AT170" i="5"/>
  <c r="AS169" i="5"/>
  <c r="AS164" i="5"/>
  <c r="AT164" i="5"/>
  <c r="AS162" i="5"/>
  <c r="AT162" i="5"/>
  <c r="AS218" i="5"/>
  <c r="AT183" i="5"/>
  <c r="BC98" i="5"/>
  <c r="BC90" i="5"/>
  <c r="AS144" i="5"/>
  <c r="AT143" i="5"/>
  <c r="AY144" i="5"/>
  <c r="BA144" i="5" s="1"/>
  <c r="AY136" i="5"/>
  <c r="BA136" i="5" s="1"/>
  <c r="AS166" i="5"/>
  <c r="AT166" i="5"/>
  <c r="AS160" i="5"/>
  <c r="AT160" i="5"/>
  <c r="AS140" i="5"/>
  <c r="AT121" i="5"/>
  <c r="AS117" i="5"/>
  <c r="AT107" i="5"/>
  <c r="AS149" i="5"/>
  <c r="AU149" i="5" s="1"/>
  <c r="AT149" i="5"/>
  <c r="AT139" i="5"/>
  <c r="AT130" i="5"/>
  <c r="AS130" i="5"/>
  <c r="AU130" i="5" s="1"/>
  <c r="AT122" i="5"/>
  <c r="AS122" i="5"/>
  <c r="AT118" i="5"/>
  <c r="AS118" i="5"/>
  <c r="AU118" i="5" s="1"/>
  <c r="AT114" i="5"/>
  <c r="AS114" i="5"/>
  <c r="AS134" i="5"/>
  <c r="AS127" i="5"/>
  <c r="AS123" i="5"/>
  <c r="AU123" i="5" s="1"/>
  <c r="AS115" i="5"/>
  <c r="BF44" i="5"/>
  <c r="BF42" i="5"/>
  <c r="AT92" i="5"/>
  <c r="AS92" i="5"/>
  <c r="AT88" i="5"/>
  <c r="AS88" i="5"/>
  <c r="AU88" i="5" s="1"/>
  <c r="AT84" i="5"/>
  <c r="AS84" i="5"/>
  <c r="AS80" i="5"/>
  <c r="AT80" i="5"/>
  <c r="AS76" i="5"/>
  <c r="AU76" i="5" s="1"/>
  <c r="AT76" i="5"/>
  <c r="AS108" i="5"/>
  <c r="AS102" i="5"/>
  <c r="AT100" i="5"/>
  <c r="AS96" i="5"/>
  <c r="AS94" i="5"/>
  <c r="AS89" i="5"/>
  <c r="AU89" i="5" s="1"/>
  <c r="AS137" i="5"/>
  <c r="AT128" i="5"/>
  <c r="AS128" i="5"/>
  <c r="AS113" i="5"/>
  <c r="AS106" i="5"/>
  <c r="AT105" i="5"/>
  <c r="AS87" i="5"/>
  <c r="BC46" i="5"/>
  <c r="BC41" i="5"/>
  <c r="BA293" i="5"/>
  <c r="BA286" i="5"/>
  <c r="AY276" i="5"/>
  <c r="BA276" i="5" s="1"/>
  <c r="AY272" i="5"/>
  <c r="BA272" i="5" s="1"/>
  <c r="AU305" i="5"/>
  <c r="AU304" i="5"/>
  <c r="AU300" i="5"/>
  <c r="AT291" i="5"/>
  <c r="AS291" i="5"/>
  <c r="AT290" i="5"/>
  <c r="AT286" i="5"/>
  <c r="AT282" i="5"/>
  <c r="AT280" i="5"/>
  <c r="AS277" i="5"/>
  <c r="AU277" i="5" s="1"/>
  <c r="AT289" i="5"/>
  <c r="AS278" i="5"/>
  <c r="AU278" i="5" s="1"/>
  <c r="AT274" i="5"/>
  <c r="AS271" i="5"/>
  <c r="AU271" i="5" s="1"/>
  <c r="AY211" i="5"/>
  <c r="BA211" i="5" s="1"/>
  <c r="AS287" i="5"/>
  <c r="AU287" i="5" s="1"/>
  <c r="AS279" i="5"/>
  <c r="AU279" i="5" s="1"/>
  <c r="AS273" i="5"/>
  <c r="AU273" i="5" s="1"/>
  <c r="AS265" i="5"/>
  <c r="AT259" i="5"/>
  <c r="AS259" i="5"/>
  <c r="AT251" i="5"/>
  <c r="AS251" i="5"/>
  <c r="AT247" i="5"/>
  <c r="AS247" i="5"/>
  <c r="AS243" i="5"/>
  <c r="AT243" i="5"/>
  <c r="AS239" i="5"/>
  <c r="AT239" i="5"/>
  <c r="AT257" i="5"/>
  <c r="AS257" i="5"/>
  <c r="AT230" i="5"/>
  <c r="AS223" i="5"/>
  <c r="AT223" i="5"/>
  <c r="AY158" i="5"/>
  <c r="BA158" i="5" s="1"/>
  <c r="BF155" i="5"/>
  <c r="BG155" i="5" s="1"/>
  <c r="AS215" i="5"/>
  <c r="AT215" i="5"/>
  <c r="AY150" i="5"/>
  <c r="BA150" i="5" s="1"/>
  <c r="BF147" i="5"/>
  <c r="BG147" i="5" s="1"/>
  <c r="BC142" i="5"/>
  <c r="BD142" i="5" s="1"/>
  <c r="BC134" i="5"/>
  <c r="AT228" i="5"/>
  <c r="BF157" i="5"/>
  <c r="BG157" i="5" s="1"/>
  <c r="BC144" i="5"/>
  <c r="BD144" i="5" s="1"/>
  <c r="BC140" i="5"/>
  <c r="BD140" i="5" s="1"/>
  <c r="BC136" i="5"/>
  <c r="BD136" i="5" s="1"/>
  <c r="BC132" i="5"/>
  <c r="BC128" i="5"/>
  <c r="AT180" i="5"/>
  <c r="AS180" i="5"/>
  <c r="BC104" i="5"/>
  <c r="BF158" i="5"/>
  <c r="BG158" i="5" s="1"/>
  <c r="BF154" i="5"/>
  <c r="BG154" i="5" s="1"/>
  <c r="BF150" i="5"/>
  <c r="BG150" i="5" s="1"/>
  <c r="AY139" i="5"/>
  <c r="BA139" i="5" s="1"/>
  <c r="AS187" i="5"/>
  <c r="AT179" i="5"/>
  <c r="AS179" i="5"/>
  <c r="AY140" i="5"/>
  <c r="BA140" i="5" s="1"/>
  <c r="AT186" i="5"/>
  <c r="AS186" i="5"/>
  <c r="AS170" i="5"/>
  <c r="AU170" i="5" s="1"/>
  <c r="BC99" i="5"/>
  <c r="AT155" i="5"/>
  <c r="AT151" i="5"/>
  <c r="AS147" i="5"/>
  <c r="AT147" i="5"/>
  <c r="AS214" i="5"/>
  <c r="AU214" i="5" s="1"/>
  <c r="AS189" i="5"/>
  <c r="AT154" i="5"/>
  <c r="AS150" i="5"/>
  <c r="AU150" i="5" s="1"/>
  <c r="AS145" i="5"/>
  <c r="AT144" i="5"/>
  <c r="AS141" i="5"/>
  <c r="AS207" i="5"/>
  <c r="AS199" i="5"/>
  <c r="AT190" i="5"/>
  <c r="AS190" i="5"/>
  <c r="AT178" i="5"/>
  <c r="AS178" i="5"/>
  <c r="AS168" i="5"/>
  <c r="AT168" i="5"/>
  <c r="BC103" i="5"/>
  <c r="AT140" i="5"/>
  <c r="AS129" i="5"/>
  <c r="AT117" i="5"/>
  <c r="AS109" i="5"/>
  <c r="AS98" i="5"/>
  <c r="AS93" i="5"/>
  <c r="AT83" i="5"/>
  <c r="AS138" i="5"/>
  <c r="AT134" i="5"/>
  <c r="AS131" i="5"/>
  <c r="AT127" i="5"/>
  <c r="AS119" i="5"/>
  <c r="AT115" i="5"/>
  <c r="AS110" i="5"/>
  <c r="AT108" i="5"/>
  <c r="AS103" i="5"/>
  <c r="AT102" i="5"/>
  <c r="AT96" i="5"/>
  <c r="AT94" i="5"/>
  <c r="AS83" i="5"/>
  <c r="AU83" i="5" s="1"/>
  <c r="AT137" i="5"/>
  <c r="AT124" i="5"/>
  <c r="AS124" i="5"/>
  <c r="AT116" i="5"/>
  <c r="AS116" i="5"/>
  <c r="AT113" i="5"/>
  <c r="AT106" i="5"/>
  <c r="AS99" i="5"/>
  <c r="AU99" i="5" s="1"/>
  <c r="AS91" i="5"/>
  <c r="AT87" i="5"/>
  <c r="AS77" i="5"/>
  <c r="AT77" i="5"/>
  <c r="AS74" i="5"/>
  <c r="AT74" i="5"/>
  <c r="BF32" i="5"/>
  <c r="BF49" i="5"/>
  <c r="BF33" i="5"/>
  <c r="BF28" i="5"/>
  <c r="BF24" i="5"/>
  <c r="AB15" i="5"/>
  <c r="BC45" i="5"/>
  <c r="AT269" i="5"/>
  <c r="AS269" i="5"/>
  <c r="AT265" i="5"/>
  <c r="AT252" i="5"/>
  <c r="AS252" i="5"/>
  <c r="AT248" i="5"/>
  <c r="AS248" i="5"/>
  <c r="AS244" i="5"/>
  <c r="AT244" i="5"/>
  <c r="AS240" i="5"/>
  <c r="AT240" i="5"/>
  <c r="BF211" i="5"/>
  <c r="BG211" i="5" s="1"/>
  <c r="AS237" i="5"/>
  <c r="AT237" i="5"/>
  <c r="AS230" i="5"/>
  <c r="AT202" i="5"/>
  <c r="AS202" i="5"/>
  <c r="AT194" i="5"/>
  <c r="AS194" i="5"/>
  <c r="AS235" i="5"/>
  <c r="AT235" i="5"/>
  <c r="AS228" i="5"/>
  <c r="AU228" i="5" s="1"/>
  <c r="AT220" i="5"/>
  <c r="AT216" i="5"/>
  <c r="AT212" i="5"/>
  <c r="AT205" i="5"/>
  <c r="AS201" i="5"/>
  <c r="BA137" i="5"/>
  <c r="AS234" i="5"/>
  <c r="AU234" i="5" s="1"/>
  <c r="AS225" i="5"/>
  <c r="AT225" i="5"/>
  <c r="AS217" i="5"/>
  <c r="AU217" i="5" s="1"/>
  <c r="AT209" i="5"/>
  <c r="AS209" i="5"/>
  <c r="AU209" i="5" s="1"/>
  <c r="AT184" i="5"/>
  <c r="AS184" i="5"/>
  <c r="AT232" i="5"/>
  <c r="AS224" i="5"/>
  <c r="AU224" i="5" s="1"/>
  <c r="AT187" i="5"/>
  <c r="AT185" i="5"/>
  <c r="AU185" i="5" s="1"/>
  <c r="AS203" i="5"/>
  <c r="AT195" i="5"/>
  <c r="AU195" i="5" s="1"/>
  <c r="AT191" i="5"/>
  <c r="AU191" i="5" s="1"/>
  <c r="AT171" i="5"/>
  <c r="AT163" i="5"/>
  <c r="AT161" i="5"/>
  <c r="AS155" i="5"/>
  <c r="AS151" i="5"/>
  <c r="AT189" i="5"/>
  <c r="AS177" i="5"/>
  <c r="AS154" i="5"/>
  <c r="AS146" i="5"/>
  <c r="AT145" i="5"/>
  <c r="AS142" i="5"/>
  <c r="AT141" i="5"/>
  <c r="AT207" i="5"/>
  <c r="AT199" i="5"/>
  <c r="AT176" i="5"/>
  <c r="AS176" i="5"/>
  <c r="AU176" i="5" s="1"/>
  <c r="AS175" i="5"/>
  <c r="AT175" i="5"/>
  <c r="AS173" i="5"/>
  <c r="AU173" i="5" s="1"/>
  <c r="AT165" i="5"/>
  <c r="AS159" i="5"/>
  <c r="AT159" i="5"/>
  <c r="AS157" i="5"/>
  <c r="AU157" i="5" s="1"/>
  <c r="AS136" i="5"/>
  <c r="AT129" i="5"/>
  <c r="AS125" i="5"/>
  <c r="AT109" i="5"/>
  <c r="AT98" i="5"/>
  <c r="AT93" i="5"/>
  <c r="AT148" i="5"/>
  <c r="AS133" i="5"/>
  <c r="AT126" i="5"/>
  <c r="AS126" i="5"/>
  <c r="AT138" i="5"/>
  <c r="AT131" i="5"/>
  <c r="AT119" i="5"/>
  <c r="AS111" i="5"/>
  <c r="BF43" i="5"/>
  <c r="AT90" i="5"/>
  <c r="AS90" i="5"/>
  <c r="AU90" i="5" s="1"/>
  <c r="AT86" i="5"/>
  <c r="AS86" i="5"/>
  <c r="AS82" i="5"/>
  <c r="AT82" i="5"/>
  <c r="AS78" i="5"/>
  <c r="AT78" i="5"/>
  <c r="AS75" i="5"/>
  <c r="AT75" i="5"/>
  <c r="AT110" i="5"/>
  <c r="AS104" i="5"/>
  <c r="AT103" i="5"/>
  <c r="AS97" i="5"/>
  <c r="AS95" i="5"/>
  <c r="BC26" i="5"/>
  <c r="AS81" i="5"/>
  <c r="AT120" i="5"/>
  <c r="AS120" i="5"/>
  <c r="AS101" i="5"/>
  <c r="AT91" i="5"/>
  <c r="BC22" i="5"/>
  <c r="BF11" i="5"/>
  <c r="BF34" i="5"/>
  <c r="BA289" i="5"/>
  <c r="AU309" i="5"/>
  <c r="AU306" i="5"/>
  <c r="AT294" i="5"/>
  <c r="AS294" i="5"/>
  <c r="AU294" i="5" s="1"/>
  <c r="AT303" i="5"/>
  <c r="AS303" i="5"/>
  <c r="AT295" i="5"/>
  <c r="AS295" i="5"/>
  <c r="AU295" i="5" s="1"/>
  <c r="AT288" i="5"/>
  <c r="AS284" i="5"/>
  <c r="AU284" i="5" s="1"/>
  <c r="AS293" i="5"/>
  <c r="AT293" i="5"/>
  <c r="AT272" i="5"/>
  <c r="AS272" i="5"/>
  <c r="AT285" i="5"/>
  <c r="AT275" i="5"/>
  <c r="AT267" i="5"/>
  <c r="AT281" i="5"/>
  <c r="AU281" i="5" s="1"/>
  <c r="AS276" i="5"/>
  <c r="AU276" i="5" s="1"/>
  <c r="AS270" i="5"/>
  <c r="AU270" i="5" s="1"/>
  <c r="AT266" i="5"/>
  <c r="AS283" i="5"/>
  <c r="AU283" i="5" s="1"/>
  <c r="AS255" i="5"/>
  <c r="AU255" i="5" s="1"/>
  <c r="AT253" i="5"/>
  <c r="AS253" i="5"/>
  <c r="AT249" i="5"/>
  <c r="AS249" i="5"/>
  <c r="AS245" i="5"/>
  <c r="AT245" i="5"/>
  <c r="AS241" i="5"/>
  <c r="AT241" i="5"/>
  <c r="AT258" i="5"/>
  <c r="AS258" i="5"/>
  <c r="AT260" i="5"/>
  <c r="AS260" i="5"/>
  <c r="AS229" i="5"/>
  <c r="AT229" i="5"/>
  <c r="BC159" i="5"/>
  <c r="BD159" i="5" s="1"/>
  <c r="AS219" i="5"/>
  <c r="AT219" i="5"/>
  <c r="AY154" i="5"/>
  <c r="BA154" i="5" s="1"/>
  <c r="BF151" i="5"/>
  <c r="BG151" i="5" s="1"/>
  <c r="AT211" i="5"/>
  <c r="AS211" i="5"/>
  <c r="AU211" i="5" s="1"/>
  <c r="BF142" i="5"/>
  <c r="BG142" i="5" s="1"/>
  <c r="AS227" i="5"/>
  <c r="AT227" i="5"/>
  <c r="AS220" i="5"/>
  <c r="AS216" i="5"/>
  <c r="AU216" i="5" s="1"/>
  <c r="AS212" i="5"/>
  <c r="BC145" i="5"/>
  <c r="BD145" i="5" s="1"/>
  <c r="AT201" i="5"/>
  <c r="AS197" i="5"/>
  <c r="AU197" i="5" s="1"/>
  <c r="AS193" i="5"/>
  <c r="AU193" i="5" s="1"/>
  <c r="AS233" i="5"/>
  <c r="AT233" i="5"/>
  <c r="AT221" i="5"/>
  <c r="AY156" i="5"/>
  <c r="BA156" i="5" s="1"/>
  <c r="AT188" i="5"/>
  <c r="AS188" i="5"/>
  <c r="AS232" i="5"/>
  <c r="AU232" i="5" s="1"/>
  <c r="AT222" i="5"/>
  <c r="AY157" i="5"/>
  <c r="BA157" i="5" s="1"/>
  <c r="AY153" i="5"/>
  <c r="BA153" i="5" s="1"/>
  <c r="AY149" i="5"/>
  <c r="BA149" i="5" s="1"/>
  <c r="AT152" i="5"/>
  <c r="AT203" i="5"/>
  <c r="AS171" i="5"/>
  <c r="AU171" i="5" s="1"/>
  <c r="AT169" i="5"/>
  <c r="AS163" i="5"/>
  <c r="AS161" i="5"/>
  <c r="AS156" i="5"/>
  <c r="AT156" i="5"/>
  <c r="AT218" i="5"/>
  <c r="AS183" i="5"/>
  <c r="AU183" i="5" s="1"/>
  <c r="AS181" i="5"/>
  <c r="AU181" i="5" s="1"/>
  <c r="AT177" i="5"/>
  <c r="AT146" i="5"/>
  <c r="AS143" i="5"/>
  <c r="AU143" i="5" s="1"/>
  <c r="AT142" i="5"/>
  <c r="AT182" i="5"/>
  <c r="AS182" i="5"/>
  <c r="AS174" i="5"/>
  <c r="AT174" i="5"/>
  <c r="AS167" i="5"/>
  <c r="AT167" i="5"/>
  <c r="AS165" i="5"/>
  <c r="AS158" i="5"/>
  <c r="AT158" i="5"/>
  <c r="AS153" i="5"/>
  <c r="AT153" i="5"/>
  <c r="AT136" i="5"/>
  <c r="AT125" i="5"/>
  <c r="AS121" i="5"/>
  <c r="AU121" i="5" s="1"/>
  <c r="AS107" i="5"/>
  <c r="AU107" i="5" s="1"/>
  <c r="AS79" i="5"/>
  <c r="AT79" i="5"/>
  <c r="AS148" i="5"/>
  <c r="AS139" i="5"/>
  <c r="AU139" i="5" s="1"/>
  <c r="AT133" i="5"/>
  <c r="AS85" i="5"/>
  <c r="AU85" i="5" s="1"/>
  <c r="AT111" i="5"/>
  <c r="AT104" i="5"/>
  <c r="AS100" i="5"/>
  <c r="AU100" i="5" s="1"/>
  <c r="AT97" i="5"/>
  <c r="AT95" i="5"/>
  <c r="AS135" i="5"/>
  <c r="AU135" i="5" s="1"/>
  <c r="AT132" i="5"/>
  <c r="AS132" i="5"/>
  <c r="AT112" i="5"/>
  <c r="AS112" i="5"/>
  <c r="AS105" i="5"/>
  <c r="AU105" i="5" s="1"/>
  <c r="AT101" i="5"/>
  <c r="BC18" i="5"/>
  <c r="BF36" i="5"/>
  <c r="AT81" i="5"/>
  <c r="AG16" i="5"/>
  <c r="AG17" i="5" s="1"/>
  <c r="BF35" i="5"/>
  <c r="BF13" i="5"/>
  <c r="BD11" i="4"/>
  <c r="BD135" i="4"/>
  <c r="BD131" i="4"/>
  <c r="BD127" i="4"/>
  <c r="BD123" i="4"/>
  <c r="BD119" i="4"/>
  <c r="BD115" i="4"/>
  <c r="BD111" i="4"/>
  <c r="BD107" i="4"/>
  <c r="BD103" i="4"/>
  <c r="BD99" i="4"/>
  <c r="BD95" i="4"/>
  <c r="BD91" i="4"/>
  <c r="BD87" i="4"/>
  <c r="BD83" i="4"/>
  <c r="BD79" i="4"/>
  <c r="BD75" i="4"/>
  <c r="BD71" i="4"/>
  <c r="BD67" i="4"/>
  <c r="BD63" i="4"/>
  <c r="BD59" i="4"/>
  <c r="BD55" i="4"/>
  <c r="BD51" i="4"/>
  <c r="BD47" i="4"/>
  <c r="BD43" i="4"/>
  <c r="BD39" i="4"/>
  <c r="BD35" i="4"/>
  <c r="BD31" i="4"/>
  <c r="BD27" i="4"/>
  <c r="BD23" i="4"/>
  <c r="BD19" i="4"/>
  <c r="BD15" i="4"/>
  <c r="BD134" i="4"/>
  <c r="BD130" i="4"/>
  <c r="BD126" i="4"/>
  <c r="BD122" i="4"/>
  <c r="BD118" i="4"/>
  <c r="BD114" i="4"/>
  <c r="BD110" i="4"/>
  <c r="BD106" i="4"/>
  <c r="BD102" i="4"/>
  <c r="BD98" i="4"/>
  <c r="BD94" i="4"/>
  <c r="BD90" i="4"/>
  <c r="BD86" i="4"/>
  <c r="BD82" i="4"/>
  <c r="BD78" i="4"/>
  <c r="BD74" i="4"/>
  <c r="BD70" i="4"/>
  <c r="BD66" i="4"/>
  <c r="BD62" i="4"/>
  <c r="BD58" i="4"/>
  <c r="BD54" i="4"/>
  <c r="BD50" i="4"/>
  <c r="BD46" i="4"/>
  <c r="BD42" i="4"/>
  <c r="BD38" i="4"/>
  <c r="BD34" i="4"/>
  <c r="BD30" i="4"/>
  <c r="BD26" i="4"/>
  <c r="BD22" i="4"/>
  <c r="BD18" i="4"/>
  <c r="BD14" i="4"/>
  <c r="BD132" i="4"/>
  <c r="BD128" i="4"/>
  <c r="BD124" i="4"/>
  <c r="BD120" i="4"/>
  <c r="BD116" i="4"/>
  <c r="BD112" i="4"/>
  <c r="BD108" i="4"/>
  <c r="BD104" i="4"/>
  <c r="BD100" i="4"/>
  <c r="BD96" i="4"/>
  <c r="BD92" i="4"/>
  <c r="BD88" i="4"/>
  <c r="BD84" i="4"/>
  <c r="BD80" i="4"/>
  <c r="BD76" i="4"/>
  <c r="BD72" i="4"/>
  <c r="BD68" i="4"/>
  <c r="BD64" i="4"/>
  <c r="BD60" i="4"/>
  <c r="BD56" i="4"/>
  <c r="BD52" i="4"/>
  <c r="BD48" i="4"/>
  <c r="BD44" i="4"/>
  <c r="BD40" i="4"/>
  <c r="BD36" i="4"/>
  <c r="BD32" i="4"/>
  <c r="BD28" i="4"/>
  <c r="BD24" i="4"/>
  <c r="BD20" i="4"/>
  <c r="BD16" i="4"/>
  <c r="BD12" i="4"/>
  <c r="AY11" i="4"/>
  <c r="BF310" i="4"/>
  <c r="BF306" i="4"/>
  <c r="BF302" i="4"/>
  <c r="BF298" i="4"/>
  <c r="BF294" i="4"/>
  <c r="BF290" i="4"/>
  <c r="BF286" i="4"/>
  <c r="BF282" i="4"/>
  <c r="BF278" i="4"/>
  <c r="BF274" i="4"/>
  <c r="BF270" i="4"/>
  <c r="BF266" i="4"/>
  <c r="BF262" i="4"/>
  <c r="BF258" i="4"/>
  <c r="BF254" i="4"/>
  <c r="BF250" i="4"/>
  <c r="BF246" i="4"/>
  <c r="BF242" i="4"/>
  <c r="BF238" i="4"/>
  <c r="BF234" i="4"/>
  <c r="BF230" i="4"/>
  <c r="BF214" i="4"/>
  <c r="BF200" i="4"/>
  <c r="BF303" i="4"/>
  <c r="BF295" i="4"/>
  <c r="BF291" i="4"/>
  <c r="BF287" i="4"/>
  <c r="BF283" i="4"/>
  <c r="BF279" i="4"/>
  <c r="BF275" i="4"/>
  <c r="BF271" i="4"/>
  <c r="BG135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C310" i="4"/>
  <c r="BC306" i="4"/>
  <c r="BC302" i="4"/>
  <c r="BC298" i="4"/>
  <c r="BC294" i="4"/>
  <c r="BC290" i="4"/>
  <c r="BC286" i="4"/>
  <c r="BC282" i="4"/>
  <c r="BC278" i="4"/>
  <c r="BC274" i="4"/>
  <c r="BC270" i="4"/>
  <c r="BC266" i="4"/>
  <c r="BC262" i="4"/>
  <c r="BC258" i="4"/>
  <c r="BC254" i="4"/>
  <c r="BC250" i="4"/>
  <c r="BC246" i="4"/>
  <c r="BC242" i="4"/>
  <c r="BC238" i="4"/>
  <c r="BC234" i="4"/>
  <c r="BC230" i="4"/>
  <c r="BC214" i="4"/>
  <c r="BC200" i="4"/>
  <c r="BD200" i="4" s="1"/>
  <c r="BC303" i="4"/>
  <c r="BD303" i="4" s="1"/>
  <c r="BC295" i="4"/>
  <c r="BD295" i="4" s="1"/>
  <c r="BC291" i="4"/>
  <c r="BD291" i="4" s="1"/>
  <c r="BC287" i="4"/>
  <c r="BD287" i="4" s="1"/>
  <c r="BC283" i="4"/>
  <c r="BD283" i="4" s="1"/>
  <c r="BC279" i="4"/>
  <c r="BD279" i="4" s="1"/>
  <c r="BC275" i="4"/>
  <c r="BD275" i="4" s="1"/>
  <c r="BC271" i="4"/>
  <c r="BD271" i="4" s="1"/>
  <c r="Y13" i="4"/>
  <c r="BC13" i="4" s="1"/>
  <c r="AZ13" i="4"/>
  <c r="Y15" i="4"/>
  <c r="BC15" i="4" s="1"/>
  <c r="AZ15" i="4"/>
  <c r="Y18" i="4"/>
  <c r="BC18" i="4" s="1"/>
  <c r="AZ18" i="4"/>
  <c r="Y21" i="4"/>
  <c r="BC21" i="4" s="1"/>
  <c r="AZ21" i="4"/>
  <c r="Y23" i="4"/>
  <c r="BC23" i="4" s="1"/>
  <c r="AZ23" i="4"/>
  <c r="Y26" i="4"/>
  <c r="BC26" i="4" s="1"/>
  <c r="AZ26" i="4"/>
  <c r="Y29" i="4"/>
  <c r="BC29" i="4" s="1"/>
  <c r="AZ29" i="4"/>
  <c r="Y31" i="4"/>
  <c r="BC31" i="4" s="1"/>
  <c r="AZ31" i="4"/>
  <c r="Y34" i="4"/>
  <c r="BC34" i="4" s="1"/>
  <c r="AZ34" i="4"/>
  <c r="Y37" i="4"/>
  <c r="BC37" i="4" s="1"/>
  <c r="AZ37" i="4"/>
  <c r="Y39" i="4"/>
  <c r="BC39" i="4" s="1"/>
  <c r="AZ39" i="4"/>
  <c r="Y42" i="4"/>
  <c r="BC42" i="4" s="1"/>
  <c r="AZ42" i="4"/>
  <c r="Y45" i="4"/>
  <c r="BC45" i="4" s="1"/>
  <c r="AZ45" i="4"/>
  <c r="Y47" i="4"/>
  <c r="BC47" i="4" s="1"/>
  <c r="AZ47" i="4"/>
  <c r="Y50" i="4"/>
  <c r="BC50" i="4" s="1"/>
  <c r="AZ50" i="4"/>
  <c r="Y53" i="4"/>
  <c r="BC53" i="4" s="1"/>
  <c r="AZ53" i="4"/>
  <c r="Y55" i="4"/>
  <c r="BC55" i="4" s="1"/>
  <c r="AZ55" i="4"/>
  <c r="Y58" i="4"/>
  <c r="BC58" i="4" s="1"/>
  <c r="AZ58" i="4"/>
  <c r="Y61" i="4"/>
  <c r="BC61" i="4" s="1"/>
  <c r="AZ61" i="4"/>
  <c r="Y63" i="4"/>
  <c r="BC63" i="4" s="1"/>
  <c r="AZ63" i="4"/>
  <c r="Y66" i="4"/>
  <c r="BC66" i="4" s="1"/>
  <c r="AZ66" i="4"/>
  <c r="Y69" i="4"/>
  <c r="BC69" i="4" s="1"/>
  <c r="AZ69" i="4"/>
  <c r="Y71" i="4"/>
  <c r="BC71" i="4" s="1"/>
  <c r="AZ71" i="4"/>
  <c r="Y74" i="4"/>
  <c r="BC74" i="4" s="1"/>
  <c r="AZ74" i="4"/>
  <c r="Y77" i="4"/>
  <c r="BC77" i="4" s="1"/>
  <c r="AZ77" i="4"/>
  <c r="Y79" i="4"/>
  <c r="BC79" i="4" s="1"/>
  <c r="AZ79" i="4"/>
  <c r="Y82" i="4"/>
  <c r="BC82" i="4" s="1"/>
  <c r="AZ82" i="4"/>
  <c r="Y85" i="4"/>
  <c r="BC85" i="4" s="1"/>
  <c r="AZ85" i="4"/>
  <c r="Y87" i="4"/>
  <c r="BC87" i="4" s="1"/>
  <c r="AZ87" i="4"/>
  <c r="Y90" i="4"/>
  <c r="BC90" i="4" s="1"/>
  <c r="AZ90" i="4"/>
  <c r="Y93" i="4"/>
  <c r="BC93" i="4" s="1"/>
  <c r="AZ93" i="4"/>
  <c r="Y95" i="4"/>
  <c r="BC95" i="4" s="1"/>
  <c r="AZ95" i="4"/>
  <c r="Y98" i="4"/>
  <c r="BC98" i="4" s="1"/>
  <c r="AZ98" i="4"/>
  <c r="Y101" i="4"/>
  <c r="BC101" i="4" s="1"/>
  <c r="AZ101" i="4"/>
  <c r="Y103" i="4"/>
  <c r="BC103" i="4" s="1"/>
  <c r="AZ103" i="4"/>
  <c r="Y106" i="4"/>
  <c r="BC106" i="4" s="1"/>
  <c r="AZ106" i="4"/>
  <c r="Y109" i="4"/>
  <c r="BC109" i="4" s="1"/>
  <c r="AZ109" i="4"/>
  <c r="Y111" i="4"/>
  <c r="BC111" i="4" s="1"/>
  <c r="AZ111" i="4"/>
  <c r="Y114" i="4"/>
  <c r="BC114" i="4" s="1"/>
  <c r="AZ114" i="4"/>
  <c r="Y117" i="4"/>
  <c r="BC117" i="4" s="1"/>
  <c r="AZ117" i="4"/>
  <c r="Y119" i="4"/>
  <c r="BC119" i="4" s="1"/>
  <c r="AZ119" i="4"/>
  <c r="Y122" i="4"/>
  <c r="BC122" i="4" s="1"/>
  <c r="AZ122" i="4"/>
  <c r="Y125" i="4"/>
  <c r="BC125" i="4" s="1"/>
  <c r="AZ125" i="4"/>
  <c r="Y127" i="4"/>
  <c r="BC127" i="4" s="1"/>
  <c r="AZ127" i="4"/>
  <c r="Y130" i="4"/>
  <c r="BC130" i="4" s="1"/>
  <c r="AZ130" i="4"/>
  <c r="Y133" i="4"/>
  <c r="BC133" i="4" s="1"/>
  <c r="AZ133" i="4"/>
  <c r="Y135" i="4"/>
  <c r="BC135" i="4" s="1"/>
  <c r="AZ135" i="4"/>
  <c r="Y138" i="4"/>
  <c r="BC138" i="4" s="1"/>
  <c r="BD138" i="4" s="1"/>
  <c r="AZ138" i="4"/>
  <c r="Y141" i="4"/>
  <c r="BC141" i="4" s="1"/>
  <c r="AZ141" i="4"/>
  <c r="Y143" i="4"/>
  <c r="BC143" i="4" s="1"/>
  <c r="BD143" i="4" s="1"/>
  <c r="AZ143" i="4"/>
  <c r="Y155" i="4"/>
  <c r="BC155" i="4" s="1"/>
  <c r="BD155" i="4" s="1"/>
  <c r="AZ155" i="4"/>
  <c r="Y158" i="4"/>
  <c r="AY158" i="4" s="1"/>
  <c r="AZ158" i="4"/>
  <c r="Y161" i="4"/>
  <c r="BC161" i="4" s="1"/>
  <c r="AZ161" i="4"/>
  <c r="Y166" i="4"/>
  <c r="BC166" i="4" s="1"/>
  <c r="BD166" i="4" s="1"/>
  <c r="AZ166" i="4"/>
  <c r="Y168" i="4"/>
  <c r="BC168" i="4" s="1"/>
  <c r="BD168" i="4" s="1"/>
  <c r="AZ168" i="4"/>
  <c r="Y174" i="4"/>
  <c r="BC174" i="4" s="1"/>
  <c r="AZ174" i="4"/>
  <c r="Y176" i="4"/>
  <c r="BC176" i="4" s="1"/>
  <c r="BD176" i="4" s="1"/>
  <c r="AZ176" i="4"/>
  <c r="Y183" i="4"/>
  <c r="BC183" i="4" s="1"/>
  <c r="BD183" i="4" s="1"/>
  <c r="AZ183" i="4"/>
  <c r="Y190" i="4"/>
  <c r="BC190" i="4" s="1"/>
  <c r="AZ190" i="4"/>
  <c r="Y192" i="4"/>
  <c r="AY192" i="4" s="1"/>
  <c r="AZ192" i="4"/>
  <c r="AY14" i="4"/>
  <c r="AY16" i="4"/>
  <c r="AY19" i="4"/>
  <c r="AY22" i="4"/>
  <c r="AY24" i="4"/>
  <c r="AY27" i="4"/>
  <c r="AY30" i="4"/>
  <c r="AY32" i="4"/>
  <c r="AY35" i="4"/>
  <c r="AY38" i="4"/>
  <c r="AY40" i="4"/>
  <c r="AY43" i="4"/>
  <c r="AY46" i="4"/>
  <c r="AY48" i="4"/>
  <c r="AY51" i="4"/>
  <c r="AY54" i="4"/>
  <c r="AY56" i="4"/>
  <c r="AY59" i="4"/>
  <c r="AY62" i="4"/>
  <c r="AY64" i="4"/>
  <c r="AY67" i="4"/>
  <c r="AY70" i="4"/>
  <c r="AY72" i="4"/>
  <c r="AY75" i="4"/>
  <c r="AY78" i="4"/>
  <c r="AY80" i="4"/>
  <c r="AY83" i="4"/>
  <c r="AY86" i="4"/>
  <c r="AY88" i="4"/>
  <c r="AY91" i="4"/>
  <c r="AY94" i="4"/>
  <c r="AY96" i="4"/>
  <c r="AY99" i="4"/>
  <c r="AY102" i="4"/>
  <c r="AY104" i="4"/>
  <c r="AY107" i="4"/>
  <c r="AY110" i="4"/>
  <c r="AY112" i="4"/>
  <c r="AY115" i="4"/>
  <c r="AY118" i="4"/>
  <c r="AY120" i="4"/>
  <c r="AY123" i="4"/>
  <c r="AY126" i="4"/>
  <c r="AY128" i="4"/>
  <c r="AY131" i="4"/>
  <c r="AY134" i="4"/>
  <c r="Y147" i="4"/>
  <c r="BC147" i="4" s="1"/>
  <c r="BD147" i="4" s="1"/>
  <c r="AZ147" i="4"/>
  <c r="Y150" i="4"/>
  <c r="AY150" i="4" s="1"/>
  <c r="BA150" i="4" s="1"/>
  <c r="AZ150" i="4"/>
  <c r="Y153" i="4"/>
  <c r="BC153" i="4" s="1"/>
  <c r="AZ153" i="4"/>
  <c r="Y162" i="4"/>
  <c r="BC162" i="4" s="1"/>
  <c r="AZ162" i="4"/>
  <c r="Y165" i="4"/>
  <c r="BC165" i="4" s="1"/>
  <c r="BD165" i="4" s="1"/>
  <c r="AZ165" i="4"/>
  <c r="Y169" i="4"/>
  <c r="BC169" i="4" s="1"/>
  <c r="AZ169" i="4"/>
  <c r="Y171" i="4"/>
  <c r="BC171" i="4" s="1"/>
  <c r="BD171" i="4" s="1"/>
  <c r="AZ171" i="4"/>
  <c r="Y178" i="4"/>
  <c r="BC178" i="4" s="1"/>
  <c r="AZ178" i="4"/>
  <c r="Y180" i="4"/>
  <c r="BC180" i="4" s="1"/>
  <c r="BD180" i="4" s="1"/>
  <c r="AZ180" i="4"/>
  <c r="Y187" i="4"/>
  <c r="BC187" i="4" s="1"/>
  <c r="BD187" i="4" s="1"/>
  <c r="AZ187" i="4"/>
  <c r="Y194" i="4"/>
  <c r="BC194" i="4" s="1"/>
  <c r="AZ194" i="4"/>
  <c r="Y196" i="4"/>
  <c r="BC196" i="4" s="1"/>
  <c r="BD196" i="4" s="1"/>
  <c r="AZ196" i="4"/>
  <c r="AY200" i="4"/>
  <c r="Y203" i="4"/>
  <c r="AY203" i="4" s="1"/>
  <c r="AZ203" i="4"/>
  <c r="Y210" i="4"/>
  <c r="BC210" i="4" s="1"/>
  <c r="AZ210" i="4"/>
  <c r="Y212" i="4"/>
  <c r="BC212" i="4" s="1"/>
  <c r="BD212" i="4" s="1"/>
  <c r="AZ212" i="4"/>
  <c r="Y223" i="4"/>
  <c r="BC223" i="4" s="1"/>
  <c r="BD223" i="4" s="1"/>
  <c r="AZ223" i="4"/>
  <c r="AY283" i="4"/>
  <c r="Y11" i="4"/>
  <c r="BC11" i="4" s="1"/>
  <c r="Y14" i="4"/>
  <c r="BC14" i="4" s="1"/>
  <c r="AZ14" i="4"/>
  <c r="Y17" i="4"/>
  <c r="BC17" i="4" s="1"/>
  <c r="AZ17" i="4"/>
  <c r="Y19" i="4"/>
  <c r="BC19" i="4" s="1"/>
  <c r="AZ19" i="4"/>
  <c r="Y22" i="4"/>
  <c r="BC22" i="4" s="1"/>
  <c r="AZ22" i="4"/>
  <c r="Y25" i="4"/>
  <c r="BC25" i="4" s="1"/>
  <c r="AZ25" i="4"/>
  <c r="Y27" i="4"/>
  <c r="BC27" i="4" s="1"/>
  <c r="AZ27" i="4"/>
  <c r="Y30" i="4"/>
  <c r="BC30" i="4" s="1"/>
  <c r="AZ30" i="4"/>
  <c r="Y33" i="4"/>
  <c r="BC33" i="4" s="1"/>
  <c r="AZ33" i="4"/>
  <c r="Y35" i="4"/>
  <c r="BC35" i="4" s="1"/>
  <c r="AZ35" i="4"/>
  <c r="Y38" i="4"/>
  <c r="BC38" i="4" s="1"/>
  <c r="AZ38" i="4"/>
  <c r="Y41" i="4"/>
  <c r="BC41" i="4" s="1"/>
  <c r="AZ41" i="4"/>
  <c r="Y43" i="4"/>
  <c r="BC43" i="4" s="1"/>
  <c r="AZ43" i="4"/>
  <c r="Y46" i="4"/>
  <c r="BC46" i="4" s="1"/>
  <c r="AZ46" i="4"/>
  <c r="Y49" i="4"/>
  <c r="BC49" i="4" s="1"/>
  <c r="AZ49" i="4"/>
  <c r="Y51" i="4"/>
  <c r="BC51" i="4" s="1"/>
  <c r="AZ51" i="4"/>
  <c r="Y54" i="4"/>
  <c r="BC54" i="4" s="1"/>
  <c r="AZ54" i="4"/>
  <c r="Y57" i="4"/>
  <c r="BC57" i="4" s="1"/>
  <c r="AZ57" i="4"/>
  <c r="Y59" i="4"/>
  <c r="BC59" i="4" s="1"/>
  <c r="AZ59" i="4"/>
  <c r="Y62" i="4"/>
  <c r="BC62" i="4" s="1"/>
  <c r="AZ62" i="4"/>
  <c r="Y65" i="4"/>
  <c r="BC65" i="4" s="1"/>
  <c r="AZ65" i="4"/>
  <c r="Y67" i="4"/>
  <c r="BC67" i="4" s="1"/>
  <c r="AZ67" i="4"/>
  <c r="Y70" i="4"/>
  <c r="BC70" i="4" s="1"/>
  <c r="AZ70" i="4"/>
  <c r="Y73" i="4"/>
  <c r="BC73" i="4" s="1"/>
  <c r="AZ73" i="4"/>
  <c r="Y75" i="4"/>
  <c r="BC75" i="4" s="1"/>
  <c r="AZ75" i="4"/>
  <c r="Y78" i="4"/>
  <c r="BC78" i="4" s="1"/>
  <c r="AZ78" i="4"/>
  <c r="Y81" i="4"/>
  <c r="BC81" i="4" s="1"/>
  <c r="AZ81" i="4"/>
  <c r="Y83" i="4"/>
  <c r="BC83" i="4" s="1"/>
  <c r="AZ83" i="4"/>
  <c r="Y86" i="4"/>
  <c r="BC86" i="4" s="1"/>
  <c r="AZ86" i="4"/>
  <c r="Y89" i="4"/>
  <c r="BC89" i="4" s="1"/>
  <c r="AZ89" i="4"/>
  <c r="Y91" i="4"/>
  <c r="BC91" i="4" s="1"/>
  <c r="AZ91" i="4"/>
  <c r="Y94" i="4"/>
  <c r="BC94" i="4" s="1"/>
  <c r="AZ94" i="4"/>
  <c r="Y97" i="4"/>
  <c r="BC97" i="4" s="1"/>
  <c r="AZ97" i="4"/>
  <c r="Y99" i="4"/>
  <c r="BC99" i="4" s="1"/>
  <c r="AZ99" i="4"/>
  <c r="Y102" i="4"/>
  <c r="BC102" i="4" s="1"/>
  <c r="AZ102" i="4"/>
  <c r="Y105" i="4"/>
  <c r="BC105" i="4" s="1"/>
  <c r="AZ105" i="4"/>
  <c r="Y107" i="4"/>
  <c r="BC107" i="4" s="1"/>
  <c r="AZ107" i="4"/>
  <c r="Y110" i="4"/>
  <c r="BC110" i="4" s="1"/>
  <c r="AZ110" i="4"/>
  <c r="Y113" i="4"/>
  <c r="BC113" i="4" s="1"/>
  <c r="AZ113" i="4"/>
  <c r="Y115" i="4"/>
  <c r="BC115" i="4" s="1"/>
  <c r="AZ115" i="4"/>
  <c r="Y118" i="4"/>
  <c r="BC118" i="4" s="1"/>
  <c r="AZ118" i="4"/>
  <c r="Y121" i="4"/>
  <c r="BC121" i="4" s="1"/>
  <c r="AZ121" i="4"/>
  <c r="Y123" i="4"/>
  <c r="BC123" i="4" s="1"/>
  <c r="AZ123" i="4"/>
  <c r="Y126" i="4"/>
  <c r="BC126" i="4" s="1"/>
  <c r="AZ126" i="4"/>
  <c r="Y129" i="4"/>
  <c r="BC129" i="4" s="1"/>
  <c r="AZ129" i="4"/>
  <c r="Y131" i="4"/>
  <c r="BC131" i="4" s="1"/>
  <c r="AZ131" i="4"/>
  <c r="Y134" i="4"/>
  <c r="BC134" i="4" s="1"/>
  <c r="AZ134" i="4"/>
  <c r="Y137" i="4"/>
  <c r="BC137" i="4" s="1"/>
  <c r="AZ137" i="4"/>
  <c r="Y139" i="4"/>
  <c r="BC139" i="4" s="1"/>
  <c r="BD139" i="4" s="1"/>
  <c r="AZ139" i="4"/>
  <c r="Y142" i="4"/>
  <c r="AY142" i="4" s="1"/>
  <c r="AZ142" i="4"/>
  <c r="Y145" i="4"/>
  <c r="BC145" i="4" s="1"/>
  <c r="AZ145" i="4"/>
  <c r="AZ299" i="4"/>
  <c r="AZ307" i="4"/>
  <c r="AY12" i="4"/>
  <c r="AY15" i="4"/>
  <c r="AY18" i="4"/>
  <c r="AY20" i="4"/>
  <c r="AY23" i="4"/>
  <c r="AY26" i="4"/>
  <c r="AY28" i="4"/>
  <c r="AY34" i="4"/>
  <c r="AY42" i="4"/>
  <c r="AY50" i="4"/>
  <c r="AY58" i="4"/>
  <c r="AY66" i="4"/>
  <c r="AY74" i="4"/>
  <c r="AY82" i="4"/>
  <c r="AY90" i="4"/>
  <c r="AY98" i="4"/>
  <c r="AY106" i="4"/>
  <c r="AY114" i="4"/>
  <c r="AY122" i="4"/>
  <c r="AY130" i="4"/>
  <c r="Y146" i="4"/>
  <c r="BC146" i="4" s="1"/>
  <c r="AZ146" i="4"/>
  <c r="Y149" i="4"/>
  <c r="BC149" i="4" s="1"/>
  <c r="AZ149" i="4"/>
  <c r="Y151" i="4"/>
  <c r="AY151" i="4" s="1"/>
  <c r="AZ151" i="4"/>
  <c r="Y163" i="4"/>
  <c r="AY163" i="4" s="1"/>
  <c r="AZ163" i="4"/>
  <c r="Y172" i="4"/>
  <c r="BC172" i="4" s="1"/>
  <c r="BD172" i="4" s="1"/>
  <c r="AZ172" i="4"/>
  <c r="Y179" i="4"/>
  <c r="BC179" i="4" s="1"/>
  <c r="BD179" i="4" s="1"/>
  <c r="AZ179" i="4"/>
  <c r="Y186" i="4"/>
  <c r="BC186" i="4" s="1"/>
  <c r="AZ186" i="4"/>
  <c r="Y188" i="4"/>
  <c r="BC188" i="4" s="1"/>
  <c r="BD188" i="4" s="1"/>
  <c r="AZ188" i="4"/>
  <c r="Y195" i="4"/>
  <c r="AY195" i="4" s="1"/>
  <c r="AZ195" i="4"/>
  <c r="Y202" i="4"/>
  <c r="BC202" i="4" s="1"/>
  <c r="AZ202" i="4"/>
  <c r="Y204" i="4"/>
  <c r="BC204" i="4" s="1"/>
  <c r="BD204" i="4" s="1"/>
  <c r="AZ204" i="4"/>
  <c r="Y211" i="4"/>
  <c r="BC211" i="4" s="1"/>
  <c r="BD211" i="4" s="1"/>
  <c r="AZ211" i="4"/>
  <c r="Y224" i="4"/>
  <c r="AY224" i="4" s="1"/>
  <c r="AZ224" i="4"/>
  <c r="AY176" i="4"/>
  <c r="BA176" i="4" s="1"/>
  <c r="AZ310" i="4"/>
  <c r="AZ302" i="4"/>
  <c r="AZ294" i="4"/>
  <c r="AZ286" i="4"/>
  <c r="AZ278" i="4"/>
  <c r="AZ270" i="4"/>
  <c r="AZ254" i="4"/>
  <c r="AZ238" i="4"/>
  <c r="Y199" i="4"/>
  <c r="BC199" i="4" s="1"/>
  <c r="BD199" i="4" s="1"/>
  <c r="AZ199" i="4"/>
  <c r="Y206" i="4"/>
  <c r="BC206" i="4" s="1"/>
  <c r="AZ206" i="4"/>
  <c r="Y208" i="4"/>
  <c r="AY208" i="4" s="1"/>
  <c r="AZ208" i="4"/>
  <c r="Y215" i="4"/>
  <c r="BC215" i="4" s="1"/>
  <c r="BD215" i="4" s="1"/>
  <c r="AZ215" i="4"/>
  <c r="Y219" i="4"/>
  <c r="AY219" i="4" s="1"/>
  <c r="AZ219" i="4"/>
  <c r="Y228" i="4"/>
  <c r="BC228" i="4" s="1"/>
  <c r="BD228" i="4" s="1"/>
  <c r="AZ228" i="4"/>
  <c r="Y231" i="4"/>
  <c r="BC231" i="4" s="1"/>
  <c r="BD231" i="4" s="1"/>
  <c r="AZ231" i="4"/>
  <c r="Y236" i="4"/>
  <c r="AY236" i="4" s="1"/>
  <c r="BA236" i="4" s="1"/>
  <c r="AZ236" i="4"/>
  <c r="Y239" i="4"/>
  <c r="AY239" i="4" s="1"/>
  <c r="AZ239" i="4"/>
  <c r="Y244" i="4"/>
  <c r="BC244" i="4" s="1"/>
  <c r="BD244" i="4" s="1"/>
  <c r="AZ244" i="4"/>
  <c r="Y247" i="4"/>
  <c r="BC247" i="4" s="1"/>
  <c r="BD247" i="4" s="1"/>
  <c r="AZ247" i="4"/>
  <c r="Y252" i="4"/>
  <c r="BC252" i="4" s="1"/>
  <c r="BD252" i="4" s="1"/>
  <c r="AZ252" i="4"/>
  <c r="Y255" i="4"/>
  <c r="AY255" i="4" s="1"/>
  <c r="AZ255" i="4"/>
  <c r="Y260" i="4"/>
  <c r="BC260" i="4" s="1"/>
  <c r="BD260" i="4" s="1"/>
  <c r="AZ260" i="4"/>
  <c r="Y263" i="4"/>
  <c r="AY263" i="4" s="1"/>
  <c r="AZ263" i="4"/>
  <c r="Y268" i="4"/>
  <c r="BC268" i="4" s="1"/>
  <c r="BD268" i="4" s="1"/>
  <c r="AZ268" i="4"/>
  <c r="Y276" i="4"/>
  <c r="AY276" i="4" s="1"/>
  <c r="AZ276" i="4"/>
  <c r="Y284" i="4"/>
  <c r="BC284" i="4" s="1"/>
  <c r="BD284" i="4" s="1"/>
  <c r="AZ284" i="4"/>
  <c r="Y292" i="4"/>
  <c r="AY292" i="4" s="1"/>
  <c r="AZ292" i="4"/>
  <c r="Y300" i="4"/>
  <c r="BC300" i="4" s="1"/>
  <c r="BD300" i="4" s="1"/>
  <c r="AZ300" i="4"/>
  <c r="Y308" i="4"/>
  <c r="AY308" i="4" s="1"/>
  <c r="AZ308" i="4"/>
  <c r="AY303" i="4"/>
  <c r="AY287" i="4"/>
  <c r="AY271" i="4"/>
  <c r="AY223" i="4"/>
  <c r="AY212" i="4"/>
  <c r="BA212" i="4" s="1"/>
  <c r="AZ291" i="4"/>
  <c r="AZ283" i="4"/>
  <c r="AZ275" i="4"/>
  <c r="AZ266" i="4"/>
  <c r="AZ250" i="4"/>
  <c r="AZ234" i="4"/>
  <c r="AZ200" i="4"/>
  <c r="AY291" i="4"/>
  <c r="BA291" i="4" s="1"/>
  <c r="AY275" i="4"/>
  <c r="AY168" i="4"/>
  <c r="BA168" i="4" s="1"/>
  <c r="AY135" i="4"/>
  <c r="AY127" i="4"/>
  <c r="AY119" i="4"/>
  <c r="AY111" i="4"/>
  <c r="AY103" i="4"/>
  <c r="AY95" i="4"/>
  <c r="AY87" i="4"/>
  <c r="AY79" i="4"/>
  <c r="AY71" i="4"/>
  <c r="AY63" i="4"/>
  <c r="AY55" i="4"/>
  <c r="AY47" i="4"/>
  <c r="AY39" i="4"/>
  <c r="AY31" i="4"/>
  <c r="AZ306" i="4"/>
  <c r="AZ298" i="4"/>
  <c r="AZ290" i="4"/>
  <c r="AZ282" i="4"/>
  <c r="AZ274" i="4"/>
  <c r="AZ262" i="4"/>
  <c r="AZ246" i="4"/>
  <c r="AZ230" i="4"/>
  <c r="AZ214" i="4"/>
  <c r="Y154" i="4"/>
  <c r="BC154" i="4" s="1"/>
  <c r="AZ154" i="4"/>
  <c r="Y157" i="4"/>
  <c r="BC157" i="4" s="1"/>
  <c r="AZ157" i="4"/>
  <c r="Y159" i="4"/>
  <c r="AY159" i="4" s="1"/>
  <c r="AZ159" i="4"/>
  <c r="Y167" i="4"/>
  <c r="AY167" i="4" s="1"/>
  <c r="BA167" i="4" s="1"/>
  <c r="AZ167" i="4"/>
  <c r="Y170" i="4"/>
  <c r="AY170" i="4" s="1"/>
  <c r="AZ170" i="4"/>
  <c r="Y175" i="4"/>
  <c r="AY175" i="4" s="1"/>
  <c r="BA175" i="4" s="1"/>
  <c r="AZ175" i="4"/>
  <c r="Y182" i="4"/>
  <c r="BC182" i="4" s="1"/>
  <c r="AZ182" i="4"/>
  <c r="Y184" i="4"/>
  <c r="AY184" i="4" s="1"/>
  <c r="BA184" i="4" s="1"/>
  <c r="AZ184" i="4"/>
  <c r="Y191" i="4"/>
  <c r="AY191" i="4" s="1"/>
  <c r="AZ191" i="4"/>
  <c r="Y198" i="4"/>
  <c r="BC198" i="4" s="1"/>
  <c r="AZ198" i="4"/>
  <c r="Y207" i="4"/>
  <c r="AY207" i="4" s="1"/>
  <c r="AZ207" i="4"/>
  <c r="Y216" i="4"/>
  <c r="AY216" i="4" s="1"/>
  <c r="BA216" i="4" s="1"/>
  <c r="AZ216" i="4"/>
  <c r="Y220" i="4"/>
  <c r="AY220" i="4" s="1"/>
  <c r="AZ220" i="4"/>
  <c r="Y227" i="4"/>
  <c r="AY227" i="4" s="1"/>
  <c r="BA227" i="4" s="1"/>
  <c r="AZ227" i="4"/>
  <c r="Y232" i="4"/>
  <c r="AY232" i="4" s="1"/>
  <c r="AZ232" i="4"/>
  <c r="Y235" i="4"/>
  <c r="AY235" i="4" s="1"/>
  <c r="BA235" i="4" s="1"/>
  <c r="AZ235" i="4"/>
  <c r="Y240" i="4"/>
  <c r="AY240" i="4" s="1"/>
  <c r="AZ240" i="4"/>
  <c r="Y243" i="4"/>
  <c r="AY243" i="4" s="1"/>
  <c r="BA243" i="4" s="1"/>
  <c r="AZ243" i="4"/>
  <c r="Y248" i="4"/>
  <c r="AY248" i="4" s="1"/>
  <c r="AZ248" i="4"/>
  <c r="Y251" i="4"/>
  <c r="AY251" i="4" s="1"/>
  <c r="BA251" i="4" s="1"/>
  <c r="AZ251" i="4"/>
  <c r="Y256" i="4"/>
  <c r="AY256" i="4" s="1"/>
  <c r="AZ256" i="4"/>
  <c r="Y259" i="4"/>
  <c r="AY259" i="4" s="1"/>
  <c r="BA259" i="4" s="1"/>
  <c r="AZ259" i="4"/>
  <c r="Y264" i="4"/>
  <c r="AY264" i="4" s="1"/>
  <c r="AZ264" i="4"/>
  <c r="Y267" i="4"/>
  <c r="AY267" i="4" s="1"/>
  <c r="BA267" i="4" s="1"/>
  <c r="AZ267" i="4"/>
  <c r="Y272" i="4"/>
  <c r="AY272" i="4" s="1"/>
  <c r="AZ272" i="4"/>
  <c r="Y280" i="4"/>
  <c r="AY280" i="4" s="1"/>
  <c r="BA280" i="4" s="1"/>
  <c r="AZ280" i="4"/>
  <c r="Y288" i="4"/>
  <c r="AY288" i="4" s="1"/>
  <c r="AZ288" i="4"/>
  <c r="Y296" i="4"/>
  <c r="AY296" i="4" s="1"/>
  <c r="BA296" i="4" s="1"/>
  <c r="AZ296" i="4"/>
  <c r="Y304" i="4"/>
  <c r="AY304" i="4" s="1"/>
  <c r="AZ304" i="4"/>
  <c r="AY295" i="4"/>
  <c r="BA295" i="4" s="1"/>
  <c r="AY279" i="4"/>
  <c r="AY199" i="4"/>
  <c r="AY132" i="4"/>
  <c r="AY124" i="4"/>
  <c r="AY116" i="4"/>
  <c r="AY108" i="4"/>
  <c r="AY100" i="4"/>
  <c r="AY92" i="4"/>
  <c r="AY84" i="4"/>
  <c r="AY76" i="4"/>
  <c r="AY68" i="4"/>
  <c r="AY60" i="4"/>
  <c r="AY52" i="4"/>
  <c r="AY44" i="4"/>
  <c r="AY36" i="4"/>
  <c r="AZ303" i="4"/>
  <c r="AZ295" i="4"/>
  <c r="AZ287" i="4"/>
  <c r="AZ279" i="4"/>
  <c r="AZ271" i="4"/>
  <c r="AZ258" i="4"/>
  <c r="AZ242" i="4"/>
  <c r="Y307" i="4"/>
  <c r="AY307" i="4" s="1"/>
  <c r="Y299" i="4"/>
  <c r="AY299" i="4" s="1"/>
  <c r="BA299" i="4" s="1"/>
  <c r="AE308" i="4"/>
  <c r="AV120" i="4"/>
  <c r="AE20" i="4"/>
  <c r="AP83" i="4"/>
  <c r="X12" i="4"/>
  <c r="X16" i="4"/>
  <c r="X20" i="4"/>
  <c r="X24" i="4"/>
  <c r="X28" i="4"/>
  <c r="X32" i="4"/>
  <c r="X36" i="4"/>
  <c r="X40" i="4"/>
  <c r="X44" i="4"/>
  <c r="X48" i="4"/>
  <c r="X52" i="4"/>
  <c r="X56" i="4"/>
  <c r="X60" i="4"/>
  <c r="X64" i="4"/>
  <c r="X68" i="4"/>
  <c r="X72" i="4"/>
  <c r="X76" i="4"/>
  <c r="X80" i="4"/>
  <c r="X84" i="4"/>
  <c r="X88" i="4"/>
  <c r="X92" i="4"/>
  <c r="X96" i="4"/>
  <c r="X100" i="4"/>
  <c r="X104" i="4"/>
  <c r="X108" i="4"/>
  <c r="X112" i="4"/>
  <c r="X116" i="4"/>
  <c r="X120" i="4"/>
  <c r="X124" i="4"/>
  <c r="X128" i="4"/>
  <c r="X132" i="4"/>
  <c r="X136" i="4"/>
  <c r="X140" i="4"/>
  <c r="W145" i="4"/>
  <c r="X148" i="4"/>
  <c r="W153" i="4"/>
  <c r="X156" i="4"/>
  <c r="W161" i="4"/>
  <c r="BD161" i="4" s="1"/>
  <c r="X164" i="4"/>
  <c r="W169" i="4"/>
  <c r="BD169" i="4" s="1"/>
  <c r="X226" i="4"/>
  <c r="W226" i="4"/>
  <c r="W173" i="4"/>
  <c r="X173" i="4"/>
  <c r="W177" i="4"/>
  <c r="X177" i="4"/>
  <c r="W181" i="4"/>
  <c r="X181" i="4"/>
  <c r="W185" i="4"/>
  <c r="X185" i="4"/>
  <c r="W189" i="4"/>
  <c r="X189" i="4"/>
  <c r="W193" i="4"/>
  <c r="X193" i="4"/>
  <c r="W197" i="4"/>
  <c r="X197" i="4"/>
  <c r="W201" i="4"/>
  <c r="X201" i="4"/>
  <c r="W205" i="4"/>
  <c r="X205" i="4"/>
  <c r="W209" i="4"/>
  <c r="X209" i="4"/>
  <c r="W213" i="4"/>
  <c r="X213" i="4"/>
  <c r="W217" i="4"/>
  <c r="X217" i="4"/>
  <c r="X222" i="4"/>
  <c r="W222" i="4"/>
  <c r="W13" i="4"/>
  <c r="BA13" i="4" s="1"/>
  <c r="W17" i="4"/>
  <c r="BA17" i="4" s="1"/>
  <c r="W21" i="4"/>
  <c r="BA21" i="4" s="1"/>
  <c r="W25" i="4"/>
  <c r="BA25" i="4" s="1"/>
  <c r="W29" i="4"/>
  <c r="BA29" i="4" s="1"/>
  <c r="W33" i="4"/>
  <c r="BA33" i="4" s="1"/>
  <c r="W37" i="4"/>
  <c r="BA37" i="4" s="1"/>
  <c r="W41" i="4"/>
  <c r="BA41" i="4" s="1"/>
  <c r="W45" i="4"/>
  <c r="BA45" i="4" s="1"/>
  <c r="W49" i="4"/>
  <c r="BA49" i="4" s="1"/>
  <c r="W53" i="4"/>
  <c r="BA53" i="4" s="1"/>
  <c r="W57" i="4"/>
  <c r="BA57" i="4" s="1"/>
  <c r="W61" i="4"/>
  <c r="BA61" i="4" s="1"/>
  <c r="W65" i="4"/>
  <c r="BA65" i="4" s="1"/>
  <c r="W69" i="4"/>
  <c r="BA69" i="4" s="1"/>
  <c r="W73" i="4"/>
  <c r="BA73" i="4" s="1"/>
  <c r="W77" i="4"/>
  <c r="BA77" i="4" s="1"/>
  <c r="W81" i="4"/>
  <c r="BA81" i="4" s="1"/>
  <c r="W85" i="4"/>
  <c r="BA85" i="4" s="1"/>
  <c r="W89" i="4"/>
  <c r="BA89" i="4" s="1"/>
  <c r="W93" i="4"/>
  <c r="BA93" i="4" s="1"/>
  <c r="W97" i="4"/>
  <c r="BA97" i="4" s="1"/>
  <c r="W101" i="4"/>
  <c r="BA101" i="4" s="1"/>
  <c r="W105" i="4"/>
  <c r="BA105" i="4" s="1"/>
  <c r="W109" i="4"/>
  <c r="BA109" i="4" s="1"/>
  <c r="W113" i="4"/>
  <c r="BA113" i="4" s="1"/>
  <c r="W117" i="4"/>
  <c r="BA117" i="4" s="1"/>
  <c r="W121" i="4"/>
  <c r="BA121" i="4" s="1"/>
  <c r="W125" i="4"/>
  <c r="BA125" i="4" s="1"/>
  <c r="W129" i="4"/>
  <c r="BA129" i="4" s="1"/>
  <c r="W133" i="4"/>
  <c r="BA133" i="4" s="1"/>
  <c r="W137" i="4"/>
  <c r="BD137" i="4" s="1"/>
  <c r="W141" i="4"/>
  <c r="BD141" i="4" s="1"/>
  <c r="X144" i="4"/>
  <c r="W146" i="4"/>
  <c r="BD146" i="4" s="1"/>
  <c r="W149" i="4"/>
  <c r="BD149" i="4" s="1"/>
  <c r="X152" i="4"/>
  <c r="W154" i="4"/>
  <c r="BD154" i="4" s="1"/>
  <c r="W157" i="4"/>
  <c r="X160" i="4"/>
  <c r="W162" i="4"/>
  <c r="BD162" i="4" s="1"/>
  <c r="X218" i="4"/>
  <c r="W218" i="4"/>
  <c r="AP262" i="4"/>
  <c r="W174" i="4"/>
  <c r="W178" i="4"/>
  <c r="BD178" i="4" s="1"/>
  <c r="W182" i="4"/>
  <c r="W186" i="4"/>
  <c r="W190" i="4"/>
  <c r="BD190" i="4" s="1"/>
  <c r="W194" i="4"/>
  <c r="BD194" i="4" s="1"/>
  <c r="W198" i="4"/>
  <c r="W202" i="4"/>
  <c r="BD202" i="4" s="1"/>
  <c r="W206" i="4"/>
  <c r="W210" i="4"/>
  <c r="BD210" i="4" s="1"/>
  <c r="W214" i="4"/>
  <c r="X221" i="4"/>
  <c r="X225" i="4"/>
  <c r="X229" i="4"/>
  <c r="X233" i="4"/>
  <c r="X237" i="4"/>
  <c r="X241" i="4"/>
  <c r="X245" i="4"/>
  <c r="X249" i="4"/>
  <c r="X253" i="4"/>
  <c r="X257" i="4"/>
  <c r="X261" i="4"/>
  <c r="X265" i="4"/>
  <c r="X269" i="4"/>
  <c r="X273" i="4"/>
  <c r="X277" i="4"/>
  <c r="X281" i="4"/>
  <c r="X285" i="4"/>
  <c r="X289" i="4"/>
  <c r="X293" i="4"/>
  <c r="X297" i="4"/>
  <c r="X301" i="4"/>
  <c r="X305" i="4"/>
  <c r="X309" i="4"/>
  <c r="W230" i="4"/>
  <c r="BD230" i="4" s="1"/>
  <c r="W234" i="4"/>
  <c r="BD234" i="4" s="1"/>
  <c r="W238" i="4"/>
  <c r="W242" i="4"/>
  <c r="BD242" i="4" s="1"/>
  <c r="W246" i="4"/>
  <c r="BD246" i="4" s="1"/>
  <c r="W250" i="4"/>
  <c r="BD250" i="4" s="1"/>
  <c r="W254" i="4"/>
  <c r="W258" i="4"/>
  <c r="BD258" i="4" s="1"/>
  <c r="W262" i="4"/>
  <c r="BD262" i="4" s="1"/>
  <c r="W266" i="4"/>
  <c r="BD266" i="4" s="1"/>
  <c r="W270" i="4"/>
  <c r="W274" i="4"/>
  <c r="BD274" i="4" s="1"/>
  <c r="W278" i="4"/>
  <c r="BD278" i="4" s="1"/>
  <c r="W282" i="4"/>
  <c r="BD282" i="4" s="1"/>
  <c r="W286" i="4"/>
  <c r="W290" i="4"/>
  <c r="BD290" i="4" s="1"/>
  <c r="W294" i="4"/>
  <c r="BD294" i="4" s="1"/>
  <c r="W298" i="4"/>
  <c r="BD298" i="4" s="1"/>
  <c r="W302" i="4"/>
  <c r="W306" i="4"/>
  <c r="BD306" i="4" s="1"/>
  <c r="W310" i="4"/>
  <c r="BD310" i="4" s="1"/>
  <c r="AV93" i="4"/>
  <c r="AV302" i="4"/>
  <c r="AV306" i="4"/>
  <c r="AE299" i="4"/>
  <c r="AE16" i="4"/>
  <c r="AF41" i="4"/>
  <c r="AE216" i="4"/>
  <c r="AV308" i="4"/>
  <c r="AE278" i="4"/>
  <c r="AP283" i="4"/>
  <c r="AE293" i="4"/>
  <c r="AP100" i="4"/>
  <c r="AV258" i="4"/>
  <c r="AV262" i="4"/>
  <c r="AV266" i="4"/>
  <c r="AV270" i="4"/>
  <c r="AV285" i="4"/>
  <c r="AE277" i="4"/>
  <c r="AP310" i="4"/>
  <c r="AV91" i="4"/>
  <c r="AV76" i="4"/>
  <c r="AV122" i="4"/>
  <c r="AV142" i="4"/>
  <c r="AV256" i="4"/>
  <c r="AV260" i="4"/>
  <c r="AV264" i="4"/>
  <c r="AP207" i="4"/>
  <c r="AV268" i="4"/>
  <c r="AP211" i="4"/>
  <c r="AV272" i="4"/>
  <c r="AP215" i="4"/>
  <c r="AP218" i="4"/>
  <c r="AP229" i="4"/>
  <c r="AV300" i="4"/>
  <c r="AV304" i="4"/>
  <c r="AE247" i="4"/>
  <c r="AF186" i="4"/>
  <c r="AV118" i="4"/>
  <c r="AV130" i="4"/>
  <c r="AE266" i="4"/>
  <c r="AV77" i="4"/>
  <c r="AE128" i="4"/>
  <c r="AP165" i="4"/>
  <c r="AP180" i="4"/>
  <c r="AP182" i="4"/>
  <c r="AF233" i="4"/>
  <c r="AP272" i="4"/>
  <c r="AP291" i="4"/>
  <c r="AE309" i="4"/>
  <c r="AP282" i="4"/>
  <c r="AP304" i="4"/>
  <c r="AP307" i="4"/>
  <c r="AV85" i="4"/>
  <c r="AV87" i="4"/>
  <c r="AV89" i="4"/>
  <c r="AV95" i="4"/>
  <c r="AV109" i="4"/>
  <c r="AP62" i="4"/>
  <c r="AV124" i="4"/>
  <c r="AP67" i="4"/>
  <c r="AV132" i="4"/>
  <c r="AV134" i="4"/>
  <c r="AV136" i="4"/>
  <c r="AV138" i="4"/>
  <c r="AV140" i="4"/>
  <c r="AP84" i="4"/>
  <c r="AP88" i="4"/>
  <c r="AP90" i="4"/>
  <c r="AP93" i="4"/>
  <c r="AP119" i="4"/>
  <c r="AV183" i="4"/>
  <c r="AV209" i="4"/>
  <c r="AV213" i="4"/>
  <c r="AV245" i="4"/>
  <c r="AR183" i="4"/>
  <c r="AP194" i="4"/>
  <c r="AV151" i="4"/>
  <c r="AP101" i="4"/>
  <c r="AV78" i="4"/>
  <c r="AE28" i="4"/>
  <c r="AP54" i="4"/>
  <c r="AE53" i="4"/>
  <c r="AV128" i="4"/>
  <c r="AR80" i="4"/>
  <c r="AV149" i="4"/>
  <c r="AP114" i="4"/>
  <c r="AP133" i="4"/>
  <c r="AV211" i="4"/>
  <c r="AF152" i="4"/>
  <c r="AE152" i="4"/>
  <c r="AV243" i="4"/>
  <c r="AR181" i="4"/>
  <c r="AP196" i="4"/>
  <c r="AP105" i="4"/>
  <c r="AF164" i="4"/>
  <c r="AE164" i="4"/>
  <c r="AV79" i="4"/>
  <c r="AV80" i="4"/>
  <c r="AV81" i="4"/>
  <c r="AP31" i="4"/>
  <c r="AV97" i="4"/>
  <c r="AV126" i="4"/>
  <c r="AP76" i="4"/>
  <c r="AP122" i="4"/>
  <c r="AP128" i="4"/>
  <c r="AP141" i="4"/>
  <c r="AP157" i="4"/>
  <c r="AP205" i="4"/>
  <c r="AP209" i="4"/>
  <c r="AP213" i="4"/>
  <c r="AV217" i="4"/>
  <c r="AV225" i="4"/>
  <c r="AV227" i="4"/>
  <c r="AP175" i="4"/>
  <c r="AV244" i="4"/>
  <c r="AV257" i="4"/>
  <c r="AV259" i="4"/>
  <c r="AV261" i="4"/>
  <c r="AV263" i="4"/>
  <c r="AV265" i="4"/>
  <c r="AV267" i="4"/>
  <c r="AV269" i="4"/>
  <c r="AV271" i="4"/>
  <c r="AV273" i="4"/>
  <c r="AV290" i="4"/>
  <c r="AV296" i="4"/>
  <c r="AP275" i="4"/>
  <c r="AF276" i="4"/>
  <c r="AP286" i="4"/>
  <c r="AP290" i="4"/>
  <c r="AP295" i="4"/>
  <c r="AP299" i="4"/>
  <c r="AP303" i="4"/>
  <c r="AP306" i="4"/>
  <c r="AE306" i="4"/>
  <c r="AE307" i="4"/>
  <c r="AE155" i="4"/>
  <c r="AR165" i="4"/>
  <c r="AP170" i="4"/>
  <c r="AV229" i="4"/>
  <c r="AV231" i="4"/>
  <c r="AV233" i="4"/>
  <c r="AV235" i="4"/>
  <c r="AV237" i="4"/>
  <c r="AV239" i="4"/>
  <c r="AV241" i="4"/>
  <c r="AE180" i="4"/>
  <c r="AR182" i="4"/>
  <c r="AV283" i="4"/>
  <c r="AP273" i="4"/>
  <c r="AP279" i="4"/>
  <c r="AP289" i="4"/>
  <c r="AE289" i="4"/>
  <c r="AP234" i="4"/>
  <c r="AP298" i="4"/>
  <c r="AV219" i="4"/>
  <c r="AF227" i="4"/>
  <c r="AV292" i="4"/>
  <c r="AV298" i="4"/>
  <c r="AR238" i="4"/>
  <c r="AR240" i="4"/>
  <c r="AR242" i="4"/>
  <c r="AR244" i="4"/>
  <c r="AV310" i="4"/>
  <c r="AE265" i="4"/>
  <c r="AE269" i="4"/>
  <c r="AE270" i="4"/>
  <c r="AP276" i="4"/>
  <c r="AE275" i="4"/>
  <c r="AE279" i="4"/>
  <c r="AE280" i="4"/>
  <c r="AE281" i="4"/>
  <c r="AE109" i="4"/>
  <c r="AE117" i="4"/>
  <c r="AE140" i="4"/>
  <c r="AP169" i="4"/>
  <c r="AP172" i="4"/>
  <c r="AP174" i="4"/>
  <c r="AE172" i="4"/>
  <c r="AE179" i="4"/>
  <c r="AP187" i="4"/>
  <c r="AF190" i="4"/>
  <c r="AP200" i="4"/>
  <c r="AP217" i="4"/>
  <c r="AP228" i="4"/>
  <c r="AE239" i="4"/>
  <c r="AF256" i="4"/>
  <c r="AP265" i="4"/>
  <c r="AF273" i="4"/>
  <c r="AE273" i="4"/>
  <c r="AF286" i="4"/>
  <c r="AE286" i="4"/>
  <c r="AF291" i="4"/>
  <c r="AE291" i="4"/>
  <c r="AF274" i="4"/>
  <c r="AE274" i="4"/>
  <c r="AF287" i="4"/>
  <c r="AE287" i="4"/>
  <c r="AF310" i="4"/>
  <c r="AE310" i="4"/>
  <c r="AP75" i="4"/>
  <c r="AP91" i="4"/>
  <c r="AP109" i="4"/>
  <c r="AF13" i="4"/>
  <c r="AE18" i="4"/>
  <c r="AE24" i="4"/>
  <c r="AF35" i="4"/>
  <c r="AE39" i="4"/>
  <c r="AF55" i="4"/>
  <c r="AF61" i="4"/>
  <c r="AP66" i="4"/>
  <c r="AE65" i="4"/>
  <c r="AP70" i="4"/>
  <c r="AE69" i="4"/>
  <c r="AE72" i="4"/>
  <c r="AE77" i="4"/>
  <c r="AE80" i="4"/>
  <c r="AP94" i="4"/>
  <c r="AP110" i="4"/>
  <c r="AP118" i="4"/>
  <c r="AE132" i="4"/>
  <c r="AP145" i="4"/>
  <c r="AP149" i="4"/>
  <c r="AP163" i="4"/>
  <c r="AP166" i="4"/>
  <c r="AE171" i="4"/>
  <c r="AP179" i="4"/>
  <c r="AP181" i="4"/>
  <c r="AP186" i="4"/>
  <c r="AP197" i="4"/>
  <c r="AF194" i="4"/>
  <c r="AP204" i="4"/>
  <c r="AP206" i="4"/>
  <c r="AP208" i="4"/>
  <c r="AP210" i="4"/>
  <c r="AP212" i="4"/>
  <c r="AP214" i="4"/>
  <c r="AP216" i="4"/>
  <c r="AE218" i="4"/>
  <c r="AP222" i="4"/>
  <c r="AE220" i="4"/>
  <c r="AF222" i="4"/>
  <c r="AF231" i="4"/>
  <c r="AP241" i="4"/>
  <c r="AE241" i="4"/>
  <c r="AP249" i="4"/>
  <c r="AE249" i="4"/>
  <c r="AE252" i="4"/>
  <c r="AP257" i="4"/>
  <c r="AE284" i="4"/>
  <c r="AE285" i="4"/>
  <c r="AP19" i="4"/>
  <c r="AP27" i="4"/>
  <c r="AP35" i="4"/>
  <c r="AF32" i="4"/>
  <c r="AP41" i="4"/>
  <c r="AP63" i="4"/>
  <c r="AE76" i="4"/>
  <c r="AP102" i="4"/>
  <c r="AP104" i="4"/>
  <c r="AE113" i="4"/>
  <c r="AP121" i="4"/>
  <c r="AE121" i="4"/>
  <c r="AP129" i="4"/>
  <c r="AP137" i="4"/>
  <c r="AE136" i="4"/>
  <c r="AP153" i="4"/>
  <c r="AE150" i="4"/>
  <c r="AP156" i="4"/>
  <c r="AP171" i="4"/>
  <c r="AP173" i="4"/>
  <c r="AP178" i="4"/>
  <c r="AP183" i="4"/>
  <c r="AE184" i="4"/>
  <c r="AP192" i="4"/>
  <c r="AP201" i="4"/>
  <c r="AF198" i="4"/>
  <c r="AP219" i="4"/>
  <c r="AP220" i="4"/>
  <c r="AF243" i="4"/>
  <c r="AP254" i="4"/>
  <c r="AE251" i="4"/>
  <c r="AF297" i="4"/>
  <c r="AE297" i="4"/>
  <c r="AP246" i="4"/>
  <c r="AE295" i="4"/>
  <c r="AE300" i="4"/>
  <c r="AE301" i="4"/>
  <c r="AP17" i="4"/>
  <c r="AF14" i="4"/>
  <c r="AE22" i="4"/>
  <c r="AE26" i="4"/>
  <c r="AP32" i="4"/>
  <c r="AE30" i="4"/>
  <c r="AF34" i="4"/>
  <c r="AE51" i="4"/>
  <c r="AP55" i="4"/>
  <c r="AP60" i="4"/>
  <c r="AE59" i="4"/>
  <c r="AP18" i="4"/>
  <c r="AE15" i="4"/>
  <c r="AP20" i="4"/>
  <c r="AE17" i="4"/>
  <c r="AE19" i="4"/>
  <c r="AP25" i="4"/>
  <c r="AP29" i="4"/>
  <c r="AP33" i="4"/>
  <c r="AP40" i="4"/>
  <c r="AE37" i="4"/>
  <c r="AE43" i="4"/>
  <c r="AE45" i="4"/>
  <c r="AE47" i="4"/>
  <c r="AE49" i="4"/>
  <c r="AP58" i="4"/>
  <c r="AE57" i="4"/>
  <c r="AP61" i="4"/>
  <c r="AE63" i="4"/>
  <c r="AE67" i="4"/>
  <c r="AF71" i="4"/>
  <c r="AE71" i="4"/>
  <c r="AP34" i="4"/>
  <c r="AE33" i="4"/>
  <c r="AF36" i="4"/>
  <c r="AP56" i="4"/>
  <c r="AE78" i="4"/>
  <c r="AE79" i="4"/>
  <c r="AF89" i="4"/>
  <c r="AF92" i="4"/>
  <c r="AF94" i="4"/>
  <c r="AF96" i="4"/>
  <c r="AF98" i="4"/>
  <c r="AF124" i="4"/>
  <c r="AF130" i="4"/>
  <c r="AF138" i="4"/>
  <c r="AE144" i="4"/>
  <c r="AF146" i="4"/>
  <c r="AF154" i="4"/>
  <c r="AF160" i="4"/>
  <c r="AF168" i="4"/>
  <c r="AE169" i="4"/>
  <c r="AE170" i="4"/>
  <c r="AF176" i="4"/>
  <c r="AE177" i="4"/>
  <c r="AE178" i="4"/>
  <c r="AP190" i="4"/>
  <c r="AF192" i="4"/>
  <c r="AP198" i="4"/>
  <c r="AP203" i="4"/>
  <c r="AF200" i="4"/>
  <c r="AF215" i="4"/>
  <c r="AP224" i="4"/>
  <c r="AF224" i="4"/>
  <c r="AE228" i="4"/>
  <c r="AF229" i="4"/>
  <c r="AE230" i="4"/>
  <c r="AE235" i="4"/>
  <c r="AE236" i="4"/>
  <c r="AF237" i="4"/>
  <c r="AF245" i="4"/>
  <c r="AF254" i="4"/>
  <c r="AF258" i="4"/>
  <c r="AF262" i="4"/>
  <c r="AE263" i="4"/>
  <c r="AE264" i="4"/>
  <c r="AP269" i="4"/>
  <c r="AE271" i="4"/>
  <c r="AE272" i="4"/>
  <c r="AE282" i="4"/>
  <c r="AE283" i="4"/>
  <c r="AE290" i="4"/>
  <c r="AE294" i="4"/>
  <c r="AE298" i="4"/>
  <c r="AE305" i="4"/>
  <c r="AE73" i="4"/>
  <c r="AE81" i="4"/>
  <c r="AE85" i="4"/>
  <c r="AP103" i="4"/>
  <c r="AF100" i="4"/>
  <c r="AE106" i="4"/>
  <c r="AE108" i="4"/>
  <c r="AP111" i="4"/>
  <c r="AE110" i="4"/>
  <c r="AE112" i="4"/>
  <c r="AP116" i="4"/>
  <c r="AE114" i="4"/>
  <c r="AE116" i="4"/>
  <c r="AE118" i="4"/>
  <c r="AE120" i="4"/>
  <c r="AE122" i="4"/>
  <c r="AE126" i="4"/>
  <c r="AE134" i="4"/>
  <c r="AE142" i="4"/>
  <c r="AF213" i="4"/>
  <c r="AE74" i="4"/>
  <c r="AE75" i="4"/>
  <c r="AE82" i="4"/>
  <c r="AE83" i="4"/>
  <c r="AE87" i="4"/>
  <c r="AF90" i="4"/>
  <c r="AF102" i="4"/>
  <c r="AE148" i="4"/>
  <c r="AP158" i="4"/>
  <c r="AE156" i="4"/>
  <c r="AE157" i="4"/>
  <c r="AE158" i="4"/>
  <c r="AP161" i="4"/>
  <c r="AE162" i="4"/>
  <c r="AE163" i="4"/>
  <c r="AE165" i="4"/>
  <c r="AE166" i="4"/>
  <c r="AE173" i="4"/>
  <c r="AE174" i="4"/>
  <c r="AE181" i="4"/>
  <c r="AE182" i="4"/>
  <c r="AP188" i="4"/>
  <c r="AF188" i="4"/>
  <c r="AP199" i="4"/>
  <c r="AF196" i="4"/>
  <c r="AP202" i="4"/>
  <c r="AE260" i="4"/>
  <c r="AP266" i="4"/>
  <c r="AE267" i="4"/>
  <c r="AE268" i="4"/>
  <c r="AE303" i="4"/>
  <c r="AF104" i="4"/>
  <c r="AP123" i="4"/>
  <c r="AP164" i="4"/>
  <c r="AE167" i="4"/>
  <c r="AE175" i="4"/>
  <c r="AE183" i="4"/>
  <c r="AP236" i="4"/>
  <c r="AP239" i="4"/>
  <c r="AE253" i="4"/>
  <c r="AE259" i="4"/>
  <c r="AE261" i="4"/>
  <c r="AP39" i="4"/>
  <c r="AP38" i="4"/>
  <c r="AP43" i="4"/>
  <c r="AP42" i="4"/>
  <c r="AP37" i="4"/>
  <c r="AP36" i="4"/>
  <c r="AP16" i="4"/>
  <c r="AP15" i="4"/>
  <c r="AG13" i="4"/>
  <c r="AP45" i="4"/>
  <c r="AP44" i="4"/>
  <c r="AB12" i="4"/>
  <c r="AF12" i="4"/>
  <c r="AH12" i="4" s="1"/>
  <c r="AK12" i="4" s="1"/>
  <c r="AP23" i="4"/>
  <c r="AV83" i="4"/>
  <c r="AP28" i="4"/>
  <c r="AV82" i="4"/>
  <c r="AE21" i="4"/>
  <c r="AR21" i="4"/>
  <c r="AV86" i="4"/>
  <c r="AE25" i="4"/>
  <c r="AR25" i="4"/>
  <c r="AV90" i="4"/>
  <c r="AE29" i="4"/>
  <c r="AR29" i="4"/>
  <c r="AV94" i="4"/>
  <c r="AR32" i="4"/>
  <c r="AA33" i="4"/>
  <c r="AR33" i="4"/>
  <c r="AV98" i="4"/>
  <c r="AR36" i="4"/>
  <c r="AA37" i="4"/>
  <c r="AA38" i="4"/>
  <c r="AA40" i="4"/>
  <c r="AA42" i="4"/>
  <c r="AA44" i="4"/>
  <c r="AV110" i="4"/>
  <c r="AR48" i="4"/>
  <c r="AE50" i="4"/>
  <c r="AF50" i="4"/>
  <c r="AV112" i="4"/>
  <c r="AR50" i="4"/>
  <c r="AE52" i="4"/>
  <c r="AF52" i="4"/>
  <c r="AV114" i="4"/>
  <c r="AR52" i="4"/>
  <c r="AP59" i="4"/>
  <c r="AP64" i="4"/>
  <c r="AP65" i="4"/>
  <c r="AP68" i="4"/>
  <c r="AP69" i="4"/>
  <c r="AP72" i="4"/>
  <c r="AP73" i="4"/>
  <c r="AP77" i="4"/>
  <c r="AP78" i="4"/>
  <c r="AP85" i="4"/>
  <c r="AP86" i="4"/>
  <c r="AP89" i="4"/>
  <c r="AP26" i="4"/>
  <c r="AP30" i="4"/>
  <c r="AP49" i="4"/>
  <c r="AP48" i="4"/>
  <c r="AA46" i="4"/>
  <c r="AP57" i="4"/>
  <c r="AP79" i="4"/>
  <c r="AP80" i="4"/>
  <c r="AP87" i="4"/>
  <c r="AV75" i="4"/>
  <c r="AR14" i="4"/>
  <c r="AR15" i="4"/>
  <c r="AR16" i="4"/>
  <c r="AR17" i="4"/>
  <c r="AR18" i="4"/>
  <c r="AR19" i="4"/>
  <c r="AA20" i="4"/>
  <c r="AV84" i="4"/>
  <c r="AE23" i="4"/>
  <c r="AR23" i="4"/>
  <c r="AA24" i="4"/>
  <c r="AV88" i="4"/>
  <c r="AE27" i="4"/>
  <c r="AR27" i="4"/>
  <c r="AA28" i="4"/>
  <c r="AV92" i="4"/>
  <c r="AE31" i="4"/>
  <c r="AR31" i="4"/>
  <c r="AV96" i="4"/>
  <c r="AR34" i="4"/>
  <c r="AA35" i="4"/>
  <c r="AR35" i="4"/>
  <c r="AE38" i="4"/>
  <c r="AF38" i="4"/>
  <c r="AV100" i="4"/>
  <c r="AR38" i="4"/>
  <c r="AE40" i="4"/>
  <c r="AF40" i="4"/>
  <c r="AV102" i="4"/>
  <c r="AR40" i="4"/>
  <c r="AE42" i="4"/>
  <c r="AF42" i="4"/>
  <c r="AV104" i="4"/>
  <c r="AR42" i="4"/>
  <c r="AP47" i="4"/>
  <c r="AP46" i="4"/>
  <c r="AE44" i="4"/>
  <c r="AF44" i="4"/>
  <c r="AV106" i="4"/>
  <c r="AR44" i="4"/>
  <c r="AE46" i="4"/>
  <c r="AF46" i="4"/>
  <c r="AP51" i="4"/>
  <c r="AP50" i="4"/>
  <c r="AA48" i="4"/>
  <c r="AP71" i="4"/>
  <c r="AP74" i="4"/>
  <c r="AP81" i="4"/>
  <c r="AP82" i="4"/>
  <c r="AV74" i="4"/>
  <c r="AP21" i="4"/>
  <c r="AP22" i="4"/>
  <c r="AP24" i="4"/>
  <c r="AR46" i="4"/>
  <c r="AV108" i="4"/>
  <c r="AE48" i="4"/>
  <c r="AF48" i="4"/>
  <c r="AP53" i="4"/>
  <c r="AP52" i="4"/>
  <c r="AA50" i="4"/>
  <c r="AA52" i="4"/>
  <c r="AV99" i="4"/>
  <c r="AV101" i="4"/>
  <c r="AV103" i="4"/>
  <c r="AV105" i="4"/>
  <c r="AV107" i="4"/>
  <c r="AV111" i="4"/>
  <c r="AV113" i="4"/>
  <c r="AV115" i="4"/>
  <c r="AF54" i="4"/>
  <c r="AV117" i="4"/>
  <c r="AF56" i="4"/>
  <c r="AV119" i="4"/>
  <c r="AF58" i="4"/>
  <c r="AV121" i="4"/>
  <c r="AF60" i="4"/>
  <c r="AV123" i="4"/>
  <c r="AF62" i="4"/>
  <c r="AV125" i="4"/>
  <c r="AF64" i="4"/>
  <c r="AV127" i="4"/>
  <c r="AF66" i="4"/>
  <c r="AV129" i="4"/>
  <c r="AF68" i="4"/>
  <c r="AV131" i="4"/>
  <c r="AF70" i="4"/>
  <c r="AV133" i="4"/>
  <c r="AV135" i="4"/>
  <c r="AV137" i="4"/>
  <c r="AV139" i="4"/>
  <c r="AV141" i="4"/>
  <c r="AV143" i="4"/>
  <c r="AV145" i="4"/>
  <c r="AF84" i="4"/>
  <c r="AV147" i="4"/>
  <c r="AF86" i="4"/>
  <c r="AV153" i="4"/>
  <c r="AF93" i="4"/>
  <c r="AE93" i="4"/>
  <c r="AV155" i="4"/>
  <c r="AR93" i="4"/>
  <c r="AA99" i="4"/>
  <c r="AA101" i="4"/>
  <c r="AA103" i="4"/>
  <c r="AP108" i="4"/>
  <c r="AA105" i="4"/>
  <c r="AF107" i="4"/>
  <c r="AE107" i="4"/>
  <c r="AP107" i="4"/>
  <c r="AV171" i="4"/>
  <c r="AR109" i="4"/>
  <c r="AP117" i="4"/>
  <c r="AP126" i="4"/>
  <c r="AP92" i="4"/>
  <c r="AA97" i="4"/>
  <c r="AF99" i="4"/>
  <c r="AE99" i="4"/>
  <c r="AF101" i="4"/>
  <c r="AE101" i="4"/>
  <c r="AF103" i="4"/>
  <c r="AE103" i="4"/>
  <c r="AF105" i="4"/>
  <c r="AE105" i="4"/>
  <c r="AF115" i="4"/>
  <c r="AE115" i="4"/>
  <c r="AP115" i="4"/>
  <c r="AV179" i="4"/>
  <c r="AR117" i="4"/>
  <c r="AV144" i="4"/>
  <c r="AV146" i="4"/>
  <c r="AV148" i="4"/>
  <c r="AA87" i="4"/>
  <c r="AR87" i="4"/>
  <c r="AF88" i="4"/>
  <c r="AA89" i="4"/>
  <c r="AR89" i="4"/>
  <c r="AP98" i="4"/>
  <c r="AA95" i="4"/>
  <c r="AP99" i="4"/>
  <c r="AF97" i="4"/>
  <c r="AE97" i="4"/>
  <c r="AV159" i="4"/>
  <c r="AR97" i="4"/>
  <c r="AV161" i="4"/>
  <c r="AR99" i="4"/>
  <c r="AV163" i="4"/>
  <c r="AR101" i="4"/>
  <c r="AV165" i="4"/>
  <c r="AR103" i="4"/>
  <c r="AV167" i="4"/>
  <c r="AR105" i="4"/>
  <c r="AP106" i="4"/>
  <c r="AA109" i="4"/>
  <c r="AV116" i="4"/>
  <c r="AR56" i="4"/>
  <c r="AR58" i="4"/>
  <c r="AR60" i="4"/>
  <c r="AR62" i="4"/>
  <c r="AR64" i="4"/>
  <c r="AR66" i="4"/>
  <c r="AR68" i="4"/>
  <c r="AR86" i="4"/>
  <c r="AV150" i="4"/>
  <c r="AR88" i="4"/>
  <c r="AE91" i="4"/>
  <c r="AP95" i="4"/>
  <c r="AP96" i="4"/>
  <c r="AA93" i="4"/>
  <c r="AP97" i="4"/>
  <c r="AF95" i="4"/>
  <c r="AE95" i="4"/>
  <c r="AV157" i="4"/>
  <c r="AR95" i="4"/>
  <c r="AP113" i="4"/>
  <c r="AA117" i="4"/>
  <c r="AP124" i="4"/>
  <c r="AP125" i="4"/>
  <c r="AE123" i="4"/>
  <c r="AF123" i="4"/>
  <c r="AA125" i="4"/>
  <c r="AA129" i="4"/>
  <c r="AA133" i="4"/>
  <c r="AA137" i="4"/>
  <c r="AA141" i="4"/>
  <c r="AA145" i="4"/>
  <c r="AV169" i="4"/>
  <c r="AP112" i="4"/>
  <c r="AV177" i="4"/>
  <c r="AP120" i="4"/>
  <c r="AP127" i="4"/>
  <c r="AE125" i="4"/>
  <c r="AF125" i="4"/>
  <c r="AV187" i="4"/>
  <c r="AR125" i="4"/>
  <c r="AP130" i="4"/>
  <c r="AE129" i="4"/>
  <c r="AF129" i="4"/>
  <c r="AV191" i="4"/>
  <c r="AR129" i="4"/>
  <c r="AP134" i="4"/>
  <c r="AE133" i="4"/>
  <c r="AF133" i="4"/>
  <c r="AV195" i="4"/>
  <c r="AR133" i="4"/>
  <c r="AP138" i="4"/>
  <c r="AE137" i="4"/>
  <c r="AF137" i="4"/>
  <c r="AV199" i="4"/>
  <c r="AR137" i="4"/>
  <c r="AP142" i="4"/>
  <c r="AE141" i="4"/>
  <c r="AF141" i="4"/>
  <c r="AV203" i="4"/>
  <c r="AR141" i="4"/>
  <c r="AP146" i="4"/>
  <c r="AE145" i="4"/>
  <c r="AF145" i="4"/>
  <c r="AV207" i="4"/>
  <c r="AR145" i="4"/>
  <c r="AP150" i="4"/>
  <c r="AP151" i="4"/>
  <c r="AP154" i="4"/>
  <c r="AP159" i="4"/>
  <c r="AP160" i="4"/>
  <c r="AV152" i="4"/>
  <c r="AV154" i="4"/>
  <c r="AV156" i="4"/>
  <c r="AV158" i="4"/>
  <c r="AV160" i="4"/>
  <c r="AV162" i="4"/>
  <c r="AV164" i="4"/>
  <c r="AV166" i="4"/>
  <c r="AV175" i="4"/>
  <c r="AA123" i="4"/>
  <c r="AA127" i="4"/>
  <c r="AP131" i="4"/>
  <c r="AA131" i="4"/>
  <c r="AP135" i="4"/>
  <c r="AA135" i="4"/>
  <c r="AP139" i="4"/>
  <c r="AA139" i="4"/>
  <c r="AP143" i="4"/>
  <c r="AA143" i="4"/>
  <c r="AP147" i="4"/>
  <c r="AA147" i="4"/>
  <c r="AP152" i="4"/>
  <c r="AR90" i="4"/>
  <c r="AR92" i="4"/>
  <c r="AR94" i="4"/>
  <c r="AR96" i="4"/>
  <c r="AR98" i="4"/>
  <c r="AR100" i="4"/>
  <c r="AR102" i="4"/>
  <c r="AR104" i="4"/>
  <c r="AE111" i="4"/>
  <c r="AV173" i="4"/>
  <c r="AA113" i="4"/>
  <c r="AR113" i="4"/>
  <c r="AE119" i="4"/>
  <c r="AV181" i="4"/>
  <c r="AA121" i="4"/>
  <c r="AR121" i="4"/>
  <c r="AV185" i="4"/>
  <c r="AR123" i="4"/>
  <c r="AE127" i="4"/>
  <c r="AF127" i="4"/>
  <c r="AV189" i="4"/>
  <c r="AR127" i="4"/>
  <c r="AP132" i="4"/>
  <c r="AE131" i="4"/>
  <c r="AF131" i="4"/>
  <c r="AV193" i="4"/>
  <c r="AR131" i="4"/>
  <c r="AP136" i="4"/>
  <c r="AE135" i="4"/>
  <c r="AF135" i="4"/>
  <c r="AV197" i="4"/>
  <c r="AR135" i="4"/>
  <c r="AP140" i="4"/>
  <c r="AE139" i="4"/>
  <c r="AF139" i="4"/>
  <c r="AV201" i="4"/>
  <c r="AR139" i="4"/>
  <c r="AP144" i="4"/>
  <c r="AE143" i="4"/>
  <c r="AF143" i="4"/>
  <c r="AV205" i="4"/>
  <c r="AR143" i="4"/>
  <c r="AP148" i="4"/>
  <c r="AP155" i="4"/>
  <c r="AV168" i="4"/>
  <c r="AV170" i="4"/>
  <c r="AV172" i="4"/>
  <c r="AV174" i="4"/>
  <c r="AV176" i="4"/>
  <c r="AV178" i="4"/>
  <c r="AV180" i="4"/>
  <c r="AV182" i="4"/>
  <c r="AV184" i="4"/>
  <c r="AV186" i="4"/>
  <c r="AV188" i="4"/>
  <c r="AV190" i="4"/>
  <c r="AV192" i="4"/>
  <c r="AV194" i="4"/>
  <c r="AV196" i="4"/>
  <c r="AV198" i="4"/>
  <c r="AV200" i="4"/>
  <c r="AV202" i="4"/>
  <c r="AV204" i="4"/>
  <c r="AV206" i="4"/>
  <c r="AV208" i="4"/>
  <c r="AF147" i="4"/>
  <c r="AV210" i="4"/>
  <c r="AF149" i="4"/>
  <c r="AV212" i="4"/>
  <c r="AF151" i="4"/>
  <c r="AV214" i="4"/>
  <c r="AE159" i="4"/>
  <c r="AV221" i="4"/>
  <c r="AP167" i="4"/>
  <c r="AP176" i="4"/>
  <c r="AP177" i="4"/>
  <c r="AP184" i="4"/>
  <c r="AP185" i="4"/>
  <c r="AP162" i="4"/>
  <c r="AA157" i="4"/>
  <c r="AP168" i="4"/>
  <c r="AR147" i="4"/>
  <c r="AR149" i="4"/>
  <c r="AR151" i="4"/>
  <c r="AE153" i="4"/>
  <c r="AV215" i="4"/>
  <c r="AA155" i="4"/>
  <c r="AR155" i="4"/>
  <c r="AE161" i="4"/>
  <c r="AV223" i="4"/>
  <c r="AA163" i="4"/>
  <c r="AR163" i="4"/>
  <c r="AP189" i="4"/>
  <c r="AP191" i="4"/>
  <c r="AP193" i="4"/>
  <c r="AP195" i="4"/>
  <c r="AV247" i="4"/>
  <c r="AR185" i="4"/>
  <c r="AV249" i="4"/>
  <c r="AR187" i="4"/>
  <c r="AV251" i="4"/>
  <c r="AR189" i="4"/>
  <c r="AV253" i="4"/>
  <c r="AR191" i="4"/>
  <c r="AV255" i="4"/>
  <c r="AR193" i="4"/>
  <c r="AV216" i="4"/>
  <c r="AV218" i="4"/>
  <c r="AV220" i="4"/>
  <c r="AV222" i="4"/>
  <c r="AV224" i="4"/>
  <c r="AV226" i="4"/>
  <c r="AV228" i="4"/>
  <c r="AV230" i="4"/>
  <c r="AV232" i="4"/>
  <c r="AV234" i="4"/>
  <c r="AV236" i="4"/>
  <c r="AV238" i="4"/>
  <c r="AV240" i="4"/>
  <c r="AV242" i="4"/>
  <c r="AV246" i="4"/>
  <c r="AF185" i="4"/>
  <c r="AV248" i="4"/>
  <c r="AR186" i="4"/>
  <c r="AF187" i="4"/>
  <c r="AV250" i="4"/>
  <c r="AR188" i="4"/>
  <c r="AF189" i="4"/>
  <c r="AV252" i="4"/>
  <c r="AR190" i="4"/>
  <c r="AF191" i="4"/>
  <c r="AV254" i="4"/>
  <c r="AR192" i="4"/>
  <c r="AF193" i="4"/>
  <c r="AR194" i="4"/>
  <c r="AR196" i="4"/>
  <c r="AR198" i="4"/>
  <c r="AA200" i="4"/>
  <c r="AR200" i="4"/>
  <c r="AA202" i="4"/>
  <c r="AE202" i="4"/>
  <c r="AR202" i="4"/>
  <c r="AA204" i="4"/>
  <c r="AE204" i="4"/>
  <c r="AR204" i="4"/>
  <c r="AA206" i="4"/>
  <c r="AE206" i="4"/>
  <c r="AR206" i="4"/>
  <c r="AA208" i="4"/>
  <c r="AE208" i="4"/>
  <c r="AR208" i="4"/>
  <c r="AA210" i="4"/>
  <c r="AE210" i="4"/>
  <c r="AR210" i="4"/>
  <c r="AE212" i="4"/>
  <c r="AV274" i="4"/>
  <c r="AE214" i="4"/>
  <c r="AV276" i="4"/>
  <c r="AP221" i="4"/>
  <c r="AP223" i="4"/>
  <c r="AP235" i="4"/>
  <c r="AF217" i="4"/>
  <c r="AE217" i="4"/>
  <c r="AV279" i="4"/>
  <c r="AR217" i="4"/>
  <c r="AF219" i="4"/>
  <c r="AE219" i="4"/>
  <c r="AV281" i="4"/>
  <c r="AR219" i="4"/>
  <c r="AF221" i="4"/>
  <c r="AE221" i="4"/>
  <c r="AA195" i="4"/>
  <c r="AE195" i="4"/>
  <c r="AR195" i="4"/>
  <c r="AA197" i="4"/>
  <c r="AE197" i="4"/>
  <c r="AR197" i="4"/>
  <c r="AA199" i="4"/>
  <c r="AE199" i="4"/>
  <c r="AR199" i="4"/>
  <c r="AA201" i="4"/>
  <c r="AE201" i="4"/>
  <c r="AR201" i="4"/>
  <c r="AA203" i="4"/>
  <c r="AE203" i="4"/>
  <c r="AR203" i="4"/>
  <c r="AA205" i="4"/>
  <c r="AE205" i="4"/>
  <c r="AR205" i="4"/>
  <c r="AA207" i="4"/>
  <c r="AE207" i="4"/>
  <c r="AR207" i="4"/>
  <c r="AA209" i="4"/>
  <c r="AE209" i="4"/>
  <c r="AR209" i="4"/>
  <c r="AA211" i="4"/>
  <c r="AE211" i="4"/>
  <c r="AR211" i="4"/>
  <c r="AV275" i="4"/>
  <c r="AR213" i="4"/>
  <c r="AV277" i="4"/>
  <c r="AR215" i="4"/>
  <c r="AP226" i="4"/>
  <c r="AP225" i="4"/>
  <c r="AP232" i="4"/>
  <c r="AP233" i="4"/>
  <c r="AA217" i="4"/>
  <c r="AA219" i="4"/>
  <c r="AA221" i="4"/>
  <c r="AP227" i="4"/>
  <c r="AP230" i="4"/>
  <c r="AP231" i="4"/>
  <c r="AR221" i="4"/>
  <c r="AA223" i="4"/>
  <c r="AE223" i="4"/>
  <c r="AR223" i="4"/>
  <c r="AA225" i="4"/>
  <c r="AE225" i="4"/>
  <c r="AE232" i="4"/>
  <c r="AV294" i="4"/>
  <c r="AR234" i="4"/>
  <c r="AP240" i="4"/>
  <c r="AP242" i="4"/>
  <c r="AP245" i="4"/>
  <c r="AP250" i="4"/>
  <c r="AP253" i="4"/>
  <c r="AV278" i="4"/>
  <c r="AV280" i="4"/>
  <c r="AV282" i="4"/>
  <c r="AV284" i="4"/>
  <c r="AV286" i="4"/>
  <c r="AP237" i="4"/>
  <c r="AP238" i="4"/>
  <c r="AP243" i="4"/>
  <c r="AP248" i="4"/>
  <c r="AP251" i="4"/>
  <c r="AP255" i="4"/>
  <c r="AP256" i="4"/>
  <c r="AE226" i="4"/>
  <c r="AV288" i="4"/>
  <c r="AA228" i="4"/>
  <c r="AR228" i="4"/>
  <c r="AE234" i="4"/>
  <c r="AA236" i="4"/>
  <c r="AR236" i="4"/>
  <c r="AP244" i="4"/>
  <c r="AP247" i="4"/>
  <c r="AP252" i="4"/>
  <c r="AV287" i="4"/>
  <c r="AV289" i="4"/>
  <c r="AV291" i="4"/>
  <c r="AV293" i="4"/>
  <c r="AV295" i="4"/>
  <c r="AV297" i="4"/>
  <c r="AV299" i="4"/>
  <c r="AF238" i="4"/>
  <c r="AV301" i="4"/>
  <c r="AF240" i="4"/>
  <c r="AV303" i="4"/>
  <c r="AF242" i="4"/>
  <c r="AV305" i="4"/>
  <c r="AF244" i="4"/>
  <c r="AV307" i="4"/>
  <c r="AF246" i="4"/>
  <c r="AV309" i="4"/>
  <c r="AF248" i="4"/>
  <c r="AF250" i="4"/>
  <c r="AP261" i="4"/>
  <c r="AS309" i="4"/>
  <c r="AT309" i="4"/>
  <c r="AF257" i="4"/>
  <c r="AE257" i="4"/>
  <c r="AP263" i="4"/>
  <c r="AP264" i="4"/>
  <c r="AR246" i="4"/>
  <c r="AT310" i="4"/>
  <c r="AS310" i="4"/>
  <c r="AP258" i="4"/>
  <c r="AP259" i="4"/>
  <c r="AP260" i="4"/>
  <c r="AP267" i="4"/>
  <c r="AP274" i="4"/>
  <c r="AP270" i="4"/>
  <c r="AP280" i="4"/>
  <c r="AP281" i="4"/>
  <c r="AA259" i="4"/>
  <c r="AP268" i="4"/>
  <c r="AP271" i="4"/>
  <c r="AE255" i="4"/>
  <c r="AA257" i="4"/>
  <c r="AP277" i="4"/>
  <c r="AP278" i="4"/>
  <c r="AA280" i="4"/>
  <c r="AP284" i="4"/>
  <c r="AP288" i="4"/>
  <c r="AP285" i="4"/>
  <c r="AP287" i="4"/>
  <c r="AP293" i="4"/>
  <c r="AP294" i="4"/>
  <c r="AF288" i="4"/>
  <c r="AE288" i="4"/>
  <c r="AA290" i="4"/>
  <c r="AF292" i="4"/>
  <c r="AE292" i="4"/>
  <c r="AP292" i="4"/>
  <c r="AP296" i="4"/>
  <c r="AE296" i="4"/>
  <c r="AP301" i="4"/>
  <c r="AP302" i="4"/>
  <c r="AA294" i="4"/>
  <c r="AP300" i="4"/>
  <c r="AP297" i="4"/>
  <c r="AP305" i="4"/>
  <c r="AP308" i="4"/>
  <c r="AP309" i="4"/>
  <c r="AE304" i="4"/>
  <c r="AE302" i="4"/>
  <c r="AA304" i="4"/>
  <c r="BD174" i="4" l="1"/>
  <c r="BD153" i="4"/>
  <c r="BD214" i="4"/>
  <c r="BD198" i="4"/>
  <c r="BD182" i="4"/>
  <c r="BD157" i="4"/>
  <c r="BA307" i="4"/>
  <c r="BA223" i="4"/>
  <c r="BA224" i="4"/>
  <c r="BA195" i="4"/>
  <c r="BA151" i="4"/>
  <c r="BA283" i="4"/>
  <c r="BA203" i="4"/>
  <c r="AU148" i="5"/>
  <c r="AU163" i="5"/>
  <c r="AU212" i="5"/>
  <c r="AU227" i="5"/>
  <c r="AU241" i="5"/>
  <c r="AU151" i="5"/>
  <c r="AU235" i="5"/>
  <c r="AU244" i="5"/>
  <c r="AU199" i="5"/>
  <c r="AU145" i="5"/>
  <c r="AU247" i="5"/>
  <c r="AU259" i="5"/>
  <c r="AU291" i="5"/>
  <c r="AU302" i="5"/>
  <c r="AU168" i="5"/>
  <c r="AU272" i="5"/>
  <c r="AU303" i="5"/>
  <c r="AU184" i="5"/>
  <c r="AU91" i="5"/>
  <c r="AU116" i="5"/>
  <c r="AU93" i="5"/>
  <c r="AU129" i="5"/>
  <c r="AU186" i="5"/>
  <c r="AU198" i="5"/>
  <c r="AU256" i="5"/>
  <c r="AU299" i="5"/>
  <c r="AU307" i="5"/>
  <c r="AU187" i="5"/>
  <c r="AU102" i="5"/>
  <c r="AU156" i="5"/>
  <c r="AU220" i="5"/>
  <c r="AU229" i="5"/>
  <c r="AK13" i="5"/>
  <c r="AH14" i="5"/>
  <c r="AU245" i="5"/>
  <c r="AU225" i="5"/>
  <c r="AU240" i="5"/>
  <c r="AU112" i="5"/>
  <c r="AU165" i="5"/>
  <c r="AU161" i="5"/>
  <c r="AU260" i="5"/>
  <c r="AU104" i="5"/>
  <c r="AU86" i="5"/>
  <c r="AU110" i="5"/>
  <c r="AU190" i="5"/>
  <c r="AU141" i="5"/>
  <c r="AU257" i="5"/>
  <c r="AU251" i="5"/>
  <c r="AU122" i="5"/>
  <c r="AU196" i="5"/>
  <c r="AU204" i="5"/>
  <c r="AU238" i="5"/>
  <c r="AG18" i="5"/>
  <c r="AU125" i="5"/>
  <c r="AU142" i="5"/>
  <c r="AC15" i="5"/>
  <c r="AB16" i="5"/>
  <c r="AU98" i="5"/>
  <c r="AU265" i="5"/>
  <c r="AU113" i="5"/>
  <c r="AU127" i="5"/>
  <c r="AU140" i="5"/>
  <c r="AU169" i="5"/>
  <c r="AU221" i="5"/>
  <c r="AU286" i="5"/>
  <c r="AU264" i="5"/>
  <c r="AU79" i="5"/>
  <c r="AU158" i="5"/>
  <c r="AU167" i="5"/>
  <c r="AU182" i="5"/>
  <c r="AU233" i="5"/>
  <c r="AU219" i="5"/>
  <c r="AU249" i="5"/>
  <c r="AU293" i="5"/>
  <c r="AU120" i="5"/>
  <c r="AU95" i="5"/>
  <c r="AU78" i="5"/>
  <c r="AU111" i="5"/>
  <c r="AU126" i="5"/>
  <c r="AU159" i="5"/>
  <c r="AU175" i="5"/>
  <c r="AU155" i="5"/>
  <c r="AU202" i="5"/>
  <c r="AU230" i="5"/>
  <c r="AU252" i="5"/>
  <c r="AU269" i="5"/>
  <c r="AU77" i="5"/>
  <c r="AU119" i="5"/>
  <c r="AU138" i="5"/>
  <c r="AU109" i="5"/>
  <c r="AU178" i="5"/>
  <c r="AU147" i="5"/>
  <c r="AU179" i="5"/>
  <c r="AU243" i="5"/>
  <c r="AU87" i="5"/>
  <c r="AU128" i="5"/>
  <c r="AU94" i="5"/>
  <c r="AU108" i="5"/>
  <c r="AU80" i="5"/>
  <c r="AU134" i="5"/>
  <c r="AU166" i="5"/>
  <c r="AU162" i="5"/>
  <c r="AU231" i="5"/>
  <c r="AU250" i="5"/>
  <c r="AU274" i="5"/>
  <c r="AU290" i="5"/>
  <c r="AU266" i="5"/>
  <c r="AU275" i="5"/>
  <c r="AU288" i="5"/>
  <c r="AU292" i="5"/>
  <c r="AU101" i="5"/>
  <c r="AU97" i="5"/>
  <c r="AU136" i="5"/>
  <c r="AU146" i="5"/>
  <c r="AU177" i="5"/>
  <c r="AU103" i="5"/>
  <c r="AU189" i="5"/>
  <c r="AU96" i="5"/>
  <c r="AU84" i="5"/>
  <c r="AU92" i="5"/>
  <c r="AU115" i="5"/>
  <c r="AU114" i="5"/>
  <c r="AU117" i="5"/>
  <c r="AU144" i="5"/>
  <c r="AU152" i="5"/>
  <c r="AU289" i="5"/>
  <c r="AU280" i="5"/>
  <c r="AU267" i="5"/>
  <c r="AU285" i="5"/>
  <c r="AU262" i="5"/>
  <c r="AU205" i="5"/>
  <c r="AU222" i="5"/>
  <c r="AU132" i="5"/>
  <c r="AU153" i="5"/>
  <c r="AU174" i="5"/>
  <c r="AU188" i="5"/>
  <c r="AU258" i="5"/>
  <c r="AU253" i="5"/>
  <c r="AU81" i="5"/>
  <c r="AU75" i="5"/>
  <c r="AU82" i="5"/>
  <c r="AU133" i="5"/>
  <c r="AU154" i="5"/>
  <c r="AU203" i="5"/>
  <c r="AU201" i="5"/>
  <c r="AU194" i="5"/>
  <c r="AU237" i="5"/>
  <c r="AU248" i="5"/>
  <c r="AU74" i="5"/>
  <c r="AU124" i="5"/>
  <c r="AU131" i="5"/>
  <c r="AU207" i="5"/>
  <c r="AU180" i="5"/>
  <c r="AU215" i="5"/>
  <c r="AU223" i="5"/>
  <c r="AU239" i="5"/>
  <c r="AU106" i="5"/>
  <c r="AU137" i="5"/>
  <c r="AU160" i="5"/>
  <c r="AU218" i="5"/>
  <c r="AU164" i="5"/>
  <c r="AU172" i="5"/>
  <c r="AU246" i="5"/>
  <c r="AU254" i="5"/>
  <c r="AU268" i="5"/>
  <c r="AU282" i="5"/>
  <c r="AU297" i="5"/>
  <c r="AU261" i="5"/>
  <c r="AU263" i="5"/>
  <c r="AU226" i="5"/>
  <c r="BA192" i="4"/>
  <c r="BA158" i="4"/>
  <c r="BD145" i="4"/>
  <c r="BA199" i="4"/>
  <c r="BA304" i="4"/>
  <c r="BA288" i="4"/>
  <c r="BA272" i="4"/>
  <c r="BA264" i="4"/>
  <c r="BA256" i="4"/>
  <c r="BA248" i="4"/>
  <c r="BA240" i="4"/>
  <c r="BA232" i="4"/>
  <c r="BA220" i="4"/>
  <c r="BA207" i="4"/>
  <c r="BA191" i="4"/>
  <c r="BA170" i="4"/>
  <c r="BA159" i="4"/>
  <c r="BA271" i="4"/>
  <c r="BA308" i="4"/>
  <c r="BA292" i="4"/>
  <c r="BA276" i="4"/>
  <c r="BA263" i="4"/>
  <c r="BA255" i="4"/>
  <c r="BA239" i="4"/>
  <c r="BA219" i="4"/>
  <c r="BA208" i="4"/>
  <c r="BA200" i="4"/>
  <c r="BD302" i="4"/>
  <c r="BD286" i="4"/>
  <c r="BD270" i="4"/>
  <c r="BD254" i="4"/>
  <c r="BD238" i="4"/>
  <c r="BD206" i="4"/>
  <c r="BA279" i="4"/>
  <c r="BA275" i="4"/>
  <c r="BA287" i="4"/>
  <c r="BA163" i="4"/>
  <c r="BA142" i="4"/>
  <c r="BD186" i="4"/>
  <c r="BA303" i="4"/>
  <c r="BG133" i="4"/>
  <c r="BD133" i="4"/>
  <c r="BG117" i="4"/>
  <c r="BD117" i="4"/>
  <c r="BG101" i="4"/>
  <c r="BD101" i="4"/>
  <c r="BG85" i="4"/>
  <c r="BD85" i="4"/>
  <c r="BG69" i="4"/>
  <c r="BD69" i="4"/>
  <c r="BG53" i="4"/>
  <c r="BD53" i="4"/>
  <c r="BG37" i="4"/>
  <c r="BD37" i="4"/>
  <c r="BG21" i="4"/>
  <c r="BD21" i="4"/>
  <c r="BG129" i="4"/>
  <c r="BD129" i="4"/>
  <c r="BG113" i="4"/>
  <c r="BD113" i="4"/>
  <c r="BG97" i="4"/>
  <c r="BD97" i="4"/>
  <c r="BG81" i="4"/>
  <c r="BD81" i="4"/>
  <c r="BG65" i="4"/>
  <c r="BD65" i="4"/>
  <c r="BG49" i="4"/>
  <c r="BD49" i="4"/>
  <c r="BG33" i="4"/>
  <c r="BD33" i="4"/>
  <c r="BG17" i="4"/>
  <c r="BD17" i="4"/>
  <c r="BG125" i="4"/>
  <c r="BD125" i="4"/>
  <c r="BG109" i="4"/>
  <c r="BD109" i="4"/>
  <c r="BG93" i="4"/>
  <c r="BD93" i="4"/>
  <c r="BG77" i="4"/>
  <c r="BD77" i="4"/>
  <c r="BG61" i="4"/>
  <c r="BD61" i="4"/>
  <c r="BG45" i="4"/>
  <c r="BD45" i="4"/>
  <c r="BG29" i="4"/>
  <c r="BD29" i="4"/>
  <c r="BG13" i="4"/>
  <c r="BD13" i="4"/>
  <c r="BG121" i="4"/>
  <c r="BD121" i="4"/>
  <c r="BG105" i="4"/>
  <c r="BD105" i="4"/>
  <c r="BG89" i="4"/>
  <c r="BD89" i="4"/>
  <c r="BG73" i="4"/>
  <c r="BD73" i="4"/>
  <c r="BG57" i="4"/>
  <c r="BD57" i="4"/>
  <c r="BG41" i="4"/>
  <c r="BD41" i="4"/>
  <c r="BG25" i="4"/>
  <c r="BD25" i="4"/>
  <c r="BF224" i="4"/>
  <c r="BF195" i="4"/>
  <c r="BF172" i="4"/>
  <c r="BF146" i="4"/>
  <c r="BF296" i="4"/>
  <c r="BF267" i="4"/>
  <c r="BF251" i="4"/>
  <c r="BF235" i="4"/>
  <c r="BF216" i="4"/>
  <c r="BF184" i="4"/>
  <c r="BF167" i="4"/>
  <c r="BF145" i="4"/>
  <c r="BF134" i="4"/>
  <c r="BF123" i="4"/>
  <c r="BF113" i="4"/>
  <c r="BF102" i="4"/>
  <c r="BF91" i="4"/>
  <c r="BF81" i="4"/>
  <c r="BF70" i="4"/>
  <c r="BF59" i="4"/>
  <c r="BF49" i="4"/>
  <c r="BF38" i="4"/>
  <c r="BF27" i="4"/>
  <c r="BF17" i="4"/>
  <c r="BF212" i="4"/>
  <c r="BF194" i="4"/>
  <c r="BF171" i="4"/>
  <c r="BF153" i="4"/>
  <c r="BF300" i="4"/>
  <c r="BF268" i="4"/>
  <c r="BF252" i="4"/>
  <c r="BF236" i="4"/>
  <c r="BF215" i="4"/>
  <c r="BF192" i="4"/>
  <c r="BF174" i="4"/>
  <c r="BF158" i="4"/>
  <c r="BF138" i="4"/>
  <c r="BF127" i="4"/>
  <c r="BF117" i="4"/>
  <c r="BF106" i="4"/>
  <c r="BF95" i="4"/>
  <c r="BF85" i="4"/>
  <c r="BF74" i="4"/>
  <c r="BF63" i="4"/>
  <c r="BF53" i="4"/>
  <c r="BF42" i="4"/>
  <c r="BF31" i="4"/>
  <c r="BF21" i="4"/>
  <c r="BF211" i="4"/>
  <c r="BF188" i="4"/>
  <c r="BF163" i="4"/>
  <c r="BF307" i="4"/>
  <c r="BF288" i="4"/>
  <c r="BF264" i="4"/>
  <c r="BF248" i="4"/>
  <c r="BF232" i="4"/>
  <c r="BF207" i="4"/>
  <c r="BF182" i="4"/>
  <c r="BF159" i="4"/>
  <c r="BF142" i="4"/>
  <c r="BF131" i="4"/>
  <c r="BF121" i="4"/>
  <c r="BF110" i="4"/>
  <c r="BF99" i="4"/>
  <c r="BF89" i="4"/>
  <c r="BF78" i="4"/>
  <c r="BF67" i="4"/>
  <c r="BF57" i="4"/>
  <c r="BF46" i="4"/>
  <c r="BF35" i="4"/>
  <c r="BF25" i="4"/>
  <c r="BF14" i="4"/>
  <c r="BF210" i="4"/>
  <c r="BF187" i="4"/>
  <c r="BF169" i="4"/>
  <c r="BF150" i="4"/>
  <c r="BF292" i="4"/>
  <c r="BF263" i="4"/>
  <c r="BF247" i="4"/>
  <c r="BF231" i="4"/>
  <c r="BF208" i="4"/>
  <c r="BF190" i="4"/>
  <c r="BF168" i="4"/>
  <c r="BF155" i="4"/>
  <c r="BF135" i="4"/>
  <c r="BF125" i="4"/>
  <c r="BF114" i="4"/>
  <c r="BF103" i="4"/>
  <c r="BF93" i="4"/>
  <c r="BF82" i="4"/>
  <c r="BF71" i="4"/>
  <c r="BF61" i="4"/>
  <c r="BF50" i="4"/>
  <c r="BF39" i="4"/>
  <c r="BF29" i="4"/>
  <c r="BF18" i="4"/>
  <c r="AY268" i="4"/>
  <c r="BA268" i="4" s="1"/>
  <c r="BF204" i="4"/>
  <c r="BF186" i="4"/>
  <c r="BF151" i="4"/>
  <c r="BF304" i="4"/>
  <c r="BF280" i="4"/>
  <c r="BF259" i="4"/>
  <c r="BF243" i="4"/>
  <c r="BF227" i="4"/>
  <c r="BF198" i="4"/>
  <c r="BF175" i="4"/>
  <c r="BF157" i="4"/>
  <c r="BF139" i="4"/>
  <c r="BF129" i="4"/>
  <c r="BF118" i="4"/>
  <c r="BF107" i="4"/>
  <c r="BF97" i="4"/>
  <c r="BF86" i="4"/>
  <c r="BF75" i="4"/>
  <c r="BF65" i="4"/>
  <c r="BF54" i="4"/>
  <c r="BF43" i="4"/>
  <c r="BF33" i="4"/>
  <c r="BF22" i="4"/>
  <c r="BF11" i="4"/>
  <c r="BF203" i="4"/>
  <c r="BF180" i="4"/>
  <c r="BF165" i="4"/>
  <c r="BF147" i="4"/>
  <c r="BF284" i="4"/>
  <c r="BF260" i="4"/>
  <c r="BF244" i="4"/>
  <c r="BF228" i="4"/>
  <c r="BF206" i="4"/>
  <c r="BF183" i="4"/>
  <c r="BF166" i="4"/>
  <c r="BF143" i="4"/>
  <c r="BF133" i="4"/>
  <c r="BF122" i="4"/>
  <c r="BF111" i="4"/>
  <c r="BF101" i="4"/>
  <c r="BF90" i="4"/>
  <c r="BF79" i="4"/>
  <c r="BF69" i="4"/>
  <c r="BF58" i="4"/>
  <c r="BF47" i="4"/>
  <c r="BF37" i="4"/>
  <c r="BF26" i="4"/>
  <c r="BF15" i="4"/>
  <c r="BF202" i="4"/>
  <c r="BF179" i="4"/>
  <c r="BF149" i="4"/>
  <c r="BF299" i="4"/>
  <c r="BF272" i="4"/>
  <c r="BF256" i="4"/>
  <c r="BF240" i="4"/>
  <c r="BF220" i="4"/>
  <c r="BF191" i="4"/>
  <c r="BF170" i="4"/>
  <c r="BF154" i="4"/>
  <c r="BF137" i="4"/>
  <c r="BF126" i="4"/>
  <c r="BF115" i="4"/>
  <c r="BF105" i="4"/>
  <c r="BF94" i="4"/>
  <c r="BF83" i="4"/>
  <c r="BF73" i="4"/>
  <c r="BF62" i="4"/>
  <c r="BF51" i="4"/>
  <c r="BF41" i="4"/>
  <c r="BF30" i="4"/>
  <c r="BF19" i="4"/>
  <c r="BF223" i="4"/>
  <c r="BF196" i="4"/>
  <c r="BF178" i="4"/>
  <c r="BF162" i="4"/>
  <c r="BF308" i="4"/>
  <c r="BF276" i="4"/>
  <c r="BF255" i="4"/>
  <c r="BF239" i="4"/>
  <c r="BF219" i="4"/>
  <c r="BF199" i="4"/>
  <c r="BF176" i="4"/>
  <c r="BF161" i="4"/>
  <c r="BF141" i="4"/>
  <c r="BF130" i="4"/>
  <c r="BF119" i="4"/>
  <c r="BF109" i="4"/>
  <c r="BF98" i="4"/>
  <c r="BF87" i="4"/>
  <c r="BF77" i="4"/>
  <c r="BF66" i="4"/>
  <c r="BF55" i="4"/>
  <c r="BF45" i="4"/>
  <c r="BF34" i="4"/>
  <c r="BF23" i="4"/>
  <c r="BF13" i="4"/>
  <c r="AY215" i="4"/>
  <c r="BA215" i="4" s="1"/>
  <c r="AY165" i="4"/>
  <c r="BA165" i="4" s="1"/>
  <c r="AY155" i="4"/>
  <c r="BA155" i="4" s="1"/>
  <c r="AY183" i="4"/>
  <c r="BA183" i="4" s="1"/>
  <c r="AY143" i="4"/>
  <c r="BA143" i="4" s="1"/>
  <c r="AY188" i="4"/>
  <c r="BA188" i="4" s="1"/>
  <c r="AY247" i="4"/>
  <c r="BA247" i="4" s="1"/>
  <c r="AY172" i="4"/>
  <c r="BA172" i="4" s="1"/>
  <c r="AY204" i="4"/>
  <c r="BA204" i="4" s="1"/>
  <c r="AY179" i="4"/>
  <c r="BA179" i="4" s="1"/>
  <c r="AY166" i="4"/>
  <c r="BA166" i="4" s="1"/>
  <c r="AY138" i="4"/>
  <c r="BA138" i="4" s="1"/>
  <c r="AY147" i="4"/>
  <c r="BA147" i="4" s="1"/>
  <c r="AY231" i="4"/>
  <c r="BA231" i="4" s="1"/>
  <c r="AY260" i="4"/>
  <c r="BA260" i="4" s="1"/>
  <c r="AY171" i="4"/>
  <c r="BA171" i="4" s="1"/>
  <c r="AY252" i="4"/>
  <c r="BA252" i="4" s="1"/>
  <c r="AY300" i="4"/>
  <c r="BA300" i="4" s="1"/>
  <c r="AY211" i="4"/>
  <c r="BA211" i="4" s="1"/>
  <c r="AZ305" i="4"/>
  <c r="AZ289" i="4"/>
  <c r="AZ273" i="4"/>
  <c r="AZ257" i="4"/>
  <c r="AZ241" i="4"/>
  <c r="AZ225" i="4"/>
  <c r="AZ152" i="4"/>
  <c r="AZ226" i="4"/>
  <c r="AZ156" i="4"/>
  <c r="AZ140" i="4"/>
  <c r="AZ124" i="4"/>
  <c r="AZ108" i="4"/>
  <c r="AZ92" i="4"/>
  <c r="AZ76" i="4"/>
  <c r="AZ60" i="4"/>
  <c r="AZ44" i="4"/>
  <c r="AZ28" i="4"/>
  <c r="AZ12" i="4"/>
  <c r="AY139" i="4"/>
  <c r="BA139" i="4" s="1"/>
  <c r="AY187" i="4"/>
  <c r="BA187" i="4" s="1"/>
  <c r="BC308" i="4"/>
  <c r="BD308" i="4" s="1"/>
  <c r="BC276" i="4"/>
  <c r="BD276" i="4" s="1"/>
  <c r="BC255" i="4"/>
  <c r="BD255" i="4" s="1"/>
  <c r="BC239" i="4"/>
  <c r="BD239" i="4" s="1"/>
  <c r="BC219" i="4"/>
  <c r="BD219" i="4" s="1"/>
  <c r="BC299" i="4"/>
  <c r="BD299" i="4" s="1"/>
  <c r="BC272" i="4"/>
  <c r="BD272" i="4" s="1"/>
  <c r="BC256" i="4"/>
  <c r="BD256" i="4" s="1"/>
  <c r="BC240" i="4"/>
  <c r="BD240" i="4" s="1"/>
  <c r="BC220" i="4"/>
  <c r="BD220" i="4" s="1"/>
  <c r="BC191" i="4"/>
  <c r="BD191" i="4" s="1"/>
  <c r="BC170" i="4"/>
  <c r="BD170" i="4" s="1"/>
  <c r="AZ301" i="4"/>
  <c r="AZ285" i="4"/>
  <c r="AZ269" i="4"/>
  <c r="AZ253" i="4"/>
  <c r="AZ237" i="4"/>
  <c r="AZ221" i="4"/>
  <c r="AZ160" i="4"/>
  <c r="AZ213" i="4"/>
  <c r="AZ205" i="4"/>
  <c r="AZ197" i="4"/>
  <c r="AZ189" i="4"/>
  <c r="AZ181" i="4"/>
  <c r="AZ173" i="4"/>
  <c r="AZ136" i="4"/>
  <c r="AZ120" i="4"/>
  <c r="AZ104" i="4"/>
  <c r="AZ88" i="4"/>
  <c r="AZ72" i="4"/>
  <c r="AZ56" i="4"/>
  <c r="AZ40" i="4"/>
  <c r="AZ24" i="4"/>
  <c r="BC236" i="4"/>
  <c r="BD236" i="4" s="1"/>
  <c r="BC192" i="4"/>
  <c r="BD192" i="4" s="1"/>
  <c r="BC158" i="4"/>
  <c r="BD158" i="4" s="1"/>
  <c r="BC224" i="4"/>
  <c r="BD224" i="4" s="1"/>
  <c r="BC195" i="4"/>
  <c r="BD195" i="4" s="1"/>
  <c r="BC296" i="4"/>
  <c r="BD296" i="4" s="1"/>
  <c r="BC267" i="4"/>
  <c r="BD267" i="4" s="1"/>
  <c r="BC251" i="4"/>
  <c r="BD251" i="4" s="1"/>
  <c r="BC235" i="4"/>
  <c r="BD235" i="4" s="1"/>
  <c r="BC216" i="4"/>
  <c r="BD216" i="4" s="1"/>
  <c r="BC184" i="4"/>
  <c r="BD184" i="4" s="1"/>
  <c r="BC167" i="4"/>
  <c r="BD167" i="4" s="1"/>
  <c r="BC203" i="4"/>
  <c r="BD203" i="4" s="1"/>
  <c r="BC150" i="4"/>
  <c r="BD150" i="4" s="1"/>
  <c r="AZ297" i="4"/>
  <c r="AZ281" i="4"/>
  <c r="AZ265" i="4"/>
  <c r="AZ249" i="4"/>
  <c r="AZ233" i="4"/>
  <c r="AZ222" i="4"/>
  <c r="AZ164" i="4"/>
  <c r="AZ148" i="4"/>
  <c r="AZ132" i="4"/>
  <c r="AZ116" i="4"/>
  <c r="AZ100" i="4"/>
  <c r="AZ84" i="4"/>
  <c r="AZ68" i="4"/>
  <c r="AZ52" i="4"/>
  <c r="AZ36" i="4"/>
  <c r="AZ20" i="4"/>
  <c r="AY228" i="4"/>
  <c r="BA228" i="4" s="1"/>
  <c r="BC292" i="4"/>
  <c r="BD292" i="4" s="1"/>
  <c r="BC263" i="4"/>
  <c r="BD263" i="4" s="1"/>
  <c r="BC208" i="4"/>
  <c r="BD208" i="4" s="1"/>
  <c r="BC163" i="4"/>
  <c r="BD163" i="4" s="1"/>
  <c r="BC307" i="4"/>
  <c r="BD307" i="4" s="1"/>
  <c r="BC288" i="4"/>
  <c r="BD288" i="4" s="1"/>
  <c r="BC264" i="4"/>
  <c r="BD264" i="4" s="1"/>
  <c r="BC248" i="4"/>
  <c r="BD248" i="4" s="1"/>
  <c r="BC232" i="4"/>
  <c r="BD232" i="4" s="1"/>
  <c r="BC207" i="4"/>
  <c r="BD207" i="4" s="1"/>
  <c r="BC159" i="4"/>
  <c r="BD159" i="4" s="1"/>
  <c r="BC142" i="4"/>
  <c r="BD142" i="4" s="1"/>
  <c r="AZ309" i="4"/>
  <c r="AZ293" i="4"/>
  <c r="AZ277" i="4"/>
  <c r="AZ261" i="4"/>
  <c r="AZ245" i="4"/>
  <c r="AZ229" i="4"/>
  <c r="AZ218" i="4"/>
  <c r="AZ144" i="4"/>
  <c r="AZ217" i="4"/>
  <c r="AZ209" i="4"/>
  <c r="AZ201" i="4"/>
  <c r="AZ193" i="4"/>
  <c r="AZ185" i="4"/>
  <c r="AZ177" i="4"/>
  <c r="AZ128" i="4"/>
  <c r="AZ112" i="4"/>
  <c r="AZ96" i="4"/>
  <c r="AZ80" i="4"/>
  <c r="AZ64" i="4"/>
  <c r="AZ48" i="4"/>
  <c r="AZ32" i="4"/>
  <c r="AZ16" i="4"/>
  <c r="AY284" i="4"/>
  <c r="BA284" i="4" s="1"/>
  <c r="AY196" i="4"/>
  <c r="BA196" i="4" s="1"/>
  <c r="AY244" i="4"/>
  <c r="BA244" i="4" s="1"/>
  <c r="AY180" i="4"/>
  <c r="BA180" i="4" s="1"/>
  <c r="BC151" i="4"/>
  <c r="BD151" i="4" s="1"/>
  <c r="BC304" i="4"/>
  <c r="BD304" i="4" s="1"/>
  <c r="BC280" i="4"/>
  <c r="BD280" i="4" s="1"/>
  <c r="BC259" i="4"/>
  <c r="BD259" i="4" s="1"/>
  <c r="BC243" i="4"/>
  <c r="BD243" i="4" s="1"/>
  <c r="BC227" i="4"/>
  <c r="BD227" i="4" s="1"/>
  <c r="BC175" i="4"/>
  <c r="BD175" i="4" s="1"/>
  <c r="AY298" i="4"/>
  <c r="BA298" i="4" s="1"/>
  <c r="AY282" i="4"/>
  <c r="BA282" i="4" s="1"/>
  <c r="AY266" i="4"/>
  <c r="BA266" i="4" s="1"/>
  <c r="AY250" i="4"/>
  <c r="BA250" i="4" s="1"/>
  <c r="AY234" i="4"/>
  <c r="BA234" i="4" s="1"/>
  <c r="AY202" i="4"/>
  <c r="BA202" i="4" s="1"/>
  <c r="AY186" i="4"/>
  <c r="BA186" i="4" s="1"/>
  <c r="AY149" i="4"/>
  <c r="BA149" i="4" s="1"/>
  <c r="AY137" i="4"/>
  <c r="BA137" i="4" s="1"/>
  <c r="AY121" i="4"/>
  <c r="AY105" i="4"/>
  <c r="AY89" i="4"/>
  <c r="AY73" i="4"/>
  <c r="AY57" i="4"/>
  <c r="AY41" i="4"/>
  <c r="AY25" i="4"/>
  <c r="AY169" i="4"/>
  <c r="BA169" i="4" s="1"/>
  <c r="AY153" i="4"/>
  <c r="BA153" i="4" s="1"/>
  <c r="AY310" i="4"/>
  <c r="BA310" i="4" s="1"/>
  <c r="AY294" i="4"/>
  <c r="BA294" i="4" s="1"/>
  <c r="AY278" i="4"/>
  <c r="BA278" i="4" s="1"/>
  <c r="AY262" i="4"/>
  <c r="BA262" i="4" s="1"/>
  <c r="AY246" i="4"/>
  <c r="BA246" i="4" s="1"/>
  <c r="AY230" i="4"/>
  <c r="BA230" i="4" s="1"/>
  <c r="AY214" i="4"/>
  <c r="BA214" i="4" s="1"/>
  <c r="AY198" i="4"/>
  <c r="BA198" i="4" s="1"/>
  <c r="AY182" i="4"/>
  <c r="BA182" i="4" s="1"/>
  <c r="AY157" i="4"/>
  <c r="BA157" i="4" s="1"/>
  <c r="AY146" i="4"/>
  <c r="BA146" i="4" s="1"/>
  <c r="AY133" i="4"/>
  <c r="AY117" i="4"/>
  <c r="AY101" i="4"/>
  <c r="AY85" i="4"/>
  <c r="AY69" i="4"/>
  <c r="AY53" i="4"/>
  <c r="AY37" i="4"/>
  <c r="AY21" i="4"/>
  <c r="AY306" i="4"/>
  <c r="BA306" i="4" s="1"/>
  <c r="AY290" i="4"/>
  <c r="BA290" i="4" s="1"/>
  <c r="AY274" i="4"/>
  <c r="BA274" i="4" s="1"/>
  <c r="AY258" i="4"/>
  <c r="BA258" i="4" s="1"/>
  <c r="AY242" i="4"/>
  <c r="BA242" i="4" s="1"/>
  <c r="AY210" i="4"/>
  <c r="BA210" i="4" s="1"/>
  <c r="AY194" i="4"/>
  <c r="BA194" i="4" s="1"/>
  <c r="AY178" i="4"/>
  <c r="BA178" i="4" s="1"/>
  <c r="AY154" i="4"/>
  <c r="BA154" i="4" s="1"/>
  <c r="AY129" i="4"/>
  <c r="AY113" i="4"/>
  <c r="AY97" i="4"/>
  <c r="AY81" i="4"/>
  <c r="AY65" i="4"/>
  <c r="AY49" i="4"/>
  <c r="AY33" i="4"/>
  <c r="AY17" i="4"/>
  <c r="AY161" i="4"/>
  <c r="BA161" i="4" s="1"/>
  <c r="AY145" i="4"/>
  <c r="BA145" i="4" s="1"/>
  <c r="AY302" i="4"/>
  <c r="BA302" i="4" s="1"/>
  <c r="AY286" i="4"/>
  <c r="BA286" i="4" s="1"/>
  <c r="AY270" i="4"/>
  <c r="BA270" i="4" s="1"/>
  <c r="AY254" i="4"/>
  <c r="BA254" i="4" s="1"/>
  <c r="AY238" i="4"/>
  <c r="BA238" i="4" s="1"/>
  <c r="AY206" i="4"/>
  <c r="BA206" i="4" s="1"/>
  <c r="AY190" i="4"/>
  <c r="BA190" i="4" s="1"/>
  <c r="AY174" i="4"/>
  <c r="BA174" i="4" s="1"/>
  <c r="AY162" i="4"/>
  <c r="BA162" i="4" s="1"/>
  <c r="AY141" i="4"/>
  <c r="BA141" i="4" s="1"/>
  <c r="AY125" i="4"/>
  <c r="AY109" i="4"/>
  <c r="AY93" i="4"/>
  <c r="AY77" i="4"/>
  <c r="AY61" i="4"/>
  <c r="AY45" i="4"/>
  <c r="AY29" i="4"/>
  <c r="AY13" i="4"/>
  <c r="Y309" i="4"/>
  <c r="AY309" i="4" s="1"/>
  <c r="BA309" i="4" s="1"/>
  <c r="Y293" i="4"/>
  <c r="AY293" i="4" s="1"/>
  <c r="Y277" i="4"/>
  <c r="AY277" i="4" s="1"/>
  <c r="Y261" i="4"/>
  <c r="AY261" i="4" s="1"/>
  <c r="Y245" i="4"/>
  <c r="AY245" i="4" s="1"/>
  <c r="BA245" i="4" s="1"/>
  <c r="Y229" i="4"/>
  <c r="AY229" i="4" s="1"/>
  <c r="Y218" i="4"/>
  <c r="AY218" i="4" s="1"/>
  <c r="Y144" i="4"/>
  <c r="AY144" i="4" s="1"/>
  <c r="Y217" i="4"/>
  <c r="AY217" i="4" s="1"/>
  <c r="BA217" i="4" s="1"/>
  <c r="Y209" i="4"/>
  <c r="AY209" i="4" s="1"/>
  <c r="Y201" i="4"/>
  <c r="AY201" i="4" s="1"/>
  <c r="Y193" i="4"/>
  <c r="BC193" i="4" s="1"/>
  <c r="BD193" i="4" s="1"/>
  <c r="Y185" i="4"/>
  <c r="AY185" i="4" s="1"/>
  <c r="BA185" i="4" s="1"/>
  <c r="Y177" i="4"/>
  <c r="AY177" i="4" s="1"/>
  <c r="Y128" i="4"/>
  <c r="BC128" i="4" s="1"/>
  <c r="Y112" i="4"/>
  <c r="BC112" i="4" s="1"/>
  <c r="Y96" i="4"/>
  <c r="BC96" i="4" s="1"/>
  <c r="Y80" i="4"/>
  <c r="BC80" i="4" s="1"/>
  <c r="Y64" i="4"/>
  <c r="BC64" i="4" s="1"/>
  <c r="Y48" i="4"/>
  <c r="BC48" i="4" s="1"/>
  <c r="Y32" i="4"/>
  <c r="BC32" i="4" s="1"/>
  <c r="Y16" i="4"/>
  <c r="BC16" i="4" s="1"/>
  <c r="Y305" i="4"/>
  <c r="AY305" i="4" s="1"/>
  <c r="BA305" i="4" s="1"/>
  <c r="Y289" i="4"/>
  <c r="AY289" i="4" s="1"/>
  <c r="Y273" i="4"/>
  <c r="AY273" i="4" s="1"/>
  <c r="Y257" i="4"/>
  <c r="BC257" i="4" s="1"/>
  <c r="BD257" i="4" s="1"/>
  <c r="Y241" i="4"/>
  <c r="AY241" i="4" s="1"/>
  <c r="BA241" i="4" s="1"/>
  <c r="Y225" i="4"/>
  <c r="BC225" i="4" s="1"/>
  <c r="BD225" i="4" s="1"/>
  <c r="Y152" i="4"/>
  <c r="AY152" i="4" s="1"/>
  <c r="Y226" i="4"/>
  <c r="AY226" i="4" s="1"/>
  <c r="BA226" i="4" s="1"/>
  <c r="Y156" i="4"/>
  <c r="AY156" i="4" s="1"/>
  <c r="BA156" i="4" s="1"/>
  <c r="Y140" i="4"/>
  <c r="AY140" i="4" s="1"/>
  <c r="Y124" i="4"/>
  <c r="BC124" i="4" s="1"/>
  <c r="Y108" i="4"/>
  <c r="BC108" i="4" s="1"/>
  <c r="Y92" i="4"/>
  <c r="BC92" i="4" s="1"/>
  <c r="Y76" i="4"/>
  <c r="BC76" i="4" s="1"/>
  <c r="Y60" i="4"/>
  <c r="BC60" i="4" s="1"/>
  <c r="Y44" i="4"/>
  <c r="BC44" i="4" s="1"/>
  <c r="Y28" i="4"/>
  <c r="BC28" i="4" s="1"/>
  <c r="Y12" i="4"/>
  <c r="BC12" i="4" s="1"/>
  <c r="Y301" i="4"/>
  <c r="AY301" i="4" s="1"/>
  <c r="BA301" i="4" s="1"/>
  <c r="Y285" i="4"/>
  <c r="AY285" i="4" s="1"/>
  <c r="Y269" i="4"/>
  <c r="AY269" i="4" s="1"/>
  <c r="Y253" i="4"/>
  <c r="AY253" i="4" s="1"/>
  <c r="BA253" i="4" s="1"/>
  <c r="Y237" i="4"/>
  <c r="AY237" i="4" s="1"/>
  <c r="BA237" i="4" s="1"/>
  <c r="Y221" i="4"/>
  <c r="AY221" i="4" s="1"/>
  <c r="Y160" i="4"/>
  <c r="AY160" i="4" s="1"/>
  <c r="Y213" i="4"/>
  <c r="AY213" i="4" s="1"/>
  <c r="BA213" i="4" s="1"/>
  <c r="Y205" i="4"/>
  <c r="AY205" i="4" s="1"/>
  <c r="BA205" i="4" s="1"/>
  <c r="Y197" i="4"/>
  <c r="AY197" i="4" s="1"/>
  <c r="Y189" i="4"/>
  <c r="AY189" i="4" s="1"/>
  <c r="Y181" i="4"/>
  <c r="AY181" i="4" s="1"/>
  <c r="BA181" i="4" s="1"/>
  <c r="Y173" i="4"/>
  <c r="AY173" i="4" s="1"/>
  <c r="BA173" i="4" s="1"/>
  <c r="Y136" i="4"/>
  <c r="AY136" i="4" s="1"/>
  <c r="Y120" i="4"/>
  <c r="BC120" i="4" s="1"/>
  <c r="Y104" i="4"/>
  <c r="BC104" i="4" s="1"/>
  <c r="Y88" i="4"/>
  <c r="BC88" i="4" s="1"/>
  <c r="Y72" i="4"/>
  <c r="BC72" i="4" s="1"/>
  <c r="Y56" i="4"/>
  <c r="BC56" i="4" s="1"/>
  <c r="Y40" i="4"/>
  <c r="BC40" i="4" s="1"/>
  <c r="Y24" i="4"/>
  <c r="BC24" i="4" s="1"/>
  <c r="Y297" i="4"/>
  <c r="AY297" i="4" s="1"/>
  <c r="BA297" i="4" s="1"/>
  <c r="Y281" i="4"/>
  <c r="AY281" i="4" s="1"/>
  <c r="BA281" i="4" s="1"/>
  <c r="Y265" i="4"/>
  <c r="AY265" i="4" s="1"/>
  <c r="Y249" i="4"/>
  <c r="AY249" i="4" s="1"/>
  <c r="Y233" i="4"/>
  <c r="AY233" i="4" s="1"/>
  <c r="BA233" i="4" s="1"/>
  <c r="Y222" i="4"/>
  <c r="AY222" i="4" s="1"/>
  <c r="BA222" i="4" s="1"/>
  <c r="Y164" i="4"/>
  <c r="AY164" i="4" s="1"/>
  <c r="Y148" i="4"/>
  <c r="AY148" i="4" s="1"/>
  <c r="Y132" i="4"/>
  <c r="BC132" i="4" s="1"/>
  <c r="Y116" i="4"/>
  <c r="BC116" i="4" s="1"/>
  <c r="Y100" i="4"/>
  <c r="BC100" i="4" s="1"/>
  <c r="Y84" i="4"/>
  <c r="BC84" i="4" s="1"/>
  <c r="Y68" i="4"/>
  <c r="BC68" i="4" s="1"/>
  <c r="Y52" i="4"/>
  <c r="BC52" i="4" s="1"/>
  <c r="Y36" i="4"/>
  <c r="BC36" i="4" s="1"/>
  <c r="Y20" i="4"/>
  <c r="BC20" i="4" s="1"/>
  <c r="AT293" i="4"/>
  <c r="AT303" i="4"/>
  <c r="AS295" i="4"/>
  <c r="AS300" i="4"/>
  <c r="AT286" i="4"/>
  <c r="AT304" i="4"/>
  <c r="AS307" i="4"/>
  <c r="AS299" i="4"/>
  <c r="AT208" i="4"/>
  <c r="AT204" i="4"/>
  <c r="AS169" i="4"/>
  <c r="AT190" i="4"/>
  <c r="AS137" i="4"/>
  <c r="AS288" i="4"/>
  <c r="AT235" i="4"/>
  <c r="AT125" i="4"/>
  <c r="AT107" i="4"/>
  <c r="AS90" i="4"/>
  <c r="AT75" i="4"/>
  <c r="AT291" i="4"/>
  <c r="AS293" i="4"/>
  <c r="AU293" i="4" s="1"/>
  <c r="AT284" i="4"/>
  <c r="AS223" i="4"/>
  <c r="AT223" i="4"/>
  <c r="AS216" i="4"/>
  <c r="AT181" i="4"/>
  <c r="AS173" i="4"/>
  <c r="AT200" i="4"/>
  <c r="AS297" i="4"/>
  <c r="AT289" i="4"/>
  <c r="AT127" i="4"/>
  <c r="AT99" i="4"/>
  <c r="AS281" i="4"/>
  <c r="AT281" i="4"/>
  <c r="AT280" i="4"/>
  <c r="AT278" i="4"/>
  <c r="AS274" i="4"/>
  <c r="AT243" i="4"/>
  <c r="AT232" i="4"/>
  <c r="AS211" i="4"/>
  <c r="AT211" i="4"/>
  <c r="AS197" i="4"/>
  <c r="AT197" i="4"/>
  <c r="AS163" i="4"/>
  <c r="AT163" i="4"/>
  <c r="AS179" i="4"/>
  <c r="AT179" i="4"/>
  <c r="AS141" i="4"/>
  <c r="AS125" i="4"/>
  <c r="AT117" i="4"/>
  <c r="AS109" i="4"/>
  <c r="AU310" i="4"/>
  <c r="AS306" i="4"/>
  <c r="AS302" i="4"/>
  <c r="AT307" i="4"/>
  <c r="AU307" i="4" s="1"/>
  <c r="AS303" i="4"/>
  <c r="AS289" i="4"/>
  <c r="AS292" i="4"/>
  <c r="AS296" i="4"/>
  <c r="AT296" i="4"/>
  <c r="AT287" i="4"/>
  <c r="AT277" i="4"/>
  <c r="AS277" i="4"/>
  <c r="AS269" i="4"/>
  <c r="AT269" i="4"/>
  <c r="AS261" i="4"/>
  <c r="AT261" i="4"/>
  <c r="AS279" i="4"/>
  <c r="AT279" i="4"/>
  <c r="AS278" i="4"/>
  <c r="AT276" i="4"/>
  <c r="AT272" i="4"/>
  <c r="AS272" i="4"/>
  <c r="AS264" i="4"/>
  <c r="AT264" i="4"/>
  <c r="AS254" i="4"/>
  <c r="AT254" i="4"/>
  <c r="AT252" i="4"/>
  <c r="AS252" i="4"/>
  <c r="AT250" i="4"/>
  <c r="AS250" i="4"/>
  <c r="AT248" i="4"/>
  <c r="AS248" i="4"/>
  <c r="AS243" i="4"/>
  <c r="AS239" i="4"/>
  <c r="AS235" i="4"/>
  <c r="AS231" i="4"/>
  <c r="AT246" i="4"/>
  <c r="AT242" i="4"/>
  <c r="AT238" i="4"/>
  <c r="AS234" i="4"/>
  <c r="AS230" i="4"/>
  <c r="AS226" i="4"/>
  <c r="AT224" i="4"/>
  <c r="AS213" i="4"/>
  <c r="AT213" i="4"/>
  <c r="AS221" i="4"/>
  <c r="AT212" i="4"/>
  <c r="AT196" i="4"/>
  <c r="AT192" i="4"/>
  <c r="AT188" i="4"/>
  <c r="AS227" i="4"/>
  <c r="AT222" i="4"/>
  <c r="AT185" i="4"/>
  <c r="AS185" i="4"/>
  <c r="AS182" i="4"/>
  <c r="AS174" i="4"/>
  <c r="AT162" i="4"/>
  <c r="AS162" i="4"/>
  <c r="AT154" i="4"/>
  <c r="AS154" i="4"/>
  <c r="AT176" i="4"/>
  <c r="AT169" i="4"/>
  <c r="AS178" i="4"/>
  <c r="AT172" i="4"/>
  <c r="AT148" i="4"/>
  <c r="AS148" i="4"/>
  <c r="AT144" i="4"/>
  <c r="AT140" i="4"/>
  <c r="AT136" i="4"/>
  <c r="AT132" i="4"/>
  <c r="AT124" i="4"/>
  <c r="AS124" i="4"/>
  <c r="AT147" i="4"/>
  <c r="AT143" i="4"/>
  <c r="AT139" i="4"/>
  <c r="AT135" i="4"/>
  <c r="AT131" i="4"/>
  <c r="AS123" i="4"/>
  <c r="AS119" i="4"/>
  <c r="AS115" i="4"/>
  <c r="AT109" i="4"/>
  <c r="AS106" i="4"/>
  <c r="AT106" i="4"/>
  <c r="AT89" i="4"/>
  <c r="AS89" i="4"/>
  <c r="AT81" i="4"/>
  <c r="AS81" i="4"/>
  <c r="AT77" i="4"/>
  <c r="AS77" i="4"/>
  <c r="AT116" i="4"/>
  <c r="AT110" i="4"/>
  <c r="AS110" i="4"/>
  <c r="AS103" i="4"/>
  <c r="AS99" i="4"/>
  <c r="AT95" i="4"/>
  <c r="AS95" i="4"/>
  <c r="AT87" i="4"/>
  <c r="AS87" i="4"/>
  <c r="AH13" i="4"/>
  <c r="AI13" i="4" s="1"/>
  <c r="AJ13" i="4" s="1"/>
  <c r="AS271" i="4"/>
  <c r="AT271" i="4"/>
  <c r="AS263" i="4"/>
  <c r="AT263" i="4"/>
  <c r="AS266" i="4"/>
  <c r="AT266" i="4"/>
  <c r="AT260" i="4"/>
  <c r="AS260" i="4"/>
  <c r="AT239" i="4"/>
  <c r="AS253" i="4"/>
  <c r="AT253" i="4"/>
  <c r="AS240" i="4"/>
  <c r="AS224" i="4"/>
  <c r="AS186" i="4"/>
  <c r="AT182" i="4"/>
  <c r="AT174" i="4"/>
  <c r="AT160" i="4"/>
  <c r="AS160" i="4"/>
  <c r="AT152" i="4"/>
  <c r="AS152" i="4"/>
  <c r="AS184" i="4"/>
  <c r="AT177" i="4"/>
  <c r="AS203" i="4"/>
  <c r="AT203" i="4"/>
  <c r="AS84" i="4"/>
  <c r="AT96" i="4"/>
  <c r="AS96" i="4"/>
  <c r="AT80" i="4"/>
  <c r="AS80" i="4"/>
  <c r="AT76" i="4"/>
  <c r="AS76" i="4"/>
  <c r="AT90" i="4"/>
  <c r="AS86" i="4"/>
  <c r="AT103" i="4"/>
  <c r="AT83" i="4"/>
  <c r="AS83" i="4"/>
  <c r="AS74" i="4"/>
  <c r="AT231" i="4"/>
  <c r="AT249" i="4"/>
  <c r="AS249" i="4"/>
  <c r="AT236" i="4"/>
  <c r="AT228" i="4"/>
  <c r="AS220" i="4"/>
  <c r="AS205" i="4"/>
  <c r="AT205" i="4"/>
  <c r="AT189" i="4"/>
  <c r="AS189" i="4"/>
  <c r="AT187" i="4"/>
  <c r="AS187" i="4"/>
  <c r="AT178" i="4"/>
  <c r="AS181" i="4"/>
  <c r="AT150" i="4"/>
  <c r="AS150" i="4"/>
  <c r="AS146" i="4"/>
  <c r="AS142" i="4"/>
  <c r="AS138" i="4"/>
  <c r="AT130" i="4"/>
  <c r="AS130" i="4"/>
  <c r="AS122" i="4"/>
  <c r="AT122" i="4"/>
  <c r="AS167" i="4"/>
  <c r="AT167" i="4"/>
  <c r="AS159" i="4"/>
  <c r="AT159" i="4"/>
  <c r="AS145" i="4"/>
  <c r="AS133" i="4"/>
  <c r="AS129" i="4"/>
  <c r="AT121" i="4"/>
  <c r="AS113" i="4"/>
  <c r="AS308" i="4"/>
  <c r="AT308" i="4"/>
  <c r="AS304" i="4"/>
  <c r="AT300" i="4"/>
  <c r="AT305" i="4"/>
  <c r="AS301" i="4"/>
  <c r="AT297" i="4"/>
  <c r="AU297" i="4" s="1"/>
  <c r="AS290" i="4"/>
  <c r="AT290" i="4"/>
  <c r="AS291" i="4"/>
  <c r="AT294" i="4"/>
  <c r="AT299" i="4"/>
  <c r="AT295" i="4"/>
  <c r="AS283" i="4"/>
  <c r="AT283" i="4"/>
  <c r="AS273" i="4"/>
  <c r="AT273" i="4"/>
  <c r="AS265" i="4"/>
  <c r="AT265" i="4"/>
  <c r="AS257" i="4"/>
  <c r="AT257" i="4"/>
  <c r="AT282" i="4"/>
  <c r="AS280" i="4"/>
  <c r="AT274" i="4"/>
  <c r="AS286" i="4"/>
  <c r="AS284" i="4"/>
  <c r="AS268" i="4"/>
  <c r="AT268" i="4"/>
  <c r="AS258" i="4"/>
  <c r="AT258" i="4"/>
  <c r="AS245" i="4"/>
  <c r="AS241" i="4"/>
  <c r="AS237" i="4"/>
  <c r="AS233" i="4"/>
  <c r="AT244" i="4"/>
  <c r="AT240" i="4"/>
  <c r="AS236" i="4"/>
  <c r="AS232" i="4"/>
  <c r="AT225" i="4"/>
  <c r="AS225" i="4"/>
  <c r="AS217" i="4"/>
  <c r="AT217" i="4"/>
  <c r="AS209" i="4"/>
  <c r="AT209" i="4"/>
  <c r="AS228" i="4"/>
  <c r="AT219" i="4"/>
  <c r="AT218" i="4"/>
  <c r="AT220" i="4"/>
  <c r="AT214" i="4"/>
  <c r="AT210" i="4"/>
  <c r="AT206" i="4"/>
  <c r="AT202" i="4"/>
  <c r="AT198" i="4"/>
  <c r="AT194" i="4"/>
  <c r="AS229" i="4"/>
  <c r="AT215" i="4"/>
  <c r="AT186" i="4"/>
  <c r="AS183" i="4"/>
  <c r="AT183" i="4"/>
  <c r="AS175" i="4"/>
  <c r="AT175" i="4"/>
  <c r="AS166" i="4"/>
  <c r="AT166" i="4"/>
  <c r="AT158" i="4"/>
  <c r="AS158" i="4"/>
  <c r="AT184" i="4"/>
  <c r="AS177" i="4"/>
  <c r="AT168" i="4"/>
  <c r="AS170" i="4"/>
  <c r="AS180" i="4"/>
  <c r="AS157" i="4"/>
  <c r="AT157" i="4"/>
  <c r="AT146" i="4"/>
  <c r="AT142" i="4"/>
  <c r="AT138" i="4"/>
  <c r="AT134" i="4"/>
  <c r="AT128" i="4"/>
  <c r="AS128" i="4"/>
  <c r="AT120" i="4"/>
  <c r="AS120" i="4"/>
  <c r="AT113" i="4"/>
  <c r="AT149" i="4"/>
  <c r="AS149" i="4"/>
  <c r="AT153" i="4"/>
  <c r="AT145" i="4"/>
  <c r="AT141" i="4"/>
  <c r="AT137" i="4"/>
  <c r="AU137" i="4" s="1"/>
  <c r="AT133" i="4"/>
  <c r="AT129" i="4"/>
  <c r="AS121" i="4"/>
  <c r="AS117" i="4"/>
  <c r="AT111" i="4"/>
  <c r="AS171" i="4"/>
  <c r="AT171" i="4"/>
  <c r="AS155" i="4"/>
  <c r="AT155" i="4"/>
  <c r="AT108" i="4"/>
  <c r="AS108" i="4"/>
  <c r="AS92" i="4"/>
  <c r="AS88" i="4"/>
  <c r="AT84" i="4"/>
  <c r="AT104" i="4"/>
  <c r="AS104" i="4"/>
  <c r="AT102" i="4"/>
  <c r="AS102" i="4"/>
  <c r="AT100" i="4"/>
  <c r="AS100" i="4"/>
  <c r="AT93" i="4"/>
  <c r="AS93" i="4"/>
  <c r="AT85" i="4"/>
  <c r="AS85" i="4"/>
  <c r="AT79" i="4"/>
  <c r="AS79" i="4"/>
  <c r="AS82" i="4"/>
  <c r="AT86" i="4"/>
  <c r="AS114" i="4"/>
  <c r="AT114" i="4"/>
  <c r="AS105" i="4"/>
  <c r="AS101" i="4"/>
  <c r="AT94" i="4"/>
  <c r="AS94" i="4"/>
  <c r="AT74" i="4"/>
  <c r="AG14" i="4"/>
  <c r="AS244" i="4"/>
  <c r="AT216" i="4"/>
  <c r="AS218" i="4"/>
  <c r="AS214" i="4"/>
  <c r="AS210" i="4"/>
  <c r="AS206" i="4"/>
  <c r="AS202" i="4"/>
  <c r="AS198" i="4"/>
  <c r="AS194" i="4"/>
  <c r="AS190" i="4"/>
  <c r="AT229" i="4"/>
  <c r="AT227" i="4"/>
  <c r="AS222" i="4"/>
  <c r="AS195" i="4"/>
  <c r="AT195" i="4"/>
  <c r="AS134" i="4"/>
  <c r="AT306" i="4"/>
  <c r="AT302" i="4"/>
  <c r="AU309" i="4"/>
  <c r="AS305" i="4"/>
  <c r="AT301" i="4"/>
  <c r="AS298" i="4"/>
  <c r="AT298" i="4"/>
  <c r="AT292" i="4"/>
  <c r="AS294" i="4"/>
  <c r="AS287" i="4"/>
  <c r="AS285" i="4"/>
  <c r="AT285" i="4"/>
  <c r="AS275" i="4"/>
  <c r="AT275" i="4"/>
  <c r="AS267" i="4"/>
  <c r="AT267" i="4"/>
  <c r="AS259" i="4"/>
  <c r="AT259" i="4"/>
  <c r="AS282" i="4"/>
  <c r="AS276" i="4"/>
  <c r="AT288" i="4"/>
  <c r="AU288" i="4" s="1"/>
  <c r="AS270" i="4"/>
  <c r="AT270" i="4"/>
  <c r="AS262" i="4"/>
  <c r="AT262" i="4"/>
  <c r="AS256" i="4"/>
  <c r="AT256" i="4"/>
  <c r="AT245" i="4"/>
  <c r="AT241" i="4"/>
  <c r="AT237" i="4"/>
  <c r="AT233" i="4"/>
  <c r="AS255" i="4"/>
  <c r="AT255" i="4"/>
  <c r="AS251" i="4"/>
  <c r="AT251" i="4"/>
  <c r="AT247" i="4"/>
  <c r="AS247" i="4"/>
  <c r="AS246" i="4"/>
  <c r="AS242" i="4"/>
  <c r="AS238" i="4"/>
  <c r="AT234" i="4"/>
  <c r="AT230" i="4"/>
  <c r="AT226" i="4"/>
  <c r="AS219" i="4"/>
  <c r="AT221" i="4"/>
  <c r="AS212" i="4"/>
  <c r="AS208" i="4"/>
  <c r="AS204" i="4"/>
  <c r="AS200" i="4"/>
  <c r="AS196" i="4"/>
  <c r="AS192" i="4"/>
  <c r="AS188" i="4"/>
  <c r="AS215" i="4"/>
  <c r="AS201" i="4"/>
  <c r="AT201" i="4"/>
  <c r="AT193" i="4"/>
  <c r="AS193" i="4"/>
  <c r="AS164" i="4"/>
  <c r="AT164" i="4"/>
  <c r="AS156" i="4"/>
  <c r="AT156" i="4"/>
  <c r="AS176" i="4"/>
  <c r="AS168" i="4"/>
  <c r="AS207" i="4"/>
  <c r="AT207" i="4"/>
  <c r="AS199" i="4"/>
  <c r="AT199" i="4"/>
  <c r="AT191" i="4"/>
  <c r="AS191" i="4"/>
  <c r="AT170" i="4"/>
  <c r="AT180" i="4"/>
  <c r="AS172" i="4"/>
  <c r="AS144" i="4"/>
  <c r="AS140" i="4"/>
  <c r="AS136" i="4"/>
  <c r="AS132" i="4"/>
  <c r="AT126" i="4"/>
  <c r="AS126" i="4"/>
  <c r="AT118" i="4"/>
  <c r="AS118" i="4"/>
  <c r="AT173" i="4"/>
  <c r="AS165" i="4"/>
  <c r="AT165" i="4"/>
  <c r="AS161" i="4"/>
  <c r="AT161" i="4"/>
  <c r="AT151" i="4"/>
  <c r="AS151" i="4"/>
  <c r="AS153" i="4"/>
  <c r="AS147" i="4"/>
  <c r="AS143" i="4"/>
  <c r="AS139" i="4"/>
  <c r="AS135" i="4"/>
  <c r="AS131" i="4"/>
  <c r="AS127" i="4"/>
  <c r="AT123" i="4"/>
  <c r="AT119" i="4"/>
  <c r="AT115" i="4"/>
  <c r="AS111" i="4"/>
  <c r="AS107" i="4"/>
  <c r="AT92" i="4"/>
  <c r="AT88" i="4"/>
  <c r="AS75" i="4"/>
  <c r="AT97" i="4"/>
  <c r="AS97" i="4"/>
  <c r="AT78" i="4"/>
  <c r="AS78" i="4"/>
  <c r="AT82" i="4"/>
  <c r="AS116" i="4"/>
  <c r="AT112" i="4"/>
  <c r="AS112" i="4"/>
  <c r="AT105" i="4"/>
  <c r="AT101" i="4"/>
  <c r="AT98" i="4"/>
  <c r="AS98" i="4"/>
  <c r="AT91" i="4"/>
  <c r="AS91" i="4"/>
  <c r="AB13" i="4"/>
  <c r="AC12" i="4"/>
  <c r="AI12" i="4"/>
  <c r="AJ12" i="4" s="1"/>
  <c r="BA201" i="4" l="1"/>
  <c r="BA218" i="4"/>
  <c r="BA277" i="4"/>
  <c r="BA189" i="4"/>
  <c r="BA160" i="4"/>
  <c r="BA269" i="4"/>
  <c r="BA148" i="4"/>
  <c r="BA249" i="4"/>
  <c r="BA152" i="4"/>
  <c r="BA273" i="4"/>
  <c r="AH15" i="5"/>
  <c r="AI14" i="5"/>
  <c r="AJ14" i="5" s="1"/>
  <c r="AK14" i="5"/>
  <c r="AC16" i="5"/>
  <c r="AB17" i="5"/>
  <c r="AG19" i="5"/>
  <c r="BA136" i="4"/>
  <c r="BA197" i="4"/>
  <c r="BA221" i="4"/>
  <c r="BA285" i="4"/>
  <c r="BA177" i="4"/>
  <c r="BA209" i="4"/>
  <c r="BA229" i="4"/>
  <c r="BA293" i="4"/>
  <c r="BA164" i="4"/>
  <c r="BA265" i="4"/>
  <c r="BA140" i="4"/>
  <c r="BA289" i="4"/>
  <c r="BA144" i="4"/>
  <c r="BA261" i="4"/>
  <c r="AU144" i="4"/>
  <c r="AU304" i="4"/>
  <c r="BF52" i="4"/>
  <c r="BF116" i="4"/>
  <c r="BF222" i="4"/>
  <c r="BF281" i="4"/>
  <c r="BG281" i="4" s="1"/>
  <c r="BF40" i="4"/>
  <c r="BF104" i="4"/>
  <c r="BF181" i="4"/>
  <c r="BF213" i="4"/>
  <c r="BG213" i="4" s="1"/>
  <c r="BF253" i="4"/>
  <c r="BF12" i="4"/>
  <c r="BF76" i="4"/>
  <c r="BF140" i="4"/>
  <c r="BF225" i="4"/>
  <c r="BF289" i="4"/>
  <c r="BF48" i="4"/>
  <c r="BF112" i="4"/>
  <c r="BF193" i="4"/>
  <c r="BF144" i="4"/>
  <c r="BF261" i="4"/>
  <c r="BF68" i="4"/>
  <c r="BF132" i="4"/>
  <c r="BF233" i="4"/>
  <c r="BF297" i="4"/>
  <c r="BF56" i="4"/>
  <c r="BF120" i="4"/>
  <c r="BF189" i="4"/>
  <c r="BF160" i="4"/>
  <c r="BF269" i="4"/>
  <c r="BG269" i="4" s="1"/>
  <c r="BF28" i="4"/>
  <c r="BF92" i="4"/>
  <c r="BF156" i="4"/>
  <c r="BF241" i="4"/>
  <c r="BG241" i="4" s="1"/>
  <c r="BF305" i="4"/>
  <c r="BF64" i="4"/>
  <c r="BF128" i="4"/>
  <c r="BF201" i="4"/>
  <c r="BF218" i="4"/>
  <c r="BF277" i="4"/>
  <c r="BF20" i="4"/>
  <c r="BF84" i="4"/>
  <c r="BF148" i="4"/>
  <c r="BF249" i="4"/>
  <c r="BF72" i="4"/>
  <c r="BF136" i="4"/>
  <c r="BG136" i="4" s="1"/>
  <c r="BF197" i="4"/>
  <c r="BF221" i="4"/>
  <c r="BF285" i="4"/>
  <c r="BF44" i="4"/>
  <c r="BF108" i="4"/>
  <c r="BF226" i="4"/>
  <c r="BF257" i="4"/>
  <c r="BF16" i="4"/>
  <c r="BF80" i="4"/>
  <c r="BF177" i="4"/>
  <c r="BF209" i="4"/>
  <c r="BF229" i="4"/>
  <c r="BG229" i="4" s="1"/>
  <c r="BF293" i="4"/>
  <c r="BF36" i="4"/>
  <c r="BF100" i="4"/>
  <c r="BF164" i="4"/>
  <c r="BG164" i="4" s="1"/>
  <c r="BF265" i="4"/>
  <c r="BF24" i="4"/>
  <c r="BF88" i="4"/>
  <c r="BF173" i="4"/>
  <c r="BF205" i="4"/>
  <c r="BF237" i="4"/>
  <c r="BF301" i="4"/>
  <c r="BF60" i="4"/>
  <c r="BF124" i="4"/>
  <c r="BF152" i="4"/>
  <c r="BF273" i="4"/>
  <c r="BF32" i="4"/>
  <c r="BF96" i="4"/>
  <c r="BF185" i="4"/>
  <c r="BF217" i="4"/>
  <c r="BF245" i="4"/>
  <c r="BG245" i="4" s="1"/>
  <c r="BF309" i="4"/>
  <c r="AU173" i="4"/>
  <c r="AU222" i="4"/>
  <c r="AU295" i="4"/>
  <c r="AU111" i="4"/>
  <c r="AU143" i="4"/>
  <c r="AU287" i="4"/>
  <c r="AU216" i="4"/>
  <c r="AU188" i="4"/>
  <c r="AU132" i="4"/>
  <c r="AU107" i="4"/>
  <c r="AU139" i="4"/>
  <c r="AU168" i="4"/>
  <c r="AU208" i="4"/>
  <c r="AU242" i="4"/>
  <c r="AU202" i="4"/>
  <c r="AU286" i="4"/>
  <c r="AY257" i="4"/>
  <c r="BA257" i="4" s="1"/>
  <c r="AY225" i="4"/>
  <c r="BA225" i="4" s="1"/>
  <c r="BC185" i="4"/>
  <c r="BD185" i="4" s="1"/>
  <c r="BC201" i="4"/>
  <c r="BD201" i="4" s="1"/>
  <c r="BC217" i="4"/>
  <c r="BD217" i="4" s="1"/>
  <c r="BC218" i="4"/>
  <c r="BD218" i="4" s="1"/>
  <c r="BC245" i="4"/>
  <c r="BD245" i="4" s="1"/>
  <c r="BC277" i="4"/>
  <c r="BD277" i="4" s="1"/>
  <c r="BC309" i="4"/>
  <c r="BD309" i="4" s="1"/>
  <c r="BC173" i="4"/>
  <c r="BD173" i="4" s="1"/>
  <c r="BC189" i="4"/>
  <c r="BD189" i="4" s="1"/>
  <c r="BC205" i="4"/>
  <c r="BD205" i="4" s="1"/>
  <c r="BC160" i="4"/>
  <c r="BD160" i="4" s="1"/>
  <c r="BC237" i="4"/>
  <c r="BD237" i="4" s="1"/>
  <c r="BC269" i="4"/>
  <c r="BD269" i="4" s="1"/>
  <c r="BC301" i="4"/>
  <c r="BD301" i="4" s="1"/>
  <c r="BC140" i="4"/>
  <c r="BD140" i="4" s="1"/>
  <c r="BC226" i="4"/>
  <c r="BD226" i="4" s="1"/>
  <c r="BC289" i="4"/>
  <c r="BD289" i="4" s="1"/>
  <c r="AY193" i="4"/>
  <c r="BA193" i="4" s="1"/>
  <c r="BC164" i="4"/>
  <c r="BD164" i="4" s="1"/>
  <c r="BC233" i="4"/>
  <c r="BD233" i="4" s="1"/>
  <c r="BC265" i="4"/>
  <c r="BD265" i="4" s="1"/>
  <c r="BC297" i="4"/>
  <c r="BD297" i="4" s="1"/>
  <c r="BC177" i="4"/>
  <c r="BD177" i="4" s="1"/>
  <c r="BC209" i="4"/>
  <c r="BD209" i="4" s="1"/>
  <c r="BC144" i="4"/>
  <c r="BD144" i="4" s="1"/>
  <c r="BC229" i="4"/>
  <c r="BD229" i="4" s="1"/>
  <c r="BC261" i="4"/>
  <c r="BD261" i="4" s="1"/>
  <c r="BC293" i="4"/>
  <c r="BD293" i="4" s="1"/>
  <c r="BC136" i="4"/>
  <c r="BD136" i="4" s="1"/>
  <c r="BC181" i="4"/>
  <c r="BD181" i="4" s="1"/>
  <c r="BC197" i="4"/>
  <c r="BD197" i="4" s="1"/>
  <c r="BC213" i="4"/>
  <c r="BD213" i="4" s="1"/>
  <c r="BC221" i="4"/>
  <c r="BD221" i="4" s="1"/>
  <c r="BC253" i="4"/>
  <c r="BD253" i="4" s="1"/>
  <c r="BC285" i="4"/>
  <c r="BD285" i="4" s="1"/>
  <c r="BC156" i="4"/>
  <c r="BD156" i="4" s="1"/>
  <c r="BC152" i="4"/>
  <c r="BD152" i="4" s="1"/>
  <c r="BC241" i="4"/>
  <c r="BD241" i="4" s="1"/>
  <c r="BC273" i="4"/>
  <c r="BD273" i="4" s="1"/>
  <c r="BC305" i="4"/>
  <c r="BD305" i="4" s="1"/>
  <c r="BC148" i="4"/>
  <c r="BD148" i="4" s="1"/>
  <c r="BC222" i="4"/>
  <c r="BD222" i="4" s="1"/>
  <c r="BC249" i="4"/>
  <c r="BD249" i="4" s="1"/>
  <c r="BC281" i="4"/>
  <c r="BD281" i="4" s="1"/>
  <c r="AU219" i="4"/>
  <c r="AU215" i="4"/>
  <c r="AU153" i="4"/>
  <c r="AU194" i="4"/>
  <c r="AU210" i="4"/>
  <c r="AU117" i="4"/>
  <c r="AU282" i="4"/>
  <c r="AU99" i="4"/>
  <c r="AU131" i="4"/>
  <c r="AU147" i="4"/>
  <c r="AU200" i="4"/>
  <c r="AU303" i="4"/>
  <c r="AU299" i="4"/>
  <c r="AU300" i="4"/>
  <c r="AU134" i="4"/>
  <c r="AU204" i="4"/>
  <c r="AU238" i="4"/>
  <c r="AU121" i="4"/>
  <c r="AU284" i="4"/>
  <c r="AU181" i="4"/>
  <c r="AU224" i="4"/>
  <c r="AU212" i="4"/>
  <c r="AU206" i="4"/>
  <c r="AU90" i="4"/>
  <c r="AU136" i="4"/>
  <c r="AU192" i="4"/>
  <c r="AU176" i="4"/>
  <c r="AU246" i="4"/>
  <c r="AU190" i="4"/>
  <c r="AU291" i="4"/>
  <c r="AU135" i="4"/>
  <c r="AU172" i="4"/>
  <c r="AU276" i="4"/>
  <c r="AU305" i="4"/>
  <c r="AU198" i="4"/>
  <c r="AU214" i="4"/>
  <c r="AU235" i="4"/>
  <c r="AU116" i="4"/>
  <c r="AU177" i="4"/>
  <c r="AU280" i="4"/>
  <c r="AU169" i="4"/>
  <c r="AU75" i="4"/>
  <c r="AU127" i="4"/>
  <c r="AU140" i="4"/>
  <c r="AU196" i="4"/>
  <c r="AU232" i="4"/>
  <c r="AU126" i="4"/>
  <c r="AU161" i="4"/>
  <c r="AU207" i="4"/>
  <c r="AU156" i="4"/>
  <c r="AU255" i="4"/>
  <c r="AU262" i="4"/>
  <c r="AU236" i="4"/>
  <c r="AU289" i="4"/>
  <c r="AU125" i="4"/>
  <c r="AU79" i="4"/>
  <c r="AU85" i="4"/>
  <c r="AU93" i="4"/>
  <c r="AU100" i="4"/>
  <c r="AU104" i="4"/>
  <c r="AU171" i="4"/>
  <c r="AU158" i="4"/>
  <c r="AU217" i="4"/>
  <c r="AU258" i="4"/>
  <c r="AU308" i="4"/>
  <c r="AU205" i="4"/>
  <c r="AU223" i="4"/>
  <c r="AU253" i="4"/>
  <c r="AU261" i="4"/>
  <c r="AU294" i="4"/>
  <c r="AU244" i="4"/>
  <c r="AU114" i="4"/>
  <c r="AU166" i="4"/>
  <c r="AU183" i="4"/>
  <c r="AU283" i="4"/>
  <c r="AU167" i="4"/>
  <c r="AU203" i="4"/>
  <c r="AU263" i="4"/>
  <c r="AU106" i="4"/>
  <c r="AU213" i="4"/>
  <c r="AU228" i="4"/>
  <c r="AU77" i="4"/>
  <c r="AU278" i="4"/>
  <c r="AU267" i="4"/>
  <c r="AU285" i="4"/>
  <c r="AU218" i="4"/>
  <c r="AU225" i="4"/>
  <c r="AU189" i="4"/>
  <c r="AU95" i="4"/>
  <c r="AU110" i="4"/>
  <c r="AU250" i="4"/>
  <c r="AU193" i="4"/>
  <c r="AU259" i="4"/>
  <c r="AU275" i="4"/>
  <c r="AU94" i="4"/>
  <c r="AU155" i="4"/>
  <c r="AU157" i="4"/>
  <c r="AU268" i="4"/>
  <c r="AU81" i="4"/>
  <c r="AU89" i="4"/>
  <c r="AU243" i="4"/>
  <c r="AU279" i="4"/>
  <c r="AU269" i="4"/>
  <c r="AU163" i="4"/>
  <c r="AU211" i="4"/>
  <c r="AU128" i="4"/>
  <c r="AU113" i="4"/>
  <c r="AU145" i="4"/>
  <c r="AU187" i="4"/>
  <c r="AU252" i="4"/>
  <c r="AU277" i="4"/>
  <c r="AU165" i="4"/>
  <c r="AU199" i="4"/>
  <c r="AU164" i="4"/>
  <c r="AU201" i="4"/>
  <c r="AU256" i="4"/>
  <c r="AU270" i="4"/>
  <c r="AU298" i="4"/>
  <c r="AU257" i="4"/>
  <c r="AU273" i="4"/>
  <c r="AU290" i="4"/>
  <c r="AU266" i="4"/>
  <c r="AU271" i="4"/>
  <c r="AU281" i="4"/>
  <c r="BG308" i="4"/>
  <c r="BG283" i="4"/>
  <c r="BG278" i="4"/>
  <c r="BG262" i="4"/>
  <c r="BG255" i="4"/>
  <c r="BG239" i="4"/>
  <c r="BG232" i="4"/>
  <c r="BG220" i="4"/>
  <c r="BG202" i="4"/>
  <c r="BG209" i="4"/>
  <c r="BG214" i="4"/>
  <c r="BG168" i="4"/>
  <c r="BG175" i="4"/>
  <c r="BG159" i="4"/>
  <c r="BG152" i="4"/>
  <c r="AC13" i="4"/>
  <c r="AB14" i="4"/>
  <c r="AU151" i="4"/>
  <c r="AU118" i="4"/>
  <c r="AU247" i="4"/>
  <c r="BG273" i="4"/>
  <c r="BG236" i="4"/>
  <c r="BG190" i="4"/>
  <c r="AU105" i="4"/>
  <c r="AU102" i="4"/>
  <c r="AU92" i="4"/>
  <c r="AU120" i="4"/>
  <c r="AU233" i="4"/>
  <c r="AU129" i="4"/>
  <c r="AU130" i="4"/>
  <c r="AU146" i="4"/>
  <c r="AU74" i="4"/>
  <c r="BG291" i="4"/>
  <c r="BG286" i="4"/>
  <c r="BG292" i="4"/>
  <c r="BG263" i="4"/>
  <c r="BG266" i="4"/>
  <c r="BG250" i="4"/>
  <c r="BG243" i="4"/>
  <c r="BG227" i="4"/>
  <c r="BG224" i="4"/>
  <c r="BG206" i="4"/>
  <c r="BG217" i="4"/>
  <c r="BG197" i="4"/>
  <c r="BG172" i="4"/>
  <c r="BG156" i="4"/>
  <c r="BG179" i="4"/>
  <c r="BG163" i="4"/>
  <c r="BG155" i="4"/>
  <c r="AU96" i="4"/>
  <c r="AU184" i="4"/>
  <c r="BG302" i="4"/>
  <c r="BG289" i="4"/>
  <c r="BG285" i="4"/>
  <c r="BG261" i="4"/>
  <c r="BG264" i="4"/>
  <c r="BG253" i="4"/>
  <c r="BG222" i="4"/>
  <c r="BG204" i="4"/>
  <c r="BG215" i="4"/>
  <c r="BG195" i="4"/>
  <c r="BG170" i="4"/>
  <c r="BG154" i="4"/>
  <c r="BG177" i="4"/>
  <c r="BG184" i="4"/>
  <c r="BG157" i="4"/>
  <c r="AU115" i="4"/>
  <c r="AU230" i="4"/>
  <c r="AU254" i="4"/>
  <c r="AU272" i="4"/>
  <c r="AU296" i="4"/>
  <c r="AU306" i="4"/>
  <c r="AU179" i="4"/>
  <c r="AU197" i="4"/>
  <c r="BG254" i="4"/>
  <c r="BG246" i="4"/>
  <c r="BG160" i="4"/>
  <c r="BG149" i="4"/>
  <c r="BG144" i="4"/>
  <c r="BG137" i="4"/>
  <c r="BG143" i="4"/>
  <c r="AU91" i="4"/>
  <c r="AU98" i="4"/>
  <c r="AU191" i="4"/>
  <c r="BG306" i="4"/>
  <c r="BG304" i="4"/>
  <c r="BG296" i="4"/>
  <c r="BG276" i="4"/>
  <c r="BG260" i="4"/>
  <c r="BG259" i="4"/>
  <c r="BG237" i="4"/>
  <c r="BG223" i="4"/>
  <c r="BG218" i="4"/>
  <c r="BG200" i="4"/>
  <c r="BG207" i="4"/>
  <c r="BG182" i="4"/>
  <c r="BG166" i="4"/>
  <c r="BG173" i="4"/>
  <c r="BG161" i="4"/>
  <c r="BG150" i="4"/>
  <c r="AU149" i="4"/>
  <c r="AU237" i="4"/>
  <c r="AU133" i="4"/>
  <c r="AU150" i="4"/>
  <c r="AU249" i="4"/>
  <c r="BG299" i="4"/>
  <c r="BG271" i="4"/>
  <c r="BG188" i="4"/>
  <c r="BG145" i="4"/>
  <c r="AU76" i="4"/>
  <c r="AU152" i="4"/>
  <c r="BG297" i="4"/>
  <c r="BG248" i="4"/>
  <c r="BG233" i="4"/>
  <c r="BG211" i="4"/>
  <c r="BG186" i="4"/>
  <c r="BG151" i="4"/>
  <c r="BG146" i="4"/>
  <c r="BG141" i="4"/>
  <c r="AU103" i="4"/>
  <c r="AU119" i="4"/>
  <c r="AU148" i="4"/>
  <c r="AU154" i="4"/>
  <c r="AU174" i="4"/>
  <c r="AU234" i="4"/>
  <c r="AU231" i="4"/>
  <c r="AU248" i="4"/>
  <c r="AU292" i="4"/>
  <c r="AU141" i="4"/>
  <c r="AU274" i="4"/>
  <c r="BG305" i="4"/>
  <c r="BG295" i="4"/>
  <c r="BG294" i="4"/>
  <c r="BG282" i="4"/>
  <c r="BG267" i="4"/>
  <c r="BG270" i="4"/>
  <c r="BG247" i="4"/>
  <c r="BG231" i="4"/>
  <c r="BG226" i="4"/>
  <c r="BG210" i="4"/>
  <c r="BG194" i="4"/>
  <c r="BG201" i="4"/>
  <c r="BG193" i="4"/>
  <c r="BG176" i="4"/>
  <c r="BG183" i="4"/>
  <c r="BG167" i="4"/>
  <c r="BG252" i="4"/>
  <c r="BG244" i="4"/>
  <c r="BG191" i="4"/>
  <c r="BG147" i="4"/>
  <c r="BG142" i="4"/>
  <c r="BG139" i="4"/>
  <c r="AU180" i="4"/>
  <c r="AU241" i="4"/>
  <c r="AU301" i="4"/>
  <c r="AU138" i="4"/>
  <c r="AU220" i="4"/>
  <c r="BG309" i="4"/>
  <c r="BG298" i="4"/>
  <c r="BG279" i="4"/>
  <c r="BG274" i="4"/>
  <c r="BG258" i="4"/>
  <c r="BG257" i="4"/>
  <c r="BG251" i="4"/>
  <c r="BG235" i="4"/>
  <c r="BG221" i="4"/>
  <c r="BG216" i="4"/>
  <c r="BG198" i="4"/>
  <c r="BG205" i="4"/>
  <c r="BG212" i="4"/>
  <c r="BG180" i="4"/>
  <c r="BG171" i="4"/>
  <c r="BG153" i="4"/>
  <c r="BG148" i="4"/>
  <c r="AK13" i="4"/>
  <c r="AH14" i="4"/>
  <c r="AI14" i="4" s="1"/>
  <c r="AJ14" i="4" s="1"/>
  <c r="BG307" i="4"/>
  <c r="BG290" i="4"/>
  <c r="BG284" i="4"/>
  <c r="BG272" i="4"/>
  <c r="BG256" i="4"/>
  <c r="BG249" i="4"/>
  <c r="BG234" i="4"/>
  <c r="BG230" i="4"/>
  <c r="BG196" i="4"/>
  <c r="BG203" i="4"/>
  <c r="BG178" i="4"/>
  <c r="BG162" i="4"/>
  <c r="BG169" i="4"/>
  <c r="AU123" i="4"/>
  <c r="AU182" i="4"/>
  <c r="AU227" i="4"/>
  <c r="AU264" i="4"/>
  <c r="AU109" i="4"/>
  <c r="BG300" i="4"/>
  <c r="BG287" i="4"/>
  <c r="BG275" i="4"/>
  <c r="BG238" i="4"/>
  <c r="BG185" i="4"/>
  <c r="BG192" i="4"/>
  <c r="AU112" i="4"/>
  <c r="AU78" i="4"/>
  <c r="AU97" i="4"/>
  <c r="AU251" i="4"/>
  <c r="AU195" i="4"/>
  <c r="AG15" i="4"/>
  <c r="BG303" i="4"/>
  <c r="BG293" i="4"/>
  <c r="BG288" i="4"/>
  <c r="BG280" i="4"/>
  <c r="BG265" i="4"/>
  <c r="BG268" i="4"/>
  <c r="BG228" i="4"/>
  <c r="BG208" i="4"/>
  <c r="BG219" i="4"/>
  <c r="BG199" i="4"/>
  <c r="BG174" i="4"/>
  <c r="BG158" i="4"/>
  <c r="BG181" i="4"/>
  <c r="BG165" i="4"/>
  <c r="AU101" i="4"/>
  <c r="AU82" i="4"/>
  <c r="AU88" i="4"/>
  <c r="AU108" i="4"/>
  <c r="AU170" i="4"/>
  <c r="AU175" i="4"/>
  <c r="AU229" i="4"/>
  <c r="AU209" i="4"/>
  <c r="AU245" i="4"/>
  <c r="AU265" i="4"/>
  <c r="AU159" i="4"/>
  <c r="AU122" i="4"/>
  <c r="AU142" i="4"/>
  <c r="BG301" i="4"/>
  <c r="BG242" i="4"/>
  <c r="BG189" i="4"/>
  <c r="BG140" i="4"/>
  <c r="AU83" i="4"/>
  <c r="AU86" i="4"/>
  <c r="AU80" i="4"/>
  <c r="AU84" i="4"/>
  <c r="AU160" i="4"/>
  <c r="AU186" i="4"/>
  <c r="AU240" i="4"/>
  <c r="AU260" i="4"/>
  <c r="BG310" i="4"/>
  <c r="BG277" i="4"/>
  <c r="BG240" i="4"/>
  <c r="BG225" i="4"/>
  <c r="BG187" i="4"/>
  <c r="BG138" i="4"/>
  <c r="AU87" i="4"/>
  <c r="AU124" i="4"/>
  <c r="AU178" i="4"/>
  <c r="AU162" i="4"/>
  <c r="AU185" i="4"/>
  <c r="AU221" i="4"/>
  <c r="AU226" i="4"/>
  <c r="AU239" i="4"/>
  <c r="AU302" i="4"/>
  <c r="AI15" i="5" l="1"/>
  <c r="AJ15" i="5" s="1"/>
  <c r="AK15" i="5"/>
  <c r="AH16" i="5"/>
  <c r="AB18" i="5"/>
  <c r="AC17" i="5"/>
  <c r="AG20" i="5"/>
  <c r="AG16" i="4"/>
  <c r="AK14" i="4"/>
  <c r="AH15" i="4"/>
  <c r="AC14" i="4"/>
  <c r="AB15" i="4"/>
  <c r="AI16" i="5" l="1"/>
  <c r="AJ16" i="5" s="1"/>
  <c r="AH17" i="5"/>
  <c r="AK16" i="5"/>
  <c r="AG21" i="5"/>
  <c r="AC18" i="5"/>
  <c r="AB19" i="5"/>
  <c r="AK15" i="4"/>
  <c r="AH16" i="4"/>
  <c r="AC15" i="4"/>
  <c r="AB16" i="4"/>
  <c r="AG17" i="4"/>
  <c r="AI16" i="4"/>
  <c r="AJ16" i="4" s="1"/>
  <c r="AI15" i="4"/>
  <c r="AJ15" i="4" s="1"/>
  <c r="AK17" i="5" l="1"/>
  <c r="AH18" i="5"/>
  <c r="AI17" i="5"/>
  <c r="AJ17" i="5" s="1"/>
  <c r="AB20" i="5"/>
  <c r="AC19" i="5"/>
  <c r="AG22" i="5"/>
  <c r="AC16" i="4"/>
  <c r="AB17" i="4"/>
  <c r="AK16" i="4"/>
  <c r="AH17" i="4"/>
  <c r="AG18" i="4"/>
  <c r="AI18" i="5" l="1"/>
  <c r="AJ18" i="5" s="1"/>
  <c r="AK18" i="5"/>
  <c r="AH19" i="5"/>
  <c r="AG23" i="5"/>
  <c r="AC20" i="5"/>
  <c r="AB21" i="5"/>
  <c r="AK17" i="4"/>
  <c r="AH18" i="4"/>
  <c r="AG19" i="4"/>
  <c r="AC17" i="4"/>
  <c r="AB18" i="4"/>
  <c r="AI17" i="4"/>
  <c r="AJ17" i="4" s="1"/>
  <c r="AH20" i="5" l="1"/>
  <c r="AK19" i="5"/>
  <c r="AI19" i="5"/>
  <c r="AJ19" i="5" s="1"/>
  <c r="AC21" i="5"/>
  <c r="AB22" i="5"/>
  <c r="AG24" i="5"/>
  <c r="AC18" i="4"/>
  <c r="AB19" i="4"/>
  <c r="AK18" i="4"/>
  <c r="AH19" i="4"/>
  <c r="AG20" i="4"/>
  <c r="AI18" i="4"/>
  <c r="AJ18" i="4" s="1"/>
  <c r="AK20" i="5" l="1"/>
  <c r="AI20" i="5"/>
  <c r="AJ20" i="5" s="1"/>
  <c r="AH21" i="5"/>
  <c r="AG25" i="5"/>
  <c r="AC22" i="5"/>
  <c r="AB23" i="5"/>
  <c r="AH20" i="4"/>
  <c r="AI20" i="4" s="1"/>
  <c r="AJ20" i="4" s="1"/>
  <c r="AK19" i="4"/>
  <c r="AG21" i="4"/>
  <c r="AC19" i="4"/>
  <c r="AB20" i="4"/>
  <c r="AI19" i="4"/>
  <c r="AJ19" i="4" s="1"/>
  <c r="AI21" i="5" l="1"/>
  <c r="AJ21" i="5" s="1"/>
  <c r="AK21" i="5"/>
  <c r="AH22" i="5"/>
  <c r="AB24" i="5"/>
  <c r="AC23" i="5"/>
  <c r="AG26" i="5"/>
  <c r="AG22" i="4"/>
  <c r="AC20" i="4"/>
  <c r="AB21" i="4"/>
  <c r="AK20" i="4"/>
  <c r="AH21" i="4"/>
  <c r="AH23" i="5" l="1"/>
  <c r="AI22" i="5"/>
  <c r="AJ22" i="5" s="1"/>
  <c r="AK22" i="5"/>
  <c r="AG27" i="5"/>
  <c r="AC24" i="5"/>
  <c r="AB25" i="5"/>
  <c r="AC21" i="4"/>
  <c r="AB22" i="4"/>
  <c r="AH22" i="4"/>
  <c r="AK21" i="4"/>
  <c r="AG23" i="4"/>
  <c r="AI21" i="4"/>
  <c r="AJ21" i="4" s="1"/>
  <c r="AK23" i="5" l="1"/>
  <c r="AH24" i="5"/>
  <c r="AI23" i="5"/>
  <c r="AJ23" i="5" s="1"/>
  <c r="AB26" i="5"/>
  <c r="AC25" i="5"/>
  <c r="AG28" i="5"/>
  <c r="AK22" i="4"/>
  <c r="AH23" i="4"/>
  <c r="AI23" i="4" s="1"/>
  <c r="AJ23" i="4" s="1"/>
  <c r="AG24" i="4"/>
  <c r="AC22" i="4"/>
  <c r="AB23" i="4"/>
  <c r="AI22" i="4"/>
  <c r="AJ22" i="4" s="1"/>
  <c r="AH25" i="5" l="1"/>
  <c r="AK24" i="5"/>
  <c r="AI24" i="5"/>
  <c r="AJ24" i="5" s="1"/>
  <c r="AC26" i="5"/>
  <c r="AB27" i="5"/>
  <c r="AG29" i="5"/>
  <c r="AC23" i="4"/>
  <c r="AB24" i="4"/>
  <c r="AK23" i="4"/>
  <c r="AH24" i="4"/>
  <c r="AI24" i="4" s="1"/>
  <c r="AJ24" i="4" s="1"/>
  <c r="AG25" i="4"/>
  <c r="AH26" i="5" l="1"/>
  <c r="AI25" i="5"/>
  <c r="AJ25" i="5" s="1"/>
  <c r="AK25" i="5"/>
  <c r="AG30" i="5"/>
  <c r="AC27" i="5"/>
  <c r="AB28" i="5"/>
  <c r="AG26" i="4"/>
  <c r="AC24" i="4"/>
  <c r="AB25" i="4"/>
  <c r="AK24" i="4"/>
  <c r="AH25" i="4"/>
  <c r="AK26" i="5" l="1"/>
  <c r="AH27" i="5"/>
  <c r="AI26" i="5"/>
  <c r="AJ26" i="5" s="1"/>
  <c r="AC28" i="5"/>
  <c r="AB29" i="5"/>
  <c r="AG31" i="5"/>
  <c r="AH26" i="4"/>
  <c r="AI26" i="4" s="1"/>
  <c r="AJ26" i="4" s="1"/>
  <c r="AK25" i="4"/>
  <c r="AG27" i="4"/>
  <c r="AI25" i="4"/>
  <c r="AJ25" i="4" s="1"/>
  <c r="AC25" i="4"/>
  <c r="AB26" i="4"/>
  <c r="AI27" i="5" l="1"/>
  <c r="AJ27" i="5" s="1"/>
  <c r="AK27" i="5"/>
  <c r="AH28" i="5"/>
  <c r="AG32" i="5"/>
  <c r="AB30" i="5"/>
  <c r="AC29" i="5"/>
  <c r="AC26" i="4"/>
  <c r="AB27" i="4"/>
  <c r="AK26" i="4"/>
  <c r="AH27" i="4"/>
  <c r="AI27" i="4" s="1"/>
  <c r="AJ27" i="4" s="1"/>
  <c r="AG28" i="4"/>
  <c r="AH29" i="5" l="1"/>
  <c r="AI28" i="5"/>
  <c r="AJ28" i="5" s="1"/>
  <c r="AK28" i="5"/>
  <c r="AC30" i="5"/>
  <c r="AB31" i="5"/>
  <c r="AG33" i="5"/>
  <c r="AG29" i="4"/>
  <c r="AC27" i="4"/>
  <c r="AB28" i="4"/>
  <c r="AH28" i="4"/>
  <c r="AK27" i="4"/>
  <c r="AK29" i="5" l="1"/>
  <c r="AH30" i="5"/>
  <c r="AI29" i="5"/>
  <c r="AJ29" i="5" s="1"/>
  <c r="AG34" i="5"/>
  <c r="AC31" i="5"/>
  <c r="AB32" i="5"/>
  <c r="AG30" i="4"/>
  <c r="AK28" i="4"/>
  <c r="AH29" i="4"/>
  <c r="AI29" i="4" s="1"/>
  <c r="AJ29" i="4" s="1"/>
  <c r="AI28" i="4"/>
  <c r="AJ28" i="4" s="1"/>
  <c r="AC28" i="4"/>
  <c r="AB29" i="4"/>
  <c r="AH31" i="5" l="1"/>
  <c r="AI30" i="5"/>
  <c r="AJ30" i="5" s="1"/>
  <c r="AK30" i="5"/>
  <c r="AG35" i="5"/>
  <c r="AC32" i="5"/>
  <c r="AB33" i="5"/>
  <c r="AC29" i="4"/>
  <c r="AB30" i="4"/>
  <c r="AG31" i="4"/>
  <c r="AH30" i="4"/>
  <c r="AI30" i="4" s="1"/>
  <c r="AJ30" i="4" s="1"/>
  <c r="AK29" i="4"/>
  <c r="AI31" i="5" l="1"/>
  <c r="AJ31" i="5" s="1"/>
  <c r="AK31" i="5"/>
  <c r="AH32" i="5"/>
  <c r="AC33" i="5"/>
  <c r="AB34" i="5"/>
  <c r="AG36" i="5"/>
  <c r="AC30" i="4"/>
  <c r="AB31" i="4"/>
  <c r="AK30" i="4"/>
  <c r="AH31" i="4"/>
  <c r="AG32" i="4"/>
  <c r="AK32" i="5" l="1"/>
  <c r="AH33" i="5"/>
  <c r="AI32" i="5"/>
  <c r="AJ32" i="5" s="1"/>
  <c r="AG37" i="5"/>
  <c r="AC34" i="5"/>
  <c r="AB35" i="5"/>
  <c r="AK31" i="4"/>
  <c r="AH32" i="4"/>
  <c r="AC31" i="4"/>
  <c r="AB32" i="4"/>
  <c r="AG33" i="4"/>
  <c r="AI31" i="4"/>
  <c r="AJ31" i="4" s="1"/>
  <c r="AK33" i="5" l="1"/>
  <c r="AH34" i="5"/>
  <c r="AI33" i="5"/>
  <c r="AJ33" i="5" s="1"/>
  <c r="AC35" i="5"/>
  <c r="AB36" i="5"/>
  <c r="AG38" i="5"/>
  <c r="AC32" i="4"/>
  <c r="AB33" i="4"/>
  <c r="AK32" i="4"/>
  <c r="AH33" i="4"/>
  <c r="AG34" i="4"/>
  <c r="AI32" i="4"/>
  <c r="AJ32" i="4" s="1"/>
  <c r="AI34" i="5" l="1"/>
  <c r="AJ34" i="5" s="1"/>
  <c r="AK34" i="5"/>
  <c r="AH35" i="5"/>
  <c r="AG39" i="5"/>
  <c r="AC36" i="5"/>
  <c r="AB37" i="5"/>
  <c r="AK33" i="4"/>
  <c r="AH34" i="4"/>
  <c r="AI33" i="4"/>
  <c r="AJ33" i="4" s="1"/>
  <c r="AC33" i="4"/>
  <c r="AB34" i="4"/>
  <c r="AG35" i="4"/>
  <c r="AI35" i="5" l="1"/>
  <c r="AJ35" i="5" s="1"/>
  <c r="AK35" i="5"/>
  <c r="AH36" i="5"/>
  <c r="AC37" i="5"/>
  <c r="AB38" i="5"/>
  <c r="AG40" i="5"/>
  <c r="AG36" i="4"/>
  <c r="AH35" i="4"/>
  <c r="AK34" i="4"/>
  <c r="AI34" i="4"/>
  <c r="AJ34" i="4" s="1"/>
  <c r="AC34" i="4"/>
  <c r="AB35" i="4"/>
  <c r="AI36" i="5" l="1"/>
  <c r="AJ36" i="5" s="1"/>
  <c r="AK36" i="5"/>
  <c r="AH37" i="5"/>
  <c r="AC38" i="5"/>
  <c r="AB39" i="5"/>
  <c r="AG41" i="5"/>
  <c r="AG37" i="4"/>
  <c r="AC35" i="4"/>
  <c r="AB36" i="4"/>
  <c r="AK35" i="4"/>
  <c r="AH36" i="4"/>
  <c r="AI35" i="4"/>
  <c r="AJ35" i="4" s="1"/>
  <c r="AI37" i="5" l="1"/>
  <c r="AJ37" i="5" s="1"/>
  <c r="AK37" i="5"/>
  <c r="AH38" i="5"/>
  <c r="AG42" i="5"/>
  <c r="AC39" i="5"/>
  <c r="AB40" i="5"/>
  <c r="AC36" i="4"/>
  <c r="AB37" i="4"/>
  <c r="AG38" i="4"/>
  <c r="AK36" i="4"/>
  <c r="AH37" i="4"/>
  <c r="AI37" i="4" s="1"/>
  <c r="AJ37" i="4" s="1"/>
  <c r="AI36" i="4"/>
  <c r="AJ36" i="4" s="1"/>
  <c r="AK38" i="5" l="1"/>
  <c r="AH39" i="5"/>
  <c r="AI38" i="5"/>
  <c r="AJ38" i="5" s="1"/>
  <c r="AC40" i="5"/>
  <c r="AB41" i="5"/>
  <c r="AG43" i="5"/>
  <c r="AG39" i="4"/>
  <c r="AC37" i="4"/>
  <c r="AB38" i="4"/>
  <c r="AK37" i="4"/>
  <c r="AH38" i="4"/>
  <c r="AK39" i="5" l="1"/>
  <c r="AH40" i="5"/>
  <c r="AI39" i="5"/>
  <c r="AJ39" i="5" s="1"/>
  <c r="AG44" i="5"/>
  <c r="AC41" i="5"/>
  <c r="AB42" i="5"/>
  <c r="AB39" i="4"/>
  <c r="AC38" i="4"/>
  <c r="AG40" i="4"/>
  <c r="AK38" i="4"/>
  <c r="AH39" i="4"/>
  <c r="AI39" i="4" s="1"/>
  <c r="AJ39" i="4" s="1"/>
  <c r="AI38" i="4"/>
  <c r="AJ38" i="4" s="1"/>
  <c r="AH41" i="5" l="1"/>
  <c r="AI40" i="5"/>
  <c r="AJ40" i="5" s="1"/>
  <c r="AK40" i="5"/>
  <c r="AC42" i="5"/>
  <c r="AB43" i="5"/>
  <c r="AG45" i="5"/>
  <c r="AG41" i="4"/>
  <c r="AK39" i="4"/>
  <c r="AH40" i="4"/>
  <c r="AC39" i="4"/>
  <c r="AB40" i="4"/>
  <c r="AH42" i="5" l="1"/>
  <c r="AI41" i="5"/>
  <c r="AJ41" i="5" s="1"/>
  <c r="AK41" i="5"/>
  <c r="AG46" i="5"/>
  <c r="AC43" i="5"/>
  <c r="AB44" i="5"/>
  <c r="AK40" i="4"/>
  <c r="AH41" i="4"/>
  <c r="AB41" i="4"/>
  <c r="AC40" i="4"/>
  <c r="AG42" i="4"/>
  <c r="AI40" i="4"/>
  <c r="AJ40" i="4" s="1"/>
  <c r="AK42" i="5" l="1"/>
  <c r="AH43" i="5"/>
  <c r="AI42" i="5"/>
  <c r="AJ42" i="5" s="1"/>
  <c r="AC44" i="5"/>
  <c r="AB45" i="5"/>
  <c r="AG47" i="5"/>
  <c r="AK41" i="4"/>
  <c r="AH42" i="4"/>
  <c r="AC41" i="4"/>
  <c r="AB42" i="4"/>
  <c r="AG43" i="4"/>
  <c r="AI41" i="4"/>
  <c r="AJ41" i="4" s="1"/>
  <c r="AH44" i="5" l="1"/>
  <c r="AI43" i="5"/>
  <c r="AJ43" i="5" s="1"/>
  <c r="AK43" i="5"/>
  <c r="AC45" i="5"/>
  <c r="AB46" i="5"/>
  <c r="AG48" i="5"/>
  <c r="AB43" i="4"/>
  <c r="AC42" i="4"/>
  <c r="AK42" i="4"/>
  <c r="AH43" i="4"/>
  <c r="AG44" i="4"/>
  <c r="AI42" i="4"/>
  <c r="AJ42" i="4" s="1"/>
  <c r="AH45" i="5" l="1"/>
  <c r="AK44" i="5"/>
  <c r="AI44" i="5"/>
  <c r="AJ44" i="5" s="1"/>
  <c r="AG49" i="5"/>
  <c r="AC46" i="5"/>
  <c r="AB47" i="5"/>
  <c r="AK43" i="4"/>
  <c r="AH44" i="4"/>
  <c r="AI44" i="4" s="1"/>
  <c r="AJ44" i="4" s="1"/>
  <c r="AG45" i="4"/>
  <c r="AI43" i="4"/>
  <c r="AJ43" i="4" s="1"/>
  <c r="AC43" i="4"/>
  <c r="AB44" i="4"/>
  <c r="AH46" i="5" l="1"/>
  <c r="AI45" i="5"/>
  <c r="AJ45" i="5" s="1"/>
  <c r="AK45" i="5"/>
  <c r="AG50" i="5"/>
  <c r="AC47" i="5"/>
  <c r="AB48" i="5"/>
  <c r="AG46" i="4"/>
  <c r="AK44" i="4"/>
  <c r="AH45" i="4"/>
  <c r="AB45" i="4"/>
  <c r="AC44" i="4"/>
  <c r="AK46" i="5" l="1"/>
  <c r="AI46" i="5"/>
  <c r="AJ46" i="5" s="1"/>
  <c r="AH47" i="5"/>
  <c r="AC48" i="5"/>
  <c r="AB49" i="5"/>
  <c r="AG51" i="5"/>
  <c r="AK45" i="4"/>
  <c r="AH46" i="4"/>
  <c r="AG47" i="4"/>
  <c r="AC45" i="4"/>
  <c r="AB46" i="4"/>
  <c r="AI45" i="4"/>
  <c r="AJ45" i="4" s="1"/>
  <c r="AK47" i="5" l="1"/>
  <c r="AH48" i="5"/>
  <c r="AI47" i="5"/>
  <c r="AJ47" i="5" s="1"/>
  <c r="AG52" i="5"/>
  <c r="AC49" i="5"/>
  <c r="AB50" i="5"/>
  <c r="AG48" i="4"/>
  <c r="AK46" i="4"/>
  <c r="AH47" i="4"/>
  <c r="AI46" i="4"/>
  <c r="AJ46" i="4" s="1"/>
  <c r="AC46" i="4"/>
  <c r="AB47" i="4"/>
  <c r="AH49" i="5" l="1"/>
  <c r="AI48" i="5"/>
  <c r="AJ48" i="5" s="1"/>
  <c r="AK48" i="5"/>
  <c r="AC50" i="5"/>
  <c r="AB51" i="5"/>
  <c r="AG53" i="5"/>
  <c r="AK47" i="4"/>
  <c r="AH48" i="4"/>
  <c r="AC47" i="4"/>
  <c r="AB48" i="4"/>
  <c r="AG49" i="4"/>
  <c r="AI47" i="4"/>
  <c r="AJ47" i="4" s="1"/>
  <c r="AH50" i="5" l="1"/>
  <c r="AI49" i="5"/>
  <c r="AJ49" i="5" s="1"/>
  <c r="AK49" i="5"/>
  <c r="AC51" i="5"/>
  <c r="AB52" i="5"/>
  <c r="AG54" i="5"/>
  <c r="AC48" i="4"/>
  <c r="AB49" i="4"/>
  <c r="AK48" i="4"/>
  <c r="AH49" i="4"/>
  <c r="AG50" i="4"/>
  <c r="AI48" i="4"/>
  <c r="AJ48" i="4" s="1"/>
  <c r="AK50" i="5" l="1"/>
  <c r="AI50" i="5"/>
  <c r="AJ50" i="5" s="1"/>
  <c r="AH51" i="5"/>
  <c r="AG55" i="5"/>
  <c r="AC52" i="5"/>
  <c r="AB53" i="5"/>
  <c r="AK49" i="4"/>
  <c r="AH50" i="4"/>
  <c r="AI50" i="4" s="1"/>
  <c r="AJ50" i="4" s="1"/>
  <c r="AG51" i="4"/>
  <c r="AC49" i="4"/>
  <c r="AB50" i="4"/>
  <c r="AI49" i="4"/>
  <c r="AJ49" i="4" s="1"/>
  <c r="AK51" i="5" l="1"/>
  <c r="AI51" i="5"/>
  <c r="AJ51" i="5" s="1"/>
  <c r="AH52" i="5"/>
  <c r="AC53" i="5"/>
  <c r="AB54" i="5"/>
  <c r="AG56" i="5"/>
  <c r="AG52" i="4"/>
  <c r="AC50" i="4"/>
  <c r="AB51" i="4"/>
  <c r="AK50" i="4"/>
  <c r="AH51" i="4"/>
  <c r="AH53" i="5" l="1"/>
  <c r="AI52" i="5"/>
  <c r="AJ52" i="5" s="1"/>
  <c r="AK52" i="5"/>
  <c r="AG57" i="5"/>
  <c r="AC54" i="5"/>
  <c r="AB55" i="5"/>
  <c r="AC51" i="4"/>
  <c r="AB52" i="4"/>
  <c r="AG53" i="4"/>
  <c r="AK51" i="4"/>
  <c r="AH52" i="4"/>
  <c r="AI51" i="4"/>
  <c r="AJ51" i="4" s="1"/>
  <c r="AK53" i="5" l="1"/>
  <c r="AI53" i="5"/>
  <c r="AJ53" i="5" s="1"/>
  <c r="AH54" i="5"/>
  <c r="AC55" i="5"/>
  <c r="AB56" i="5"/>
  <c r="AG58" i="5"/>
  <c r="AG54" i="4"/>
  <c r="AK52" i="4"/>
  <c r="AH53" i="4"/>
  <c r="AI52" i="4"/>
  <c r="AJ52" i="4" s="1"/>
  <c r="AB53" i="4"/>
  <c r="AC52" i="4"/>
  <c r="AH55" i="5" l="1"/>
  <c r="AI54" i="5"/>
  <c r="AJ54" i="5" s="1"/>
  <c r="AK54" i="5"/>
  <c r="AG59" i="5"/>
  <c r="AC56" i="5"/>
  <c r="AB57" i="5"/>
  <c r="AK53" i="4"/>
  <c r="AH54" i="4"/>
  <c r="AC53" i="4"/>
  <c r="AB54" i="4"/>
  <c r="AG55" i="4"/>
  <c r="AI53" i="4"/>
  <c r="AJ53" i="4" s="1"/>
  <c r="AK55" i="5" l="1"/>
  <c r="AI55" i="5"/>
  <c r="AJ55" i="5" s="1"/>
  <c r="AH56" i="5"/>
  <c r="AC57" i="5"/>
  <c r="AB58" i="5"/>
  <c r="AG60" i="5"/>
  <c r="AB55" i="4"/>
  <c r="AC54" i="4"/>
  <c r="AK54" i="4"/>
  <c r="AH55" i="4"/>
  <c r="AG56" i="4"/>
  <c r="AI54" i="4"/>
  <c r="AJ54" i="4" s="1"/>
  <c r="AH57" i="5" l="1"/>
  <c r="AI56" i="5"/>
  <c r="AJ56" i="5" s="1"/>
  <c r="AK56" i="5"/>
  <c r="AG61" i="5"/>
  <c r="AC58" i="5"/>
  <c r="AB59" i="5"/>
  <c r="AK55" i="4"/>
  <c r="AH56" i="4"/>
  <c r="AG57" i="4"/>
  <c r="AI55" i="4"/>
  <c r="AJ55" i="4" s="1"/>
  <c r="AC55" i="4"/>
  <c r="AB56" i="4"/>
  <c r="AK57" i="5" l="1"/>
  <c r="AI57" i="5"/>
  <c r="AJ57" i="5" s="1"/>
  <c r="AH58" i="5"/>
  <c r="AC59" i="5"/>
  <c r="AB60" i="5"/>
  <c r="AG62" i="5"/>
  <c r="AG58" i="4"/>
  <c r="AK56" i="4"/>
  <c r="AH57" i="4"/>
  <c r="AB57" i="4"/>
  <c r="AC56" i="4"/>
  <c r="AI56" i="4"/>
  <c r="AJ56" i="4" s="1"/>
  <c r="AI58" i="5" l="1"/>
  <c r="AJ58" i="5" s="1"/>
  <c r="AH59" i="5"/>
  <c r="AK58" i="5"/>
  <c r="AC60" i="5"/>
  <c r="AB61" i="5"/>
  <c r="AG63" i="5"/>
  <c r="AK57" i="4"/>
  <c r="AH58" i="4"/>
  <c r="AI58" i="4" s="1"/>
  <c r="AJ58" i="4" s="1"/>
  <c r="AG59" i="4"/>
  <c r="AC57" i="4"/>
  <c r="AB58" i="4"/>
  <c r="AI57" i="4"/>
  <c r="AJ57" i="4" s="1"/>
  <c r="AI59" i="5" l="1"/>
  <c r="AJ59" i="5" s="1"/>
  <c r="AH60" i="5"/>
  <c r="AK59" i="5"/>
  <c r="AG64" i="5"/>
  <c r="AC61" i="5"/>
  <c r="AB62" i="5"/>
  <c r="AG60" i="4"/>
  <c r="AB59" i="4"/>
  <c r="AC58" i="4"/>
  <c r="AK58" i="4"/>
  <c r="AH59" i="4"/>
  <c r="AI60" i="5" l="1"/>
  <c r="AJ60" i="5" s="1"/>
  <c r="AK60" i="5"/>
  <c r="AH61" i="5"/>
  <c r="AC62" i="5"/>
  <c r="AB63" i="5"/>
  <c r="AG65" i="5"/>
  <c r="AG61" i="4"/>
  <c r="AC59" i="4"/>
  <c r="AB60" i="4"/>
  <c r="AK59" i="4"/>
  <c r="AH60" i="4"/>
  <c r="AI59" i="4"/>
  <c r="AJ59" i="4" s="1"/>
  <c r="AH62" i="5" l="1"/>
  <c r="AK61" i="5"/>
  <c r="AI61" i="5"/>
  <c r="AJ61" i="5" s="1"/>
  <c r="AG66" i="5"/>
  <c r="AC63" i="5"/>
  <c r="AB64" i="5"/>
  <c r="AB61" i="4"/>
  <c r="AC60" i="4"/>
  <c r="AK60" i="4"/>
  <c r="AH61" i="4"/>
  <c r="AG62" i="4"/>
  <c r="AI60" i="4"/>
  <c r="AJ60" i="4" s="1"/>
  <c r="AH63" i="5" l="1"/>
  <c r="AK62" i="5"/>
  <c r="AI62" i="5"/>
  <c r="AJ62" i="5" s="1"/>
  <c r="AC64" i="5"/>
  <c r="AB65" i="5"/>
  <c r="AG67" i="5"/>
  <c r="AK61" i="4"/>
  <c r="AH62" i="4"/>
  <c r="AI62" i="4" s="1"/>
  <c r="AJ62" i="4" s="1"/>
  <c r="AG63" i="4"/>
  <c r="AI61" i="4"/>
  <c r="AJ61" i="4" s="1"/>
  <c r="AC61" i="4"/>
  <c r="AB62" i="4"/>
  <c r="AH64" i="5" l="1"/>
  <c r="AI63" i="5"/>
  <c r="AJ63" i="5" s="1"/>
  <c r="AK63" i="5"/>
  <c r="AG68" i="5"/>
  <c r="AC65" i="5"/>
  <c r="AB66" i="5"/>
  <c r="AG64" i="4"/>
  <c r="AK62" i="4"/>
  <c r="AH63" i="4"/>
  <c r="AB63" i="4"/>
  <c r="AC62" i="4"/>
  <c r="AH65" i="5" l="1"/>
  <c r="AK64" i="5"/>
  <c r="AI64" i="5"/>
  <c r="AJ64" i="5" s="1"/>
  <c r="AC66" i="5"/>
  <c r="AB67" i="5"/>
  <c r="AG69" i="5"/>
  <c r="AK63" i="4"/>
  <c r="AH64" i="4"/>
  <c r="AI64" i="4" s="1"/>
  <c r="AJ64" i="4" s="1"/>
  <c r="AG65" i="4"/>
  <c r="AC63" i="4"/>
  <c r="AB64" i="4"/>
  <c r="AI63" i="4"/>
  <c r="AJ63" i="4" s="1"/>
  <c r="AK65" i="5" l="1"/>
  <c r="AI65" i="5"/>
  <c r="AJ65" i="5" s="1"/>
  <c r="AH66" i="5"/>
  <c r="AG70" i="5"/>
  <c r="AC67" i="5"/>
  <c r="AB68" i="5"/>
  <c r="AG66" i="4"/>
  <c r="AB65" i="4"/>
  <c r="AC64" i="4"/>
  <c r="AK64" i="4"/>
  <c r="AH65" i="4"/>
  <c r="AI66" i="5" l="1"/>
  <c r="AJ66" i="5" s="1"/>
  <c r="AK66" i="5"/>
  <c r="AH67" i="5"/>
  <c r="AC68" i="5"/>
  <c r="AB69" i="5"/>
  <c r="AG71" i="5"/>
  <c r="AK65" i="4"/>
  <c r="AH66" i="4"/>
  <c r="AC65" i="4"/>
  <c r="AB66" i="4"/>
  <c r="AG67" i="4"/>
  <c r="AI65" i="4"/>
  <c r="AJ65" i="4" s="1"/>
  <c r="AI67" i="5" l="1"/>
  <c r="AJ67" i="5" s="1"/>
  <c r="AH68" i="5"/>
  <c r="AK67" i="5"/>
  <c r="AG72" i="5"/>
  <c r="AC69" i="5"/>
  <c r="AB70" i="5"/>
  <c r="AB67" i="4"/>
  <c r="AC66" i="4"/>
  <c r="AK66" i="4"/>
  <c r="AH67" i="4"/>
  <c r="AG68" i="4"/>
  <c r="AI66" i="4"/>
  <c r="AJ66" i="4" s="1"/>
  <c r="AI68" i="5" l="1"/>
  <c r="AJ68" i="5" s="1"/>
  <c r="AK68" i="5"/>
  <c r="AH69" i="5"/>
  <c r="AC70" i="5"/>
  <c r="AB71" i="5"/>
  <c r="AG73" i="5"/>
  <c r="AK67" i="4"/>
  <c r="AH68" i="4"/>
  <c r="AI68" i="4" s="1"/>
  <c r="AJ68" i="4" s="1"/>
  <c r="AG69" i="4"/>
  <c r="AI67" i="4"/>
  <c r="AJ67" i="4" s="1"/>
  <c r="AC67" i="4"/>
  <c r="AB68" i="4"/>
  <c r="AH70" i="5" l="1"/>
  <c r="AK69" i="5"/>
  <c r="AI69" i="5"/>
  <c r="AJ69" i="5" s="1"/>
  <c r="AG74" i="5"/>
  <c r="AC71" i="5"/>
  <c r="AB72" i="5"/>
  <c r="AG70" i="4"/>
  <c r="AB69" i="4"/>
  <c r="AC68" i="4"/>
  <c r="AK68" i="4"/>
  <c r="AH69" i="4"/>
  <c r="AH71" i="5" l="1"/>
  <c r="AI70" i="5"/>
  <c r="AJ70" i="5" s="1"/>
  <c r="AK70" i="5"/>
  <c r="AC72" i="5"/>
  <c r="AB73" i="5"/>
  <c r="AG75" i="5"/>
  <c r="AC69" i="4"/>
  <c r="AB70" i="4"/>
  <c r="AK69" i="4"/>
  <c r="AH70" i="4"/>
  <c r="AG71" i="4"/>
  <c r="AI69" i="4"/>
  <c r="AJ69" i="4" s="1"/>
  <c r="AK71" i="5" l="1"/>
  <c r="AI71" i="5"/>
  <c r="AJ71" i="5" s="1"/>
  <c r="AH72" i="5"/>
  <c r="AG76" i="5"/>
  <c r="AC73" i="5"/>
  <c r="AB74" i="5"/>
  <c r="AK70" i="4"/>
  <c r="AH71" i="4"/>
  <c r="AI71" i="4" s="1"/>
  <c r="AJ71" i="4" s="1"/>
  <c r="AG72" i="4"/>
  <c r="AB71" i="4"/>
  <c r="AC70" i="4"/>
  <c r="AI70" i="4"/>
  <c r="AJ70" i="4" s="1"/>
  <c r="AH73" i="5" l="1"/>
  <c r="AI72" i="5"/>
  <c r="AJ72" i="5" s="1"/>
  <c r="AK72" i="5"/>
  <c r="AC74" i="5"/>
  <c r="AB75" i="5"/>
  <c r="AG77" i="5"/>
  <c r="AK71" i="4"/>
  <c r="AH72" i="4"/>
  <c r="AI72" i="4" s="1"/>
  <c r="AJ72" i="4" s="1"/>
  <c r="AG73" i="4"/>
  <c r="AC71" i="4"/>
  <c r="AB72" i="4"/>
  <c r="AH74" i="5" l="1"/>
  <c r="AI73" i="5"/>
  <c r="AJ73" i="5" s="1"/>
  <c r="AK73" i="5"/>
  <c r="AC75" i="5"/>
  <c r="AB76" i="5"/>
  <c r="AG78" i="5"/>
  <c r="AG74" i="4"/>
  <c r="AK72" i="4"/>
  <c r="AH73" i="4"/>
  <c r="AI73" i="4" s="1"/>
  <c r="AJ73" i="4" s="1"/>
  <c r="AB73" i="4"/>
  <c r="AC72" i="4"/>
  <c r="AK74" i="5" l="1"/>
  <c r="AI74" i="5"/>
  <c r="AJ74" i="5" s="1"/>
  <c r="AH75" i="5"/>
  <c r="AC76" i="5"/>
  <c r="AB77" i="5"/>
  <c r="AG79" i="5"/>
  <c r="AK73" i="4"/>
  <c r="AH74" i="4"/>
  <c r="AC73" i="4"/>
  <c r="AB74" i="4"/>
  <c r="AG75" i="4"/>
  <c r="AH76" i="5" l="1"/>
  <c r="AI75" i="5"/>
  <c r="AJ75" i="5" s="1"/>
  <c r="AK75" i="5"/>
  <c r="AC77" i="5"/>
  <c r="AB78" i="5"/>
  <c r="AG80" i="5"/>
  <c r="AB75" i="4"/>
  <c r="AC74" i="4"/>
  <c r="AK74" i="4"/>
  <c r="AH75" i="4"/>
  <c r="AG76" i="4"/>
  <c r="AI74" i="4"/>
  <c r="AJ74" i="4" s="1"/>
  <c r="AI76" i="5" l="1"/>
  <c r="AJ76" i="5" s="1"/>
  <c r="AK76" i="5"/>
  <c r="AH77" i="5"/>
  <c r="AG81" i="5"/>
  <c r="AC78" i="5"/>
  <c r="AB79" i="5"/>
  <c r="AK75" i="4"/>
  <c r="AH76" i="4"/>
  <c r="AI76" i="4" s="1"/>
  <c r="AJ76" i="4" s="1"/>
  <c r="AI75" i="4"/>
  <c r="AJ75" i="4" s="1"/>
  <c r="AG77" i="4"/>
  <c r="AC75" i="4"/>
  <c r="AB76" i="4"/>
  <c r="AI77" i="5" l="1"/>
  <c r="AJ77" i="5" s="1"/>
  <c r="AK77" i="5"/>
  <c r="AH78" i="5"/>
  <c r="AC79" i="5"/>
  <c r="AB80" i="5"/>
  <c r="AG82" i="5"/>
  <c r="AB77" i="4"/>
  <c r="AC76" i="4"/>
  <c r="AK76" i="4"/>
  <c r="AH77" i="4"/>
  <c r="AI77" i="4" s="1"/>
  <c r="AJ77" i="4" s="1"/>
  <c r="AG78" i="4"/>
  <c r="AK78" i="5" l="1"/>
  <c r="AH79" i="5"/>
  <c r="AI78" i="5"/>
  <c r="AJ78" i="5" s="1"/>
  <c r="AG83" i="5"/>
  <c r="AC80" i="5"/>
  <c r="AB81" i="5"/>
  <c r="AK77" i="4"/>
  <c r="AH78" i="4"/>
  <c r="AI78" i="4" s="1"/>
  <c r="AJ78" i="4" s="1"/>
  <c r="AG79" i="4"/>
  <c r="AC77" i="4"/>
  <c r="AB78" i="4"/>
  <c r="AH80" i="5" l="1"/>
  <c r="AI79" i="5"/>
  <c r="AJ79" i="5" s="1"/>
  <c r="AK79" i="5"/>
  <c r="AC81" i="5"/>
  <c r="AB82" i="5"/>
  <c r="AG84" i="5"/>
  <c r="AG80" i="4"/>
  <c r="AB79" i="4"/>
  <c r="AC78" i="4"/>
  <c r="AK78" i="4"/>
  <c r="AH79" i="4"/>
  <c r="AI79" i="4" s="1"/>
  <c r="AJ79" i="4" s="1"/>
  <c r="AK80" i="5" l="1"/>
  <c r="AH81" i="5"/>
  <c r="AI80" i="5"/>
  <c r="AJ80" i="5" s="1"/>
  <c r="AG85" i="5"/>
  <c r="AC82" i="5"/>
  <c r="AB83" i="5"/>
  <c r="AC79" i="4"/>
  <c r="AB80" i="4"/>
  <c r="AK79" i="4"/>
  <c r="AH80" i="4"/>
  <c r="AG81" i="4"/>
  <c r="AH82" i="5" l="1"/>
  <c r="AI81" i="5"/>
  <c r="AJ81" i="5" s="1"/>
  <c r="AK81" i="5"/>
  <c r="AC83" i="5"/>
  <c r="AB84" i="5"/>
  <c r="AG86" i="5"/>
  <c r="AK80" i="4"/>
  <c r="AH81" i="4"/>
  <c r="AI81" i="4" s="1"/>
  <c r="AJ81" i="4" s="1"/>
  <c r="AG82" i="4"/>
  <c r="AB81" i="4"/>
  <c r="AC80" i="4"/>
  <c r="AI80" i="4"/>
  <c r="AJ80" i="4" s="1"/>
  <c r="AK82" i="5" l="1"/>
  <c r="AH83" i="5"/>
  <c r="AI82" i="5"/>
  <c r="AJ82" i="5" s="1"/>
  <c r="AG87" i="5"/>
  <c r="AB85" i="5"/>
  <c r="AC84" i="5"/>
  <c r="AK81" i="4"/>
  <c r="AH82" i="4"/>
  <c r="AG83" i="4"/>
  <c r="AC81" i="4"/>
  <c r="AB82" i="4"/>
  <c r="AH84" i="5" l="1"/>
  <c r="AI83" i="5"/>
  <c r="AJ83" i="5" s="1"/>
  <c r="AK83" i="5"/>
  <c r="AG88" i="5"/>
  <c r="AC85" i="5"/>
  <c r="AB86" i="5"/>
  <c r="AG84" i="4"/>
  <c r="AK82" i="4"/>
  <c r="AH83" i="4"/>
  <c r="AI82" i="4"/>
  <c r="AJ82" i="4" s="1"/>
  <c r="AB83" i="4"/>
  <c r="AC82" i="4"/>
  <c r="AH85" i="5" l="1"/>
  <c r="AK84" i="5"/>
  <c r="AI84" i="5"/>
  <c r="AJ84" i="5" s="1"/>
  <c r="AC86" i="5"/>
  <c r="AB87" i="5"/>
  <c r="AG89" i="5"/>
  <c r="AK83" i="4"/>
  <c r="AH84" i="4"/>
  <c r="AI84" i="4" s="1"/>
  <c r="AJ84" i="4" s="1"/>
  <c r="AG85" i="4"/>
  <c r="AC83" i="4"/>
  <c r="AB84" i="4"/>
  <c r="AI83" i="4"/>
  <c r="AJ83" i="4" s="1"/>
  <c r="AK85" i="5" l="1"/>
  <c r="AH86" i="5"/>
  <c r="AI85" i="5"/>
  <c r="AJ85" i="5" s="1"/>
  <c r="AG90" i="5"/>
  <c r="AC87" i="5"/>
  <c r="AB88" i="5"/>
  <c r="AG86" i="4"/>
  <c r="AB85" i="4"/>
  <c r="AC84" i="4"/>
  <c r="AK84" i="4"/>
  <c r="AH85" i="4"/>
  <c r="AH87" i="5" l="1"/>
  <c r="AI86" i="5"/>
  <c r="AJ86" i="5" s="1"/>
  <c r="AK86" i="5"/>
  <c r="AC88" i="5"/>
  <c r="AB89" i="5"/>
  <c r="AG91" i="5"/>
  <c r="AG87" i="4"/>
  <c r="AC85" i="4"/>
  <c r="AB86" i="4"/>
  <c r="AK85" i="4"/>
  <c r="AH86" i="4"/>
  <c r="AI85" i="4"/>
  <c r="AJ85" i="4" s="1"/>
  <c r="AK87" i="5" l="1"/>
  <c r="AI87" i="5"/>
  <c r="AJ87" i="5" s="1"/>
  <c r="AH88" i="5"/>
  <c r="AG92" i="5"/>
  <c r="AC89" i="5"/>
  <c r="AB90" i="5"/>
  <c r="AC86" i="4"/>
  <c r="AB87" i="4"/>
  <c r="AG88" i="4"/>
  <c r="AK86" i="4"/>
  <c r="AH87" i="4"/>
  <c r="AI86" i="4"/>
  <c r="AJ86" i="4" s="1"/>
  <c r="AH89" i="5" l="1"/>
  <c r="AI88" i="5"/>
  <c r="AJ88" i="5" s="1"/>
  <c r="AK88" i="5"/>
  <c r="AC90" i="5"/>
  <c r="AB91" i="5"/>
  <c r="AG93" i="5"/>
  <c r="AG89" i="4"/>
  <c r="AK87" i="4"/>
  <c r="AH88" i="4"/>
  <c r="AI87" i="4"/>
  <c r="AJ87" i="4" s="1"/>
  <c r="AC87" i="4"/>
  <c r="AB88" i="4"/>
  <c r="AH90" i="5" l="1"/>
  <c r="AI89" i="5"/>
  <c r="AJ89" i="5" s="1"/>
  <c r="AK89" i="5"/>
  <c r="AG94" i="5"/>
  <c r="AC91" i="5"/>
  <c r="AB92" i="5"/>
  <c r="AK88" i="4"/>
  <c r="AH89" i="4"/>
  <c r="AC88" i="4"/>
  <c r="AB89" i="4"/>
  <c r="AG90" i="4"/>
  <c r="AI88" i="4"/>
  <c r="AJ88" i="4" s="1"/>
  <c r="AK90" i="5" l="1"/>
  <c r="AH91" i="5"/>
  <c r="AI90" i="5"/>
  <c r="AJ90" i="5" s="1"/>
  <c r="AC92" i="5"/>
  <c r="AB93" i="5"/>
  <c r="AG95" i="5"/>
  <c r="AC89" i="4"/>
  <c r="AB90" i="4"/>
  <c r="AK89" i="4"/>
  <c r="AH90" i="4"/>
  <c r="AI89" i="4"/>
  <c r="AJ89" i="4" s="1"/>
  <c r="AG91" i="4"/>
  <c r="AH92" i="5" l="1"/>
  <c r="AI91" i="5"/>
  <c r="AJ91" i="5" s="1"/>
  <c r="AK91" i="5"/>
  <c r="AC93" i="5"/>
  <c r="AB94" i="5"/>
  <c r="AG96" i="5"/>
  <c r="AK90" i="4"/>
  <c r="AH91" i="4"/>
  <c r="AI91" i="4" s="1"/>
  <c r="AJ91" i="4" s="1"/>
  <c r="AI90" i="4"/>
  <c r="AJ90" i="4" s="1"/>
  <c r="AG92" i="4"/>
  <c r="AC90" i="4"/>
  <c r="AB91" i="4"/>
  <c r="AH93" i="5" l="1"/>
  <c r="AI92" i="5"/>
  <c r="AJ92" i="5" s="1"/>
  <c r="AK92" i="5"/>
  <c r="AG97" i="5"/>
  <c r="AC94" i="5"/>
  <c r="AB95" i="5"/>
  <c r="AK91" i="4"/>
  <c r="AH92" i="4"/>
  <c r="AC91" i="4"/>
  <c r="AB92" i="4"/>
  <c r="AG93" i="4"/>
  <c r="AH94" i="5" l="1"/>
  <c r="AI93" i="5"/>
  <c r="AJ93" i="5" s="1"/>
  <c r="AK93" i="5"/>
  <c r="AC95" i="5"/>
  <c r="AB96" i="5"/>
  <c r="AG98" i="5"/>
  <c r="AC92" i="4"/>
  <c r="AB93" i="4"/>
  <c r="AK92" i="4"/>
  <c r="AH93" i="4"/>
  <c r="AG94" i="4"/>
  <c r="AI92" i="4"/>
  <c r="AJ92" i="4" s="1"/>
  <c r="AK94" i="5" l="1"/>
  <c r="AH95" i="5"/>
  <c r="AI94" i="5"/>
  <c r="AJ94" i="5" s="1"/>
  <c r="AG99" i="5"/>
  <c r="AC96" i="5"/>
  <c r="AB97" i="5"/>
  <c r="AK93" i="4"/>
  <c r="AH94" i="4"/>
  <c r="AG95" i="4"/>
  <c r="AC93" i="4"/>
  <c r="AB94" i="4"/>
  <c r="AI93" i="4"/>
  <c r="AJ93" i="4" s="1"/>
  <c r="AH96" i="5" l="1"/>
  <c r="AI95" i="5"/>
  <c r="AJ95" i="5" s="1"/>
  <c r="AK95" i="5"/>
  <c r="AC97" i="5"/>
  <c r="AB98" i="5"/>
  <c r="AG100" i="5"/>
  <c r="AG96" i="4"/>
  <c r="AK94" i="4"/>
  <c r="AH95" i="4"/>
  <c r="AI94" i="4"/>
  <c r="AJ94" i="4" s="1"/>
  <c r="AC94" i="4"/>
  <c r="AB95" i="4"/>
  <c r="AK96" i="5" l="1"/>
  <c r="AH97" i="5"/>
  <c r="AI96" i="5"/>
  <c r="AJ96" i="5" s="1"/>
  <c r="AG101" i="5"/>
  <c r="AC98" i="5"/>
  <c r="AB99" i="5"/>
  <c r="AK95" i="4"/>
  <c r="AH96" i="4"/>
  <c r="AC95" i="4"/>
  <c r="AB96" i="4"/>
  <c r="AG97" i="4"/>
  <c r="AI95" i="4"/>
  <c r="AJ95" i="4" s="1"/>
  <c r="AK97" i="5" l="1"/>
  <c r="AI97" i="5"/>
  <c r="AJ97" i="5" s="1"/>
  <c r="AH98" i="5"/>
  <c r="AC99" i="5"/>
  <c r="AB100" i="5"/>
  <c r="AG102" i="5"/>
  <c r="AC96" i="4"/>
  <c r="AB97" i="4"/>
  <c r="AK96" i="4"/>
  <c r="AH97" i="4"/>
  <c r="AG98" i="4"/>
  <c r="AI96" i="4"/>
  <c r="AJ96" i="4" s="1"/>
  <c r="AH99" i="5" l="1"/>
  <c r="AI98" i="5"/>
  <c r="AJ98" i="5" s="1"/>
  <c r="AK98" i="5"/>
  <c r="AG103" i="5"/>
  <c r="AC100" i="5"/>
  <c r="AB101" i="5"/>
  <c r="AK97" i="4"/>
  <c r="AH98" i="4"/>
  <c r="AI98" i="4" s="1"/>
  <c r="AJ98" i="4" s="1"/>
  <c r="AG99" i="4"/>
  <c r="AC97" i="4"/>
  <c r="AB98" i="4"/>
  <c r="AI97" i="4"/>
  <c r="AJ97" i="4" s="1"/>
  <c r="AH100" i="5" l="1"/>
  <c r="AI99" i="5"/>
  <c r="AJ99" i="5" s="1"/>
  <c r="AK99" i="5"/>
  <c r="AG104" i="5"/>
  <c r="AC101" i="5"/>
  <c r="AB102" i="5"/>
  <c r="AG100" i="4"/>
  <c r="AC98" i="4"/>
  <c r="AB99" i="4"/>
  <c r="AK98" i="4"/>
  <c r="AH99" i="4"/>
  <c r="AK100" i="5" l="1"/>
  <c r="AH101" i="5"/>
  <c r="AI100" i="5"/>
  <c r="AJ100" i="5" s="1"/>
  <c r="AG105" i="5"/>
  <c r="AC102" i="5"/>
  <c r="AB103" i="5"/>
  <c r="AC99" i="4"/>
  <c r="AB100" i="4"/>
  <c r="AK99" i="4"/>
  <c r="AH100" i="4"/>
  <c r="AG101" i="4"/>
  <c r="AI99" i="4"/>
  <c r="AJ99" i="4" s="1"/>
  <c r="AK101" i="5" l="1"/>
  <c r="AH102" i="5"/>
  <c r="AI101" i="5"/>
  <c r="AJ101" i="5" s="1"/>
  <c r="AC103" i="5"/>
  <c r="AB104" i="5"/>
  <c r="AG106" i="5"/>
  <c r="AK100" i="4"/>
  <c r="AH101" i="4"/>
  <c r="AG102" i="4"/>
  <c r="AC100" i="4"/>
  <c r="AB101" i="4"/>
  <c r="AI100" i="4"/>
  <c r="AJ100" i="4" s="1"/>
  <c r="AH103" i="5" l="1"/>
  <c r="AI102" i="5"/>
  <c r="AJ102" i="5" s="1"/>
  <c r="AK102" i="5"/>
  <c r="AG107" i="5"/>
  <c r="AC104" i="5"/>
  <c r="AB105" i="5"/>
  <c r="AG103" i="4"/>
  <c r="AK101" i="4"/>
  <c r="AH102" i="4"/>
  <c r="AI101" i="4"/>
  <c r="AJ101" i="4" s="1"/>
  <c r="AC101" i="4"/>
  <c r="AB102" i="4"/>
  <c r="AH104" i="5" l="1"/>
  <c r="AI103" i="5"/>
  <c r="AJ103" i="5" s="1"/>
  <c r="AK103" i="5"/>
  <c r="AC105" i="5"/>
  <c r="AB106" i="5"/>
  <c r="AG108" i="5"/>
  <c r="AK102" i="4"/>
  <c r="AH103" i="4"/>
  <c r="AC102" i="4"/>
  <c r="AB103" i="4"/>
  <c r="AG104" i="4"/>
  <c r="AI102" i="4"/>
  <c r="AJ102" i="4" s="1"/>
  <c r="AK104" i="5" l="1"/>
  <c r="AH105" i="5"/>
  <c r="AI104" i="5"/>
  <c r="AJ104" i="5" s="1"/>
  <c r="AG109" i="5"/>
  <c r="AC106" i="5"/>
  <c r="AB107" i="5"/>
  <c r="AC103" i="4"/>
  <c r="AB104" i="4"/>
  <c r="AG105" i="4"/>
  <c r="AK103" i="4"/>
  <c r="AH104" i="4"/>
  <c r="AI103" i="4"/>
  <c r="AJ103" i="4" s="1"/>
  <c r="AH106" i="5" l="1"/>
  <c r="AI105" i="5"/>
  <c r="AJ105" i="5" s="1"/>
  <c r="AK105" i="5"/>
  <c r="AG110" i="5"/>
  <c r="AC107" i="5"/>
  <c r="AB108" i="5"/>
  <c r="AG106" i="4"/>
  <c r="AK104" i="4"/>
  <c r="AH105" i="4"/>
  <c r="AI104" i="4"/>
  <c r="AJ104" i="4" s="1"/>
  <c r="AC104" i="4"/>
  <c r="AB105" i="4"/>
  <c r="AK106" i="5" l="1"/>
  <c r="AH107" i="5"/>
  <c r="AI106" i="5"/>
  <c r="AJ106" i="5" s="1"/>
  <c r="AC108" i="5"/>
  <c r="AB109" i="5"/>
  <c r="AG111" i="5"/>
  <c r="AK105" i="4"/>
  <c r="AH106" i="4"/>
  <c r="AI105" i="4"/>
  <c r="AJ105" i="4" s="1"/>
  <c r="AC105" i="4"/>
  <c r="AB106" i="4"/>
  <c r="AG107" i="4"/>
  <c r="AH108" i="5" l="1"/>
  <c r="AI107" i="5"/>
  <c r="AJ107" i="5" s="1"/>
  <c r="AK107" i="5"/>
  <c r="AG112" i="5"/>
  <c r="AC109" i="5"/>
  <c r="AB110" i="5"/>
  <c r="AK106" i="4"/>
  <c r="AH107" i="4"/>
  <c r="AI107" i="4" s="1"/>
  <c r="AJ107" i="4" s="1"/>
  <c r="AG108" i="4"/>
  <c r="AI106" i="4"/>
  <c r="AJ106" i="4" s="1"/>
  <c r="AC106" i="4"/>
  <c r="AB107" i="4"/>
  <c r="AK108" i="5" l="1"/>
  <c r="AI108" i="5"/>
  <c r="AJ108" i="5" s="1"/>
  <c r="AH109" i="5"/>
  <c r="AG113" i="5"/>
  <c r="AC110" i="5"/>
  <c r="AB111" i="5"/>
  <c r="AK107" i="4"/>
  <c r="AH108" i="4"/>
  <c r="AB108" i="4"/>
  <c r="AC107" i="4"/>
  <c r="AG109" i="4"/>
  <c r="AH110" i="5" l="1"/>
  <c r="AI109" i="5"/>
  <c r="AJ109" i="5" s="1"/>
  <c r="AK109" i="5"/>
  <c r="AG114" i="5"/>
  <c r="AC111" i="5"/>
  <c r="AB112" i="5"/>
  <c r="AK108" i="4"/>
  <c r="AH109" i="4"/>
  <c r="AI109" i="4" s="1"/>
  <c r="AJ109" i="4" s="1"/>
  <c r="AC108" i="4"/>
  <c r="AB109" i="4"/>
  <c r="AG110" i="4"/>
  <c r="AI108" i="4"/>
  <c r="AJ108" i="4" s="1"/>
  <c r="AK110" i="5" l="1"/>
  <c r="AI110" i="5"/>
  <c r="AJ110" i="5" s="1"/>
  <c r="AH111" i="5"/>
  <c r="AC112" i="5"/>
  <c r="AB113" i="5"/>
  <c r="AG115" i="5"/>
  <c r="AG111" i="4"/>
  <c r="AB110" i="4"/>
  <c r="AC109" i="4"/>
  <c r="AK109" i="4"/>
  <c r="AH110" i="4"/>
  <c r="AH112" i="5" l="1"/>
  <c r="AI111" i="5"/>
  <c r="AJ111" i="5" s="1"/>
  <c r="AK111" i="5"/>
  <c r="AG116" i="5"/>
  <c r="AC113" i="5"/>
  <c r="AB114" i="5"/>
  <c r="AG112" i="4"/>
  <c r="AC110" i="4"/>
  <c r="AB111" i="4"/>
  <c r="AK110" i="4"/>
  <c r="AH111" i="4"/>
  <c r="AI110" i="4"/>
  <c r="AJ110" i="4" s="1"/>
  <c r="AK112" i="5" l="1"/>
  <c r="AH113" i="5"/>
  <c r="AI112" i="5"/>
  <c r="AJ112" i="5" s="1"/>
  <c r="AC114" i="5"/>
  <c r="AB115" i="5"/>
  <c r="AG117" i="5"/>
  <c r="AB112" i="4"/>
  <c r="AC111" i="4"/>
  <c r="AG113" i="4"/>
  <c r="AK111" i="4"/>
  <c r="AH112" i="4"/>
  <c r="AI112" i="4" s="1"/>
  <c r="AJ112" i="4" s="1"/>
  <c r="AI111" i="4"/>
  <c r="AJ111" i="4" s="1"/>
  <c r="AH114" i="5" l="1"/>
  <c r="AI113" i="5"/>
  <c r="AJ113" i="5" s="1"/>
  <c r="AK113" i="5"/>
  <c r="AG118" i="5"/>
  <c r="AC115" i="5"/>
  <c r="AB116" i="5"/>
  <c r="AG114" i="4"/>
  <c r="AK112" i="4"/>
  <c r="AH113" i="4"/>
  <c r="AC112" i="4"/>
  <c r="AB113" i="4"/>
  <c r="AK114" i="5" l="1"/>
  <c r="AH115" i="5"/>
  <c r="AI114" i="5"/>
  <c r="AJ114" i="5" s="1"/>
  <c r="AC116" i="5"/>
  <c r="AB117" i="5"/>
  <c r="AG119" i="5"/>
  <c r="AK113" i="4"/>
  <c r="AH114" i="4"/>
  <c r="AC113" i="4"/>
  <c r="AB114" i="4"/>
  <c r="AI113" i="4"/>
  <c r="AJ113" i="4" s="1"/>
  <c r="AG115" i="4"/>
  <c r="AH116" i="5" l="1"/>
  <c r="AI115" i="5"/>
  <c r="AJ115" i="5" s="1"/>
  <c r="AK115" i="5"/>
  <c r="AG120" i="5"/>
  <c r="AC117" i="5"/>
  <c r="AB118" i="5"/>
  <c r="AC114" i="4"/>
  <c r="AB115" i="4"/>
  <c r="AK114" i="4"/>
  <c r="AH115" i="4"/>
  <c r="AG116" i="4"/>
  <c r="AI114" i="4"/>
  <c r="AJ114" i="4" s="1"/>
  <c r="AH117" i="5" l="1"/>
  <c r="AK116" i="5"/>
  <c r="AI116" i="5"/>
  <c r="AJ116" i="5" s="1"/>
  <c r="AC118" i="5"/>
  <c r="AB119" i="5"/>
  <c r="AG121" i="5"/>
  <c r="AK115" i="4"/>
  <c r="AH116" i="4"/>
  <c r="AG117" i="4"/>
  <c r="AB116" i="4"/>
  <c r="AC115" i="4"/>
  <c r="AI115" i="4"/>
  <c r="AJ115" i="4" s="1"/>
  <c r="AH118" i="5" l="1"/>
  <c r="AI117" i="5"/>
  <c r="AJ117" i="5" s="1"/>
  <c r="AK117" i="5"/>
  <c r="AG122" i="5"/>
  <c r="AC119" i="5"/>
  <c r="AB120" i="5"/>
  <c r="AG118" i="4"/>
  <c r="AK116" i="4"/>
  <c r="AH117" i="4"/>
  <c r="AI116" i="4"/>
  <c r="AJ116" i="4" s="1"/>
  <c r="AC116" i="4"/>
  <c r="AB117" i="4"/>
  <c r="AH119" i="5" l="1"/>
  <c r="AI118" i="5"/>
  <c r="AJ118" i="5" s="1"/>
  <c r="AK118" i="5"/>
  <c r="AC120" i="5"/>
  <c r="AB121" i="5"/>
  <c r="AG123" i="5"/>
  <c r="AK117" i="4"/>
  <c r="AH118" i="4"/>
  <c r="AB118" i="4"/>
  <c r="AC117" i="4"/>
  <c r="AI117" i="4"/>
  <c r="AJ117" i="4" s="1"/>
  <c r="AG119" i="4"/>
  <c r="AK119" i="5" l="1"/>
  <c r="AH120" i="5"/>
  <c r="AI119" i="5"/>
  <c r="AJ119" i="5" s="1"/>
  <c r="AG124" i="5"/>
  <c r="AC121" i="5"/>
  <c r="AB122" i="5"/>
  <c r="AK118" i="4"/>
  <c r="AH119" i="4"/>
  <c r="AG120" i="4"/>
  <c r="AC118" i="4"/>
  <c r="AB119" i="4"/>
  <c r="AI118" i="4"/>
  <c r="AJ118" i="4" s="1"/>
  <c r="AH121" i="5" l="1"/>
  <c r="AK120" i="5"/>
  <c r="AI120" i="5"/>
  <c r="AJ120" i="5" s="1"/>
  <c r="AC122" i="5"/>
  <c r="AB123" i="5"/>
  <c r="AG125" i="5"/>
  <c r="AG121" i="4"/>
  <c r="AK119" i="4"/>
  <c r="AH120" i="4"/>
  <c r="AI119" i="4"/>
  <c r="AJ119" i="4" s="1"/>
  <c r="AB120" i="4"/>
  <c r="AC119" i="4"/>
  <c r="AK121" i="5" l="1"/>
  <c r="AH122" i="5"/>
  <c r="AI121" i="5"/>
  <c r="AJ121" i="5" s="1"/>
  <c r="AC123" i="5"/>
  <c r="AB124" i="5"/>
  <c r="AG126" i="5"/>
  <c r="AK120" i="4"/>
  <c r="AH121" i="4"/>
  <c r="AC120" i="4"/>
  <c r="AB121" i="4"/>
  <c r="AG122" i="4"/>
  <c r="AI120" i="4"/>
  <c r="AJ120" i="4" s="1"/>
  <c r="AH123" i="5" l="1"/>
  <c r="AK122" i="5"/>
  <c r="AI122" i="5"/>
  <c r="AJ122" i="5" s="1"/>
  <c r="AG127" i="5"/>
  <c r="AC124" i="5"/>
  <c r="AB125" i="5"/>
  <c r="AB122" i="4"/>
  <c r="AC121" i="4"/>
  <c r="AK121" i="4"/>
  <c r="AH122" i="4"/>
  <c r="AI121" i="4"/>
  <c r="AJ121" i="4" s="1"/>
  <c r="AG123" i="4"/>
  <c r="AH124" i="5" l="1"/>
  <c r="AI123" i="5"/>
  <c r="AJ123" i="5" s="1"/>
  <c r="AK123" i="5"/>
  <c r="AC125" i="5"/>
  <c r="AB126" i="5"/>
  <c r="AG128" i="5"/>
  <c r="AK122" i="4"/>
  <c r="AH123" i="4"/>
  <c r="AI123" i="4" s="1"/>
  <c r="AJ123" i="4" s="1"/>
  <c r="AI122" i="4"/>
  <c r="AJ122" i="4" s="1"/>
  <c r="AG124" i="4"/>
  <c r="AC122" i="4"/>
  <c r="AB123" i="4"/>
  <c r="AI124" i="5" l="1"/>
  <c r="AJ124" i="5" s="1"/>
  <c r="AK124" i="5"/>
  <c r="AH125" i="5"/>
  <c r="AG129" i="5"/>
  <c r="AC126" i="5"/>
  <c r="AB127" i="5"/>
  <c r="AK123" i="4"/>
  <c r="AH124" i="4"/>
  <c r="AC123" i="4"/>
  <c r="AB124" i="4"/>
  <c r="AG125" i="4"/>
  <c r="AI125" i="5" l="1"/>
  <c r="AJ125" i="5" s="1"/>
  <c r="AH126" i="5"/>
  <c r="AK125" i="5"/>
  <c r="AC127" i="5"/>
  <c r="AB128" i="5"/>
  <c r="AG130" i="5"/>
  <c r="AC124" i="4"/>
  <c r="AB125" i="4"/>
  <c r="AK124" i="4"/>
  <c r="AH125" i="4"/>
  <c r="AG126" i="4"/>
  <c r="AI124" i="4"/>
  <c r="AJ124" i="4" s="1"/>
  <c r="AI126" i="5" l="1"/>
  <c r="AJ126" i="5" s="1"/>
  <c r="AK126" i="5"/>
  <c r="AH127" i="5"/>
  <c r="AG131" i="5"/>
  <c r="AC128" i="5"/>
  <c r="AB129" i="5"/>
  <c r="AK125" i="4"/>
  <c r="AH126" i="4"/>
  <c r="AI126" i="4" s="1"/>
  <c r="AJ126" i="4" s="1"/>
  <c r="AG127" i="4"/>
  <c r="AC125" i="4"/>
  <c r="AB126" i="4"/>
  <c r="AI125" i="4"/>
  <c r="AJ125" i="4" s="1"/>
  <c r="AI127" i="5" l="1"/>
  <c r="AJ127" i="5" s="1"/>
  <c r="AH128" i="5"/>
  <c r="AK127" i="5"/>
  <c r="AC129" i="5"/>
  <c r="AB130" i="5"/>
  <c r="AG132" i="5"/>
  <c r="AG128" i="4"/>
  <c r="AC126" i="4"/>
  <c r="AB127" i="4"/>
  <c r="AK126" i="4"/>
  <c r="AH127" i="4"/>
  <c r="AK128" i="5" l="1"/>
  <c r="AI128" i="5"/>
  <c r="AJ128" i="5" s="1"/>
  <c r="AH129" i="5"/>
  <c r="AG133" i="5"/>
  <c r="AC130" i="5"/>
  <c r="AB131" i="5"/>
  <c r="AC127" i="4"/>
  <c r="AB128" i="4"/>
  <c r="AK127" i="4"/>
  <c r="AH128" i="4"/>
  <c r="AG129" i="4"/>
  <c r="AI127" i="4"/>
  <c r="AJ127" i="4" s="1"/>
  <c r="AH130" i="5" l="1"/>
  <c r="AI129" i="5"/>
  <c r="AJ129" i="5" s="1"/>
  <c r="AK129" i="5"/>
  <c r="AC131" i="5"/>
  <c r="AB132" i="5"/>
  <c r="AG134" i="5"/>
  <c r="AK128" i="4"/>
  <c r="AH129" i="4"/>
  <c r="AG130" i="4"/>
  <c r="AC128" i="4"/>
  <c r="AB129" i="4"/>
  <c r="AI128" i="4"/>
  <c r="AJ128" i="4" s="1"/>
  <c r="AK130" i="5" l="1"/>
  <c r="AH131" i="5"/>
  <c r="AI130" i="5"/>
  <c r="AJ130" i="5" s="1"/>
  <c r="AG135" i="5"/>
  <c r="AC132" i="5"/>
  <c r="AB133" i="5"/>
  <c r="AG131" i="4"/>
  <c r="AK129" i="4"/>
  <c r="AH130" i="4"/>
  <c r="AI129" i="4"/>
  <c r="AJ129" i="4" s="1"/>
  <c r="AC129" i="4"/>
  <c r="AB130" i="4"/>
  <c r="AH132" i="5" l="1"/>
  <c r="AI131" i="5"/>
  <c r="AJ131" i="5" s="1"/>
  <c r="AK131" i="5"/>
  <c r="AC133" i="5"/>
  <c r="AB134" i="5"/>
  <c r="AG136" i="5"/>
  <c r="AK130" i="4"/>
  <c r="AH131" i="4"/>
  <c r="AC130" i="4"/>
  <c r="AB131" i="4"/>
  <c r="AG132" i="4"/>
  <c r="AI130" i="4"/>
  <c r="AJ130" i="4" s="1"/>
  <c r="AH133" i="5" l="1"/>
  <c r="AI132" i="5"/>
  <c r="AJ132" i="5" s="1"/>
  <c r="AK132" i="5"/>
  <c r="AG137" i="5"/>
  <c r="AC134" i="5"/>
  <c r="AB135" i="5"/>
  <c r="AC131" i="4"/>
  <c r="AB132" i="4"/>
  <c r="AK131" i="4"/>
  <c r="AH132" i="4"/>
  <c r="AG133" i="4"/>
  <c r="AI131" i="4"/>
  <c r="AJ131" i="4" s="1"/>
  <c r="AK133" i="5" l="1"/>
  <c r="AI133" i="5"/>
  <c r="AJ133" i="5" s="1"/>
  <c r="AH134" i="5"/>
  <c r="AC135" i="5"/>
  <c r="AB136" i="5"/>
  <c r="AG138" i="5"/>
  <c r="AK132" i="4"/>
  <c r="AH133" i="4"/>
  <c r="AI133" i="4" s="1"/>
  <c r="AJ133" i="4" s="1"/>
  <c r="AG134" i="4"/>
  <c r="AC132" i="4"/>
  <c r="AB133" i="4"/>
  <c r="AI132" i="4"/>
  <c r="AJ132" i="4" s="1"/>
  <c r="AH135" i="5" l="1"/>
  <c r="AK134" i="5"/>
  <c r="AI134" i="5"/>
  <c r="AJ134" i="5" s="1"/>
  <c r="AG139" i="5"/>
  <c r="AC136" i="5"/>
  <c r="AB137" i="5"/>
  <c r="AC133" i="4"/>
  <c r="AB134" i="4"/>
  <c r="AG135" i="4"/>
  <c r="AK133" i="4"/>
  <c r="AH134" i="4"/>
  <c r="AI134" i="4" s="1"/>
  <c r="AJ134" i="4" s="1"/>
  <c r="AK135" i="5" l="1"/>
  <c r="AI135" i="5"/>
  <c r="AJ135" i="5" s="1"/>
  <c r="AH136" i="5"/>
  <c r="AC137" i="5"/>
  <c r="AB138" i="5"/>
  <c r="AG140" i="5"/>
  <c r="AG136" i="4"/>
  <c r="AK134" i="4"/>
  <c r="AH135" i="4"/>
  <c r="AC134" i="4"/>
  <c r="AB135" i="4"/>
  <c r="AH137" i="5" l="1"/>
  <c r="AI136" i="5"/>
  <c r="AJ136" i="5" s="1"/>
  <c r="AK136" i="5"/>
  <c r="AG141" i="5"/>
  <c r="AC138" i="5"/>
  <c r="AB139" i="5"/>
  <c r="AK135" i="4"/>
  <c r="AH136" i="4"/>
  <c r="AC135" i="4"/>
  <c r="AB136" i="4"/>
  <c r="AG137" i="4"/>
  <c r="AI135" i="4"/>
  <c r="AJ135" i="4" s="1"/>
  <c r="AH138" i="5" l="1"/>
  <c r="AI137" i="5"/>
  <c r="AJ137" i="5" s="1"/>
  <c r="AK137" i="5"/>
  <c r="AC139" i="5"/>
  <c r="AB140" i="5"/>
  <c r="AG142" i="5"/>
  <c r="AC136" i="4"/>
  <c r="AB137" i="4"/>
  <c r="AG138" i="4"/>
  <c r="AK136" i="4"/>
  <c r="AH137" i="4"/>
  <c r="AI137" i="4" s="1"/>
  <c r="AJ137" i="4" s="1"/>
  <c r="AI136" i="4"/>
  <c r="AJ136" i="4" s="1"/>
  <c r="AH139" i="5" l="1"/>
  <c r="AI138" i="5"/>
  <c r="AJ138" i="5" s="1"/>
  <c r="AK138" i="5"/>
  <c r="AG143" i="5"/>
  <c r="AC140" i="5"/>
  <c r="AB141" i="5"/>
  <c r="AG139" i="4"/>
  <c r="AK137" i="4"/>
  <c r="AH138" i="4"/>
  <c r="AC137" i="4"/>
  <c r="AB138" i="4"/>
  <c r="AH140" i="5" l="1"/>
  <c r="AK139" i="5"/>
  <c r="AI139" i="5"/>
  <c r="AJ139" i="5" s="1"/>
  <c r="AC141" i="5"/>
  <c r="AB142" i="5"/>
  <c r="AG144" i="5"/>
  <c r="AC138" i="4"/>
  <c r="AB139" i="4"/>
  <c r="AG140" i="4"/>
  <c r="AK138" i="4"/>
  <c r="AH139" i="4"/>
  <c r="AI139" i="4" s="1"/>
  <c r="AJ139" i="4" s="1"/>
  <c r="AI138" i="4"/>
  <c r="AJ138" i="4" s="1"/>
  <c r="AI140" i="5" l="1"/>
  <c r="AJ140" i="5" s="1"/>
  <c r="AK140" i="5"/>
  <c r="AH141" i="5"/>
  <c r="AG145" i="5"/>
  <c r="AC142" i="5"/>
  <c r="AB143" i="5"/>
  <c r="AG141" i="4"/>
  <c r="AK139" i="4"/>
  <c r="AH140" i="4"/>
  <c r="AC139" i="4"/>
  <c r="AB140" i="4"/>
  <c r="AH142" i="5" l="1"/>
  <c r="AI141" i="5"/>
  <c r="AJ141" i="5" s="1"/>
  <c r="AK141" i="5"/>
  <c r="AC143" i="5"/>
  <c r="AB144" i="5"/>
  <c r="AG146" i="5"/>
  <c r="AK140" i="4"/>
  <c r="AH141" i="4"/>
  <c r="AC140" i="4"/>
  <c r="AB141" i="4"/>
  <c r="AG142" i="4"/>
  <c r="AI140" i="4"/>
  <c r="AJ140" i="4" s="1"/>
  <c r="AH143" i="5" l="1"/>
  <c r="AI142" i="5"/>
  <c r="AJ142" i="5" s="1"/>
  <c r="AK142" i="5"/>
  <c r="AG147" i="5"/>
  <c r="AC144" i="5"/>
  <c r="AB145" i="5"/>
  <c r="AK141" i="4"/>
  <c r="AH142" i="4"/>
  <c r="AC141" i="4"/>
  <c r="AB142" i="4"/>
  <c r="AG143" i="4"/>
  <c r="AI141" i="4"/>
  <c r="AJ141" i="4" s="1"/>
  <c r="AH144" i="5" l="1"/>
  <c r="AK143" i="5"/>
  <c r="AI143" i="5"/>
  <c r="AJ143" i="5" s="1"/>
  <c r="AC145" i="5"/>
  <c r="AB146" i="5"/>
  <c r="AG148" i="5"/>
  <c r="AC142" i="4"/>
  <c r="AB143" i="4"/>
  <c r="AK142" i="4"/>
  <c r="AH143" i="4"/>
  <c r="AG144" i="4"/>
  <c r="AI142" i="4"/>
  <c r="AJ142" i="4" s="1"/>
  <c r="AH145" i="5" l="1"/>
  <c r="AI144" i="5"/>
  <c r="AJ144" i="5" s="1"/>
  <c r="AK144" i="5"/>
  <c r="AG149" i="5"/>
  <c r="AC146" i="5"/>
  <c r="AB147" i="5"/>
  <c r="AC143" i="4"/>
  <c r="AB144" i="4"/>
  <c r="AK143" i="4"/>
  <c r="AH144" i="4"/>
  <c r="AG145" i="4"/>
  <c r="AI143" i="4"/>
  <c r="AJ143" i="4" s="1"/>
  <c r="AH146" i="5" l="1"/>
  <c r="AI145" i="5"/>
  <c r="AJ145" i="5" s="1"/>
  <c r="AK145" i="5"/>
  <c r="AC147" i="5"/>
  <c r="AB148" i="5"/>
  <c r="AG150" i="5"/>
  <c r="AK144" i="4"/>
  <c r="AH145" i="4"/>
  <c r="AI145" i="4" s="1"/>
  <c r="AJ145" i="4" s="1"/>
  <c r="AG146" i="4"/>
  <c r="AC144" i="4"/>
  <c r="AB145" i="4"/>
  <c r="AI144" i="4"/>
  <c r="AJ144" i="4" s="1"/>
  <c r="AK146" i="5" l="1"/>
  <c r="AH147" i="5"/>
  <c r="AI146" i="5"/>
  <c r="AJ146" i="5" s="1"/>
  <c r="AG151" i="5"/>
  <c r="AC148" i="5"/>
  <c r="AB149" i="5"/>
  <c r="AG147" i="4"/>
  <c r="AC145" i="4"/>
  <c r="AB146" i="4"/>
  <c r="AK145" i="4"/>
  <c r="AH146" i="4"/>
  <c r="AH148" i="5" l="1"/>
  <c r="AI147" i="5"/>
  <c r="AJ147" i="5" s="1"/>
  <c r="AK147" i="5"/>
  <c r="AC149" i="5"/>
  <c r="AB150" i="5"/>
  <c r="AG152" i="5"/>
  <c r="AC146" i="4"/>
  <c r="AB147" i="4"/>
  <c r="AK146" i="4"/>
  <c r="AH147" i="4"/>
  <c r="AG148" i="4"/>
  <c r="AI146" i="4"/>
  <c r="AJ146" i="4" s="1"/>
  <c r="AK148" i="5" l="1"/>
  <c r="AI148" i="5"/>
  <c r="AJ148" i="5" s="1"/>
  <c r="AH149" i="5"/>
  <c r="AG153" i="5"/>
  <c r="AC150" i="5"/>
  <c r="AB151" i="5"/>
  <c r="AB148" i="4"/>
  <c r="AC147" i="4"/>
  <c r="AK147" i="4"/>
  <c r="AH148" i="4"/>
  <c r="AG149" i="4"/>
  <c r="AI147" i="4"/>
  <c r="AJ147" i="4" s="1"/>
  <c r="AI149" i="5" l="1"/>
  <c r="AJ149" i="5" s="1"/>
  <c r="AH150" i="5"/>
  <c r="AK149" i="5"/>
  <c r="AC151" i="5"/>
  <c r="AB152" i="5"/>
  <c r="AG154" i="5"/>
  <c r="AK148" i="4"/>
  <c r="AH149" i="4"/>
  <c r="AI149" i="4" s="1"/>
  <c r="AJ149" i="4" s="1"/>
  <c r="AG150" i="4"/>
  <c r="AI148" i="4"/>
  <c r="AJ148" i="4" s="1"/>
  <c r="AC148" i="4"/>
  <c r="AB149" i="4"/>
  <c r="AK150" i="5" l="1"/>
  <c r="AI150" i="5"/>
  <c r="AJ150" i="5" s="1"/>
  <c r="AH151" i="5"/>
  <c r="AC152" i="5"/>
  <c r="AB153" i="5"/>
  <c r="AG155" i="5"/>
  <c r="AG151" i="4"/>
  <c r="AB150" i="4"/>
  <c r="AC149" i="4"/>
  <c r="AK149" i="4"/>
  <c r="AH150" i="4"/>
  <c r="AH152" i="5" l="1"/>
  <c r="AI151" i="5"/>
  <c r="AJ151" i="5" s="1"/>
  <c r="AK151" i="5"/>
  <c r="AG156" i="5"/>
  <c r="AC153" i="5"/>
  <c r="AB154" i="5"/>
  <c r="AC150" i="4"/>
  <c r="AB151" i="4"/>
  <c r="AK150" i="4"/>
  <c r="AH151" i="4"/>
  <c r="AG152" i="4"/>
  <c r="AI150" i="4"/>
  <c r="AJ150" i="4" s="1"/>
  <c r="AI152" i="5" l="1"/>
  <c r="AJ152" i="5" s="1"/>
  <c r="AK152" i="5"/>
  <c r="AH153" i="5"/>
  <c r="AC154" i="5"/>
  <c r="AB155" i="5"/>
  <c r="AG157" i="5"/>
  <c r="AK151" i="4"/>
  <c r="AH152" i="4"/>
  <c r="AI152" i="4" s="1"/>
  <c r="AJ152" i="4" s="1"/>
  <c r="AG153" i="4"/>
  <c r="AB152" i="4"/>
  <c r="AC151" i="4"/>
  <c r="AI151" i="4"/>
  <c r="AJ151" i="4" s="1"/>
  <c r="AK153" i="5" l="1"/>
  <c r="AH154" i="5"/>
  <c r="AI153" i="5"/>
  <c r="AJ153" i="5" s="1"/>
  <c r="AG158" i="5"/>
  <c r="AC155" i="5"/>
  <c r="AB156" i="5"/>
  <c r="AK152" i="4"/>
  <c r="AH153" i="4"/>
  <c r="AI153" i="4" s="1"/>
  <c r="AJ153" i="4" s="1"/>
  <c r="AG154" i="4"/>
  <c r="AC152" i="4"/>
  <c r="AB153" i="4"/>
  <c r="AH155" i="5" l="1"/>
  <c r="AI154" i="5"/>
  <c r="AJ154" i="5" s="1"/>
  <c r="AK154" i="5"/>
  <c r="AG159" i="5"/>
  <c r="AC156" i="5"/>
  <c r="AB157" i="5"/>
  <c r="AG155" i="4"/>
  <c r="AK153" i="4"/>
  <c r="AH154" i="4"/>
  <c r="AB154" i="4"/>
  <c r="AC153" i="4"/>
  <c r="AK155" i="5" l="1"/>
  <c r="AI155" i="5"/>
  <c r="AJ155" i="5" s="1"/>
  <c r="AH156" i="5"/>
  <c r="AC157" i="5"/>
  <c r="AB158" i="5"/>
  <c r="AG160" i="5"/>
  <c r="AG156" i="4"/>
  <c r="AK154" i="4"/>
  <c r="AH155" i="4"/>
  <c r="AI155" i="4" s="1"/>
  <c r="AJ155" i="4" s="1"/>
  <c r="AC154" i="4"/>
  <c r="AB155" i="4"/>
  <c r="AI154" i="4"/>
  <c r="AJ154" i="4" s="1"/>
  <c r="AH157" i="5" l="1"/>
  <c r="AI156" i="5"/>
  <c r="AJ156" i="5" s="1"/>
  <c r="AK156" i="5"/>
  <c r="AC158" i="5"/>
  <c r="AB159" i="5"/>
  <c r="AG161" i="5"/>
  <c r="AB156" i="4"/>
  <c r="AC155" i="4"/>
  <c r="AK155" i="4"/>
  <c r="AH156" i="4"/>
  <c r="AG157" i="4"/>
  <c r="AK157" i="5" l="1"/>
  <c r="AH158" i="5"/>
  <c r="AI157" i="5"/>
  <c r="AJ157" i="5" s="1"/>
  <c r="AG162" i="5"/>
  <c r="AC159" i="5"/>
  <c r="AB160" i="5"/>
  <c r="AG158" i="4"/>
  <c r="AH157" i="4"/>
  <c r="AK156" i="4"/>
  <c r="AI156" i="4"/>
  <c r="AJ156" i="4" s="1"/>
  <c r="AC156" i="4"/>
  <c r="AB157" i="4"/>
  <c r="AH159" i="5" l="1"/>
  <c r="AI158" i="5"/>
  <c r="AJ158" i="5" s="1"/>
  <c r="AK158" i="5"/>
  <c r="AC160" i="5"/>
  <c r="AB161" i="5"/>
  <c r="AG163" i="5"/>
  <c r="AK157" i="4"/>
  <c r="AH158" i="4"/>
  <c r="AI158" i="4" s="1"/>
  <c r="AJ158" i="4" s="1"/>
  <c r="AG159" i="4"/>
  <c r="AB158" i="4"/>
  <c r="AC157" i="4"/>
  <c r="AI157" i="4"/>
  <c r="AJ157" i="4" s="1"/>
  <c r="AK159" i="5" l="1"/>
  <c r="AH160" i="5"/>
  <c r="AI159" i="5"/>
  <c r="AJ159" i="5" s="1"/>
  <c r="AG164" i="5"/>
  <c r="AC161" i="5"/>
  <c r="AB162" i="5"/>
  <c r="AG160" i="4"/>
  <c r="AK158" i="4"/>
  <c r="AH159" i="4"/>
  <c r="AC158" i="4"/>
  <c r="AB159" i="4"/>
  <c r="AI160" i="5" l="1"/>
  <c r="AJ160" i="5" s="1"/>
  <c r="AK160" i="5"/>
  <c r="AH161" i="5"/>
  <c r="AC162" i="5"/>
  <c r="AB163" i="5"/>
  <c r="AG165" i="5"/>
  <c r="AK159" i="4"/>
  <c r="AH160" i="4"/>
  <c r="AB160" i="4"/>
  <c r="AC159" i="4"/>
  <c r="AI159" i="4"/>
  <c r="AJ159" i="4" s="1"/>
  <c r="AG161" i="4"/>
  <c r="AI161" i="5" l="1"/>
  <c r="AJ161" i="5" s="1"/>
  <c r="AK161" i="5"/>
  <c r="AH162" i="5"/>
  <c r="AG166" i="5"/>
  <c r="AC163" i="5"/>
  <c r="AB164" i="5"/>
  <c r="AG162" i="4"/>
  <c r="AC160" i="4"/>
  <c r="AB161" i="4"/>
  <c r="AK160" i="4"/>
  <c r="AH161" i="4"/>
  <c r="AI161" i="4" s="1"/>
  <c r="AJ161" i="4" s="1"/>
  <c r="AI160" i="4"/>
  <c r="AJ160" i="4" s="1"/>
  <c r="AK162" i="5" l="1"/>
  <c r="AI162" i="5"/>
  <c r="AJ162" i="5" s="1"/>
  <c r="AH163" i="5"/>
  <c r="AC164" i="5"/>
  <c r="AB165" i="5"/>
  <c r="AG167" i="5"/>
  <c r="AB162" i="4"/>
  <c r="AC161" i="4"/>
  <c r="AK161" i="4"/>
  <c r="AH162" i="4"/>
  <c r="AG163" i="4"/>
  <c r="AI163" i="5" l="1"/>
  <c r="AJ163" i="5" s="1"/>
  <c r="AH164" i="5"/>
  <c r="AK163" i="5"/>
  <c r="AG168" i="5"/>
  <c r="AC165" i="5"/>
  <c r="AB166" i="5"/>
  <c r="AK162" i="4"/>
  <c r="AH163" i="4"/>
  <c r="AI163" i="4" s="1"/>
  <c r="AJ163" i="4" s="1"/>
  <c r="AG164" i="4"/>
  <c r="AI162" i="4"/>
  <c r="AJ162" i="4" s="1"/>
  <c r="AC162" i="4"/>
  <c r="AB163" i="4"/>
  <c r="AK164" i="5" l="1"/>
  <c r="AI164" i="5"/>
  <c r="AJ164" i="5" s="1"/>
  <c r="AH165" i="5"/>
  <c r="AC166" i="5"/>
  <c r="AB167" i="5"/>
  <c r="AG169" i="5"/>
  <c r="AB164" i="4"/>
  <c r="AC163" i="4"/>
  <c r="AG165" i="4"/>
  <c r="AK163" i="4"/>
  <c r="AH164" i="4"/>
  <c r="AI165" i="5" l="1"/>
  <c r="AJ165" i="5" s="1"/>
  <c r="AK165" i="5"/>
  <c r="AH166" i="5"/>
  <c r="AC167" i="5"/>
  <c r="AB168" i="5"/>
  <c r="AG170" i="5"/>
  <c r="AG166" i="4"/>
  <c r="AK164" i="4"/>
  <c r="AH165" i="4"/>
  <c r="AI164" i="4"/>
  <c r="AJ164" i="4" s="1"/>
  <c r="AC164" i="4"/>
  <c r="AB165" i="4"/>
  <c r="AI166" i="5" l="1"/>
  <c r="AJ166" i="5" s="1"/>
  <c r="AH167" i="5"/>
  <c r="AK166" i="5"/>
  <c r="AG171" i="5"/>
  <c r="AC168" i="5"/>
  <c r="AB169" i="5"/>
  <c r="AB166" i="4"/>
  <c r="AC165" i="4"/>
  <c r="AG167" i="4"/>
  <c r="AK165" i="4"/>
  <c r="AH166" i="4"/>
  <c r="AI166" i="4" s="1"/>
  <c r="AJ166" i="4" s="1"/>
  <c r="AI165" i="4"/>
  <c r="AJ165" i="4" s="1"/>
  <c r="AI167" i="5" l="1"/>
  <c r="AJ167" i="5" s="1"/>
  <c r="AH168" i="5"/>
  <c r="AK167" i="5"/>
  <c r="AC169" i="5"/>
  <c r="AB170" i="5"/>
  <c r="AG172" i="5"/>
  <c r="AK166" i="4"/>
  <c r="AH167" i="4"/>
  <c r="AI167" i="4" s="1"/>
  <c r="AJ167" i="4" s="1"/>
  <c r="AG168" i="4"/>
  <c r="AC166" i="4"/>
  <c r="AB167" i="4"/>
  <c r="AK168" i="5" l="1"/>
  <c r="AI168" i="5"/>
  <c r="AJ168" i="5" s="1"/>
  <c r="AH169" i="5"/>
  <c r="AG173" i="5"/>
  <c r="AC170" i="5"/>
  <c r="AB171" i="5"/>
  <c r="AG169" i="4"/>
  <c r="AB168" i="4"/>
  <c r="AC167" i="4"/>
  <c r="AK167" i="4"/>
  <c r="AH168" i="4"/>
  <c r="AI169" i="5" l="1"/>
  <c r="AJ169" i="5" s="1"/>
  <c r="AK169" i="5"/>
  <c r="AH170" i="5"/>
  <c r="AC171" i="5"/>
  <c r="AB172" i="5"/>
  <c r="AG174" i="5"/>
  <c r="AC168" i="4"/>
  <c r="AB169" i="4"/>
  <c r="AK168" i="4"/>
  <c r="AH169" i="4"/>
  <c r="AG170" i="4"/>
  <c r="AI168" i="4"/>
  <c r="AJ168" i="4" s="1"/>
  <c r="AI170" i="5" l="1"/>
  <c r="AJ170" i="5" s="1"/>
  <c r="AH171" i="5"/>
  <c r="AK170" i="5"/>
  <c r="AC172" i="5"/>
  <c r="AB173" i="5"/>
  <c r="AG175" i="5"/>
  <c r="AK169" i="4"/>
  <c r="AH170" i="4"/>
  <c r="AI170" i="4" s="1"/>
  <c r="AJ170" i="4" s="1"/>
  <c r="AI169" i="4"/>
  <c r="AJ169" i="4" s="1"/>
  <c r="AB170" i="4"/>
  <c r="AC169" i="4"/>
  <c r="AG171" i="4"/>
  <c r="AI171" i="5" l="1"/>
  <c r="AJ171" i="5" s="1"/>
  <c r="AH172" i="5"/>
  <c r="AK171" i="5"/>
  <c r="AC173" i="5"/>
  <c r="AB174" i="5"/>
  <c r="AG176" i="5"/>
  <c r="AC170" i="4"/>
  <c r="AB171" i="4"/>
  <c r="AG172" i="4"/>
  <c r="AK170" i="4"/>
  <c r="AH171" i="4"/>
  <c r="AI171" i="4" s="1"/>
  <c r="AJ171" i="4" s="1"/>
  <c r="AI172" i="5" l="1"/>
  <c r="AJ172" i="5" s="1"/>
  <c r="AK172" i="5"/>
  <c r="AH173" i="5"/>
  <c r="AG177" i="5"/>
  <c r="AC174" i="5"/>
  <c r="AB175" i="5"/>
  <c r="AG173" i="4"/>
  <c r="AK171" i="4"/>
  <c r="AH172" i="4"/>
  <c r="AB172" i="4"/>
  <c r="AC171" i="4"/>
  <c r="AI173" i="5" l="1"/>
  <c r="AJ173" i="5" s="1"/>
  <c r="AK173" i="5"/>
  <c r="AH174" i="5"/>
  <c r="AC175" i="5"/>
  <c r="AB176" i="5"/>
  <c r="AG178" i="5"/>
  <c r="AK172" i="4"/>
  <c r="AH173" i="4"/>
  <c r="AI173" i="4" s="1"/>
  <c r="AJ173" i="4" s="1"/>
  <c r="AG174" i="4"/>
  <c r="AC172" i="4"/>
  <c r="AB173" i="4"/>
  <c r="AI172" i="4"/>
  <c r="AJ172" i="4" s="1"/>
  <c r="AI174" i="5" l="1"/>
  <c r="AJ174" i="5" s="1"/>
  <c r="AH175" i="5"/>
  <c r="AK174" i="5"/>
  <c r="AG179" i="5"/>
  <c r="AC176" i="5"/>
  <c r="AB177" i="5"/>
  <c r="AG175" i="4"/>
  <c r="AB174" i="4"/>
  <c r="AC173" i="4"/>
  <c r="AK173" i="4"/>
  <c r="AH174" i="4"/>
  <c r="AI175" i="5" l="1"/>
  <c r="AJ175" i="5" s="1"/>
  <c r="AH176" i="5"/>
  <c r="AK175" i="5"/>
  <c r="AC177" i="5"/>
  <c r="AB178" i="5"/>
  <c r="AG180" i="5"/>
  <c r="AC174" i="4"/>
  <c r="AB175" i="4"/>
  <c r="AK174" i="4"/>
  <c r="AH175" i="4"/>
  <c r="AG176" i="4"/>
  <c r="AI174" i="4"/>
  <c r="AJ174" i="4" s="1"/>
  <c r="AI176" i="5" l="1"/>
  <c r="AJ176" i="5" s="1"/>
  <c r="AH177" i="5"/>
  <c r="AK176" i="5"/>
  <c r="AG181" i="5"/>
  <c r="AC178" i="5"/>
  <c r="AB179" i="5"/>
  <c r="AK175" i="4"/>
  <c r="AH176" i="4"/>
  <c r="AI176" i="4" s="1"/>
  <c r="AJ176" i="4" s="1"/>
  <c r="AI175" i="4"/>
  <c r="AJ175" i="4" s="1"/>
  <c r="AB176" i="4"/>
  <c r="AC175" i="4"/>
  <c r="AG177" i="4"/>
  <c r="AI177" i="5" l="1"/>
  <c r="AJ177" i="5" s="1"/>
  <c r="AH178" i="5"/>
  <c r="AK177" i="5"/>
  <c r="AC179" i="5"/>
  <c r="AB180" i="5"/>
  <c r="AG182" i="5"/>
  <c r="AC176" i="4"/>
  <c r="AB177" i="4"/>
  <c r="AG178" i="4"/>
  <c r="AK176" i="4"/>
  <c r="AH177" i="4"/>
  <c r="AI177" i="4" s="1"/>
  <c r="AJ177" i="4" s="1"/>
  <c r="AK178" i="5" l="1"/>
  <c r="AH179" i="5"/>
  <c r="AI178" i="5"/>
  <c r="AJ178" i="5" s="1"/>
  <c r="AG183" i="5"/>
  <c r="AC180" i="5"/>
  <c r="AB181" i="5"/>
  <c r="AG179" i="4"/>
  <c r="AK177" i="4"/>
  <c r="AH178" i="4"/>
  <c r="AB178" i="4"/>
  <c r="AC177" i="4"/>
  <c r="AK179" i="5" l="1"/>
  <c r="AI179" i="5"/>
  <c r="AJ179" i="5" s="1"/>
  <c r="AH180" i="5"/>
  <c r="AC181" i="5"/>
  <c r="AB182" i="5"/>
  <c r="AG184" i="5"/>
  <c r="AK178" i="4"/>
  <c r="AH179" i="4"/>
  <c r="AI179" i="4" s="1"/>
  <c r="AJ179" i="4" s="1"/>
  <c r="AG180" i="4"/>
  <c r="AC178" i="4"/>
  <c r="AB179" i="4"/>
  <c r="AI178" i="4"/>
  <c r="AJ178" i="4" s="1"/>
  <c r="AH181" i="5" l="1"/>
  <c r="AI180" i="5"/>
  <c r="AJ180" i="5" s="1"/>
  <c r="AK180" i="5"/>
  <c r="AC182" i="5"/>
  <c r="AB183" i="5"/>
  <c r="AG185" i="5"/>
  <c r="AG181" i="4"/>
  <c r="AB180" i="4"/>
  <c r="AC179" i="4"/>
  <c r="AK179" i="4"/>
  <c r="AH180" i="4"/>
  <c r="AH182" i="5" l="1"/>
  <c r="AI181" i="5"/>
  <c r="AJ181" i="5" s="1"/>
  <c r="AK181" i="5"/>
  <c r="AC183" i="5"/>
  <c r="AB184" i="5"/>
  <c r="AG186" i="5"/>
  <c r="AC180" i="4"/>
  <c r="AB181" i="4"/>
  <c r="AK180" i="4"/>
  <c r="AH181" i="4"/>
  <c r="AG182" i="4"/>
  <c r="AI180" i="4"/>
  <c r="AJ180" i="4" s="1"/>
  <c r="AH183" i="5" l="1"/>
  <c r="AI182" i="5"/>
  <c r="AJ182" i="5" s="1"/>
  <c r="AK182" i="5"/>
  <c r="AG187" i="5"/>
  <c r="AC184" i="5"/>
  <c r="AB185" i="5"/>
  <c r="AB182" i="4"/>
  <c r="AC181" i="4"/>
  <c r="AK181" i="4"/>
  <c r="AH182" i="4"/>
  <c r="AI181" i="4"/>
  <c r="AJ181" i="4" s="1"/>
  <c r="AG183" i="4"/>
  <c r="AI183" i="5" l="1"/>
  <c r="AJ183" i="5" s="1"/>
  <c r="AH184" i="5"/>
  <c r="AK183" i="5"/>
  <c r="AC185" i="5"/>
  <c r="AB186" i="5"/>
  <c r="AG188" i="5"/>
  <c r="AK182" i="4"/>
  <c r="AH183" i="4"/>
  <c r="AI183" i="4" s="1"/>
  <c r="AJ183" i="4" s="1"/>
  <c r="AG184" i="4"/>
  <c r="AI182" i="4"/>
  <c r="AJ182" i="4" s="1"/>
  <c r="AC182" i="4"/>
  <c r="AB183" i="4"/>
  <c r="AI184" i="5" l="1"/>
  <c r="AJ184" i="5" s="1"/>
  <c r="AH185" i="5"/>
  <c r="AK184" i="5"/>
  <c r="AG189" i="5"/>
  <c r="AC186" i="5"/>
  <c r="AB187" i="5"/>
  <c r="AB184" i="4"/>
  <c r="AC183" i="4"/>
  <c r="AG185" i="4"/>
  <c r="AK183" i="4"/>
  <c r="AH184" i="4"/>
  <c r="AI184" i="4" s="1"/>
  <c r="AJ184" i="4" s="1"/>
  <c r="AK185" i="5" l="1"/>
  <c r="AI185" i="5"/>
  <c r="AJ185" i="5" s="1"/>
  <c r="AH186" i="5"/>
  <c r="AC187" i="5"/>
  <c r="AB188" i="5"/>
  <c r="AG190" i="5"/>
  <c r="AG186" i="4"/>
  <c r="AK184" i="4"/>
  <c r="AH185" i="4"/>
  <c r="AC184" i="4"/>
  <c r="AB185" i="4"/>
  <c r="AK186" i="5" l="1"/>
  <c r="AH187" i="5"/>
  <c r="AI186" i="5"/>
  <c r="AJ186" i="5" s="1"/>
  <c r="AG191" i="5"/>
  <c r="AC188" i="5"/>
  <c r="AB189" i="5"/>
  <c r="AK185" i="4"/>
  <c r="AH186" i="4"/>
  <c r="AC185" i="4"/>
  <c r="AB186" i="4"/>
  <c r="AG187" i="4"/>
  <c r="AI185" i="4"/>
  <c r="AJ185" i="4" s="1"/>
  <c r="AH188" i="5" l="1"/>
  <c r="AI187" i="5"/>
  <c r="AJ187" i="5" s="1"/>
  <c r="AK187" i="5"/>
  <c r="AC189" i="5"/>
  <c r="AB190" i="5"/>
  <c r="AG192" i="5"/>
  <c r="AG188" i="4"/>
  <c r="AK186" i="4"/>
  <c r="AH187" i="4"/>
  <c r="AC186" i="4"/>
  <c r="AB187" i="4"/>
  <c r="AI186" i="4"/>
  <c r="AJ186" i="4" s="1"/>
  <c r="AK188" i="5" l="1"/>
  <c r="AI188" i="5"/>
  <c r="AJ188" i="5" s="1"/>
  <c r="AH189" i="5"/>
  <c r="AC190" i="5"/>
  <c r="AB191" i="5"/>
  <c r="AG193" i="5"/>
  <c r="AK187" i="4"/>
  <c r="AH188" i="4"/>
  <c r="AI188" i="4" s="1"/>
  <c r="AJ188" i="4" s="1"/>
  <c r="AG189" i="4"/>
  <c r="AC187" i="4"/>
  <c r="AB188" i="4"/>
  <c r="AI187" i="4"/>
  <c r="AJ187" i="4" s="1"/>
  <c r="AH190" i="5" l="1"/>
  <c r="AI189" i="5"/>
  <c r="AJ189" i="5" s="1"/>
  <c r="AK189" i="5"/>
  <c r="AG194" i="5"/>
  <c r="AC191" i="5"/>
  <c r="AB192" i="5"/>
  <c r="AG190" i="4"/>
  <c r="AC188" i="4"/>
  <c r="AB189" i="4"/>
  <c r="AK188" i="4"/>
  <c r="AH189" i="4"/>
  <c r="AI190" i="5" l="1"/>
  <c r="AJ190" i="5" s="1"/>
  <c r="AK190" i="5"/>
  <c r="AH191" i="5"/>
  <c r="AC192" i="5"/>
  <c r="AB193" i="5"/>
  <c r="AG195" i="5"/>
  <c r="AC189" i="4"/>
  <c r="AB190" i="4"/>
  <c r="AK189" i="4"/>
  <c r="AH190" i="4"/>
  <c r="AG191" i="4"/>
  <c r="AI189" i="4"/>
  <c r="AJ189" i="4" s="1"/>
  <c r="AK191" i="5" l="1"/>
  <c r="AH192" i="5"/>
  <c r="AI191" i="5"/>
  <c r="AJ191" i="5" s="1"/>
  <c r="AG196" i="5"/>
  <c r="AC193" i="5"/>
  <c r="AB194" i="5"/>
  <c r="AK190" i="4"/>
  <c r="AH191" i="4"/>
  <c r="AC190" i="4"/>
  <c r="AB191" i="4"/>
  <c r="AG192" i="4"/>
  <c r="AI190" i="4"/>
  <c r="AJ190" i="4" s="1"/>
  <c r="AH193" i="5" l="1"/>
  <c r="AI192" i="5"/>
  <c r="AJ192" i="5" s="1"/>
  <c r="AK192" i="5"/>
  <c r="AC194" i="5"/>
  <c r="AB195" i="5"/>
  <c r="AG197" i="5"/>
  <c r="AC191" i="4"/>
  <c r="AB192" i="4"/>
  <c r="AK191" i="4"/>
  <c r="AH192" i="4"/>
  <c r="AG193" i="4"/>
  <c r="AI191" i="4"/>
  <c r="AJ191" i="4" s="1"/>
  <c r="AK193" i="5" l="1"/>
  <c r="AH194" i="5"/>
  <c r="AI193" i="5"/>
  <c r="AJ193" i="5" s="1"/>
  <c r="AG198" i="5"/>
  <c r="AC195" i="5"/>
  <c r="AB196" i="5"/>
  <c r="AK192" i="4"/>
  <c r="AH193" i="4"/>
  <c r="AI193" i="4" s="1"/>
  <c r="AJ193" i="4" s="1"/>
  <c r="AG194" i="4"/>
  <c r="AC192" i="4"/>
  <c r="AB193" i="4"/>
  <c r="AI192" i="4"/>
  <c r="AJ192" i="4" s="1"/>
  <c r="AH195" i="5" l="1"/>
  <c r="AI194" i="5"/>
  <c r="AJ194" i="5" s="1"/>
  <c r="AK194" i="5"/>
  <c r="AG199" i="5"/>
  <c r="AC196" i="5"/>
  <c r="AB197" i="5"/>
  <c r="AG195" i="4"/>
  <c r="AK193" i="4"/>
  <c r="AH194" i="4"/>
  <c r="AC193" i="4"/>
  <c r="AB194" i="4"/>
  <c r="AK195" i="5" l="1"/>
  <c r="AI195" i="5"/>
  <c r="AJ195" i="5" s="1"/>
  <c r="AH196" i="5"/>
  <c r="AC197" i="5"/>
  <c r="AB198" i="5"/>
  <c r="AG200" i="5"/>
  <c r="AK194" i="4"/>
  <c r="AH195" i="4"/>
  <c r="AC194" i="4"/>
  <c r="AB195" i="4"/>
  <c r="AG196" i="4"/>
  <c r="AI194" i="4"/>
  <c r="AJ194" i="4" s="1"/>
  <c r="AH197" i="5" l="1"/>
  <c r="AI196" i="5"/>
  <c r="AJ196" i="5" s="1"/>
  <c r="AK196" i="5"/>
  <c r="AG201" i="5"/>
  <c r="AC198" i="5"/>
  <c r="AB199" i="5"/>
  <c r="AB196" i="4"/>
  <c r="AC195" i="4"/>
  <c r="AG197" i="4"/>
  <c r="AK195" i="4"/>
  <c r="AH196" i="4"/>
  <c r="AI196" i="4" s="1"/>
  <c r="AJ196" i="4" s="1"/>
  <c r="AI195" i="4"/>
  <c r="AJ195" i="4" s="1"/>
  <c r="AH198" i="5" l="1"/>
  <c r="AI197" i="5"/>
  <c r="AJ197" i="5" s="1"/>
  <c r="AK197" i="5"/>
  <c r="AG202" i="5"/>
  <c r="AB200" i="5"/>
  <c r="AC199" i="5"/>
  <c r="AG198" i="4"/>
  <c r="AK196" i="4"/>
  <c r="AH197" i="4"/>
  <c r="AC196" i="4"/>
  <c r="AB197" i="4"/>
  <c r="AK198" i="5" l="1"/>
  <c r="AI198" i="5"/>
  <c r="AJ198" i="5" s="1"/>
  <c r="AH199" i="5"/>
  <c r="AC200" i="5"/>
  <c r="AB201" i="5"/>
  <c r="AG203" i="5"/>
  <c r="AK197" i="4"/>
  <c r="AH198" i="4"/>
  <c r="AI198" i="4" s="1"/>
  <c r="AJ198" i="4" s="1"/>
  <c r="AG199" i="4"/>
  <c r="AB198" i="4"/>
  <c r="AC197" i="4"/>
  <c r="AI197" i="4"/>
  <c r="AJ197" i="4" s="1"/>
  <c r="AH200" i="5" l="1"/>
  <c r="AI199" i="5"/>
  <c r="AJ199" i="5" s="1"/>
  <c r="AK199" i="5"/>
  <c r="AG204" i="5"/>
  <c r="AC201" i="5"/>
  <c r="AB202" i="5"/>
  <c r="AG200" i="4"/>
  <c r="AK198" i="4"/>
  <c r="AH199" i="4"/>
  <c r="AC198" i="4"/>
  <c r="AB199" i="4"/>
  <c r="AH201" i="5" l="1"/>
  <c r="AI200" i="5"/>
  <c r="AJ200" i="5" s="1"/>
  <c r="AK200" i="5"/>
  <c r="AG205" i="5"/>
  <c r="AC202" i="5"/>
  <c r="AB203" i="5"/>
  <c r="AK199" i="4"/>
  <c r="AH200" i="4"/>
  <c r="AC199" i="4"/>
  <c r="AB200" i="4"/>
  <c r="AG201" i="4"/>
  <c r="AI199" i="4"/>
  <c r="AJ199" i="4" s="1"/>
  <c r="AK201" i="5" l="1"/>
  <c r="AH202" i="5"/>
  <c r="AI201" i="5"/>
  <c r="AJ201" i="5" s="1"/>
  <c r="AC203" i="5"/>
  <c r="AB204" i="5"/>
  <c r="AG206" i="5"/>
  <c r="AC200" i="4"/>
  <c r="AB201" i="4"/>
  <c r="AK200" i="4"/>
  <c r="AH201" i="4"/>
  <c r="AG202" i="4"/>
  <c r="AI200" i="4"/>
  <c r="AJ200" i="4" s="1"/>
  <c r="AH203" i="5" l="1"/>
  <c r="AI202" i="5"/>
  <c r="AJ202" i="5" s="1"/>
  <c r="AK202" i="5"/>
  <c r="AG207" i="5"/>
  <c r="AC204" i="5"/>
  <c r="AB205" i="5"/>
  <c r="AK201" i="4"/>
  <c r="AH202" i="4"/>
  <c r="AC201" i="4"/>
  <c r="AB202" i="4"/>
  <c r="AG203" i="4"/>
  <c r="AI201" i="4"/>
  <c r="AJ201" i="4" s="1"/>
  <c r="AK203" i="5" l="1"/>
  <c r="AH204" i="5"/>
  <c r="AI203" i="5"/>
  <c r="AJ203" i="5" s="1"/>
  <c r="AG208" i="5"/>
  <c r="AC205" i="5"/>
  <c r="AB206" i="5"/>
  <c r="AC202" i="4"/>
  <c r="AB203" i="4"/>
  <c r="AG204" i="4"/>
  <c r="AK202" i="4"/>
  <c r="AH203" i="4"/>
  <c r="AI203" i="4" s="1"/>
  <c r="AJ203" i="4" s="1"/>
  <c r="AI202" i="4"/>
  <c r="AJ202" i="4" s="1"/>
  <c r="AH205" i="5" l="1"/>
  <c r="AI204" i="5"/>
  <c r="AJ204" i="5" s="1"/>
  <c r="AK204" i="5"/>
  <c r="AC206" i="5"/>
  <c r="AB207" i="5"/>
  <c r="AG209" i="5"/>
  <c r="AG205" i="4"/>
  <c r="AK203" i="4"/>
  <c r="AH204" i="4"/>
  <c r="AC203" i="4"/>
  <c r="AB204" i="4"/>
  <c r="AI205" i="5" l="1"/>
  <c r="AJ205" i="5" s="1"/>
  <c r="AH206" i="5"/>
  <c r="AK205" i="5"/>
  <c r="AG210" i="5"/>
  <c r="AC207" i="5"/>
  <c r="AB208" i="5"/>
  <c r="AK204" i="4"/>
  <c r="AH205" i="4"/>
  <c r="AC204" i="4"/>
  <c r="AB205" i="4"/>
  <c r="AG206" i="4"/>
  <c r="AI204" i="4"/>
  <c r="AJ204" i="4" s="1"/>
  <c r="AK206" i="5" l="1"/>
  <c r="AI206" i="5"/>
  <c r="AJ206" i="5" s="1"/>
  <c r="AH207" i="5"/>
  <c r="AC208" i="5"/>
  <c r="AB209" i="5"/>
  <c r="AG211" i="5"/>
  <c r="AC205" i="4"/>
  <c r="AB206" i="4"/>
  <c r="AG207" i="4"/>
  <c r="AK205" i="4"/>
  <c r="AH206" i="4"/>
  <c r="AI206" i="4" s="1"/>
  <c r="AJ206" i="4" s="1"/>
  <c r="AI205" i="4"/>
  <c r="AJ205" i="4" s="1"/>
  <c r="AH208" i="5" l="1"/>
  <c r="AK207" i="5"/>
  <c r="AI207" i="5"/>
  <c r="AJ207" i="5" s="1"/>
  <c r="AG212" i="5"/>
  <c r="AC209" i="5"/>
  <c r="AB210" i="5"/>
  <c r="AG208" i="4"/>
  <c r="AK206" i="4"/>
  <c r="AH207" i="4"/>
  <c r="AC206" i="4"/>
  <c r="AB207" i="4"/>
  <c r="AH209" i="5" l="1"/>
  <c r="AI208" i="5"/>
  <c r="AJ208" i="5" s="1"/>
  <c r="AK208" i="5"/>
  <c r="AC210" i="5"/>
  <c r="AB211" i="5"/>
  <c r="AG213" i="5"/>
  <c r="AK207" i="4"/>
  <c r="AH208" i="4"/>
  <c r="AI208" i="4" s="1"/>
  <c r="AJ208" i="4" s="1"/>
  <c r="AC207" i="4"/>
  <c r="AB208" i="4"/>
  <c r="AG209" i="4"/>
  <c r="AI207" i="4"/>
  <c r="AJ207" i="4" s="1"/>
  <c r="AI209" i="5" l="1"/>
  <c r="AJ209" i="5" s="1"/>
  <c r="AK209" i="5"/>
  <c r="AH210" i="5"/>
  <c r="AG214" i="5"/>
  <c r="AC211" i="5"/>
  <c r="AB212" i="5"/>
  <c r="AG210" i="4"/>
  <c r="AC208" i="4"/>
  <c r="AB209" i="4"/>
  <c r="AK208" i="4"/>
  <c r="AH209" i="4"/>
  <c r="AK210" i="5" l="1"/>
  <c r="AH211" i="5"/>
  <c r="AI210" i="5"/>
  <c r="AJ210" i="5" s="1"/>
  <c r="AB213" i="5"/>
  <c r="AC212" i="5"/>
  <c r="AG215" i="5"/>
  <c r="AC209" i="4"/>
  <c r="AB210" i="4"/>
  <c r="AK209" i="4"/>
  <c r="AH210" i="4"/>
  <c r="AG211" i="4"/>
  <c r="AI209" i="4"/>
  <c r="AJ209" i="4" s="1"/>
  <c r="AH212" i="5" l="1"/>
  <c r="AI211" i="5"/>
  <c r="AJ211" i="5" s="1"/>
  <c r="AK211" i="5"/>
  <c r="AB214" i="5"/>
  <c r="AC213" i="5"/>
  <c r="AG216" i="5"/>
  <c r="AG212" i="4"/>
  <c r="AK210" i="4"/>
  <c r="AH211" i="4"/>
  <c r="AC210" i="4"/>
  <c r="AB211" i="4"/>
  <c r="AI210" i="4"/>
  <c r="AJ210" i="4" s="1"/>
  <c r="AH213" i="5" l="1"/>
  <c r="AI212" i="5"/>
  <c r="AJ212" i="5" s="1"/>
  <c r="AK212" i="5"/>
  <c r="AG217" i="5"/>
  <c r="AB215" i="5"/>
  <c r="AC214" i="5"/>
  <c r="AK211" i="4"/>
  <c r="AH212" i="4"/>
  <c r="AI212" i="4" s="1"/>
  <c r="AJ212" i="4" s="1"/>
  <c r="AG213" i="4"/>
  <c r="AC211" i="4"/>
  <c r="AB212" i="4"/>
  <c r="AI211" i="4"/>
  <c r="AJ211" i="4" s="1"/>
  <c r="AI213" i="5" l="1"/>
  <c r="AJ213" i="5" s="1"/>
  <c r="AK213" i="5"/>
  <c r="AH214" i="5"/>
  <c r="AB216" i="5"/>
  <c r="AC215" i="5"/>
  <c r="AG218" i="5"/>
  <c r="AG214" i="4"/>
  <c r="AK212" i="4"/>
  <c r="AH213" i="4"/>
  <c r="AC212" i="4"/>
  <c r="AB213" i="4"/>
  <c r="AK214" i="5" l="1"/>
  <c r="AI214" i="5"/>
  <c r="AJ214" i="5" s="1"/>
  <c r="AH215" i="5"/>
  <c r="AG219" i="5"/>
  <c r="AB217" i="5"/>
  <c r="AC216" i="5"/>
  <c r="AK213" i="4"/>
  <c r="AH214" i="4"/>
  <c r="AI214" i="4" s="1"/>
  <c r="AJ214" i="4" s="1"/>
  <c r="AC213" i="4"/>
  <c r="AB214" i="4"/>
  <c r="AG215" i="4"/>
  <c r="AI213" i="4"/>
  <c r="AJ213" i="4" s="1"/>
  <c r="AK215" i="5" l="1"/>
  <c r="AH216" i="5"/>
  <c r="AI215" i="5"/>
  <c r="AJ215" i="5" s="1"/>
  <c r="AG220" i="5"/>
  <c r="AB218" i="5"/>
  <c r="AC217" i="5"/>
  <c r="AG216" i="4"/>
  <c r="AC214" i="4"/>
  <c r="AB215" i="4"/>
  <c r="AK214" i="4"/>
  <c r="AH215" i="4"/>
  <c r="AH217" i="5" l="1"/>
  <c r="AI216" i="5"/>
  <c r="AJ216" i="5" s="1"/>
  <c r="AK216" i="5"/>
  <c r="AB219" i="5"/>
  <c r="AC218" i="5"/>
  <c r="AG221" i="5"/>
  <c r="AB216" i="4"/>
  <c r="AC215" i="4"/>
  <c r="AG217" i="4"/>
  <c r="AK215" i="4"/>
  <c r="AH216" i="4"/>
  <c r="AI215" i="4"/>
  <c r="AJ215" i="4" s="1"/>
  <c r="AK217" i="5" l="1"/>
  <c r="AH218" i="5"/>
  <c r="AI217" i="5"/>
  <c r="AJ217" i="5" s="1"/>
  <c r="AG222" i="5"/>
  <c r="AB220" i="5"/>
  <c r="AC219" i="5"/>
  <c r="AG218" i="4"/>
  <c r="AK216" i="4"/>
  <c r="AH217" i="4"/>
  <c r="AI216" i="4"/>
  <c r="AJ216" i="4" s="1"/>
  <c r="AC216" i="4"/>
  <c r="AB217" i="4"/>
  <c r="AK218" i="5" l="1"/>
  <c r="AH219" i="5"/>
  <c r="AI218" i="5"/>
  <c r="AJ218" i="5" s="1"/>
  <c r="AB221" i="5"/>
  <c r="AC220" i="5"/>
  <c r="AG223" i="5"/>
  <c r="AK217" i="4"/>
  <c r="AH218" i="4"/>
  <c r="AI218" i="4" s="1"/>
  <c r="AJ218" i="4" s="1"/>
  <c r="AB218" i="4"/>
  <c r="AC217" i="4"/>
  <c r="AG219" i="4"/>
  <c r="AI217" i="4"/>
  <c r="AJ217" i="4" s="1"/>
  <c r="AH220" i="5" l="1"/>
  <c r="AI219" i="5"/>
  <c r="AJ219" i="5" s="1"/>
  <c r="AK219" i="5"/>
  <c r="AG224" i="5"/>
  <c r="AB222" i="5"/>
  <c r="AC221" i="5"/>
  <c r="AC218" i="4"/>
  <c r="AB219" i="4"/>
  <c r="AG220" i="4"/>
  <c r="AK218" i="4"/>
  <c r="AH219" i="4"/>
  <c r="AI219" i="4" s="1"/>
  <c r="AJ219" i="4" s="1"/>
  <c r="AI220" i="5" l="1"/>
  <c r="AJ220" i="5" s="1"/>
  <c r="AK220" i="5"/>
  <c r="AH221" i="5"/>
  <c r="AG225" i="5"/>
  <c r="AB223" i="5"/>
  <c r="AC222" i="5"/>
  <c r="AG221" i="4"/>
  <c r="AB220" i="4"/>
  <c r="AC219" i="4"/>
  <c r="AK219" i="4"/>
  <c r="AH220" i="4"/>
  <c r="AH222" i="5" l="1"/>
  <c r="AI221" i="5"/>
  <c r="AJ221" i="5" s="1"/>
  <c r="AK221" i="5"/>
  <c r="AG226" i="5"/>
  <c r="AB224" i="5"/>
  <c r="AC223" i="5"/>
  <c r="AC220" i="4"/>
  <c r="AB221" i="4"/>
  <c r="AK220" i="4"/>
  <c r="AH221" i="4"/>
  <c r="AG222" i="4"/>
  <c r="AI220" i="4"/>
  <c r="AJ220" i="4" s="1"/>
  <c r="AI222" i="5" l="1"/>
  <c r="AJ222" i="5" s="1"/>
  <c r="AH223" i="5"/>
  <c r="AK222" i="5"/>
  <c r="AB225" i="5"/>
  <c r="AC224" i="5"/>
  <c r="AG227" i="5"/>
  <c r="AK221" i="4"/>
  <c r="AH222" i="4"/>
  <c r="AI222" i="4" s="1"/>
  <c r="AJ222" i="4" s="1"/>
  <c r="AG223" i="4"/>
  <c r="AB222" i="4"/>
  <c r="AC221" i="4"/>
  <c r="AI221" i="4"/>
  <c r="AJ221" i="4" s="1"/>
  <c r="AH224" i="5" l="1"/>
  <c r="AI223" i="5"/>
  <c r="AJ223" i="5" s="1"/>
  <c r="AK223" i="5"/>
  <c r="AG228" i="5"/>
  <c r="AB226" i="5"/>
  <c r="AC225" i="5"/>
  <c r="AG224" i="4"/>
  <c r="AK222" i="4"/>
  <c r="AH223" i="4"/>
  <c r="AC222" i="4"/>
  <c r="AB223" i="4"/>
  <c r="AI224" i="5" l="1"/>
  <c r="AJ224" i="5" s="1"/>
  <c r="AK224" i="5"/>
  <c r="AH225" i="5"/>
  <c r="AG229" i="5"/>
  <c r="AB227" i="5"/>
  <c r="AC226" i="5"/>
  <c r="AK223" i="4"/>
  <c r="AH224" i="4"/>
  <c r="AI224" i="4" s="1"/>
  <c r="AJ224" i="4" s="1"/>
  <c r="AG225" i="4"/>
  <c r="AB224" i="4"/>
  <c r="AC223" i="4"/>
  <c r="AI223" i="4"/>
  <c r="AJ223" i="4" s="1"/>
  <c r="AK225" i="5" l="1"/>
  <c r="AH226" i="5"/>
  <c r="AI225" i="5"/>
  <c r="AJ225" i="5" s="1"/>
  <c r="AB228" i="5"/>
  <c r="AC227" i="5"/>
  <c r="AG230" i="5"/>
  <c r="AG226" i="4"/>
  <c r="AK224" i="4"/>
  <c r="AH225" i="4"/>
  <c r="AC224" i="4"/>
  <c r="AB225" i="4"/>
  <c r="AK226" i="5" l="1"/>
  <c r="AH227" i="5"/>
  <c r="AI226" i="5"/>
  <c r="AJ226" i="5" s="1"/>
  <c r="AC228" i="5"/>
  <c r="AB229" i="5"/>
  <c r="AG231" i="5"/>
  <c r="AK225" i="4"/>
  <c r="AH226" i="4"/>
  <c r="AI226" i="4" s="1"/>
  <c r="AJ226" i="4" s="1"/>
  <c r="AC225" i="4"/>
  <c r="AB226" i="4"/>
  <c r="AG227" i="4"/>
  <c r="AI225" i="4"/>
  <c r="AJ225" i="4" s="1"/>
  <c r="AH228" i="5" l="1"/>
  <c r="AI227" i="5"/>
  <c r="AJ227" i="5" s="1"/>
  <c r="AK227" i="5"/>
  <c r="AC229" i="5"/>
  <c r="AB230" i="5"/>
  <c r="AG232" i="5"/>
  <c r="AG228" i="4"/>
  <c r="AB227" i="4"/>
  <c r="AC226" i="4"/>
  <c r="AK226" i="4"/>
  <c r="AH227" i="4"/>
  <c r="AK228" i="5" l="1"/>
  <c r="AI228" i="5"/>
  <c r="AJ228" i="5" s="1"/>
  <c r="AH229" i="5"/>
  <c r="AG233" i="5"/>
  <c r="AC230" i="5"/>
  <c r="AB231" i="5"/>
  <c r="AK227" i="4"/>
  <c r="AH228" i="4"/>
  <c r="AI228" i="4" s="1"/>
  <c r="AJ228" i="4" s="1"/>
  <c r="AC227" i="4"/>
  <c r="AB228" i="4"/>
  <c r="AG229" i="4"/>
  <c r="AI227" i="4"/>
  <c r="AJ227" i="4" s="1"/>
  <c r="AK229" i="5" l="1"/>
  <c r="AH230" i="5"/>
  <c r="AI229" i="5"/>
  <c r="AJ229" i="5" s="1"/>
  <c r="AC231" i="5"/>
  <c r="AB232" i="5"/>
  <c r="AG234" i="5"/>
  <c r="AB229" i="4"/>
  <c r="AC228" i="4"/>
  <c r="AG230" i="4"/>
  <c r="AK228" i="4"/>
  <c r="AH229" i="4"/>
  <c r="AI229" i="4" s="1"/>
  <c r="AJ229" i="4" s="1"/>
  <c r="AI230" i="5" l="1"/>
  <c r="AJ230" i="5" s="1"/>
  <c r="AH231" i="5"/>
  <c r="AK230" i="5"/>
  <c r="AC232" i="5"/>
  <c r="AB233" i="5"/>
  <c r="AG235" i="5"/>
  <c r="AG231" i="4"/>
  <c r="AH230" i="4"/>
  <c r="AK229" i="4"/>
  <c r="AC229" i="4"/>
  <c r="AB230" i="4"/>
  <c r="AK231" i="5" l="1"/>
  <c r="AI231" i="5"/>
  <c r="AJ231" i="5" s="1"/>
  <c r="AH232" i="5"/>
  <c r="AC233" i="5"/>
  <c r="AB234" i="5"/>
  <c r="AG236" i="5"/>
  <c r="AK230" i="4"/>
  <c r="AH231" i="4"/>
  <c r="AB231" i="4"/>
  <c r="AC230" i="4"/>
  <c r="AG232" i="4"/>
  <c r="AI230" i="4"/>
  <c r="AJ230" i="4" s="1"/>
  <c r="AK232" i="5" l="1"/>
  <c r="AI232" i="5"/>
  <c r="AJ232" i="5" s="1"/>
  <c r="AH233" i="5"/>
  <c r="AG237" i="5"/>
  <c r="AC234" i="5"/>
  <c r="AB235" i="5"/>
  <c r="AC231" i="4"/>
  <c r="AB232" i="4"/>
  <c r="AK231" i="4"/>
  <c r="AH232" i="4"/>
  <c r="AG233" i="4"/>
  <c r="AI231" i="4"/>
  <c r="AJ231" i="4" s="1"/>
  <c r="AH234" i="5" l="1"/>
  <c r="AK233" i="5"/>
  <c r="AI233" i="5"/>
  <c r="AJ233" i="5" s="1"/>
  <c r="AC235" i="5"/>
  <c r="AB236" i="5"/>
  <c r="AG238" i="5"/>
  <c r="AK232" i="4"/>
  <c r="AH233" i="4"/>
  <c r="AI233" i="4" s="1"/>
  <c r="AJ233" i="4" s="1"/>
  <c r="AI232" i="4"/>
  <c r="AJ232" i="4" s="1"/>
  <c r="AB233" i="4"/>
  <c r="AC232" i="4"/>
  <c r="AG234" i="4"/>
  <c r="AI234" i="5" l="1"/>
  <c r="AJ234" i="5" s="1"/>
  <c r="AK234" i="5"/>
  <c r="AH235" i="5"/>
  <c r="AG239" i="5"/>
  <c r="AC236" i="5"/>
  <c r="AB237" i="5"/>
  <c r="AC233" i="4"/>
  <c r="AB234" i="4"/>
  <c r="AG235" i="4"/>
  <c r="AK233" i="4"/>
  <c r="AH234" i="4"/>
  <c r="AI234" i="4" s="1"/>
  <c r="AJ234" i="4" s="1"/>
  <c r="AH236" i="5" l="1"/>
  <c r="AK235" i="5"/>
  <c r="AI235" i="5"/>
  <c r="AJ235" i="5" s="1"/>
  <c r="AC237" i="5"/>
  <c r="AB238" i="5"/>
  <c r="AG240" i="5"/>
  <c r="AG236" i="4"/>
  <c r="AB235" i="4"/>
  <c r="AC234" i="4"/>
  <c r="AK234" i="4"/>
  <c r="AH235" i="4"/>
  <c r="AH237" i="5" l="1"/>
  <c r="AI236" i="5"/>
  <c r="AJ236" i="5" s="1"/>
  <c r="AK236" i="5"/>
  <c r="AG241" i="5"/>
  <c r="AC238" i="5"/>
  <c r="AB239" i="5"/>
  <c r="AC235" i="4"/>
  <c r="AB236" i="4"/>
  <c r="AK235" i="4"/>
  <c r="AH236" i="4"/>
  <c r="AG237" i="4"/>
  <c r="AI235" i="4"/>
  <c r="AJ235" i="4" s="1"/>
  <c r="AH238" i="5" l="1"/>
  <c r="AK237" i="5"/>
  <c r="AI237" i="5"/>
  <c r="AJ237" i="5" s="1"/>
  <c r="AG242" i="5"/>
  <c r="AC239" i="5"/>
  <c r="AB240" i="5"/>
  <c r="AK236" i="4"/>
  <c r="AH237" i="4"/>
  <c r="AI237" i="4" s="1"/>
  <c r="AJ237" i="4" s="1"/>
  <c r="AG238" i="4"/>
  <c r="AB237" i="4"/>
  <c r="AC236" i="4"/>
  <c r="AI236" i="4"/>
  <c r="AJ236" i="4" s="1"/>
  <c r="AH239" i="5" l="1"/>
  <c r="AI238" i="5"/>
  <c r="AJ238" i="5" s="1"/>
  <c r="AK238" i="5"/>
  <c r="AC240" i="5"/>
  <c r="AB241" i="5"/>
  <c r="AG243" i="5"/>
  <c r="AG239" i="4"/>
  <c r="AK237" i="4"/>
  <c r="AH238" i="4"/>
  <c r="AC237" i="4"/>
  <c r="AB238" i="4"/>
  <c r="AI239" i="5" l="1"/>
  <c r="AJ239" i="5" s="1"/>
  <c r="AH240" i="5"/>
  <c r="AK239" i="5"/>
  <c r="AG244" i="5"/>
  <c r="AC241" i="5"/>
  <c r="AB242" i="5"/>
  <c r="AK238" i="4"/>
  <c r="AH239" i="4"/>
  <c r="AB239" i="4"/>
  <c r="AC238" i="4"/>
  <c r="AG240" i="4"/>
  <c r="AI238" i="4"/>
  <c r="AJ238" i="4" s="1"/>
  <c r="AH241" i="5" l="1"/>
  <c r="AI240" i="5"/>
  <c r="AJ240" i="5" s="1"/>
  <c r="AK240" i="5"/>
  <c r="AC242" i="5"/>
  <c r="AB243" i="5"/>
  <c r="AG245" i="5"/>
  <c r="AG241" i="4"/>
  <c r="AC239" i="4"/>
  <c r="AB240" i="4"/>
  <c r="AK239" i="4"/>
  <c r="AH240" i="4"/>
  <c r="AI239" i="4"/>
  <c r="AJ239" i="4" s="1"/>
  <c r="AH242" i="5" l="1"/>
  <c r="AK241" i="5"/>
  <c r="AI241" i="5"/>
  <c r="AJ241" i="5" s="1"/>
  <c r="AG246" i="5"/>
  <c r="AC243" i="5"/>
  <c r="AB244" i="5"/>
  <c r="AK240" i="4"/>
  <c r="AH241" i="4"/>
  <c r="AI241" i="4" s="1"/>
  <c r="AJ241" i="4" s="1"/>
  <c r="AB241" i="4"/>
  <c r="AC240" i="4"/>
  <c r="AG242" i="4"/>
  <c r="AI240" i="4"/>
  <c r="AJ240" i="4" s="1"/>
  <c r="AK242" i="5" l="1"/>
  <c r="AI242" i="5"/>
  <c r="AJ242" i="5" s="1"/>
  <c r="AH243" i="5"/>
  <c r="AG247" i="5"/>
  <c r="AC244" i="5"/>
  <c r="AB245" i="5"/>
  <c r="AC241" i="4"/>
  <c r="AB242" i="4"/>
  <c r="AG243" i="4"/>
  <c r="AK241" i="4"/>
  <c r="AH242" i="4"/>
  <c r="AI242" i="4" s="1"/>
  <c r="AJ242" i="4" s="1"/>
  <c r="AK243" i="5" l="1"/>
  <c r="AH244" i="5"/>
  <c r="AI243" i="5"/>
  <c r="AJ243" i="5" s="1"/>
  <c r="AC245" i="5"/>
  <c r="AB246" i="5"/>
  <c r="AG248" i="5"/>
  <c r="AG244" i="4"/>
  <c r="AK242" i="4"/>
  <c r="AH243" i="4"/>
  <c r="AB243" i="4"/>
  <c r="AC242" i="4"/>
  <c r="AK244" i="5" l="1"/>
  <c r="AH245" i="5"/>
  <c r="AI244" i="5"/>
  <c r="AJ244" i="5" s="1"/>
  <c r="AG249" i="5"/>
  <c r="AC246" i="5"/>
  <c r="AB247" i="5"/>
  <c r="AK243" i="4"/>
  <c r="AH244" i="4"/>
  <c r="AI244" i="4" s="1"/>
  <c r="AJ244" i="4" s="1"/>
  <c r="AG245" i="4"/>
  <c r="AC243" i="4"/>
  <c r="AB244" i="4"/>
  <c r="AI243" i="4"/>
  <c r="AJ243" i="4" s="1"/>
  <c r="AH246" i="5" l="1"/>
  <c r="AK245" i="5"/>
  <c r="AI245" i="5"/>
  <c r="AJ245" i="5" s="1"/>
  <c r="AC247" i="5"/>
  <c r="AB248" i="5"/>
  <c r="AG250" i="5"/>
  <c r="AG246" i="4"/>
  <c r="AB245" i="4"/>
  <c r="AC244" i="4"/>
  <c r="AK244" i="4"/>
  <c r="AH245" i="4"/>
  <c r="AH247" i="5" l="1"/>
  <c r="AI246" i="5"/>
  <c r="AJ246" i="5" s="1"/>
  <c r="AK246" i="5"/>
  <c r="AG251" i="5"/>
  <c r="AC248" i="5"/>
  <c r="AB249" i="5"/>
  <c r="AG247" i="4"/>
  <c r="AC245" i="4"/>
  <c r="AB246" i="4"/>
  <c r="AK245" i="4"/>
  <c r="AH246" i="4"/>
  <c r="AI245" i="4"/>
  <c r="AJ245" i="4" s="1"/>
  <c r="AI247" i="5" l="1"/>
  <c r="AJ247" i="5" s="1"/>
  <c r="AK247" i="5"/>
  <c r="AH248" i="5"/>
  <c r="AC249" i="5"/>
  <c r="AB250" i="5"/>
  <c r="AG252" i="5"/>
  <c r="AB247" i="4"/>
  <c r="AC246" i="4"/>
  <c r="AG248" i="4"/>
  <c r="AK246" i="4"/>
  <c r="AH247" i="4"/>
  <c r="AI246" i="4"/>
  <c r="AJ246" i="4" s="1"/>
  <c r="AK248" i="5" l="1"/>
  <c r="AH249" i="5"/>
  <c r="AI248" i="5"/>
  <c r="AJ248" i="5" s="1"/>
  <c r="AG253" i="5"/>
  <c r="AC250" i="5"/>
  <c r="AB251" i="5"/>
  <c r="AG249" i="4"/>
  <c r="AK247" i="4"/>
  <c r="AH248" i="4"/>
  <c r="AI247" i="4"/>
  <c r="AJ247" i="4" s="1"/>
  <c r="AC247" i="4"/>
  <c r="AB248" i="4"/>
  <c r="AH250" i="5" l="1"/>
  <c r="AI249" i="5"/>
  <c r="AJ249" i="5" s="1"/>
  <c r="AK249" i="5"/>
  <c r="AC251" i="5"/>
  <c r="AB252" i="5"/>
  <c r="AG254" i="5"/>
  <c r="AK248" i="4"/>
  <c r="AH249" i="4"/>
  <c r="AI249" i="4" s="1"/>
  <c r="AJ249" i="4" s="1"/>
  <c r="AG250" i="4"/>
  <c r="AB249" i="4"/>
  <c r="AC248" i="4"/>
  <c r="AI248" i="4"/>
  <c r="AJ248" i="4" s="1"/>
  <c r="AH251" i="5" l="1"/>
  <c r="AI250" i="5"/>
  <c r="AJ250" i="5" s="1"/>
  <c r="AK250" i="5"/>
  <c r="AG255" i="5"/>
  <c r="AC252" i="5"/>
  <c r="AB253" i="5"/>
  <c r="AG251" i="4"/>
  <c r="AK249" i="4"/>
  <c r="AH250" i="4"/>
  <c r="AC249" i="4"/>
  <c r="AB250" i="4"/>
  <c r="AH252" i="5" l="1"/>
  <c r="AI251" i="5"/>
  <c r="AJ251" i="5" s="1"/>
  <c r="AK251" i="5"/>
  <c r="AC253" i="5"/>
  <c r="AB254" i="5"/>
  <c r="AG256" i="5"/>
  <c r="AK250" i="4"/>
  <c r="AH251" i="4"/>
  <c r="AI251" i="4" s="1"/>
  <c r="AJ251" i="4" s="1"/>
  <c r="AC250" i="4"/>
  <c r="AB251" i="4"/>
  <c r="AG252" i="4"/>
  <c r="AI250" i="4"/>
  <c r="AJ250" i="4" s="1"/>
  <c r="AK252" i="5" l="1"/>
  <c r="AH253" i="5"/>
  <c r="AI252" i="5"/>
  <c r="AJ252" i="5" s="1"/>
  <c r="AC254" i="5"/>
  <c r="AB255" i="5"/>
  <c r="AG257" i="5"/>
  <c r="AK251" i="4"/>
  <c r="AH252" i="4"/>
  <c r="AI252" i="4" s="1"/>
  <c r="AJ252" i="4" s="1"/>
  <c r="AB252" i="4"/>
  <c r="AC251" i="4"/>
  <c r="AG253" i="4"/>
  <c r="AH254" i="5" l="1"/>
  <c r="AI253" i="5"/>
  <c r="AJ253" i="5" s="1"/>
  <c r="AK253" i="5"/>
  <c r="AG258" i="5"/>
  <c r="AC255" i="5"/>
  <c r="AB256" i="5"/>
  <c r="AC252" i="4"/>
  <c r="AB253" i="4"/>
  <c r="AK252" i="4"/>
  <c r="AH253" i="4"/>
  <c r="AG254" i="4"/>
  <c r="AK254" i="5" l="1"/>
  <c r="AH255" i="5"/>
  <c r="AI254" i="5"/>
  <c r="AJ254" i="5" s="1"/>
  <c r="AC256" i="5"/>
  <c r="AB257" i="5"/>
  <c r="AG259" i="5"/>
  <c r="AK253" i="4"/>
  <c r="AH254" i="4"/>
  <c r="AI254" i="4" s="1"/>
  <c r="AJ254" i="4" s="1"/>
  <c r="AG255" i="4"/>
  <c r="AB254" i="4"/>
  <c r="AC253" i="4"/>
  <c r="AI253" i="4"/>
  <c r="AJ253" i="4" s="1"/>
  <c r="AH256" i="5" l="1"/>
  <c r="AI255" i="5"/>
  <c r="AJ255" i="5" s="1"/>
  <c r="AK255" i="5"/>
  <c r="AG260" i="5"/>
  <c r="AC257" i="5"/>
  <c r="AB258" i="5"/>
  <c r="AH255" i="4"/>
  <c r="AI255" i="4" s="1"/>
  <c r="AJ255" i="4" s="1"/>
  <c r="AK254" i="4"/>
  <c r="AG256" i="4"/>
  <c r="AC254" i="4"/>
  <c r="AB255" i="4"/>
  <c r="AK256" i="5" l="1"/>
  <c r="AH257" i="5"/>
  <c r="AI256" i="5"/>
  <c r="AJ256" i="5" s="1"/>
  <c r="AC258" i="5"/>
  <c r="AB259" i="5"/>
  <c r="AG261" i="5"/>
  <c r="AG257" i="4"/>
  <c r="AC255" i="4"/>
  <c r="AB256" i="4"/>
  <c r="AK255" i="4"/>
  <c r="AH256" i="4"/>
  <c r="AH258" i="5" l="1"/>
  <c r="AI257" i="5"/>
  <c r="AJ257" i="5" s="1"/>
  <c r="AK257" i="5"/>
  <c r="AC259" i="5"/>
  <c r="AB260" i="5"/>
  <c r="AG262" i="5"/>
  <c r="AC256" i="4"/>
  <c r="AB257" i="4"/>
  <c r="AK256" i="4"/>
  <c r="AH257" i="4"/>
  <c r="AG258" i="4"/>
  <c r="AI256" i="4"/>
  <c r="AJ256" i="4" s="1"/>
  <c r="AI258" i="5" l="1"/>
  <c r="AJ258" i="5" s="1"/>
  <c r="AK258" i="5"/>
  <c r="AH259" i="5"/>
  <c r="AG263" i="5"/>
  <c r="AC260" i="5"/>
  <c r="AB261" i="5"/>
  <c r="AK257" i="4"/>
  <c r="AH258" i="4"/>
  <c r="AI258" i="4" s="1"/>
  <c r="AJ258" i="4" s="1"/>
  <c r="AI257" i="4"/>
  <c r="AJ257" i="4" s="1"/>
  <c r="AB258" i="4"/>
  <c r="AC257" i="4"/>
  <c r="AG259" i="4"/>
  <c r="AI259" i="5" l="1"/>
  <c r="AJ259" i="5" s="1"/>
  <c r="AK259" i="5"/>
  <c r="AH260" i="5"/>
  <c r="AC261" i="5"/>
  <c r="AB262" i="5"/>
  <c r="AG264" i="5"/>
  <c r="AK258" i="4"/>
  <c r="AH259" i="4"/>
  <c r="AI259" i="4" s="1"/>
  <c r="AJ259" i="4" s="1"/>
  <c r="AC258" i="4"/>
  <c r="AB259" i="4"/>
  <c r="AG260" i="4"/>
  <c r="AH261" i="5" l="1"/>
  <c r="AI260" i="5"/>
  <c r="AJ260" i="5" s="1"/>
  <c r="AK260" i="5"/>
  <c r="AG265" i="5"/>
  <c r="AC262" i="5"/>
  <c r="AB263" i="5"/>
  <c r="AB260" i="4"/>
  <c r="AC259" i="4"/>
  <c r="AG261" i="4"/>
  <c r="AK259" i="4"/>
  <c r="AH260" i="4"/>
  <c r="AI260" i="4" s="1"/>
  <c r="AJ260" i="4" s="1"/>
  <c r="AH262" i="5" l="1"/>
  <c r="AI261" i="5"/>
  <c r="AJ261" i="5" s="1"/>
  <c r="AK261" i="5"/>
  <c r="AC263" i="5"/>
  <c r="AB264" i="5"/>
  <c r="AG266" i="5"/>
  <c r="AG262" i="4"/>
  <c r="AK260" i="4"/>
  <c r="AH261" i="4"/>
  <c r="AC260" i="4"/>
  <c r="AB261" i="4"/>
  <c r="AK262" i="5" l="1"/>
  <c r="AH263" i="5"/>
  <c r="AI262" i="5"/>
  <c r="AJ262" i="5" s="1"/>
  <c r="AC264" i="5"/>
  <c r="AB265" i="5"/>
  <c r="AG267" i="5"/>
  <c r="AB262" i="4"/>
  <c r="AC261" i="4"/>
  <c r="AG263" i="4"/>
  <c r="AK261" i="4"/>
  <c r="AH262" i="4"/>
  <c r="AI262" i="4" s="1"/>
  <c r="AJ262" i="4" s="1"/>
  <c r="AI261" i="4"/>
  <c r="AJ261" i="4" s="1"/>
  <c r="AH264" i="5" l="1"/>
  <c r="AI263" i="5"/>
  <c r="AJ263" i="5" s="1"/>
  <c r="AK263" i="5"/>
  <c r="AG268" i="5"/>
  <c r="AC265" i="5"/>
  <c r="AB266" i="5"/>
  <c r="AG264" i="4"/>
  <c r="AK262" i="4"/>
  <c r="AH263" i="4"/>
  <c r="AC262" i="4"/>
  <c r="AB263" i="4"/>
  <c r="AI264" i="5" l="1"/>
  <c r="AJ264" i="5" s="1"/>
  <c r="AK264" i="5"/>
  <c r="AH265" i="5"/>
  <c r="AC266" i="5"/>
  <c r="AB267" i="5"/>
  <c r="AG269" i="5"/>
  <c r="AK263" i="4"/>
  <c r="AH264" i="4"/>
  <c r="AB264" i="4"/>
  <c r="AC263" i="4"/>
  <c r="AG265" i="4"/>
  <c r="AI263" i="4"/>
  <c r="AJ263" i="4" s="1"/>
  <c r="AK265" i="5" l="1"/>
  <c r="AH266" i="5"/>
  <c r="AI265" i="5"/>
  <c r="AJ265" i="5" s="1"/>
  <c r="AG270" i="5"/>
  <c r="AC267" i="5"/>
  <c r="AB268" i="5"/>
  <c r="AC264" i="4"/>
  <c r="AB265" i="4"/>
  <c r="AG266" i="4"/>
  <c r="AK264" i="4"/>
  <c r="AH265" i="4"/>
  <c r="AI265" i="4" s="1"/>
  <c r="AJ265" i="4" s="1"/>
  <c r="AI264" i="4"/>
  <c r="AJ264" i="4" s="1"/>
  <c r="AK266" i="5" l="1"/>
  <c r="AH267" i="5"/>
  <c r="AI266" i="5"/>
  <c r="AJ266" i="5" s="1"/>
  <c r="AC268" i="5"/>
  <c r="AB269" i="5"/>
  <c r="AG271" i="5"/>
  <c r="AK265" i="4"/>
  <c r="AH266" i="4"/>
  <c r="AI266" i="4" s="1"/>
  <c r="AJ266" i="4" s="1"/>
  <c r="AG267" i="4"/>
  <c r="AB266" i="4"/>
  <c r="AC265" i="4"/>
  <c r="AH268" i="5" l="1"/>
  <c r="AI267" i="5"/>
  <c r="AJ267" i="5" s="1"/>
  <c r="AK267" i="5"/>
  <c r="AG272" i="5"/>
  <c r="AC269" i="5"/>
  <c r="AB270" i="5"/>
  <c r="AG268" i="4"/>
  <c r="AK266" i="4"/>
  <c r="AH267" i="4"/>
  <c r="AC266" i="4"/>
  <c r="AB267" i="4"/>
  <c r="AH269" i="5" l="1"/>
  <c r="AI268" i="5"/>
  <c r="AJ268" i="5" s="1"/>
  <c r="AK268" i="5"/>
  <c r="AC270" i="5"/>
  <c r="AB271" i="5"/>
  <c r="AG273" i="5"/>
  <c r="AK267" i="4"/>
  <c r="AH268" i="4"/>
  <c r="AB268" i="4"/>
  <c r="AC267" i="4"/>
  <c r="AI267" i="4"/>
  <c r="AJ267" i="4" s="1"/>
  <c r="AG269" i="4"/>
  <c r="AK269" i="5" l="1"/>
  <c r="AH270" i="5"/>
  <c r="AI269" i="5"/>
  <c r="AJ269" i="5" s="1"/>
  <c r="AG274" i="5"/>
  <c r="AC271" i="5"/>
  <c r="AB272" i="5"/>
  <c r="AC268" i="4"/>
  <c r="AB269" i="4"/>
  <c r="AK268" i="4"/>
  <c r="AH269" i="4"/>
  <c r="AG270" i="4"/>
  <c r="AI268" i="4"/>
  <c r="AJ268" i="4" s="1"/>
  <c r="AH271" i="5" l="1"/>
  <c r="AI270" i="5"/>
  <c r="AJ270" i="5" s="1"/>
  <c r="AK270" i="5"/>
  <c r="AC272" i="5"/>
  <c r="AB273" i="5"/>
  <c r="AG275" i="5"/>
  <c r="AK269" i="4"/>
  <c r="AH270" i="4"/>
  <c r="AI270" i="4" s="1"/>
  <c r="AJ270" i="4" s="1"/>
  <c r="AB270" i="4"/>
  <c r="AC269" i="4"/>
  <c r="AG271" i="4"/>
  <c r="AI269" i="4"/>
  <c r="AJ269" i="4" s="1"/>
  <c r="AK271" i="5" l="1"/>
  <c r="AH272" i="5"/>
  <c r="AI271" i="5"/>
  <c r="AJ271" i="5" s="1"/>
  <c r="AG276" i="5"/>
  <c r="AC273" i="5"/>
  <c r="AB274" i="5"/>
  <c r="AC270" i="4"/>
  <c r="AB271" i="4"/>
  <c r="AK270" i="4"/>
  <c r="AH271" i="4"/>
  <c r="AG272" i="4"/>
  <c r="AH273" i="5" l="1"/>
  <c r="AI272" i="5"/>
  <c r="AJ272" i="5" s="1"/>
  <c r="AK272" i="5"/>
  <c r="AG277" i="5"/>
  <c r="AC274" i="5"/>
  <c r="AB275" i="5"/>
  <c r="AK271" i="4"/>
  <c r="AH272" i="4"/>
  <c r="AB272" i="4"/>
  <c r="AC271" i="4"/>
  <c r="AG273" i="4"/>
  <c r="AI271" i="4"/>
  <c r="AJ271" i="4" s="1"/>
  <c r="AH274" i="5" l="1"/>
  <c r="AI273" i="5"/>
  <c r="AJ273" i="5" s="1"/>
  <c r="AK273" i="5"/>
  <c r="AG278" i="5"/>
  <c r="AC275" i="5"/>
  <c r="AB276" i="5"/>
  <c r="AC272" i="4"/>
  <c r="AB273" i="4"/>
  <c r="AG274" i="4"/>
  <c r="AK272" i="4"/>
  <c r="AH273" i="4"/>
  <c r="AI272" i="4"/>
  <c r="AJ272" i="4" s="1"/>
  <c r="AI274" i="5" l="1"/>
  <c r="AJ274" i="5" s="1"/>
  <c r="AH275" i="5"/>
  <c r="AK274" i="5"/>
  <c r="AC276" i="5"/>
  <c r="AB277" i="5"/>
  <c r="AG279" i="5"/>
  <c r="AG275" i="4"/>
  <c r="AK273" i="4"/>
  <c r="AH274" i="4"/>
  <c r="AI273" i="4"/>
  <c r="AJ273" i="4" s="1"/>
  <c r="AB274" i="4"/>
  <c r="AC273" i="4"/>
  <c r="AI275" i="5" l="1"/>
  <c r="AJ275" i="5" s="1"/>
  <c r="AK275" i="5"/>
  <c r="AH276" i="5"/>
  <c r="AC277" i="5"/>
  <c r="AB278" i="5"/>
  <c r="AG280" i="5"/>
  <c r="AK274" i="4"/>
  <c r="AH275" i="4"/>
  <c r="AI275" i="4" s="1"/>
  <c r="AJ275" i="4" s="1"/>
  <c r="AC274" i="4"/>
  <c r="AB275" i="4"/>
  <c r="AI274" i="4"/>
  <c r="AJ274" i="4" s="1"/>
  <c r="AG276" i="4"/>
  <c r="AK276" i="5" l="1"/>
  <c r="AH277" i="5"/>
  <c r="AI276" i="5"/>
  <c r="AJ276" i="5" s="1"/>
  <c r="AG281" i="5"/>
  <c r="AC278" i="5"/>
  <c r="AB279" i="5"/>
  <c r="AB276" i="4"/>
  <c r="AC275" i="4"/>
  <c r="AG277" i="4"/>
  <c r="AK275" i="4"/>
  <c r="AH276" i="4"/>
  <c r="AI276" i="4" s="1"/>
  <c r="AJ276" i="4" s="1"/>
  <c r="AH278" i="5" l="1"/>
  <c r="AI277" i="5"/>
  <c r="AJ277" i="5" s="1"/>
  <c r="AK277" i="5"/>
  <c r="AC279" i="5"/>
  <c r="AB280" i="5"/>
  <c r="AG282" i="5"/>
  <c r="AG278" i="4"/>
  <c r="AK276" i="4"/>
  <c r="AH277" i="4"/>
  <c r="AC276" i="4"/>
  <c r="AB277" i="4"/>
  <c r="AI278" i="5" l="1"/>
  <c r="AJ278" i="5" s="1"/>
  <c r="AK278" i="5"/>
  <c r="AH279" i="5"/>
  <c r="AG283" i="5"/>
  <c r="AC280" i="5"/>
  <c r="AB281" i="5"/>
  <c r="AK277" i="4"/>
  <c r="AH278" i="4"/>
  <c r="AB278" i="4"/>
  <c r="AC277" i="4"/>
  <c r="AG279" i="4"/>
  <c r="AI277" i="4"/>
  <c r="AJ277" i="4" s="1"/>
  <c r="AK279" i="5" l="1"/>
  <c r="AH280" i="5"/>
  <c r="AI279" i="5"/>
  <c r="AJ279" i="5" s="1"/>
  <c r="AC281" i="5"/>
  <c r="AB282" i="5"/>
  <c r="AG284" i="5"/>
  <c r="AK278" i="4"/>
  <c r="AH279" i="4"/>
  <c r="AC278" i="4"/>
  <c r="AB279" i="4"/>
  <c r="AI278" i="4"/>
  <c r="AJ278" i="4" s="1"/>
  <c r="AG280" i="4"/>
  <c r="AH281" i="5" l="1"/>
  <c r="AI280" i="5"/>
  <c r="AJ280" i="5" s="1"/>
  <c r="AK280" i="5"/>
  <c r="AG285" i="5"/>
  <c r="AC282" i="5"/>
  <c r="AB283" i="5"/>
  <c r="AC279" i="4"/>
  <c r="AB280" i="4"/>
  <c r="AG281" i="4"/>
  <c r="AK279" i="4"/>
  <c r="AH280" i="4"/>
  <c r="AI279" i="4"/>
  <c r="AJ279" i="4" s="1"/>
  <c r="AH282" i="5" l="1"/>
  <c r="AI281" i="5"/>
  <c r="AJ281" i="5" s="1"/>
  <c r="AK281" i="5"/>
  <c r="AG286" i="5"/>
  <c r="AB284" i="5"/>
  <c r="AC283" i="5"/>
  <c r="AG282" i="4"/>
  <c r="AK280" i="4"/>
  <c r="AH281" i="4"/>
  <c r="AI280" i="4"/>
  <c r="AJ280" i="4" s="1"/>
  <c r="AB281" i="4"/>
  <c r="AC280" i="4"/>
  <c r="AI282" i="5" l="1"/>
  <c r="AJ282" i="5" s="1"/>
  <c r="AK282" i="5"/>
  <c r="AH283" i="5"/>
  <c r="AB285" i="5"/>
  <c r="AC284" i="5"/>
  <c r="AG287" i="5"/>
  <c r="AK281" i="4"/>
  <c r="AH282" i="4"/>
  <c r="AI282" i="4" s="1"/>
  <c r="AJ282" i="4" s="1"/>
  <c r="AI281" i="4"/>
  <c r="AJ281" i="4" s="1"/>
  <c r="AC281" i="4"/>
  <c r="AB282" i="4"/>
  <c r="AG283" i="4"/>
  <c r="AK283" i="5" l="1"/>
  <c r="AI283" i="5"/>
  <c r="AJ283" i="5" s="1"/>
  <c r="AH284" i="5"/>
  <c r="AG288" i="5"/>
  <c r="AC285" i="5"/>
  <c r="AB286" i="5"/>
  <c r="AG284" i="4"/>
  <c r="AK282" i="4"/>
  <c r="AH283" i="4"/>
  <c r="AB283" i="4"/>
  <c r="AC282" i="4"/>
  <c r="AK284" i="5" l="1"/>
  <c r="AH285" i="5"/>
  <c r="AI284" i="5"/>
  <c r="AJ284" i="5" s="1"/>
  <c r="AC286" i="5"/>
  <c r="AB287" i="5"/>
  <c r="AG289" i="5"/>
  <c r="AK283" i="4"/>
  <c r="AH284" i="4"/>
  <c r="AI284" i="4" s="1"/>
  <c r="AJ284" i="4" s="1"/>
  <c r="AG285" i="4"/>
  <c r="AC283" i="4"/>
  <c r="AB284" i="4"/>
  <c r="AI283" i="4"/>
  <c r="AJ283" i="4" s="1"/>
  <c r="AH286" i="5" l="1"/>
  <c r="AI285" i="5"/>
  <c r="AJ285" i="5" s="1"/>
  <c r="AK285" i="5"/>
  <c r="AG290" i="5"/>
  <c r="AB288" i="5"/>
  <c r="AC287" i="5"/>
  <c r="AG286" i="4"/>
  <c r="AK284" i="4"/>
  <c r="AH285" i="4"/>
  <c r="AB285" i="4"/>
  <c r="AC284" i="4"/>
  <c r="AK286" i="5" l="1"/>
  <c r="AH287" i="5"/>
  <c r="AI286" i="5"/>
  <c r="AJ286" i="5" s="1"/>
  <c r="AG291" i="5"/>
  <c r="AB289" i="5"/>
  <c r="AC288" i="5"/>
  <c r="AK285" i="4"/>
  <c r="AH286" i="4"/>
  <c r="AI286" i="4" s="1"/>
  <c r="AJ286" i="4" s="1"/>
  <c r="AG287" i="4"/>
  <c r="AC285" i="4"/>
  <c r="AB286" i="4"/>
  <c r="AI285" i="4"/>
  <c r="AJ285" i="4" s="1"/>
  <c r="AH288" i="5" l="1"/>
  <c r="AI287" i="5"/>
  <c r="AJ287" i="5" s="1"/>
  <c r="AK287" i="5"/>
  <c r="AC289" i="5"/>
  <c r="AB290" i="5"/>
  <c r="AG292" i="5"/>
  <c r="AG288" i="4"/>
  <c r="AB287" i="4"/>
  <c r="AC286" i="4"/>
  <c r="AK286" i="4"/>
  <c r="AH287" i="4"/>
  <c r="AH289" i="5" l="1"/>
  <c r="AI288" i="5"/>
  <c r="AJ288" i="5" s="1"/>
  <c r="AK288" i="5"/>
  <c r="AG293" i="5"/>
  <c r="AC290" i="5"/>
  <c r="AB291" i="5"/>
  <c r="AC287" i="4"/>
  <c r="AB288" i="4"/>
  <c r="AK287" i="4"/>
  <c r="AH288" i="4"/>
  <c r="AG289" i="4"/>
  <c r="AI287" i="4"/>
  <c r="AJ287" i="4" s="1"/>
  <c r="AK289" i="5" l="1"/>
  <c r="AH290" i="5"/>
  <c r="AI289" i="5"/>
  <c r="AJ289" i="5" s="1"/>
  <c r="AB292" i="5"/>
  <c r="AC291" i="5"/>
  <c r="AG294" i="5"/>
  <c r="AK288" i="4"/>
  <c r="AH289" i="4"/>
  <c r="AI289" i="4" s="1"/>
  <c r="AJ289" i="4" s="1"/>
  <c r="AG290" i="4"/>
  <c r="AB289" i="4"/>
  <c r="AC288" i="4"/>
  <c r="AI288" i="4"/>
  <c r="AJ288" i="4" s="1"/>
  <c r="AI290" i="5" l="1"/>
  <c r="AJ290" i="5" s="1"/>
  <c r="AH291" i="5"/>
  <c r="AK290" i="5"/>
  <c r="AG295" i="5"/>
  <c r="AC292" i="5"/>
  <c r="AB293" i="5"/>
  <c r="AG291" i="4"/>
  <c r="AK289" i="4"/>
  <c r="AH290" i="4"/>
  <c r="AC289" i="4"/>
  <c r="AB290" i="4"/>
  <c r="AI291" i="5" l="1"/>
  <c r="AJ291" i="5" s="1"/>
  <c r="AK291" i="5"/>
  <c r="AH292" i="5"/>
  <c r="AB294" i="5"/>
  <c r="AC293" i="5"/>
  <c r="AG296" i="5"/>
  <c r="AK290" i="4"/>
  <c r="AH291" i="4"/>
  <c r="AI290" i="4"/>
  <c r="AJ290" i="4" s="1"/>
  <c r="AC290" i="4"/>
  <c r="AB291" i="4"/>
  <c r="AG292" i="4"/>
  <c r="AH293" i="5" l="1"/>
  <c r="AI292" i="5"/>
  <c r="AJ292" i="5" s="1"/>
  <c r="AK292" i="5"/>
  <c r="AC294" i="5"/>
  <c r="AB295" i="5"/>
  <c r="AG297" i="5"/>
  <c r="AG293" i="4"/>
  <c r="AK291" i="4"/>
  <c r="AH292" i="4"/>
  <c r="AI291" i="4"/>
  <c r="AJ291" i="4" s="1"/>
  <c r="AC291" i="4"/>
  <c r="AB292" i="4"/>
  <c r="AH294" i="5" l="1"/>
  <c r="AI293" i="5"/>
  <c r="AJ293" i="5" s="1"/>
  <c r="AK293" i="5"/>
  <c r="AG298" i="5"/>
  <c r="AC295" i="5"/>
  <c r="AB296" i="5"/>
  <c r="AK292" i="4"/>
  <c r="AH293" i="4"/>
  <c r="AB293" i="4"/>
  <c r="AC292" i="4"/>
  <c r="AG294" i="4"/>
  <c r="AI292" i="4"/>
  <c r="AJ292" i="4" s="1"/>
  <c r="AI294" i="5" l="1"/>
  <c r="AJ294" i="5" s="1"/>
  <c r="AK294" i="5"/>
  <c r="AH295" i="5"/>
  <c r="AC296" i="5"/>
  <c r="AB297" i="5"/>
  <c r="AG299" i="5"/>
  <c r="AC293" i="4"/>
  <c r="AB294" i="4"/>
  <c r="AH294" i="4"/>
  <c r="AK293" i="4"/>
  <c r="AG295" i="4"/>
  <c r="AI293" i="4"/>
  <c r="AJ293" i="4" s="1"/>
  <c r="AI295" i="5" l="1"/>
  <c r="AJ295" i="5" s="1"/>
  <c r="AK295" i="5"/>
  <c r="AH296" i="5"/>
  <c r="AG300" i="5"/>
  <c r="AC297" i="5"/>
  <c r="AB298" i="5"/>
  <c r="AK294" i="4"/>
  <c r="AH295" i="4"/>
  <c r="AI295" i="4" s="1"/>
  <c r="AJ295" i="4" s="1"/>
  <c r="AB295" i="4"/>
  <c r="AC294" i="4"/>
  <c r="AI294" i="4"/>
  <c r="AJ294" i="4" s="1"/>
  <c r="AG296" i="4"/>
  <c r="AK296" i="5" l="1"/>
  <c r="AH297" i="5"/>
  <c r="AI296" i="5"/>
  <c r="AJ296" i="5" s="1"/>
  <c r="AG301" i="5"/>
  <c r="AC298" i="5"/>
  <c r="AB299" i="5"/>
  <c r="AC295" i="4"/>
  <c r="AB296" i="4"/>
  <c r="AG297" i="4"/>
  <c r="AK295" i="4"/>
  <c r="AH296" i="4"/>
  <c r="AI296" i="4" s="1"/>
  <c r="AJ296" i="4" s="1"/>
  <c r="AH298" i="5" l="1"/>
  <c r="AI297" i="5"/>
  <c r="AJ297" i="5" s="1"/>
  <c r="AK297" i="5"/>
  <c r="AC299" i="5"/>
  <c r="AB300" i="5"/>
  <c r="AG302" i="5"/>
  <c r="AK296" i="4"/>
  <c r="AH297" i="4"/>
  <c r="AI297" i="4" s="1"/>
  <c r="AJ297" i="4" s="1"/>
  <c r="AG298" i="4"/>
  <c r="AB297" i="4"/>
  <c r="AC296" i="4"/>
  <c r="AK298" i="5" l="1"/>
  <c r="AH299" i="5"/>
  <c r="AI298" i="5"/>
  <c r="AJ298" i="5" s="1"/>
  <c r="AC300" i="5"/>
  <c r="AB301" i="5"/>
  <c r="AG303" i="5"/>
  <c r="AG299" i="4"/>
  <c r="AK297" i="4"/>
  <c r="AH298" i="4"/>
  <c r="AC297" i="4"/>
  <c r="AB298" i="4"/>
  <c r="AK299" i="5" l="1"/>
  <c r="AH300" i="5"/>
  <c r="AI299" i="5"/>
  <c r="AJ299" i="5" s="1"/>
  <c r="AG304" i="5"/>
  <c r="AC301" i="5"/>
  <c r="AB302" i="5"/>
  <c r="AK298" i="4"/>
  <c r="AH299" i="4"/>
  <c r="AI298" i="4"/>
  <c r="AJ298" i="4" s="1"/>
  <c r="AB299" i="4"/>
  <c r="AC298" i="4"/>
  <c r="AG300" i="4"/>
  <c r="AH301" i="5" l="1"/>
  <c r="AI300" i="5"/>
  <c r="AJ300" i="5" s="1"/>
  <c r="AK300" i="5"/>
  <c r="AG305" i="5"/>
  <c r="AC302" i="5"/>
  <c r="AB303" i="5"/>
  <c r="AC299" i="4"/>
  <c r="AB300" i="4"/>
  <c r="AK299" i="4"/>
  <c r="AH300" i="4"/>
  <c r="AG301" i="4"/>
  <c r="AI299" i="4"/>
  <c r="AJ299" i="4" s="1"/>
  <c r="AH302" i="5" l="1"/>
  <c r="AI301" i="5"/>
  <c r="AJ301" i="5" s="1"/>
  <c r="AK301" i="5"/>
  <c r="AC303" i="5"/>
  <c r="AB304" i="5"/>
  <c r="AG306" i="5"/>
  <c r="AK300" i="4"/>
  <c r="AH301" i="4"/>
  <c r="AI301" i="4" s="1"/>
  <c r="AJ301" i="4" s="1"/>
  <c r="AG302" i="4"/>
  <c r="AB301" i="4"/>
  <c r="AC300" i="4"/>
  <c r="AI300" i="4"/>
  <c r="AJ300" i="4" s="1"/>
  <c r="AI302" i="5" l="1"/>
  <c r="AJ302" i="5" s="1"/>
  <c r="AK302" i="5"/>
  <c r="AH303" i="5"/>
  <c r="AG307" i="5"/>
  <c r="AC304" i="5"/>
  <c r="AB305" i="5"/>
  <c r="AG303" i="4"/>
  <c r="AK301" i="4"/>
  <c r="AH302" i="4"/>
  <c r="AC301" i="4"/>
  <c r="AB302" i="4"/>
  <c r="AI303" i="5" l="1"/>
  <c r="AJ303" i="5" s="1"/>
  <c r="AK303" i="5"/>
  <c r="AH304" i="5"/>
  <c r="AG308" i="5"/>
  <c r="AC305" i="5"/>
  <c r="AB306" i="5"/>
  <c r="AK302" i="4"/>
  <c r="AH303" i="4"/>
  <c r="AI303" i="4" s="1"/>
  <c r="AJ303" i="4" s="1"/>
  <c r="AB303" i="4"/>
  <c r="AC302" i="4"/>
  <c r="AI302" i="4"/>
  <c r="AJ302" i="4" s="1"/>
  <c r="AG304" i="4"/>
  <c r="AK304" i="5" l="1"/>
  <c r="AH305" i="5"/>
  <c r="AI304" i="5"/>
  <c r="AJ304" i="5" s="1"/>
  <c r="AG309" i="5"/>
  <c r="AC306" i="5"/>
  <c r="AB307" i="5"/>
  <c r="AG305" i="4"/>
  <c r="AC303" i="4"/>
  <c r="AB304" i="4"/>
  <c r="AK303" i="4"/>
  <c r="AH304" i="4"/>
  <c r="AH306" i="5" l="1"/>
  <c r="AI305" i="5"/>
  <c r="AJ305" i="5" s="1"/>
  <c r="AK305" i="5"/>
  <c r="AC307" i="5"/>
  <c r="AB308" i="5"/>
  <c r="AG310" i="5"/>
  <c r="AB305" i="4"/>
  <c r="AC304" i="4"/>
  <c r="AK304" i="4"/>
  <c r="AH305" i="4"/>
  <c r="AI305" i="4" s="1"/>
  <c r="AJ305" i="4" s="1"/>
  <c r="AI304" i="4"/>
  <c r="AJ304" i="4" s="1"/>
  <c r="AG306" i="4"/>
  <c r="AI306" i="5" l="1"/>
  <c r="AJ306" i="5" s="1"/>
  <c r="AK306" i="5"/>
  <c r="AH307" i="5"/>
  <c r="AC308" i="5"/>
  <c r="AB309" i="5"/>
  <c r="AK305" i="4"/>
  <c r="AH306" i="4"/>
  <c r="AI306" i="4" s="1"/>
  <c r="AJ306" i="4" s="1"/>
  <c r="AG307" i="4"/>
  <c r="AC305" i="4"/>
  <c r="AB306" i="4"/>
  <c r="AK307" i="5" l="1"/>
  <c r="AH308" i="5"/>
  <c r="AI307" i="5"/>
  <c r="AJ307" i="5" s="1"/>
  <c r="AC309" i="5"/>
  <c r="AB310" i="5"/>
  <c r="AC310" i="5" s="1"/>
  <c r="AG308" i="4"/>
  <c r="AB307" i="4"/>
  <c r="AC306" i="4"/>
  <c r="AK306" i="4"/>
  <c r="AH307" i="4"/>
  <c r="AH309" i="5" l="1"/>
  <c r="AI308" i="5"/>
  <c r="AJ308" i="5" s="1"/>
  <c r="AK308" i="5"/>
  <c r="AC307" i="4"/>
  <c r="AB308" i="4"/>
  <c r="AK307" i="4"/>
  <c r="AH308" i="4"/>
  <c r="AI307" i="4"/>
  <c r="AJ307" i="4" s="1"/>
  <c r="AG309" i="4"/>
  <c r="AK309" i="5" l="1"/>
  <c r="AH310" i="5"/>
  <c r="AI309" i="5"/>
  <c r="AJ309" i="5" s="1"/>
  <c r="AK308" i="4"/>
  <c r="AH309" i="4"/>
  <c r="AI309" i="4" s="1"/>
  <c r="AJ309" i="4" s="1"/>
  <c r="AG310" i="4"/>
  <c r="AI308" i="4"/>
  <c r="AJ308" i="4" s="1"/>
  <c r="AB309" i="4"/>
  <c r="AC308" i="4"/>
  <c r="AI310" i="5" l="1"/>
  <c r="AJ310" i="5" s="1"/>
  <c r="AK310" i="5"/>
  <c r="AC309" i="4"/>
  <c r="AB310" i="4"/>
  <c r="AC310" i="4" s="1"/>
  <c r="AK309" i="4"/>
  <c r="AH310" i="4"/>
  <c r="AK310" i="4" s="1"/>
  <c r="AI310" i="4" l="1"/>
  <c r="AJ310" i="4" s="1"/>
</calcChain>
</file>

<file path=xl/comments1.xml><?xml version="1.0" encoding="utf-8"?>
<comments xmlns="http://schemas.openxmlformats.org/spreadsheetml/2006/main">
  <authors>
    <author>ping</author>
  </authors>
  <commentList>
    <comment ref="AB10" authorId="0">
      <text>
        <r>
          <rPr>
            <b/>
            <sz val="9"/>
            <color indexed="81"/>
            <rFont val="Tahoma"/>
            <family val="2"/>
          </rPr>
          <t>ping:</t>
        </r>
        <r>
          <rPr>
            <sz val="9"/>
            <color indexed="81"/>
            <rFont val="Tahoma"/>
            <family val="2"/>
          </rPr>
          <t xml:space="preserve">
First value = TR,
Use Wilder's 14 smoothing</t>
        </r>
      </text>
    </comment>
    <comment ref="AY11" authorId="0">
      <text>
        <r>
          <rPr>
            <b/>
            <sz val="9"/>
            <color indexed="81"/>
            <rFont val="Tahoma"/>
            <charset val="1"/>
          </rPr>
          <t>ping:</t>
        </r>
        <r>
          <rPr>
            <sz val="9"/>
            <color indexed="81"/>
            <rFont val="Tahoma"/>
            <charset val="1"/>
          </rPr>
          <t xml:space="preserve">
RollingStalePct calculation:
- AU11: Min window met?
- AV11: Window start row  
- AW11: Window size (max 252)
- Sums stale flags / count</t>
        </r>
      </text>
    </comment>
  </commentList>
</comments>
</file>

<file path=xl/comments2.xml><?xml version="1.0" encoding="utf-8"?>
<comments xmlns="http://schemas.openxmlformats.org/spreadsheetml/2006/main">
  <authors>
    <author>ping</author>
  </authors>
  <commentList>
    <comment ref="AB10" authorId="0">
      <text>
        <r>
          <rPr>
            <b/>
            <sz val="9"/>
            <color indexed="81"/>
            <rFont val="Tahoma"/>
            <family val="2"/>
          </rPr>
          <t>ping:</t>
        </r>
        <r>
          <rPr>
            <sz val="9"/>
            <color indexed="81"/>
            <rFont val="Tahoma"/>
            <family val="2"/>
          </rPr>
          <t xml:space="preserve">
First value = TR,
Use Wilder's 14 smoothing</t>
        </r>
      </text>
    </comment>
    <comment ref="AY11" authorId="0">
      <text>
        <r>
          <rPr>
            <b/>
            <sz val="9"/>
            <color indexed="81"/>
            <rFont val="Tahoma"/>
            <charset val="1"/>
          </rPr>
          <t>ping:</t>
        </r>
        <r>
          <rPr>
            <sz val="9"/>
            <color indexed="81"/>
            <rFont val="Tahoma"/>
            <charset val="1"/>
          </rPr>
          <t xml:space="preserve">
RollingStalePct calculation:
- AU11: Min window met?
- AV11: Window start row  
- AW11: Window size (max 252)
- Sums stale flags / count</t>
        </r>
      </text>
    </comment>
  </commentList>
</comments>
</file>

<file path=xl/sharedStrings.xml><?xml version="1.0" encoding="utf-8"?>
<sst xmlns="http://schemas.openxmlformats.org/spreadsheetml/2006/main" count="176" uniqueCount="71">
  <si>
    <t>Volume</t>
  </si>
  <si>
    <t>ATR</t>
  </si>
  <si>
    <t>ATRP</t>
  </si>
  <si>
    <t>TRP</t>
  </si>
  <si>
    <t>RSI</t>
  </si>
  <si>
    <t>Mom_21</t>
  </si>
  <si>
    <t>Consistency</t>
  </si>
  <si>
    <t>IR_63</t>
  </si>
  <si>
    <t>Beta_63</t>
  </si>
  <si>
    <t>DD_21</t>
  </si>
  <si>
    <t>Ret_1d</t>
  </si>
  <si>
    <t>RollingStalePct</t>
  </si>
  <si>
    <t>RollMedDollarVol</t>
  </si>
  <si>
    <t>RollingSameVolCount</t>
  </si>
  <si>
    <t>Date</t>
  </si>
  <si>
    <t>Adj Open</t>
  </si>
  <si>
    <t>Adj High</t>
  </si>
  <si>
    <t>Adj Low</t>
  </si>
  <si>
    <t>Adj Close</t>
  </si>
  <si>
    <t>TR</t>
  </si>
  <si>
    <t>_delta</t>
  </si>
  <si>
    <t>_up</t>
  </si>
  <si>
    <t>_down</t>
  </si>
  <si>
    <t>_rollup</t>
  </si>
  <si>
    <t>_rolldown</t>
  </si>
  <si>
    <t>_rs</t>
  </si>
  <si>
    <t>_raw_rsi</t>
  </si>
  <si>
    <t>_win_21</t>
  </si>
  <si>
    <t>_positive_Ret_1d</t>
  </si>
  <si>
    <t>SPY_Adj_Close</t>
  </si>
  <si>
    <t>_SPY_return</t>
  </si>
  <si>
    <t>_active_ret</t>
  </si>
  <si>
    <t>_rolling(win_63).mean()</t>
  </si>
  <si>
    <t>_rolling(win_63).stdev.s()</t>
  </si>
  <si>
    <t>Stale_Flag</t>
  </si>
  <si>
    <t>Row_Count</t>
  </si>
  <si>
    <t>Min_Met_Check</t>
  </si>
  <si>
    <t>Stale_Sum</t>
  </si>
  <si>
    <t>Stale_Count</t>
  </si>
  <si>
    <t>252_Window_Start_Row</t>
  </si>
  <si>
    <t>Current_Window_width</t>
  </si>
  <si>
    <t>DollarVol</t>
  </si>
  <si>
    <t>RollMedDollarVol_Meets_Min/Max_Window</t>
  </si>
  <si>
    <t>same_volume</t>
  </si>
  <si>
    <t>TR_Calc</t>
  </si>
  <si>
    <t>TRP_Calc</t>
  </si>
  <si>
    <t>ATR_Calc</t>
  </si>
  <si>
    <t>ATRP_Calc</t>
  </si>
  <si>
    <t>Mom_21_Calc</t>
  </si>
  <si>
    <t>Consistency_Calc</t>
  </si>
  <si>
    <t>IR_63_Calc</t>
  </si>
  <si>
    <t>Beta_63_Calc</t>
  </si>
  <si>
    <t>DD_21_Calc</t>
  </si>
  <si>
    <t>RollMedDollarVol_Calc will match features_df calc. when sliding window sized is fixed at 252 days</t>
  </si>
  <si>
    <t>RSI_Calc will match features_df calc. when sliding window sized is fixed at 252 days</t>
  </si>
  <si>
    <t>RollSumSamVolumeCount</t>
  </si>
  <si>
    <t>RollSumSamVolumeCount_Meets_Min/Max_Window</t>
  </si>
  <si>
    <t>RollingSameVolCount_Calc will match features_df calc. when sliding window sized is fixed at 252 days</t>
  </si>
  <si>
    <t>CONSTANTS</t>
  </si>
  <si>
    <t>min_sliding_window:</t>
  </si>
  <si>
    <t>max_sliding_window:</t>
  </si>
  <si>
    <t>RollingStalePct_Calc will match features_df calc. when sliding window sized is fixed at 252 days</t>
  </si>
  <si>
    <t>#</t>
  </si>
  <si>
    <t>Column</t>
  </si>
  <si>
    <t>CSV data from `combined_with_spy`</t>
  </si>
  <si>
    <t>1. Copy cells in sheet `Template` to a new sheet</t>
  </si>
  <si>
    <t>INSTRUCTION:</t>
  </si>
  <si>
    <t>CONSTANTS:</t>
  </si>
  <si>
    <t>2. Copy csv data from `combined_with_spy`. The columns must match columns as shown</t>
  </si>
  <si>
    <t>3. Paste data in cell A10 (i.e. Date into A10)</t>
  </si>
  <si>
    <t>4. Calculated values should agree with csv data when sliding window grown to its max window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</si>
</sst>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right" wrapText="1"/>
    </xf>
    <xf numFmtId="2" fontId="0" fillId="0" borderId="0" xfId="0" applyNumberFormat="1"/>
    <xf numFmtId="0" fontId="0" fillId="3" borderId="0" xfId="0" applyFill="1"/>
    <xf numFmtId="164" fontId="0" fillId="0" borderId="0" xfId="0" applyNumberFormat="1"/>
    <xf numFmtId="14" fontId="0" fillId="3" borderId="0" xfId="0" applyNumberFormat="1" applyFill="1"/>
    <xf numFmtId="164" fontId="0" fillId="3" borderId="0" xfId="0" applyNumberFormat="1" applyFill="1"/>
    <xf numFmtId="0" fontId="0" fillId="0" borderId="0" xfId="0" applyFon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  <xf numFmtId="0" fontId="0" fillId="0" borderId="1" xfId="0" applyFont="1" applyBorder="1" applyAlignment="1">
      <alignment horizontal="right" wrapText="1"/>
    </xf>
    <xf numFmtId="0" fontId="0" fillId="3" borderId="1" xfId="0" applyFill="1" applyBorder="1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right" wrapText="1"/>
    </xf>
    <xf numFmtId="0" fontId="0" fillId="0" borderId="2" xfId="0" applyFont="1" applyBorder="1" applyAlignment="1">
      <alignment horizontal="right" wrapText="1"/>
    </xf>
    <xf numFmtId="0" fontId="0" fillId="3" borderId="2" xfId="0" applyFill="1" applyBorder="1" applyAlignment="1">
      <alignment horizontal="right"/>
    </xf>
    <xf numFmtId="0" fontId="0" fillId="0" borderId="2" xfId="0" applyBorder="1"/>
    <xf numFmtId="0" fontId="0" fillId="3" borderId="1" xfId="0" applyFill="1" applyBorder="1"/>
    <xf numFmtId="0" fontId="0" fillId="2" borderId="1" xfId="0" applyFill="1" applyBorder="1"/>
    <xf numFmtId="0" fontId="0" fillId="2" borderId="1" xfId="0" applyFont="1" applyFill="1" applyBorder="1"/>
    <xf numFmtId="0" fontId="0" fillId="2" borderId="1" xfId="0" applyFill="1" applyBorder="1" applyAlignment="1">
      <alignment horizontal="right" wrapText="1"/>
    </xf>
    <xf numFmtId="0" fontId="0" fillId="3" borderId="2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0" fillId="0" borderId="0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0" xfId="0" applyFill="1"/>
    <xf numFmtId="164" fontId="0" fillId="0" borderId="0" xfId="0" applyNumberFormat="1" applyFill="1"/>
    <xf numFmtId="0" fontId="0" fillId="0" borderId="0" xfId="0" applyFont="1" applyFill="1" applyBorder="1"/>
    <xf numFmtId="0" fontId="0" fillId="0" borderId="0" xfId="0" applyFill="1" applyAlignment="1">
      <alignment horizontal="right" wrapText="1"/>
    </xf>
    <xf numFmtId="0" fontId="0" fillId="0" borderId="0" xfId="0" applyFont="1" applyFill="1"/>
    <xf numFmtId="11" fontId="0" fillId="0" borderId="0" xfId="0" applyNumberFormat="1" applyFill="1"/>
    <xf numFmtId="0" fontId="0" fillId="0" borderId="1" xfId="0" applyFont="1" applyFill="1" applyBorder="1"/>
    <xf numFmtId="0" fontId="0" fillId="0" borderId="0" xfId="0" applyBorder="1"/>
    <xf numFmtId="0" fontId="0" fillId="0" borderId="0" xfId="0" applyBorder="1" applyAlignment="1">
      <alignment horizontal="right" wrapText="1"/>
    </xf>
    <xf numFmtId="0" fontId="0" fillId="3" borderId="0" xfId="0" applyFill="1" applyBorder="1"/>
    <xf numFmtId="0" fontId="0" fillId="0" borderId="2" xfId="0" applyFill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right" wrapText="1"/>
    </xf>
    <xf numFmtId="14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4" xfId="0" applyFill="1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5" xfId="0" applyFill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4" xfId="0" applyBorder="1"/>
    <xf numFmtId="14" fontId="0" fillId="0" borderId="0" xfId="0" applyNumberFormat="1" applyAlignment="1">
      <alignment horizontal="left"/>
    </xf>
    <xf numFmtId="0" fontId="0" fillId="0" borderId="3" xfId="0" applyFont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F20" sqref="F20"/>
    </sheetView>
  </sheetViews>
  <sheetFormatPr defaultRowHeight="14.4" x14ac:dyDescent="0.3"/>
  <cols>
    <col min="1" max="1" width="8.88671875" style="40"/>
    <col min="2" max="2" width="18.6640625" style="40" bestFit="1" customWidth="1"/>
    <col min="10" max="10" width="8.88671875" style="57"/>
  </cols>
  <sheetData>
    <row r="1" spans="1:2" x14ac:dyDescent="0.3">
      <c r="A1" t="s">
        <v>66</v>
      </c>
    </row>
    <row r="2" spans="1:2" x14ac:dyDescent="0.3">
      <c r="A2" t="s">
        <v>65</v>
      </c>
    </row>
    <row r="3" spans="1:2" x14ac:dyDescent="0.3">
      <c r="A3" t="s">
        <v>68</v>
      </c>
    </row>
    <row r="4" spans="1:2" x14ac:dyDescent="0.3">
      <c r="A4" t="s">
        <v>69</v>
      </c>
    </row>
    <row r="5" spans="1:2" x14ac:dyDescent="0.3">
      <c r="A5" s="40" t="s">
        <v>70</v>
      </c>
    </row>
    <row r="10" spans="1:2" x14ac:dyDescent="0.3">
      <c r="A10" s="57" t="s">
        <v>62</v>
      </c>
      <c r="B10" s="40" t="s">
        <v>63</v>
      </c>
    </row>
    <row r="11" spans="1:2" x14ac:dyDescent="0.3">
      <c r="A11" s="57">
        <v>1</v>
      </c>
      <c r="B11" t="s">
        <v>14</v>
      </c>
    </row>
    <row r="12" spans="1:2" x14ac:dyDescent="0.3">
      <c r="A12" s="57">
        <v>2</v>
      </c>
      <c r="B12" s="40" t="s">
        <v>15</v>
      </c>
    </row>
    <row r="13" spans="1:2" x14ac:dyDescent="0.3">
      <c r="A13" s="57">
        <v>3</v>
      </c>
      <c r="B13" s="40" t="s">
        <v>16</v>
      </c>
    </row>
    <row r="14" spans="1:2" x14ac:dyDescent="0.3">
      <c r="A14" s="57">
        <v>4</v>
      </c>
      <c r="B14" s="40" t="s">
        <v>17</v>
      </c>
    </row>
    <row r="15" spans="1:2" x14ac:dyDescent="0.3">
      <c r="A15" s="57">
        <v>5</v>
      </c>
      <c r="B15" s="40" t="s">
        <v>18</v>
      </c>
    </row>
    <row r="16" spans="1:2" x14ac:dyDescent="0.3">
      <c r="A16" s="57">
        <v>6</v>
      </c>
      <c r="B16" s="40" t="s">
        <v>0</v>
      </c>
    </row>
    <row r="17" spans="1:2" x14ac:dyDescent="0.3">
      <c r="A17" s="57">
        <v>7</v>
      </c>
      <c r="B17" s="40" t="s">
        <v>1</v>
      </c>
    </row>
    <row r="18" spans="1:2" x14ac:dyDescent="0.3">
      <c r="A18" s="57">
        <v>8</v>
      </c>
      <c r="B18" s="40" t="s">
        <v>2</v>
      </c>
    </row>
    <row r="19" spans="1:2" x14ac:dyDescent="0.3">
      <c r="A19" s="57">
        <v>9</v>
      </c>
      <c r="B19" s="40" t="s">
        <v>3</v>
      </c>
    </row>
    <row r="20" spans="1:2" x14ac:dyDescent="0.3">
      <c r="A20" s="57">
        <v>10</v>
      </c>
      <c r="B20" s="40" t="s">
        <v>4</v>
      </c>
    </row>
    <row r="21" spans="1:2" x14ac:dyDescent="0.3">
      <c r="A21" s="57">
        <v>11</v>
      </c>
      <c r="B21" s="40" t="s">
        <v>5</v>
      </c>
    </row>
    <row r="22" spans="1:2" x14ac:dyDescent="0.3">
      <c r="A22" s="57">
        <v>12</v>
      </c>
      <c r="B22" s="40" t="s">
        <v>6</v>
      </c>
    </row>
    <row r="23" spans="1:2" x14ac:dyDescent="0.3">
      <c r="A23" s="57">
        <v>13</v>
      </c>
      <c r="B23" s="40" t="s">
        <v>7</v>
      </c>
    </row>
    <row r="24" spans="1:2" x14ac:dyDescent="0.3">
      <c r="A24" s="57">
        <v>14</v>
      </c>
      <c r="B24" s="40" t="s">
        <v>8</v>
      </c>
    </row>
    <row r="25" spans="1:2" x14ac:dyDescent="0.3">
      <c r="A25" s="57">
        <v>15</v>
      </c>
      <c r="B25" s="40" t="s">
        <v>9</v>
      </c>
    </row>
    <row r="26" spans="1:2" x14ac:dyDescent="0.3">
      <c r="A26" s="57">
        <v>16</v>
      </c>
      <c r="B26" s="40" t="s">
        <v>10</v>
      </c>
    </row>
    <row r="27" spans="1:2" x14ac:dyDescent="0.3">
      <c r="A27" s="57">
        <v>17</v>
      </c>
      <c r="B27" s="40" t="s">
        <v>11</v>
      </c>
    </row>
    <row r="28" spans="1:2" x14ac:dyDescent="0.3">
      <c r="A28" s="57">
        <v>18</v>
      </c>
      <c r="B28" s="40" t="s">
        <v>12</v>
      </c>
    </row>
    <row r="29" spans="1:2" x14ac:dyDescent="0.3">
      <c r="A29" s="57">
        <v>19</v>
      </c>
      <c r="B29" s="40" t="s">
        <v>13</v>
      </c>
    </row>
    <row r="30" spans="1:2" x14ac:dyDescent="0.3">
      <c r="A30" s="57">
        <v>20</v>
      </c>
      <c r="B30" s="4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313"/>
  <sheetViews>
    <sheetView workbookViewId="0">
      <selection sqref="A1:D6"/>
    </sheetView>
  </sheetViews>
  <sheetFormatPr defaultRowHeight="14.4" x14ac:dyDescent="0.3"/>
  <cols>
    <col min="1" max="1" width="10.33203125" customWidth="1"/>
    <col min="2" max="6" width="8.88671875" customWidth="1"/>
    <col min="7" max="18" width="8.88671875" style="29" customWidth="1"/>
    <col min="19" max="19" width="8.88671875" style="29"/>
    <col min="20" max="20" width="8.88671875" style="14"/>
    <col min="21" max="21" width="8.88671875" style="29"/>
    <col min="22" max="24" width="8.88671875" customWidth="1"/>
    <col min="25" max="25" width="8.88671875" style="14" customWidth="1"/>
    <col min="26" max="28" width="8.88671875" customWidth="1"/>
    <col min="29" max="29" width="9.6640625" customWidth="1"/>
    <col min="30" max="53" width="8.88671875" customWidth="1"/>
    <col min="54" max="54" width="12" customWidth="1"/>
    <col min="55" max="55" width="10" customWidth="1"/>
    <col min="56" max="56" width="8.88671875" customWidth="1"/>
  </cols>
  <sheetData>
    <row r="1" spans="1:60" x14ac:dyDescent="0.3">
      <c r="U1" s="41"/>
      <c r="Z1" s="10"/>
      <c r="AA1" s="15"/>
      <c r="AB1" s="15"/>
      <c r="AC1" s="10"/>
      <c r="AK1" s="14"/>
      <c r="AN1" s="14"/>
      <c r="AP1" s="14"/>
      <c r="AU1" s="14"/>
      <c r="AV1" s="19"/>
      <c r="AW1" s="19"/>
      <c r="BA1" s="14"/>
      <c r="BD1" s="14"/>
      <c r="BG1" s="14"/>
    </row>
    <row r="2" spans="1:60" x14ac:dyDescent="0.3">
      <c r="U2" s="41"/>
      <c r="Z2" s="10"/>
      <c r="AA2" s="15"/>
      <c r="AB2" s="15"/>
      <c r="AC2" s="10"/>
      <c r="AK2" s="14"/>
      <c r="AN2" s="14"/>
      <c r="AP2" s="14"/>
      <c r="AU2" s="14"/>
      <c r="AV2" s="19"/>
      <c r="AW2" s="19"/>
      <c r="BA2" s="14"/>
      <c r="BD2" s="14"/>
      <c r="BG2" s="14"/>
    </row>
    <row r="3" spans="1:60" x14ac:dyDescent="0.3">
      <c r="A3" s="1" t="s">
        <v>67</v>
      </c>
      <c r="U3" s="41"/>
      <c r="Z3" s="10"/>
      <c r="AA3" s="15"/>
      <c r="AB3" s="15"/>
      <c r="AC3" s="10"/>
      <c r="AK3" s="14"/>
      <c r="AN3" s="14"/>
      <c r="AP3" s="14"/>
      <c r="AU3" s="14"/>
      <c r="AV3" s="19"/>
      <c r="AW3" s="19"/>
      <c r="BA3" s="14"/>
      <c r="BD3" s="14"/>
      <c r="BG3" s="14"/>
    </row>
    <row r="4" spans="1:60" x14ac:dyDescent="0.3">
      <c r="A4" s="50" t="s">
        <v>59</v>
      </c>
      <c r="B4" s="50"/>
      <c r="C4">
        <v>126</v>
      </c>
      <c r="D4" s="2"/>
      <c r="E4" s="2"/>
      <c r="F4" s="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U4" s="41"/>
      <c r="V4" s="2"/>
      <c r="W4" s="2"/>
      <c r="X4" s="2"/>
      <c r="Z4" s="11"/>
      <c r="AA4" s="16"/>
      <c r="AB4" s="16"/>
      <c r="AC4" s="11"/>
      <c r="AD4" s="2"/>
      <c r="AE4" s="2"/>
      <c r="AF4" s="2"/>
      <c r="AG4" s="2"/>
      <c r="AH4" s="2"/>
      <c r="AI4" s="2"/>
      <c r="AJ4" s="2"/>
      <c r="AK4" s="11"/>
      <c r="AL4" s="2"/>
      <c r="AM4" s="2"/>
      <c r="AN4" s="11"/>
      <c r="AO4" s="2"/>
      <c r="AP4" s="11"/>
      <c r="AQ4" s="2"/>
      <c r="AR4" s="2"/>
      <c r="AS4" s="2"/>
      <c r="AT4" s="2"/>
      <c r="AU4" s="11"/>
      <c r="AV4" s="16"/>
      <c r="AW4" s="16"/>
      <c r="AX4" s="2"/>
      <c r="AY4" s="2"/>
      <c r="AZ4" s="2"/>
      <c r="BA4" s="11"/>
      <c r="BB4" s="2"/>
      <c r="BC4" s="2"/>
      <c r="BD4" s="11"/>
      <c r="BE4" s="2"/>
      <c r="BG4" s="14"/>
    </row>
    <row r="5" spans="1:60" x14ac:dyDescent="0.3">
      <c r="A5" s="50" t="s">
        <v>60</v>
      </c>
      <c r="B5" s="50"/>
      <c r="C5">
        <v>252</v>
      </c>
      <c r="U5" s="41"/>
      <c r="Z5" s="10"/>
      <c r="AA5" s="15"/>
      <c r="AB5" s="15"/>
      <c r="AC5" s="10"/>
      <c r="AK5" s="14"/>
      <c r="AN5" s="14"/>
      <c r="AP5" s="14"/>
      <c r="AU5" s="14"/>
      <c r="AV5" s="19"/>
      <c r="AW5" s="19"/>
      <c r="BA5" s="14"/>
      <c r="BD5" s="14"/>
      <c r="BG5" s="14"/>
    </row>
    <row r="6" spans="1:60" x14ac:dyDescent="0.3">
      <c r="U6" s="41"/>
      <c r="Z6" s="10"/>
      <c r="AA6" s="15"/>
      <c r="AB6" s="15"/>
      <c r="AC6" s="10"/>
      <c r="AK6" s="14"/>
      <c r="AN6" s="14"/>
      <c r="AP6" s="14"/>
      <c r="AU6" s="14"/>
      <c r="AV6" s="19"/>
      <c r="AW6" s="19"/>
      <c r="BA6" s="14"/>
      <c r="BD6" s="14"/>
      <c r="BG6" s="14"/>
    </row>
    <row r="7" spans="1:60" x14ac:dyDescent="0.3">
      <c r="U7" s="41"/>
      <c r="Z7" s="10"/>
      <c r="AA7" s="15"/>
      <c r="AB7" s="15"/>
      <c r="AC7" s="10"/>
      <c r="AK7" s="14"/>
      <c r="AN7" s="14"/>
      <c r="AP7" s="14"/>
      <c r="AU7" s="14"/>
      <c r="AV7" s="19"/>
      <c r="AW7" s="19"/>
      <c r="BA7" s="14"/>
      <c r="BD7" s="14"/>
      <c r="BG7" s="14"/>
    </row>
    <row r="8" spans="1:60" x14ac:dyDescent="0.3">
      <c r="U8" s="41"/>
      <c r="Z8" s="10"/>
      <c r="AA8" s="15"/>
      <c r="AB8" s="15"/>
      <c r="AC8" s="10"/>
      <c r="AK8" s="14"/>
      <c r="AN8" s="14"/>
      <c r="AP8" s="14"/>
      <c r="AU8" s="14"/>
      <c r="AV8" s="19"/>
      <c r="AW8" s="19"/>
      <c r="BA8" s="14"/>
      <c r="BD8" s="14"/>
      <c r="BG8" s="14"/>
    </row>
    <row r="9" spans="1:60" ht="28.8" x14ac:dyDescent="0.3">
      <c r="A9" s="54" t="s">
        <v>64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  <c r="U9" s="35"/>
      <c r="V9" s="31"/>
      <c r="W9" s="31"/>
      <c r="X9" s="31"/>
      <c r="Y9" s="35"/>
      <c r="Z9" s="12" t="s">
        <v>44</v>
      </c>
      <c r="AA9" s="17" t="s">
        <v>45</v>
      </c>
      <c r="AB9" s="28" t="s">
        <v>46</v>
      </c>
      <c r="AC9" s="27" t="s">
        <v>47</v>
      </c>
      <c r="AD9" s="51" t="s">
        <v>54</v>
      </c>
      <c r="AE9" s="52"/>
      <c r="AF9" s="52"/>
      <c r="AG9" s="52"/>
      <c r="AH9" s="52"/>
      <c r="AI9" s="52"/>
      <c r="AJ9" s="52"/>
      <c r="AK9" s="53"/>
      <c r="AL9" s="51" t="s">
        <v>48</v>
      </c>
      <c r="AM9" s="52"/>
      <c r="AN9" s="53"/>
      <c r="AO9" s="51" t="s">
        <v>49</v>
      </c>
      <c r="AP9" s="53"/>
      <c r="AQ9" s="51" t="s">
        <v>50</v>
      </c>
      <c r="AR9" s="52"/>
      <c r="AS9" s="52"/>
      <c r="AT9" s="52"/>
      <c r="AU9" s="53"/>
      <c r="AV9" s="17" t="s">
        <v>51</v>
      </c>
      <c r="AW9" s="17" t="s">
        <v>52</v>
      </c>
      <c r="AX9" s="51" t="s">
        <v>61</v>
      </c>
      <c r="AY9" s="52"/>
      <c r="AZ9" s="52"/>
      <c r="BA9" s="53"/>
      <c r="BB9" s="51" t="s">
        <v>53</v>
      </c>
      <c r="BC9" s="52"/>
      <c r="BD9" s="53"/>
      <c r="BE9" s="51" t="s">
        <v>57</v>
      </c>
      <c r="BF9" s="52"/>
      <c r="BG9" s="53"/>
      <c r="BH9" s="9"/>
    </row>
    <row r="10" spans="1:60" s="49" customFormat="1" ht="86.4" x14ac:dyDescent="0.3">
      <c r="A10" s="43" t="s">
        <v>14</v>
      </c>
      <c r="B10" s="44" t="s">
        <v>15</v>
      </c>
      <c r="C10" s="44" t="s">
        <v>16</v>
      </c>
      <c r="D10" s="44" t="s">
        <v>17</v>
      </c>
      <c r="E10" s="44" t="s">
        <v>18</v>
      </c>
      <c r="F10" s="44" t="s">
        <v>0</v>
      </c>
      <c r="G10" s="45" t="s">
        <v>1</v>
      </c>
      <c r="H10" s="45" t="s">
        <v>2</v>
      </c>
      <c r="I10" s="45" t="s">
        <v>3</v>
      </c>
      <c r="J10" s="45" t="s">
        <v>4</v>
      </c>
      <c r="K10" s="45" t="s">
        <v>5</v>
      </c>
      <c r="L10" s="45" t="s">
        <v>6</v>
      </c>
      <c r="M10" s="45" t="s">
        <v>7</v>
      </c>
      <c r="N10" s="45" t="s">
        <v>8</v>
      </c>
      <c r="O10" s="45" t="s">
        <v>9</v>
      </c>
      <c r="P10" s="45" t="s">
        <v>10</v>
      </c>
      <c r="Q10" s="45" t="s">
        <v>11</v>
      </c>
      <c r="R10" s="45" t="s">
        <v>12</v>
      </c>
      <c r="S10" s="45" t="s">
        <v>13</v>
      </c>
      <c r="T10" s="46" t="s">
        <v>29</v>
      </c>
      <c r="U10" s="47"/>
      <c r="V10" s="44" t="s">
        <v>35</v>
      </c>
      <c r="W10" s="44" t="s">
        <v>36</v>
      </c>
      <c r="X10" s="44" t="s">
        <v>39</v>
      </c>
      <c r="Y10" s="46" t="s">
        <v>40</v>
      </c>
      <c r="Z10" s="46" t="s">
        <v>19</v>
      </c>
      <c r="AA10" s="48" t="s">
        <v>3</v>
      </c>
      <c r="AB10" s="48" t="s">
        <v>1</v>
      </c>
      <c r="AC10" s="46" t="s">
        <v>2</v>
      </c>
      <c r="AD10" s="44" t="s">
        <v>20</v>
      </c>
      <c r="AE10" s="44" t="s">
        <v>21</v>
      </c>
      <c r="AF10" s="44" t="s">
        <v>22</v>
      </c>
      <c r="AG10" s="44" t="s">
        <v>23</v>
      </c>
      <c r="AH10" s="44" t="s">
        <v>24</v>
      </c>
      <c r="AI10" s="44" t="s">
        <v>25</v>
      </c>
      <c r="AJ10" s="44" t="s">
        <v>26</v>
      </c>
      <c r="AK10" s="46" t="s">
        <v>4</v>
      </c>
      <c r="AL10" s="44" t="s">
        <v>27</v>
      </c>
      <c r="AM10" s="44" t="s">
        <v>5</v>
      </c>
      <c r="AN10" s="46" t="s">
        <v>10</v>
      </c>
      <c r="AO10" s="44" t="s">
        <v>28</v>
      </c>
      <c r="AP10" s="46" t="s">
        <v>6</v>
      </c>
      <c r="AQ10" s="44" t="s">
        <v>30</v>
      </c>
      <c r="AR10" s="44" t="s">
        <v>31</v>
      </c>
      <c r="AS10" s="44" t="s">
        <v>32</v>
      </c>
      <c r="AT10" s="44" t="s">
        <v>33</v>
      </c>
      <c r="AU10" s="46" t="s">
        <v>7</v>
      </c>
      <c r="AV10" s="48" t="s">
        <v>8</v>
      </c>
      <c r="AW10" s="48" t="s">
        <v>9</v>
      </c>
      <c r="AX10" s="44" t="s">
        <v>34</v>
      </c>
      <c r="AY10" s="44" t="s">
        <v>37</v>
      </c>
      <c r="AZ10" s="44" t="s">
        <v>38</v>
      </c>
      <c r="BA10" s="46" t="s">
        <v>11</v>
      </c>
      <c r="BB10" s="44" t="s">
        <v>41</v>
      </c>
      <c r="BC10" s="44" t="s">
        <v>12</v>
      </c>
      <c r="BD10" s="46" t="s">
        <v>42</v>
      </c>
      <c r="BE10" s="44" t="s">
        <v>43</v>
      </c>
      <c r="BF10" s="44" t="s">
        <v>55</v>
      </c>
      <c r="BG10" s="46" t="s">
        <v>56</v>
      </c>
    </row>
    <row r="11" spans="1:60" x14ac:dyDescent="0.3">
      <c r="A11" s="1">
        <v>43922</v>
      </c>
      <c r="B11">
        <v>10.08</v>
      </c>
      <c r="C11">
        <v>10.1</v>
      </c>
      <c r="D11">
        <v>10.08</v>
      </c>
      <c r="E11">
        <v>10.1</v>
      </c>
      <c r="F11">
        <v>4800</v>
      </c>
      <c r="G11" s="29">
        <v>8.3497689387582799E-2</v>
      </c>
      <c r="H11" s="29">
        <v>8.26709795916661E-3</v>
      </c>
      <c r="I11" s="29">
        <v>3.2673267326732598E-2</v>
      </c>
      <c r="J11" s="29">
        <v>70.688090444564693</v>
      </c>
      <c r="K11" s="29">
        <v>1.20240480961923E-2</v>
      </c>
      <c r="L11" s="29">
        <v>0.6</v>
      </c>
      <c r="M11" s="29">
        <v>0.118068705509754</v>
      </c>
      <c r="N11" s="29">
        <v>5.1970319715142599E-2</v>
      </c>
      <c r="O11" s="29">
        <v>0</v>
      </c>
      <c r="P11" s="29">
        <v>3.37768679631524E-2</v>
      </c>
      <c r="R11" s="30"/>
      <c r="T11" s="14">
        <v>226.88900000000001</v>
      </c>
      <c r="U11" s="41"/>
      <c r="V11">
        <v>1</v>
      </c>
      <c r="W11" t="b">
        <f>V11&gt;=$C$4</f>
        <v>0</v>
      </c>
      <c r="X11">
        <f>IF(V11&lt;=$C$5,11,ROW()-$C$5+1)</f>
        <v>11</v>
      </c>
      <c r="Y11" s="14">
        <f t="shared" ref="Y11:Y74" si="0">ROW()-X11+1</f>
        <v>1</v>
      </c>
      <c r="Z11" s="10"/>
      <c r="AA11" s="15"/>
      <c r="AB11" s="15">
        <f>G11</f>
        <v>8.3497689387582799E-2</v>
      </c>
      <c r="AC11" s="10">
        <f t="shared" ref="AC11:AC74" si="1">AB11/E11</f>
        <v>8.2670979591666135E-3</v>
      </c>
      <c r="AK11" s="14">
        <f t="shared" ref="AK11:AK74" si="2">IF(AH11=0,
    IF(AG11=0, 50, 100),
    IF(AG11=0, 0, 100-(100/(1+AG11/AH11)))
)</f>
        <v>50</v>
      </c>
      <c r="AL11">
        <v>1</v>
      </c>
      <c r="AN11" s="14"/>
      <c r="AP11" s="14"/>
      <c r="AU11" s="14"/>
      <c r="AV11" s="19"/>
      <c r="AW11" s="19"/>
      <c r="AX11">
        <f t="shared" ref="AX11:AX74" si="3">IF(OR(F11=0,C11=D11),1,0)</f>
        <v>0</v>
      </c>
      <c r="AY11">
        <f>IF(W11,SUMPRODUCT(INDEX(AX:AX,X11):INDEX(AX:AX,X11+Y11)),0)</f>
        <v>0</v>
      </c>
      <c r="AZ11">
        <f>IF(V11,COUNT(INDEX(AX:AX,X11):INDEX(AX:AX,ROW())),0)</f>
        <v>1</v>
      </c>
      <c r="BA11" s="14" t="str">
        <f>IF(W11,AY11/AZ11,"")</f>
        <v/>
      </c>
      <c r="BB11" s="6">
        <f t="shared" ref="BB11:BB74" si="4">E11*F11</f>
        <v>48480</v>
      </c>
      <c r="BC11" s="6">
        <f>MEDIAN(INDEX(BB:BB,X11):INDEX(BB:BB,X11+Y11-1))</f>
        <v>48480</v>
      </c>
      <c r="BD11" s="25" t="str">
        <f t="shared" ref="BD11:BD74" si="5">IF(W11,BC11,"")</f>
        <v/>
      </c>
      <c r="BF11" s="6">
        <f>SUM(INDEX(BE:BE,X11):INDEX(BE:BE,X11+Y11-1))</f>
        <v>0</v>
      </c>
      <c r="BG11" s="25" t="str">
        <f t="shared" ref="BG11:BG74" si="6">IF(W11,BF11,"")</f>
        <v/>
      </c>
    </row>
    <row r="12" spans="1:60" x14ac:dyDescent="0.3">
      <c r="A12" s="1">
        <v>43923</v>
      </c>
      <c r="B12">
        <v>9.9499999999999993</v>
      </c>
      <c r="C12">
        <v>9.9499999999999993</v>
      </c>
      <c r="D12">
        <v>9.9499999999999993</v>
      </c>
      <c r="E12">
        <v>9.9499999999999993</v>
      </c>
      <c r="F12">
        <v>327700</v>
      </c>
      <c r="G12" s="29">
        <v>8.8247854431326905E-2</v>
      </c>
      <c r="H12" s="29">
        <v>8.8691310986258199E-3</v>
      </c>
      <c r="I12" s="29">
        <v>1.5075376884422099E-2</v>
      </c>
      <c r="J12" s="29">
        <v>58.475776565247898</v>
      </c>
      <c r="K12" s="29">
        <v>-3.0060120240481499E-3</v>
      </c>
      <c r="L12" s="29">
        <v>0.4</v>
      </c>
      <c r="M12" s="29">
        <v>0.103308923906509</v>
      </c>
      <c r="N12" s="29">
        <v>4.6307136530224099E-2</v>
      </c>
      <c r="O12" s="29">
        <v>-1.48514851485148E-2</v>
      </c>
      <c r="P12" s="29">
        <v>-1.48514851485148E-2</v>
      </c>
      <c r="R12" s="30"/>
      <c r="T12" s="11">
        <v>232.125</v>
      </c>
      <c r="U12" s="42"/>
      <c r="V12">
        <v>2</v>
      </c>
      <c r="W12" t="b">
        <f>V12&gt;=$C$4</f>
        <v>0</v>
      </c>
      <c r="X12">
        <f>IF(V12&lt;=$C$5,11,ROW()-$C$5+1)</f>
        <v>11</v>
      </c>
      <c r="Y12" s="14">
        <f t="shared" si="0"/>
        <v>2</v>
      </c>
      <c r="Z12" s="10">
        <f t="shared" ref="Z12:Z75" si="7">MAX(C12-D12,ABS(C12-E11),ABS(D12-E11))</f>
        <v>0.15000000000000036</v>
      </c>
      <c r="AA12" s="15">
        <f t="shared" ref="AA12:AA75" si="8">Z12/E12</f>
        <v>1.5075376884422148E-2</v>
      </c>
      <c r="AB12" s="15">
        <f t="shared" ref="AB12:AB75" si="9">(Z12+13*AB11)/14</f>
        <v>8.8247854431326905E-2</v>
      </c>
      <c r="AC12" s="10">
        <f t="shared" si="1"/>
        <v>8.8691310986258199E-3</v>
      </c>
      <c r="AD12">
        <f t="shared" ref="AD12:AD75" si="10">E12-E11</f>
        <v>-0.15000000000000036</v>
      </c>
      <c r="AE12" s="4">
        <f>MAX($AD12,0)</f>
        <v>0</v>
      </c>
      <c r="AF12" s="4">
        <f>MAX(-$AD12,0)</f>
        <v>0.15000000000000036</v>
      </c>
      <c r="AG12">
        <f>AE12</f>
        <v>0</v>
      </c>
      <c r="AH12">
        <f>AF12</f>
        <v>0.15000000000000036</v>
      </c>
      <c r="AI12">
        <f t="shared" ref="AI12:AI75" si="11">AG12/AH12</f>
        <v>0</v>
      </c>
      <c r="AJ12">
        <f>(100-(100/(1+AI12)))</f>
        <v>0</v>
      </c>
      <c r="AK12" s="14">
        <f t="shared" si="2"/>
        <v>0</v>
      </c>
      <c r="AL12">
        <v>-21</v>
      </c>
      <c r="AN12" s="14">
        <f t="shared" ref="AN12:AN75" si="12">E12/E11-1</f>
        <v>-1.4851485148514865E-2</v>
      </c>
      <c r="AO12">
        <f t="shared" ref="AO12" si="13">IF(AN12&gt;0,AN12,0)</f>
        <v>0</v>
      </c>
      <c r="AP12" s="14"/>
      <c r="AQ12">
        <f t="shared" ref="AQ12:AQ75" si="14">T12/T11-1</f>
        <v>2.3077363821075503E-2</v>
      </c>
      <c r="AR12">
        <f t="shared" ref="AR12:AR75" si="15">P12-AQ12</f>
        <v>-3.7928848969590305E-2</v>
      </c>
      <c r="AU12" s="14"/>
      <c r="AV12" s="19"/>
      <c r="AW12" s="19"/>
      <c r="AX12">
        <f t="shared" si="3"/>
        <v>1</v>
      </c>
      <c r="AY12">
        <f>IF(W12,SUMPRODUCT(INDEX(AX:AX,X12):INDEX(AX:AX,X12+Y12)),0)</f>
        <v>0</v>
      </c>
      <c r="AZ12">
        <f>IF(V12,COUNT(INDEX(AX:AX,X12):INDEX(AX:AX,ROW())),0)</f>
        <v>2</v>
      </c>
      <c r="BA12" s="14" t="str">
        <f t="shared" ref="BA12:BA75" si="16">IF(W12,AY12/AZ12,"")</f>
        <v/>
      </c>
      <c r="BB12" s="6">
        <f t="shared" si="4"/>
        <v>3260615</v>
      </c>
      <c r="BC12" s="6">
        <f>MEDIAN(INDEX(BB:BB,X12):INDEX(BB:BB,X12+Y12-1))</f>
        <v>1654547.5</v>
      </c>
      <c r="BD12" s="25" t="str">
        <f t="shared" si="5"/>
        <v/>
      </c>
      <c r="BE12">
        <f t="shared" ref="BE12:BE75" si="17">IF(F11=F12,1,0)</f>
        <v>0</v>
      </c>
      <c r="BF12" s="6">
        <f>SUM(INDEX(BE:BE,X12):INDEX(BE:BE,X12+Y12-1))</f>
        <v>0</v>
      </c>
      <c r="BG12" s="25" t="str">
        <f t="shared" si="6"/>
        <v/>
      </c>
    </row>
    <row r="13" spans="1:60" x14ac:dyDescent="0.3">
      <c r="A13" s="1">
        <v>43924</v>
      </c>
      <c r="B13">
        <v>9.8000000000000007</v>
      </c>
      <c r="C13">
        <v>9.85</v>
      </c>
      <c r="D13">
        <v>9.75</v>
      </c>
      <c r="E13">
        <v>9.85</v>
      </c>
      <c r="F13">
        <v>102600</v>
      </c>
      <c r="G13" s="29">
        <v>9.6230150543374901E-2</v>
      </c>
      <c r="H13" s="29">
        <v>9.7695584307994805E-3</v>
      </c>
      <c r="I13" s="29">
        <v>2.03045685279187E-2</v>
      </c>
      <c r="J13" s="29">
        <v>52.023080659679202</v>
      </c>
      <c r="K13" s="29">
        <v>-1.2036108324975E-2</v>
      </c>
      <c r="L13" s="29">
        <v>0.2</v>
      </c>
      <c r="M13" s="29">
        <v>0.100891479951551</v>
      </c>
      <c r="N13" s="29">
        <v>4.7836736852948702E-2</v>
      </c>
      <c r="O13" s="29">
        <v>-2.4752475247524702E-2</v>
      </c>
      <c r="P13" s="29">
        <v>-1.00502512562813E-2</v>
      </c>
      <c r="R13" s="30"/>
      <c r="T13" s="14">
        <v>228.77</v>
      </c>
      <c r="U13" s="41"/>
      <c r="V13">
        <v>3</v>
      </c>
      <c r="W13" t="b">
        <f>V13&gt;=$C$4</f>
        <v>0</v>
      </c>
      <c r="X13">
        <f>IF(V13&lt;=$C$5,11,ROW()-$C$5+1)</f>
        <v>11</v>
      </c>
      <c r="Y13" s="14">
        <f t="shared" si="0"/>
        <v>3</v>
      </c>
      <c r="Z13" s="10">
        <f t="shared" si="7"/>
        <v>0.19999999999999929</v>
      </c>
      <c r="AA13" s="15">
        <f t="shared" si="8"/>
        <v>2.0304568527918711E-2</v>
      </c>
      <c r="AB13" s="15">
        <f t="shared" si="9"/>
        <v>9.6230150543374929E-2</v>
      </c>
      <c r="AC13" s="10">
        <f t="shared" si="1"/>
        <v>9.7695584307994857E-3</v>
      </c>
      <c r="AD13">
        <f t="shared" si="10"/>
        <v>-9.9999999999999645E-2</v>
      </c>
      <c r="AE13">
        <f t="shared" ref="AE13:AE76" si="18">MAX($AD13,0)</f>
        <v>0</v>
      </c>
      <c r="AF13">
        <f t="shared" ref="AF13:AF76" si="19">MAX(-$AD13,0)</f>
        <v>9.9999999999999645E-2</v>
      </c>
      <c r="AG13">
        <f>(AE13+13*AG12)/14</f>
        <v>0</v>
      </c>
      <c r="AH13">
        <f>(AF13+13*AH12)/14</f>
        <v>0.14642857142857174</v>
      </c>
      <c r="AI13">
        <f t="shared" si="11"/>
        <v>0</v>
      </c>
      <c r="AJ13">
        <f t="shared" ref="AJ13:AJ76" si="20">(100-(100/(1+AI13)))</f>
        <v>0</v>
      </c>
      <c r="AK13" s="14">
        <f t="shared" si="2"/>
        <v>0</v>
      </c>
      <c r="AL13">
        <v>-20</v>
      </c>
      <c r="AN13" s="14">
        <f t="shared" si="12"/>
        <v>-1.005025125628134E-2</v>
      </c>
      <c r="AO13">
        <f>IF(AN13&gt;0,1,0)</f>
        <v>0</v>
      </c>
      <c r="AP13" s="14"/>
      <c r="AQ13">
        <f t="shared" si="14"/>
        <v>-1.4453419493807185E-2</v>
      </c>
      <c r="AR13">
        <f t="shared" si="15"/>
        <v>4.4031682375258851E-3</v>
      </c>
      <c r="AU13" s="14"/>
      <c r="AV13" s="19"/>
      <c r="AW13" s="19"/>
      <c r="AX13">
        <f t="shared" si="3"/>
        <v>0</v>
      </c>
      <c r="AY13">
        <f>IF(W13,SUMPRODUCT(INDEX(AX:AX,X13):INDEX(AX:AX,X13+Y13)),0)</f>
        <v>0</v>
      </c>
      <c r="AZ13">
        <f>IF(V13,COUNT(INDEX(AX:AX,X13):INDEX(AX:AX,ROW())),0)</f>
        <v>3</v>
      </c>
      <c r="BA13" s="14" t="str">
        <f t="shared" si="16"/>
        <v/>
      </c>
      <c r="BB13" s="6">
        <f t="shared" si="4"/>
        <v>1010610</v>
      </c>
      <c r="BC13" s="6">
        <f>MEDIAN(INDEX(BB:BB,X13):INDEX(BB:BB,X13+Y13-1))</f>
        <v>1010610</v>
      </c>
      <c r="BD13" s="25" t="str">
        <f t="shared" si="5"/>
        <v/>
      </c>
      <c r="BE13">
        <f t="shared" si="17"/>
        <v>0</v>
      </c>
      <c r="BF13" s="6">
        <f>SUM(INDEX(BE:BE,X13):INDEX(BE:BE,X13+Y13-1))</f>
        <v>0</v>
      </c>
      <c r="BG13" s="25" t="str">
        <f t="shared" si="6"/>
        <v/>
      </c>
    </row>
    <row r="14" spans="1:60" x14ac:dyDescent="0.3">
      <c r="A14" s="1">
        <v>43927</v>
      </c>
      <c r="B14">
        <v>9.82</v>
      </c>
      <c r="C14">
        <v>9.82</v>
      </c>
      <c r="D14">
        <v>9.82</v>
      </c>
      <c r="E14">
        <v>9.82</v>
      </c>
      <c r="F14">
        <v>200</v>
      </c>
      <c r="G14" s="29">
        <v>9.1499425504562401E-2</v>
      </c>
      <c r="H14" s="29">
        <v>9.3176604383464704E-3</v>
      </c>
      <c r="I14" s="29">
        <v>3.0549898167005398E-3</v>
      </c>
      <c r="J14" s="29">
        <v>50.232252989242802</v>
      </c>
      <c r="K14" s="29">
        <v>-1.53414218389652E-2</v>
      </c>
      <c r="L14" s="29">
        <v>0.2</v>
      </c>
      <c r="M14" s="29">
        <v>6.7170894517804905E-2</v>
      </c>
      <c r="N14" s="29">
        <v>4.2319431807536403E-2</v>
      </c>
      <c r="O14" s="29">
        <v>-2.7722772277227602E-2</v>
      </c>
      <c r="P14" s="34">
        <v>-3.0456852791877998E-3</v>
      </c>
      <c r="R14" s="30"/>
      <c r="T14" s="14">
        <v>244.13499999999999</v>
      </c>
      <c r="U14" s="41"/>
      <c r="V14">
        <v>4</v>
      </c>
      <c r="W14" t="b">
        <f>V14&gt;=$C$4</f>
        <v>0</v>
      </c>
      <c r="X14">
        <f>IF(V14&lt;=$C$5,11,ROW()-$C$5+1)</f>
        <v>11</v>
      </c>
      <c r="Y14" s="14">
        <f t="shared" si="0"/>
        <v>4</v>
      </c>
      <c r="Z14" s="10">
        <f t="shared" si="7"/>
        <v>2.9999999999999361E-2</v>
      </c>
      <c r="AA14" s="15">
        <f t="shared" si="8"/>
        <v>3.0549898167005459E-3</v>
      </c>
      <c r="AB14" s="15">
        <f t="shared" si="9"/>
        <v>9.1499425504562387E-2</v>
      </c>
      <c r="AC14" s="10">
        <f t="shared" si="1"/>
        <v>9.3176604383464756E-3</v>
      </c>
      <c r="AD14">
        <f t="shared" si="10"/>
        <v>-2.9999999999999361E-2</v>
      </c>
      <c r="AE14">
        <f t="shared" si="18"/>
        <v>0</v>
      </c>
      <c r="AF14">
        <f t="shared" si="19"/>
        <v>2.9999999999999361E-2</v>
      </c>
      <c r="AG14">
        <f t="shared" ref="AG14:AH29" si="21">(AE14+13*AG13)/14</f>
        <v>0</v>
      </c>
      <c r="AH14">
        <f t="shared" si="21"/>
        <v>0.13811224489795942</v>
      </c>
      <c r="AI14">
        <f t="shared" si="11"/>
        <v>0</v>
      </c>
      <c r="AJ14">
        <f t="shared" si="20"/>
        <v>0</v>
      </c>
      <c r="AK14" s="14">
        <f t="shared" si="2"/>
        <v>0</v>
      </c>
      <c r="AL14">
        <v>-19</v>
      </c>
      <c r="AN14" s="14">
        <f t="shared" si="12"/>
        <v>-3.0456852791878042E-3</v>
      </c>
      <c r="AO14">
        <f t="shared" ref="AO14:AO77" si="22">IF(AN14&gt;0,1,0)</f>
        <v>0</v>
      </c>
      <c r="AP14" s="14"/>
      <c r="AQ14">
        <f t="shared" si="14"/>
        <v>6.7163526686191188E-2</v>
      </c>
      <c r="AR14">
        <f t="shared" si="15"/>
        <v>-7.0209211965378993E-2</v>
      </c>
      <c r="AU14" s="14"/>
      <c r="AV14" s="19"/>
      <c r="AW14" s="19"/>
      <c r="AX14">
        <f t="shared" si="3"/>
        <v>1</v>
      </c>
      <c r="AY14">
        <f>IF(W14,SUMPRODUCT(INDEX(AX:AX,X14):INDEX(AX:AX,X14+Y14)),0)</f>
        <v>0</v>
      </c>
      <c r="AZ14">
        <f>IF(V14,COUNT(INDEX(AX:AX,X14):INDEX(AX:AX,ROW())),0)</f>
        <v>4</v>
      </c>
      <c r="BA14" s="14" t="str">
        <f t="shared" si="16"/>
        <v/>
      </c>
      <c r="BB14" s="6">
        <f t="shared" si="4"/>
        <v>1964</v>
      </c>
      <c r="BC14" s="6">
        <f>MEDIAN(INDEX(BB:BB,X14):INDEX(BB:BB,X14+Y14-1))</f>
        <v>529545</v>
      </c>
      <c r="BD14" s="25" t="str">
        <f t="shared" si="5"/>
        <v/>
      </c>
      <c r="BE14">
        <f t="shared" si="17"/>
        <v>0</v>
      </c>
      <c r="BF14" s="6">
        <f>SUM(INDEX(BE:BE,X14):INDEX(BE:BE,X14+Y14-1))</f>
        <v>0</v>
      </c>
      <c r="BG14" s="25" t="str">
        <f t="shared" si="6"/>
        <v/>
      </c>
    </row>
    <row r="15" spans="1:60" x14ac:dyDescent="0.3">
      <c r="A15" s="1">
        <v>43928</v>
      </c>
      <c r="B15">
        <v>9.82</v>
      </c>
      <c r="C15">
        <v>9.82</v>
      </c>
      <c r="D15">
        <v>9.82</v>
      </c>
      <c r="E15">
        <v>9.82</v>
      </c>
      <c r="F15">
        <v>0</v>
      </c>
      <c r="G15" s="29">
        <v>8.4963752254236496E-2</v>
      </c>
      <c r="H15" s="29">
        <v>8.6521132641788692E-3</v>
      </c>
      <c r="I15" s="34">
        <v>0</v>
      </c>
      <c r="J15" s="29">
        <v>50.232252989242802</v>
      </c>
      <c r="K15" s="29">
        <v>-1.3065326633165701E-2</v>
      </c>
      <c r="L15" s="29">
        <v>0.2</v>
      </c>
      <c r="M15" s="29">
        <v>6.4055674656572595E-2</v>
      </c>
      <c r="N15" s="29">
        <v>4.23340486550874E-2</v>
      </c>
      <c r="O15" s="29">
        <v>-2.7722772277227602E-2</v>
      </c>
      <c r="P15" s="34">
        <v>0</v>
      </c>
      <c r="R15" s="30"/>
      <c r="T15" s="14">
        <v>244.38399999999999</v>
      </c>
      <c r="U15" s="41"/>
      <c r="V15">
        <v>5</v>
      </c>
      <c r="W15" t="b">
        <f>V15&gt;=$C$4</f>
        <v>0</v>
      </c>
      <c r="X15">
        <f>IF(V15&lt;=$C$5,11,ROW()-$C$5+1)</f>
        <v>11</v>
      </c>
      <c r="Y15" s="14">
        <f t="shared" si="0"/>
        <v>5</v>
      </c>
      <c r="Z15" s="10">
        <f t="shared" si="7"/>
        <v>0</v>
      </c>
      <c r="AA15" s="15">
        <f t="shared" si="8"/>
        <v>0</v>
      </c>
      <c r="AB15" s="15">
        <f t="shared" si="9"/>
        <v>8.4963752254236496E-2</v>
      </c>
      <c r="AC15" s="10">
        <f t="shared" si="1"/>
        <v>8.6521132641788692E-3</v>
      </c>
      <c r="AD15">
        <f t="shared" si="10"/>
        <v>0</v>
      </c>
      <c r="AE15">
        <f t="shared" si="18"/>
        <v>0</v>
      </c>
      <c r="AF15">
        <f t="shared" si="19"/>
        <v>0</v>
      </c>
      <c r="AG15">
        <f t="shared" si="21"/>
        <v>0</v>
      </c>
      <c r="AH15">
        <f t="shared" si="21"/>
        <v>0.12824708454810518</v>
      </c>
      <c r="AI15">
        <f t="shared" si="11"/>
        <v>0</v>
      </c>
      <c r="AJ15">
        <f t="shared" si="20"/>
        <v>0</v>
      </c>
      <c r="AK15" s="14">
        <f t="shared" si="2"/>
        <v>0</v>
      </c>
      <c r="AL15">
        <v>-18</v>
      </c>
      <c r="AN15" s="14">
        <f t="shared" si="12"/>
        <v>0</v>
      </c>
      <c r="AO15">
        <f t="shared" si="22"/>
        <v>0</v>
      </c>
      <c r="AP15" s="14">
        <f t="shared" ref="AP15:AP78" si="23">SUM(AO11:AO15) / 5</f>
        <v>0</v>
      </c>
      <c r="AQ15">
        <f t="shared" si="14"/>
        <v>1.0199274991296026E-3</v>
      </c>
      <c r="AR15">
        <f t="shared" si="15"/>
        <v>-1.0199274991296026E-3</v>
      </c>
      <c r="AU15" s="14"/>
      <c r="AV15" s="19"/>
      <c r="AW15" s="19"/>
      <c r="AX15">
        <f t="shared" si="3"/>
        <v>1</v>
      </c>
      <c r="AY15">
        <f>IF(W15,SUMPRODUCT(INDEX(AX:AX,X15):INDEX(AX:AX,X15+Y15)),0)</f>
        <v>0</v>
      </c>
      <c r="AZ15">
        <f>IF(V15,COUNT(INDEX(AX:AX,X15):INDEX(AX:AX,ROW())),0)</f>
        <v>5</v>
      </c>
      <c r="BA15" s="14" t="str">
        <f t="shared" si="16"/>
        <v/>
      </c>
      <c r="BB15" s="6">
        <f t="shared" si="4"/>
        <v>0</v>
      </c>
      <c r="BC15" s="6">
        <f>MEDIAN(INDEX(BB:BB,X15):INDEX(BB:BB,X15+Y15-1))</f>
        <v>48480</v>
      </c>
      <c r="BD15" s="25" t="str">
        <f t="shared" si="5"/>
        <v/>
      </c>
      <c r="BE15">
        <f t="shared" si="17"/>
        <v>0</v>
      </c>
      <c r="BF15" s="6">
        <f>SUM(INDEX(BE:BE,X15):INDEX(BE:BE,X15+Y15-1))</f>
        <v>0</v>
      </c>
      <c r="BG15" s="25" t="str">
        <f t="shared" si="6"/>
        <v/>
      </c>
    </row>
    <row r="16" spans="1:60" x14ac:dyDescent="0.3">
      <c r="A16" s="1">
        <v>43929</v>
      </c>
      <c r="B16">
        <v>9.8699999999999992</v>
      </c>
      <c r="C16">
        <v>9.8699999999999992</v>
      </c>
      <c r="D16">
        <v>9.8699999999999992</v>
      </c>
      <c r="E16">
        <v>9.8699999999999992</v>
      </c>
      <c r="F16">
        <v>500</v>
      </c>
      <c r="G16" s="29">
        <v>8.24663413789338E-2</v>
      </c>
      <c r="H16" s="29">
        <v>8.3552524193448597E-3</v>
      </c>
      <c r="I16" s="34">
        <v>5.0658561296858E-3</v>
      </c>
      <c r="J16" s="29">
        <v>53.337149379094001</v>
      </c>
      <c r="K16" s="29">
        <v>-4.0363269424824599E-3</v>
      </c>
      <c r="L16" s="29">
        <v>0.2</v>
      </c>
      <c r="M16" s="29">
        <v>5.3241824556310102E-2</v>
      </c>
      <c r="N16" s="29">
        <v>4.3969889070315897E-2</v>
      </c>
      <c r="O16" s="29">
        <v>-2.2772277227722699E-2</v>
      </c>
      <c r="P16" s="34">
        <v>5.0916496945008199E-3</v>
      </c>
      <c r="R16" s="30"/>
      <c r="T16" s="14">
        <v>252.58799999999999</v>
      </c>
      <c r="U16" s="41"/>
      <c r="V16">
        <v>6</v>
      </c>
      <c r="W16" t="b">
        <f>V16&gt;=$C$4</f>
        <v>0</v>
      </c>
      <c r="X16">
        <f>IF(V16&lt;=$C$5,11,ROW()-$C$5+1)</f>
        <v>11</v>
      </c>
      <c r="Y16" s="14">
        <f t="shared" si="0"/>
        <v>6</v>
      </c>
      <c r="Z16" s="10">
        <f t="shared" si="7"/>
        <v>4.9999999999998934E-2</v>
      </c>
      <c r="AA16" s="15">
        <f t="shared" si="8"/>
        <v>5.0658561296858095E-3</v>
      </c>
      <c r="AB16" s="15">
        <f t="shared" si="9"/>
        <v>8.2466341378933813E-2</v>
      </c>
      <c r="AC16" s="10">
        <f t="shared" si="1"/>
        <v>8.3552524193448649E-3</v>
      </c>
      <c r="AD16">
        <f t="shared" si="10"/>
        <v>4.9999999999998934E-2</v>
      </c>
      <c r="AE16">
        <f t="shared" si="18"/>
        <v>4.9999999999998934E-2</v>
      </c>
      <c r="AF16">
        <f t="shared" si="19"/>
        <v>0</v>
      </c>
      <c r="AG16">
        <f t="shared" si="21"/>
        <v>3.5714285714284954E-3</v>
      </c>
      <c r="AH16">
        <f t="shared" si="21"/>
        <v>0.11908657850895481</v>
      </c>
      <c r="AI16">
        <f t="shared" si="11"/>
        <v>2.9990185427654546E-2</v>
      </c>
      <c r="AJ16">
        <f t="shared" si="20"/>
        <v>2.9116962328337621</v>
      </c>
      <c r="AK16" s="14">
        <f t="shared" si="2"/>
        <v>2.9116962328337621</v>
      </c>
      <c r="AL16">
        <v>-17</v>
      </c>
      <c r="AN16" s="14">
        <f t="shared" si="12"/>
        <v>5.0916496945008216E-3</v>
      </c>
      <c r="AO16">
        <f t="shared" si="22"/>
        <v>1</v>
      </c>
      <c r="AP16" s="14">
        <f t="shared" si="23"/>
        <v>0.2</v>
      </c>
      <c r="AQ16">
        <f t="shared" si="14"/>
        <v>3.3570119156737022E-2</v>
      </c>
      <c r="AR16">
        <f t="shared" si="15"/>
        <v>-2.84784694622362E-2</v>
      </c>
      <c r="AU16" s="14"/>
      <c r="AV16" s="19"/>
      <c r="AW16" s="19"/>
      <c r="AX16">
        <f t="shared" si="3"/>
        <v>1</v>
      </c>
      <c r="AY16">
        <f>IF(W16,SUMPRODUCT(INDEX(AX:AX,X16):INDEX(AX:AX,X16+Y16)),0)</f>
        <v>0</v>
      </c>
      <c r="AZ16">
        <f>IF(V16,COUNT(INDEX(AX:AX,X16):INDEX(AX:AX,ROW())),0)</f>
        <v>6</v>
      </c>
      <c r="BA16" s="14" t="str">
        <f t="shared" si="16"/>
        <v/>
      </c>
      <c r="BB16" s="6">
        <f t="shared" si="4"/>
        <v>4935</v>
      </c>
      <c r="BC16" s="6">
        <f>MEDIAN(INDEX(BB:BB,X16):INDEX(BB:BB,X16+Y16-1))</f>
        <v>26707.5</v>
      </c>
      <c r="BD16" s="25" t="str">
        <f t="shared" si="5"/>
        <v/>
      </c>
      <c r="BE16">
        <f t="shared" si="17"/>
        <v>0</v>
      </c>
      <c r="BF16" s="6">
        <f>SUM(INDEX(BE:BE,X16):INDEX(BE:BE,X16+Y16-1))</f>
        <v>0</v>
      </c>
      <c r="BG16" s="25" t="str">
        <f t="shared" si="6"/>
        <v/>
      </c>
    </row>
    <row r="17" spans="1:59" x14ac:dyDescent="0.3">
      <c r="A17" s="1">
        <v>43930</v>
      </c>
      <c r="B17">
        <v>9.8140000000000001</v>
      </c>
      <c r="C17">
        <v>9.8140000000000001</v>
      </c>
      <c r="D17">
        <v>9.8140000000000001</v>
      </c>
      <c r="E17">
        <v>9.8140000000000001</v>
      </c>
      <c r="F17">
        <v>200</v>
      </c>
      <c r="G17" s="29">
        <v>8.0575888423295605E-2</v>
      </c>
      <c r="H17" s="29">
        <v>8.2103004303337706E-3</v>
      </c>
      <c r="I17" s="29">
        <v>5.7061340941511199E-3</v>
      </c>
      <c r="J17" s="29">
        <v>49.604454300947602</v>
      </c>
      <c r="K17" s="29">
        <v>-9.68718466195761E-3</v>
      </c>
      <c r="L17" s="29">
        <v>0.2</v>
      </c>
      <c r="M17" s="29">
        <v>4.67418596420325E-2</v>
      </c>
      <c r="N17" s="29">
        <v>4.26758895298378E-2</v>
      </c>
      <c r="O17" s="29">
        <v>-2.83168316831682E-2</v>
      </c>
      <c r="P17" s="29">
        <v>-5.6737588652481198E-3</v>
      </c>
      <c r="R17" s="30"/>
      <c r="T17" s="14">
        <v>256.43099999999998</v>
      </c>
      <c r="U17" s="41"/>
      <c r="V17">
        <v>7</v>
      </c>
      <c r="W17" t="b">
        <f>V17&gt;=$C$4</f>
        <v>0</v>
      </c>
      <c r="X17">
        <f>IF(V17&lt;=$C$5,11,ROW()-$C$5+1)</f>
        <v>11</v>
      </c>
      <c r="Y17" s="14">
        <f t="shared" si="0"/>
        <v>7</v>
      </c>
      <c r="Z17" s="10">
        <f t="shared" si="7"/>
        <v>5.5999999999999162E-2</v>
      </c>
      <c r="AA17" s="15">
        <f t="shared" si="8"/>
        <v>5.7061340941511269E-3</v>
      </c>
      <c r="AB17" s="15">
        <f t="shared" si="9"/>
        <v>8.0575888423295633E-2</v>
      </c>
      <c r="AC17" s="10">
        <f t="shared" si="1"/>
        <v>8.2103004303337706E-3</v>
      </c>
      <c r="AD17">
        <f t="shared" si="10"/>
        <v>-5.5999999999999162E-2</v>
      </c>
      <c r="AE17">
        <f t="shared" si="18"/>
        <v>0</v>
      </c>
      <c r="AF17">
        <f t="shared" si="19"/>
        <v>5.5999999999999162E-2</v>
      </c>
      <c r="AG17">
        <f t="shared" si="21"/>
        <v>3.3163265306121741E-3</v>
      </c>
      <c r="AH17">
        <f t="shared" si="21"/>
        <v>0.11458039432974368</v>
      </c>
      <c r="AI17">
        <f t="shared" si="11"/>
        <v>2.8943228464272233E-2</v>
      </c>
      <c r="AJ17">
        <f t="shared" si="20"/>
        <v>2.8129082016965015</v>
      </c>
      <c r="AK17" s="14">
        <f t="shared" si="2"/>
        <v>2.8129082016965015</v>
      </c>
      <c r="AL17">
        <v>-16</v>
      </c>
      <c r="AN17" s="14">
        <f t="shared" si="12"/>
        <v>-5.6737588652481241E-3</v>
      </c>
      <c r="AO17">
        <f t="shared" si="22"/>
        <v>0</v>
      </c>
      <c r="AP17" s="14">
        <f t="shared" si="23"/>
        <v>0.2</v>
      </c>
      <c r="AQ17">
        <f t="shared" si="14"/>
        <v>1.5214499501163825E-2</v>
      </c>
      <c r="AR17">
        <f t="shared" si="15"/>
        <v>-2.0888258366411946E-2</v>
      </c>
      <c r="AU17" s="14"/>
      <c r="AV17" s="19"/>
      <c r="AW17" s="19"/>
      <c r="AX17">
        <f t="shared" si="3"/>
        <v>1</v>
      </c>
      <c r="AY17">
        <f>IF(W17,SUMPRODUCT(INDEX(AX:AX,X17):INDEX(AX:AX,X17+Y17)),0)</f>
        <v>0</v>
      </c>
      <c r="AZ17">
        <f>IF(V17,COUNT(INDEX(AX:AX,X17):INDEX(AX:AX,ROW())),0)</f>
        <v>7</v>
      </c>
      <c r="BA17" s="14" t="str">
        <f t="shared" si="16"/>
        <v/>
      </c>
      <c r="BB17" s="6">
        <f t="shared" si="4"/>
        <v>1962.8</v>
      </c>
      <c r="BC17" s="6">
        <f>MEDIAN(INDEX(BB:BB,X17):INDEX(BB:BB,X17+Y17-1))</f>
        <v>4935</v>
      </c>
      <c r="BD17" s="25" t="str">
        <f t="shared" si="5"/>
        <v/>
      </c>
      <c r="BE17">
        <f t="shared" si="17"/>
        <v>0</v>
      </c>
      <c r="BF17" s="6">
        <f>SUM(INDEX(BE:BE,X17):INDEX(BE:BE,X17+Y17-1))</f>
        <v>0</v>
      </c>
      <c r="BG17" s="25" t="str">
        <f t="shared" si="6"/>
        <v/>
      </c>
    </row>
    <row r="18" spans="1:59" x14ac:dyDescent="0.3">
      <c r="A18" s="1">
        <v>43934</v>
      </c>
      <c r="B18">
        <v>9.85</v>
      </c>
      <c r="C18">
        <v>9.85</v>
      </c>
      <c r="D18">
        <v>9.85</v>
      </c>
      <c r="E18">
        <v>9.85</v>
      </c>
      <c r="F18">
        <v>200</v>
      </c>
      <c r="G18" s="29">
        <v>7.7391896393060197E-2</v>
      </c>
      <c r="H18" s="29">
        <v>7.8570453190924001E-3</v>
      </c>
      <c r="I18" s="29">
        <v>3.6548223350253298E-3</v>
      </c>
      <c r="J18" s="29">
        <v>51.933276792268998</v>
      </c>
      <c r="K18" s="29">
        <v>5.6151097498724403E-3</v>
      </c>
      <c r="L18" s="29">
        <v>0.4</v>
      </c>
      <c r="M18" s="29">
        <v>5.2072196370443101E-2</v>
      </c>
      <c r="N18" s="29">
        <v>4.2288139117954503E-2</v>
      </c>
      <c r="O18" s="29">
        <v>-2.4752475247524702E-2</v>
      </c>
      <c r="P18" s="29">
        <v>3.6682290605256599E-3</v>
      </c>
      <c r="R18" s="30"/>
      <c r="T18" s="14">
        <v>254.09</v>
      </c>
      <c r="U18" s="41"/>
      <c r="V18">
        <v>8</v>
      </c>
      <c r="W18" t="b">
        <f>V18&gt;=$C$4</f>
        <v>0</v>
      </c>
      <c r="X18">
        <f>IF(V18&lt;=$C$5,11,ROW()-$C$5+1)</f>
        <v>11</v>
      </c>
      <c r="Y18" s="14">
        <f t="shared" si="0"/>
        <v>8</v>
      </c>
      <c r="Z18" s="10">
        <f t="shared" si="7"/>
        <v>3.5999999999999588E-2</v>
      </c>
      <c r="AA18" s="15">
        <f t="shared" si="8"/>
        <v>3.6548223350253389E-3</v>
      </c>
      <c r="AB18" s="15">
        <f t="shared" si="9"/>
        <v>7.7391896393060197E-2</v>
      </c>
      <c r="AC18" s="10">
        <f t="shared" si="1"/>
        <v>7.8570453190924053E-3</v>
      </c>
      <c r="AD18">
        <f t="shared" si="10"/>
        <v>3.5999999999999588E-2</v>
      </c>
      <c r="AE18">
        <f t="shared" si="18"/>
        <v>3.5999999999999588E-2</v>
      </c>
      <c r="AF18">
        <f t="shared" si="19"/>
        <v>0</v>
      </c>
      <c r="AG18">
        <f t="shared" si="21"/>
        <v>5.6508746355684175E-3</v>
      </c>
      <c r="AH18">
        <f t="shared" si="21"/>
        <v>0.10639608044904771</v>
      </c>
      <c r="AI18">
        <f t="shared" si="11"/>
        <v>5.3111680540474229E-2</v>
      </c>
      <c r="AJ18">
        <f t="shared" si="20"/>
        <v>5.043309415504396</v>
      </c>
      <c r="AK18" s="14">
        <f t="shared" si="2"/>
        <v>5.043309415504396</v>
      </c>
      <c r="AL18">
        <v>-15</v>
      </c>
      <c r="AN18" s="14">
        <f t="shared" si="12"/>
        <v>3.6682290605256629E-3</v>
      </c>
      <c r="AO18">
        <f t="shared" si="22"/>
        <v>1</v>
      </c>
      <c r="AP18" s="14">
        <f t="shared" si="23"/>
        <v>0.4</v>
      </c>
      <c r="AQ18">
        <f t="shared" si="14"/>
        <v>-9.1291614508385299E-3</v>
      </c>
      <c r="AR18">
        <f t="shared" si="15"/>
        <v>1.2797390511364189E-2</v>
      </c>
      <c r="AU18" s="14"/>
      <c r="AV18" s="19"/>
      <c r="AW18" s="19"/>
      <c r="AX18">
        <f t="shared" si="3"/>
        <v>1</v>
      </c>
      <c r="AY18">
        <f>IF(W18,SUMPRODUCT(INDEX(AX:AX,X18):INDEX(AX:AX,X18+Y18)),0)</f>
        <v>0</v>
      </c>
      <c r="AZ18">
        <f>IF(V18,COUNT(INDEX(AX:AX,X18):INDEX(AX:AX,ROW())),0)</f>
        <v>8</v>
      </c>
      <c r="BA18" s="14" t="str">
        <f t="shared" si="16"/>
        <v/>
      </c>
      <c r="BB18" s="6">
        <f t="shared" si="4"/>
        <v>1970</v>
      </c>
      <c r="BC18" s="6">
        <f>MEDIAN(INDEX(BB:BB,X18):INDEX(BB:BB,X18+Y18-1))</f>
        <v>3452.5</v>
      </c>
      <c r="BD18" s="25" t="str">
        <f t="shared" si="5"/>
        <v/>
      </c>
      <c r="BE18">
        <f t="shared" si="17"/>
        <v>1</v>
      </c>
      <c r="BF18" s="6">
        <f>SUM(INDEX(BE:BE,X18):INDEX(BE:BE,X18+Y18-1))</f>
        <v>1</v>
      </c>
      <c r="BG18" s="25" t="str">
        <f t="shared" si="6"/>
        <v/>
      </c>
    </row>
    <row r="19" spans="1:59" x14ac:dyDescent="0.3">
      <c r="A19" s="1">
        <v>43935</v>
      </c>
      <c r="B19">
        <v>9.85</v>
      </c>
      <c r="C19">
        <v>9.875</v>
      </c>
      <c r="D19">
        <v>9.85</v>
      </c>
      <c r="E19">
        <v>9.8699999999999992</v>
      </c>
      <c r="F19">
        <v>9200</v>
      </c>
      <c r="G19" s="29">
        <v>7.3649618079270202E-2</v>
      </c>
      <c r="H19" s="29">
        <v>7.4619673839179503E-3</v>
      </c>
      <c r="I19" s="29">
        <v>2.5329280648429902E-3</v>
      </c>
      <c r="J19" s="29">
        <v>53.226450138093298</v>
      </c>
      <c r="K19" s="29">
        <v>7.1428571428568902E-3</v>
      </c>
      <c r="L19" s="29">
        <v>0.6</v>
      </c>
      <c r="M19" s="29">
        <v>4.2602242730613402E-2</v>
      </c>
      <c r="N19" s="29">
        <v>4.26068068947996E-2</v>
      </c>
      <c r="O19" s="29">
        <v>-2.2772277227722699E-2</v>
      </c>
      <c r="P19" s="29">
        <v>2.0304568527917898E-3</v>
      </c>
      <c r="R19" s="30"/>
      <c r="T19" s="11">
        <v>261.584</v>
      </c>
      <c r="U19" s="42"/>
      <c r="V19">
        <v>9</v>
      </c>
      <c r="W19" t="b">
        <f>V19&gt;=$C$4</f>
        <v>0</v>
      </c>
      <c r="X19">
        <f>IF(V19&lt;=$C$5,11,ROW()-$C$5+1)</f>
        <v>11</v>
      </c>
      <c r="Y19" s="14">
        <f t="shared" si="0"/>
        <v>9</v>
      </c>
      <c r="Z19" s="10">
        <f t="shared" si="7"/>
        <v>2.5000000000000355E-2</v>
      </c>
      <c r="AA19" s="15">
        <f t="shared" si="8"/>
        <v>2.5329280648429945E-3</v>
      </c>
      <c r="AB19" s="15">
        <f t="shared" si="9"/>
        <v>7.3649618079270202E-2</v>
      </c>
      <c r="AC19" s="10">
        <f t="shared" si="1"/>
        <v>7.4619673839179538E-3</v>
      </c>
      <c r="AD19">
        <f t="shared" si="10"/>
        <v>1.9999999999999574E-2</v>
      </c>
      <c r="AE19">
        <f t="shared" si="18"/>
        <v>1.9999999999999574E-2</v>
      </c>
      <c r="AF19">
        <f t="shared" si="19"/>
        <v>0</v>
      </c>
      <c r="AG19">
        <f t="shared" si="21"/>
        <v>6.6758121615992146E-3</v>
      </c>
      <c r="AH19">
        <f t="shared" si="21"/>
        <v>9.8796360416972859E-2</v>
      </c>
      <c r="AI19">
        <f t="shared" si="11"/>
        <v>6.7571438192902636E-2</v>
      </c>
      <c r="AJ19">
        <f t="shared" si="20"/>
        <v>6.3294535405782426</v>
      </c>
      <c r="AK19" s="14">
        <f t="shared" si="2"/>
        <v>6.3294535405782426</v>
      </c>
      <c r="AL19">
        <v>-14</v>
      </c>
      <c r="AN19" s="14">
        <f t="shared" si="12"/>
        <v>2.0304568527917954E-3</v>
      </c>
      <c r="AO19">
        <f t="shared" si="22"/>
        <v>1</v>
      </c>
      <c r="AP19" s="14">
        <f t="shared" si="23"/>
        <v>0.6</v>
      </c>
      <c r="AQ19">
        <f t="shared" si="14"/>
        <v>2.9493486559880377E-2</v>
      </c>
      <c r="AR19">
        <f t="shared" si="15"/>
        <v>-2.7463029707088589E-2</v>
      </c>
      <c r="AU19" s="14"/>
      <c r="AV19" s="19"/>
      <c r="AW19" s="19"/>
      <c r="AX19">
        <f t="shared" si="3"/>
        <v>0</v>
      </c>
      <c r="AY19">
        <f>IF(W19,SUMPRODUCT(INDEX(AX:AX,X19):INDEX(AX:AX,X19+Y19)),0)</f>
        <v>0</v>
      </c>
      <c r="AZ19">
        <f>IF(V19,COUNT(INDEX(AX:AX,X19):INDEX(AX:AX,ROW())),0)</f>
        <v>9</v>
      </c>
      <c r="BA19" s="14" t="str">
        <f t="shared" si="16"/>
        <v/>
      </c>
      <c r="BB19" s="6">
        <f t="shared" si="4"/>
        <v>90804</v>
      </c>
      <c r="BC19" s="6">
        <f>MEDIAN(INDEX(BB:BB,X19):INDEX(BB:BB,X19+Y19-1))</f>
        <v>4935</v>
      </c>
      <c r="BD19" s="25" t="str">
        <f t="shared" si="5"/>
        <v/>
      </c>
      <c r="BE19">
        <f t="shared" si="17"/>
        <v>0</v>
      </c>
      <c r="BF19" s="6">
        <f>SUM(INDEX(BE:BE,X19):INDEX(BE:BE,X19+Y19-1))</f>
        <v>1</v>
      </c>
      <c r="BG19" s="25" t="str">
        <f t="shared" si="6"/>
        <v/>
      </c>
    </row>
    <row r="20" spans="1:59" x14ac:dyDescent="0.3">
      <c r="A20" s="1">
        <v>43936</v>
      </c>
      <c r="B20">
        <v>9.8699999999999992</v>
      </c>
      <c r="C20">
        <v>9.8699999999999992</v>
      </c>
      <c r="D20">
        <v>9.8699999999999992</v>
      </c>
      <c r="E20">
        <v>9.8699999999999992</v>
      </c>
      <c r="F20">
        <v>0</v>
      </c>
      <c r="G20" s="29">
        <v>6.8388931073607995E-2</v>
      </c>
      <c r="H20" s="29">
        <v>6.9289697136381001E-3</v>
      </c>
      <c r="I20" s="29">
        <v>0</v>
      </c>
      <c r="J20" s="29">
        <v>53.226450138093298</v>
      </c>
      <c r="K20" s="29">
        <v>2.81249999999999E-2</v>
      </c>
      <c r="L20" s="29">
        <v>0.6</v>
      </c>
      <c r="M20" s="29">
        <v>4.9501471888924703E-2</v>
      </c>
      <c r="N20" s="29">
        <v>4.2387703301754003E-2</v>
      </c>
      <c r="O20" s="29">
        <v>-2.2772277227722699E-2</v>
      </c>
      <c r="P20" s="29">
        <v>0</v>
      </c>
      <c r="R20" s="30"/>
      <c r="T20" s="14">
        <v>256.02600000000001</v>
      </c>
      <c r="U20" s="41"/>
      <c r="V20">
        <v>10</v>
      </c>
      <c r="W20" t="b">
        <f>V20&gt;=$C$4</f>
        <v>0</v>
      </c>
      <c r="X20">
        <f>IF(V20&lt;=$C$5,11,ROW()-$C$5+1)</f>
        <v>11</v>
      </c>
      <c r="Y20" s="14">
        <f t="shared" si="0"/>
        <v>10</v>
      </c>
      <c r="Z20" s="10">
        <f t="shared" si="7"/>
        <v>0</v>
      </c>
      <c r="AA20" s="15">
        <f t="shared" si="8"/>
        <v>0</v>
      </c>
      <c r="AB20" s="15">
        <f t="shared" si="9"/>
        <v>6.8388931073608036E-2</v>
      </c>
      <c r="AC20" s="10">
        <f t="shared" si="1"/>
        <v>6.9289697136380992E-3</v>
      </c>
      <c r="AD20">
        <f t="shared" si="10"/>
        <v>0</v>
      </c>
      <c r="AE20">
        <f t="shared" si="18"/>
        <v>0</v>
      </c>
      <c r="AF20">
        <f t="shared" si="19"/>
        <v>0</v>
      </c>
      <c r="AG20">
        <f t="shared" si="21"/>
        <v>6.1989684357706991E-3</v>
      </c>
      <c r="AH20">
        <f t="shared" si="21"/>
        <v>9.1739477530046215E-2</v>
      </c>
      <c r="AI20">
        <f t="shared" si="11"/>
        <v>6.757143819290265E-2</v>
      </c>
      <c r="AJ20">
        <f t="shared" si="20"/>
        <v>6.3294535405782426</v>
      </c>
      <c r="AK20" s="14">
        <f t="shared" si="2"/>
        <v>6.3294535405782426</v>
      </c>
      <c r="AL20">
        <v>-13</v>
      </c>
      <c r="AN20" s="14">
        <f t="shared" si="12"/>
        <v>0</v>
      </c>
      <c r="AO20">
        <f t="shared" si="22"/>
        <v>0</v>
      </c>
      <c r="AP20" s="14">
        <f t="shared" si="23"/>
        <v>0.6</v>
      </c>
      <c r="AQ20">
        <f t="shared" si="14"/>
        <v>-2.1247476909902696E-2</v>
      </c>
      <c r="AR20">
        <f t="shared" si="15"/>
        <v>2.1247476909902696E-2</v>
      </c>
      <c r="AU20" s="14"/>
      <c r="AV20" s="19"/>
      <c r="AW20" s="19"/>
      <c r="AX20">
        <f t="shared" si="3"/>
        <v>1</v>
      </c>
      <c r="AY20">
        <f>IF(W20,SUMPRODUCT(INDEX(AX:AX,X20):INDEX(AX:AX,X20+Y20)),0)</f>
        <v>0</v>
      </c>
      <c r="AZ20">
        <f>IF(V20,COUNT(INDEX(AX:AX,X20):INDEX(AX:AX,ROW())),0)</f>
        <v>10</v>
      </c>
      <c r="BA20" s="14" t="str">
        <f t="shared" si="16"/>
        <v/>
      </c>
      <c r="BB20" s="6">
        <f t="shared" si="4"/>
        <v>0</v>
      </c>
      <c r="BC20" s="6">
        <f>MEDIAN(INDEX(BB:BB,X20):INDEX(BB:BB,X20+Y20-1))</f>
        <v>3452.5</v>
      </c>
      <c r="BD20" s="25" t="str">
        <f t="shared" si="5"/>
        <v/>
      </c>
      <c r="BE20">
        <f t="shared" si="17"/>
        <v>0</v>
      </c>
      <c r="BF20" s="6">
        <f>SUM(INDEX(BE:BE,X20):INDEX(BE:BE,X20+Y20-1))</f>
        <v>1</v>
      </c>
      <c r="BG20" s="25" t="str">
        <f t="shared" si="6"/>
        <v/>
      </c>
    </row>
    <row r="21" spans="1:59" x14ac:dyDescent="0.3">
      <c r="A21" s="1">
        <v>43937</v>
      </c>
      <c r="B21">
        <v>9.8699999999999992</v>
      </c>
      <c r="C21">
        <v>9.8699999999999992</v>
      </c>
      <c r="D21">
        <v>9.8699999999999992</v>
      </c>
      <c r="E21">
        <v>9.8699999999999992</v>
      </c>
      <c r="F21">
        <v>0</v>
      </c>
      <c r="G21" s="29">
        <v>6.3504007425493197E-2</v>
      </c>
      <c r="H21" s="29">
        <v>6.4340433055210897E-3</v>
      </c>
      <c r="I21" s="29">
        <v>0</v>
      </c>
      <c r="J21" s="29">
        <v>53.226450138093298</v>
      </c>
      <c r="K21" s="29">
        <v>2.81249999999999E-2</v>
      </c>
      <c r="L21" s="29">
        <v>0.4</v>
      </c>
      <c r="M21" s="29">
        <v>4.8348672549944398E-2</v>
      </c>
      <c r="N21" s="29">
        <v>4.2376468854733298E-2</v>
      </c>
      <c r="O21" s="29">
        <v>-2.2772277227722699E-2</v>
      </c>
      <c r="P21" s="29">
        <v>0</v>
      </c>
      <c r="R21" s="30"/>
      <c r="T21" s="14">
        <v>257.26100000000002</v>
      </c>
      <c r="U21" s="41"/>
      <c r="V21">
        <v>11</v>
      </c>
      <c r="W21" t="b">
        <f>V21&gt;=$C$4</f>
        <v>0</v>
      </c>
      <c r="X21">
        <f>IF(V21&lt;=$C$5,11,ROW()-$C$5+1)</f>
        <v>11</v>
      </c>
      <c r="Y21" s="14">
        <f t="shared" si="0"/>
        <v>11</v>
      </c>
      <c r="Z21" s="10">
        <f t="shared" si="7"/>
        <v>0</v>
      </c>
      <c r="AA21" s="15">
        <f t="shared" si="8"/>
        <v>0</v>
      </c>
      <c r="AB21" s="15">
        <f t="shared" si="9"/>
        <v>6.3504007425493184E-2</v>
      </c>
      <c r="AC21" s="10">
        <f t="shared" si="1"/>
        <v>6.4340433055210932E-3</v>
      </c>
      <c r="AD21">
        <f t="shared" si="10"/>
        <v>0</v>
      </c>
      <c r="AE21">
        <f t="shared" si="18"/>
        <v>0</v>
      </c>
      <c r="AF21">
        <f t="shared" si="19"/>
        <v>0</v>
      </c>
      <c r="AG21">
        <f t="shared" si="21"/>
        <v>5.7561849760727913E-3</v>
      </c>
      <c r="AH21">
        <f t="shared" si="21"/>
        <v>8.5186657706471491E-2</v>
      </c>
      <c r="AI21">
        <f t="shared" si="11"/>
        <v>6.7571438192902636E-2</v>
      </c>
      <c r="AJ21">
        <f t="shared" si="20"/>
        <v>6.3294535405782426</v>
      </c>
      <c r="AK21" s="14">
        <f t="shared" si="2"/>
        <v>6.3294535405782426</v>
      </c>
      <c r="AL21">
        <v>-12</v>
      </c>
      <c r="AN21" s="14">
        <f t="shared" si="12"/>
        <v>0</v>
      </c>
      <c r="AO21">
        <f t="shared" si="22"/>
        <v>0</v>
      </c>
      <c r="AP21" s="14">
        <f t="shared" si="23"/>
        <v>0.4</v>
      </c>
      <c r="AQ21">
        <f t="shared" si="14"/>
        <v>4.8237288400396761E-3</v>
      </c>
      <c r="AR21">
        <f t="shared" si="15"/>
        <v>-4.8237288400396761E-3</v>
      </c>
      <c r="AU21" s="14"/>
      <c r="AV21" s="19"/>
      <c r="AW21" s="19"/>
      <c r="AX21">
        <f t="shared" si="3"/>
        <v>1</v>
      </c>
      <c r="AY21">
        <f>IF(W21,SUMPRODUCT(INDEX(AX:AX,X21):INDEX(AX:AX,X21+Y21)),0)</f>
        <v>0</v>
      </c>
      <c r="AZ21">
        <f>IF(V21,COUNT(INDEX(AX:AX,X21):INDEX(AX:AX,ROW())),0)</f>
        <v>11</v>
      </c>
      <c r="BA21" s="14" t="str">
        <f t="shared" si="16"/>
        <v/>
      </c>
      <c r="BB21" s="6">
        <f t="shared" si="4"/>
        <v>0</v>
      </c>
      <c r="BC21" s="6">
        <f>MEDIAN(INDEX(BB:BB,X21):INDEX(BB:BB,X21+Y21-1))</f>
        <v>1970</v>
      </c>
      <c r="BD21" s="25" t="str">
        <f t="shared" si="5"/>
        <v/>
      </c>
      <c r="BE21">
        <f t="shared" si="17"/>
        <v>1</v>
      </c>
      <c r="BF21" s="6">
        <f>SUM(INDEX(BE:BE,X21):INDEX(BE:BE,X21+Y21-1))</f>
        <v>2</v>
      </c>
      <c r="BG21" s="25" t="str">
        <f t="shared" si="6"/>
        <v/>
      </c>
    </row>
    <row r="22" spans="1:59" x14ac:dyDescent="0.3">
      <c r="A22" s="1">
        <v>43938</v>
      </c>
      <c r="B22">
        <v>9.84</v>
      </c>
      <c r="C22">
        <v>9.84</v>
      </c>
      <c r="D22">
        <v>9.84</v>
      </c>
      <c r="E22">
        <v>9.84</v>
      </c>
      <c r="F22">
        <v>200</v>
      </c>
      <c r="G22" s="29">
        <v>6.1110864037957902E-2</v>
      </c>
      <c r="H22" s="29">
        <v>6.2104536623941E-3</v>
      </c>
      <c r="I22" s="29">
        <v>3.0487804878048101E-3</v>
      </c>
      <c r="J22" s="29">
        <v>50.672402278880497</v>
      </c>
      <c r="K22" s="29">
        <v>3.3613445378151301E-2</v>
      </c>
      <c r="L22" s="29">
        <v>0.4</v>
      </c>
      <c r="M22" s="29">
        <v>3.7978492094967897E-2</v>
      </c>
      <c r="N22" s="29">
        <v>4.0876183167100698E-2</v>
      </c>
      <c r="O22" s="29">
        <v>-2.57425742574257E-2</v>
      </c>
      <c r="P22" s="29">
        <v>-3.0395136778115202E-3</v>
      </c>
      <c r="R22" s="30"/>
      <c r="T22" s="14">
        <v>264.21100000000001</v>
      </c>
      <c r="U22" s="41"/>
      <c r="V22">
        <v>12</v>
      </c>
      <c r="W22" t="b">
        <f>V22&gt;=$C$4</f>
        <v>0</v>
      </c>
      <c r="X22">
        <f>IF(V22&lt;=$C$5,11,ROW()-$C$5+1)</f>
        <v>11</v>
      </c>
      <c r="Y22" s="14">
        <f t="shared" si="0"/>
        <v>12</v>
      </c>
      <c r="Z22" s="10">
        <f t="shared" si="7"/>
        <v>2.9999999999999361E-2</v>
      </c>
      <c r="AA22" s="15">
        <f t="shared" si="8"/>
        <v>3.0487804878048131E-3</v>
      </c>
      <c r="AB22" s="15">
        <f t="shared" si="9"/>
        <v>6.1110864037957909E-2</v>
      </c>
      <c r="AC22" s="10">
        <f t="shared" si="1"/>
        <v>6.2104536623940965E-3</v>
      </c>
      <c r="AD22">
        <f t="shared" si="10"/>
        <v>-2.9999999999999361E-2</v>
      </c>
      <c r="AE22">
        <f t="shared" si="18"/>
        <v>0</v>
      </c>
      <c r="AF22">
        <f t="shared" si="19"/>
        <v>2.9999999999999361E-2</v>
      </c>
      <c r="AG22">
        <f t="shared" si="21"/>
        <v>5.3450289063533066E-3</v>
      </c>
      <c r="AH22">
        <f t="shared" si="21"/>
        <v>8.1244753584580623E-2</v>
      </c>
      <c r="AI22">
        <f t="shared" si="11"/>
        <v>6.5789219248339692E-2</v>
      </c>
      <c r="AJ22">
        <f t="shared" si="20"/>
        <v>6.1728171068138806</v>
      </c>
      <c r="AK22" s="14">
        <f t="shared" si="2"/>
        <v>6.1728171068138806</v>
      </c>
      <c r="AL22">
        <v>-11</v>
      </c>
      <c r="AN22" s="14">
        <f t="shared" si="12"/>
        <v>-3.0395136778115228E-3</v>
      </c>
      <c r="AO22">
        <f t="shared" si="22"/>
        <v>0</v>
      </c>
      <c r="AP22" s="14">
        <f t="shared" si="23"/>
        <v>0.4</v>
      </c>
      <c r="AQ22">
        <f t="shared" si="14"/>
        <v>2.7015365718083828E-2</v>
      </c>
      <c r="AR22">
        <f t="shared" si="15"/>
        <v>-3.0054879395895347E-2</v>
      </c>
      <c r="AU22" s="14"/>
      <c r="AV22" s="19"/>
      <c r="AW22" s="19"/>
      <c r="AX22">
        <f t="shared" si="3"/>
        <v>1</v>
      </c>
      <c r="AY22">
        <f>IF(W22,SUMPRODUCT(INDEX(AX:AX,X22):INDEX(AX:AX,X22+Y22)),0)</f>
        <v>0</v>
      </c>
      <c r="AZ22">
        <f>IF(V22,COUNT(INDEX(AX:AX,X22):INDEX(AX:AX,ROW())),0)</f>
        <v>12</v>
      </c>
      <c r="BA22" s="14" t="str">
        <f t="shared" si="16"/>
        <v/>
      </c>
      <c r="BB22" s="6">
        <f t="shared" si="4"/>
        <v>1968</v>
      </c>
      <c r="BC22" s="6">
        <f>MEDIAN(INDEX(BB:BB,X22):INDEX(BB:BB,X22+Y22-1))</f>
        <v>1969</v>
      </c>
      <c r="BD22" s="25" t="str">
        <f t="shared" si="5"/>
        <v/>
      </c>
      <c r="BE22">
        <f t="shared" si="17"/>
        <v>0</v>
      </c>
      <c r="BF22" s="6">
        <f>SUM(INDEX(BE:BE,X22):INDEX(BE:BE,X22+Y22-1))</f>
        <v>2</v>
      </c>
      <c r="BG22" s="25" t="str">
        <f t="shared" si="6"/>
        <v/>
      </c>
    </row>
    <row r="23" spans="1:59" x14ac:dyDescent="0.3">
      <c r="A23" s="1">
        <v>43941</v>
      </c>
      <c r="B23">
        <v>9.84</v>
      </c>
      <c r="C23">
        <v>9.84</v>
      </c>
      <c r="D23">
        <v>9.84</v>
      </c>
      <c r="E23">
        <v>9.84</v>
      </c>
      <c r="F23">
        <v>0</v>
      </c>
      <c r="G23" s="29">
        <v>5.6745802320960902E-2</v>
      </c>
      <c r="H23" s="29">
        <v>5.7668498293659502E-3</v>
      </c>
      <c r="I23" s="29">
        <v>0</v>
      </c>
      <c r="J23" s="29">
        <v>50.672402278880497</v>
      </c>
      <c r="K23" s="29">
        <v>3.47003154574132E-2</v>
      </c>
      <c r="L23" s="29">
        <v>0.2</v>
      </c>
      <c r="M23" s="29">
        <v>4.7105527928295803E-2</v>
      </c>
      <c r="N23" s="29">
        <v>4.0724947891295799E-2</v>
      </c>
      <c r="O23" s="29">
        <v>-2.57425742574257E-2</v>
      </c>
      <c r="P23" s="29">
        <v>0</v>
      </c>
      <c r="R23" s="30"/>
      <c r="T23" s="14">
        <v>259.55599999999998</v>
      </c>
      <c r="U23" s="41"/>
      <c r="V23">
        <v>13</v>
      </c>
      <c r="W23" t="b">
        <f>V23&gt;=$C$4</f>
        <v>0</v>
      </c>
      <c r="X23">
        <f>IF(V23&lt;=$C$5,11,ROW()-$C$5+1)</f>
        <v>11</v>
      </c>
      <c r="Y23" s="14">
        <f t="shared" si="0"/>
        <v>13</v>
      </c>
      <c r="Z23" s="10">
        <f t="shared" si="7"/>
        <v>0</v>
      </c>
      <c r="AA23" s="15">
        <f t="shared" si="8"/>
        <v>0</v>
      </c>
      <c r="AB23" s="15">
        <f t="shared" si="9"/>
        <v>5.6745802320960916E-2</v>
      </c>
      <c r="AC23" s="10">
        <f t="shared" si="1"/>
        <v>5.7668498293659467E-3</v>
      </c>
      <c r="AD23">
        <f t="shared" si="10"/>
        <v>0</v>
      </c>
      <c r="AE23">
        <f t="shared" si="18"/>
        <v>0</v>
      </c>
      <c r="AF23">
        <f t="shared" si="19"/>
        <v>0</v>
      </c>
      <c r="AG23">
        <f t="shared" si="21"/>
        <v>4.9632411273280701E-3</v>
      </c>
      <c r="AH23">
        <f t="shared" si="21"/>
        <v>7.5441556899967718E-2</v>
      </c>
      <c r="AI23">
        <f t="shared" si="11"/>
        <v>6.5789219248339692E-2</v>
      </c>
      <c r="AJ23">
        <f t="shared" si="20"/>
        <v>6.1728171068138806</v>
      </c>
      <c r="AK23" s="14">
        <f t="shared" si="2"/>
        <v>6.1728171068138806</v>
      </c>
      <c r="AL23">
        <v>-10</v>
      </c>
      <c r="AN23" s="14">
        <f t="shared" si="12"/>
        <v>0</v>
      </c>
      <c r="AO23">
        <f t="shared" si="22"/>
        <v>0</v>
      </c>
      <c r="AP23" s="14">
        <f t="shared" si="23"/>
        <v>0.2</v>
      </c>
      <c r="AQ23">
        <f t="shared" si="14"/>
        <v>-1.7618494309472488E-2</v>
      </c>
      <c r="AR23">
        <f t="shared" si="15"/>
        <v>1.7618494309472488E-2</v>
      </c>
      <c r="AU23" s="14"/>
      <c r="AV23" s="19"/>
      <c r="AW23" s="19"/>
      <c r="AX23">
        <f t="shared" si="3"/>
        <v>1</v>
      </c>
      <c r="AY23">
        <f>IF(W23,SUMPRODUCT(INDEX(AX:AX,X23):INDEX(AX:AX,X23+Y23)),0)</f>
        <v>0</v>
      </c>
      <c r="AZ23">
        <f>IF(V23,COUNT(INDEX(AX:AX,X23):INDEX(AX:AX,ROW())),0)</f>
        <v>13</v>
      </c>
      <c r="BA23" s="14" t="str">
        <f t="shared" si="16"/>
        <v/>
      </c>
      <c r="BB23" s="6">
        <f t="shared" si="4"/>
        <v>0</v>
      </c>
      <c r="BC23" s="6">
        <f>MEDIAN(INDEX(BB:BB,X23):INDEX(BB:BB,X23+Y23-1))</f>
        <v>1968</v>
      </c>
      <c r="BD23" s="25" t="str">
        <f t="shared" si="5"/>
        <v/>
      </c>
      <c r="BE23">
        <f t="shared" si="17"/>
        <v>0</v>
      </c>
      <c r="BF23" s="6">
        <f>SUM(INDEX(BE:BE,X23):INDEX(BE:BE,X23+Y23-1))</f>
        <v>2</v>
      </c>
      <c r="BG23" s="25" t="str">
        <f t="shared" si="6"/>
        <v/>
      </c>
    </row>
    <row r="24" spans="1:59" x14ac:dyDescent="0.3">
      <c r="A24" s="1">
        <v>43942</v>
      </c>
      <c r="B24">
        <v>9.84</v>
      </c>
      <c r="C24">
        <v>9.84</v>
      </c>
      <c r="D24">
        <v>9.84</v>
      </c>
      <c r="E24">
        <v>9.84</v>
      </c>
      <c r="F24">
        <v>0</v>
      </c>
      <c r="G24" s="29">
        <v>5.2692530726606499E-2</v>
      </c>
      <c r="H24" s="29">
        <v>5.3549319844112299E-3</v>
      </c>
      <c r="I24" s="29">
        <v>0</v>
      </c>
      <c r="J24" s="29">
        <v>50.672402278880497</v>
      </c>
      <c r="K24" s="29">
        <v>3.47003154574132E-2</v>
      </c>
      <c r="L24" s="29">
        <v>0</v>
      </c>
      <c r="M24" s="29">
        <v>5.80609948781413E-2</v>
      </c>
      <c r="N24" s="29">
        <v>4.0275619062749797E-2</v>
      </c>
      <c r="O24" s="29">
        <v>-2.57425742574257E-2</v>
      </c>
      <c r="P24" s="29">
        <v>0</v>
      </c>
      <c r="R24" s="30"/>
      <c r="T24" s="14">
        <v>251.67500000000001</v>
      </c>
      <c r="U24" s="41"/>
      <c r="V24">
        <v>14</v>
      </c>
      <c r="W24" t="b">
        <f>V24&gt;=$C$4</f>
        <v>0</v>
      </c>
      <c r="X24">
        <f>IF(V24&lt;=$C$5,11,ROW()-$C$5+1)</f>
        <v>11</v>
      </c>
      <c r="Y24" s="14">
        <f t="shared" si="0"/>
        <v>14</v>
      </c>
      <c r="Z24" s="10">
        <f t="shared" si="7"/>
        <v>0</v>
      </c>
      <c r="AA24" s="15">
        <f t="shared" si="8"/>
        <v>0</v>
      </c>
      <c r="AB24" s="15">
        <f t="shared" si="9"/>
        <v>5.2692530726606568E-2</v>
      </c>
      <c r="AC24" s="10">
        <f t="shared" si="1"/>
        <v>5.3549319844112368E-3</v>
      </c>
      <c r="AD24">
        <f t="shared" si="10"/>
        <v>0</v>
      </c>
      <c r="AE24">
        <f t="shared" si="18"/>
        <v>0</v>
      </c>
      <c r="AF24">
        <f t="shared" si="19"/>
        <v>0</v>
      </c>
      <c r="AG24">
        <f t="shared" si="21"/>
        <v>4.6087239039474936E-3</v>
      </c>
      <c r="AH24">
        <f t="shared" si="21"/>
        <v>7.0052874264255743E-2</v>
      </c>
      <c r="AI24">
        <f t="shared" si="11"/>
        <v>6.5789219248339678E-2</v>
      </c>
      <c r="AJ24">
        <f t="shared" si="20"/>
        <v>6.1728171068138806</v>
      </c>
      <c r="AK24" s="14">
        <f t="shared" si="2"/>
        <v>6.1728171068138806</v>
      </c>
      <c r="AL24">
        <v>-9</v>
      </c>
      <c r="AN24" s="14">
        <f t="shared" si="12"/>
        <v>0</v>
      </c>
      <c r="AO24">
        <f t="shared" si="22"/>
        <v>0</v>
      </c>
      <c r="AP24" s="14">
        <f t="shared" si="23"/>
        <v>0</v>
      </c>
      <c r="AQ24">
        <f t="shared" si="14"/>
        <v>-3.0363389788716E-2</v>
      </c>
      <c r="AR24">
        <f t="shared" si="15"/>
        <v>3.0363389788716E-2</v>
      </c>
      <c r="AU24" s="14"/>
      <c r="AV24" s="19"/>
      <c r="AW24" s="19"/>
      <c r="AX24">
        <f t="shared" si="3"/>
        <v>1</v>
      </c>
      <c r="AY24">
        <f>IF(W24,SUMPRODUCT(INDEX(AX:AX,X24):INDEX(AX:AX,X24+Y24)),0)</f>
        <v>0</v>
      </c>
      <c r="AZ24">
        <f>IF(V24,COUNT(INDEX(AX:AX,X24):INDEX(AX:AX,ROW())),0)</f>
        <v>14</v>
      </c>
      <c r="BA24" s="14" t="str">
        <f t="shared" si="16"/>
        <v/>
      </c>
      <c r="BB24" s="6">
        <f t="shared" si="4"/>
        <v>0</v>
      </c>
      <c r="BC24" s="6">
        <f>MEDIAN(INDEX(BB:BB,X24):INDEX(BB:BB,X24+Y24-1))</f>
        <v>1966</v>
      </c>
      <c r="BD24" s="25" t="str">
        <f t="shared" si="5"/>
        <v/>
      </c>
      <c r="BE24">
        <f t="shared" si="17"/>
        <v>1</v>
      </c>
      <c r="BF24" s="6">
        <f>SUM(INDEX(BE:BE,X24):INDEX(BE:BE,X24+Y24-1))</f>
        <v>3</v>
      </c>
      <c r="BG24" s="25" t="str">
        <f t="shared" si="6"/>
        <v/>
      </c>
    </row>
    <row r="25" spans="1:59" x14ac:dyDescent="0.3">
      <c r="A25" s="1">
        <v>43943</v>
      </c>
      <c r="B25">
        <v>9.84</v>
      </c>
      <c r="C25">
        <v>9.84</v>
      </c>
      <c r="D25">
        <v>9.84</v>
      </c>
      <c r="E25">
        <v>9.84</v>
      </c>
      <c r="F25">
        <v>0</v>
      </c>
      <c r="G25" s="29">
        <v>4.8928778531848897E-2</v>
      </c>
      <c r="H25" s="29">
        <v>4.9724368426675696E-3</v>
      </c>
      <c r="I25" s="29">
        <v>0</v>
      </c>
      <c r="J25" s="29">
        <v>50.672402278880497</v>
      </c>
      <c r="K25" s="29">
        <v>3.47003154574132E-2</v>
      </c>
      <c r="L25" s="29">
        <v>0</v>
      </c>
      <c r="M25" s="29">
        <v>4.7277953621341198E-2</v>
      </c>
      <c r="N25" s="29">
        <v>4.0003081303175099E-2</v>
      </c>
      <c r="O25" s="29">
        <v>-2.57425742574257E-2</v>
      </c>
      <c r="P25" s="29">
        <v>0</v>
      </c>
      <c r="R25" s="30"/>
      <c r="T25" s="14">
        <v>257.26100000000002</v>
      </c>
      <c r="U25" s="41"/>
      <c r="V25">
        <v>15</v>
      </c>
      <c r="W25" t="b">
        <f>V25&gt;=$C$4</f>
        <v>0</v>
      </c>
      <c r="X25">
        <f>IF(V25&lt;=$C$5,11,ROW()-$C$5+1)</f>
        <v>11</v>
      </c>
      <c r="Y25" s="14">
        <f t="shared" si="0"/>
        <v>15</v>
      </c>
      <c r="Z25" s="10">
        <f t="shared" si="7"/>
        <v>0</v>
      </c>
      <c r="AA25" s="15">
        <f t="shared" si="8"/>
        <v>0</v>
      </c>
      <c r="AB25" s="15">
        <f t="shared" si="9"/>
        <v>4.892877853184896E-2</v>
      </c>
      <c r="AC25" s="10">
        <f t="shared" si="1"/>
        <v>4.9724368426675774E-3</v>
      </c>
      <c r="AD25">
        <f t="shared" si="10"/>
        <v>0</v>
      </c>
      <c r="AE25">
        <f t="shared" si="18"/>
        <v>0</v>
      </c>
      <c r="AF25">
        <f t="shared" si="19"/>
        <v>0</v>
      </c>
      <c r="AG25">
        <f t="shared" si="21"/>
        <v>4.2795293393798157E-3</v>
      </c>
      <c r="AH25">
        <f t="shared" si="21"/>
        <v>6.5049097531094627E-2</v>
      </c>
      <c r="AI25">
        <f t="shared" si="11"/>
        <v>6.5789219248339678E-2</v>
      </c>
      <c r="AJ25">
        <f t="shared" si="20"/>
        <v>6.1728171068138806</v>
      </c>
      <c r="AK25" s="14">
        <f t="shared" si="2"/>
        <v>6.1728171068138806</v>
      </c>
      <c r="AL25">
        <v>-8</v>
      </c>
      <c r="AN25" s="14">
        <f t="shared" si="12"/>
        <v>0</v>
      </c>
      <c r="AO25">
        <f t="shared" si="22"/>
        <v>0</v>
      </c>
      <c r="AP25" s="14">
        <f t="shared" si="23"/>
        <v>0</v>
      </c>
      <c r="AQ25">
        <f t="shared" si="14"/>
        <v>2.2195291546637685E-2</v>
      </c>
      <c r="AR25">
        <f t="shared" si="15"/>
        <v>-2.2195291546637685E-2</v>
      </c>
      <c r="AU25" s="14"/>
      <c r="AV25" s="19"/>
      <c r="AW25" s="19"/>
      <c r="AX25">
        <f t="shared" si="3"/>
        <v>1</v>
      </c>
      <c r="AY25">
        <f>IF(W25,SUMPRODUCT(INDEX(AX:AX,X25):INDEX(AX:AX,X25+Y25)),0)</f>
        <v>0</v>
      </c>
      <c r="AZ25">
        <f>IF(V25,COUNT(INDEX(AX:AX,X25):INDEX(AX:AX,ROW())),0)</f>
        <v>15</v>
      </c>
      <c r="BA25" s="14" t="str">
        <f t="shared" si="16"/>
        <v/>
      </c>
      <c r="BB25" s="6">
        <f t="shared" si="4"/>
        <v>0</v>
      </c>
      <c r="BC25" s="6">
        <f>MEDIAN(INDEX(BB:BB,X25):INDEX(BB:BB,X25+Y25-1))</f>
        <v>1964</v>
      </c>
      <c r="BD25" s="25" t="str">
        <f t="shared" si="5"/>
        <v/>
      </c>
      <c r="BE25">
        <f t="shared" si="17"/>
        <v>1</v>
      </c>
      <c r="BF25" s="6">
        <f>SUM(INDEX(BE:BE,X25):INDEX(BE:BE,X25+Y25-1))</f>
        <v>4</v>
      </c>
      <c r="BG25" s="25" t="str">
        <f t="shared" si="6"/>
        <v/>
      </c>
    </row>
    <row r="26" spans="1:59" x14ac:dyDescent="0.3">
      <c r="A26" s="1">
        <v>43944</v>
      </c>
      <c r="B26">
        <v>9.9</v>
      </c>
      <c r="C26">
        <v>9.9</v>
      </c>
      <c r="D26">
        <v>9.8849999999999998</v>
      </c>
      <c r="E26">
        <v>9.9</v>
      </c>
      <c r="F26">
        <v>1000</v>
      </c>
      <c r="G26" s="29">
        <v>4.9719580065288302E-2</v>
      </c>
      <c r="H26" s="29">
        <v>5.0221798045745796E-3</v>
      </c>
      <c r="I26" s="29">
        <v>6.06060606060611E-3</v>
      </c>
      <c r="J26" s="29">
        <v>56.311819377741699</v>
      </c>
      <c r="K26" s="29">
        <v>2.8144147886592599E-2</v>
      </c>
      <c r="L26" s="29">
        <v>0.2</v>
      </c>
      <c r="M26" s="29">
        <v>5.0929691789254598E-2</v>
      </c>
      <c r="N26" s="29">
        <v>4.0174190697169397E-2</v>
      </c>
      <c r="O26" s="29">
        <v>-1.9801980198019702E-2</v>
      </c>
      <c r="P26" s="29">
        <v>6.0975609756097598E-3</v>
      </c>
      <c r="R26" s="30"/>
      <c r="T26" s="14">
        <v>257.24200000000002</v>
      </c>
      <c r="U26" s="41"/>
      <c r="V26">
        <v>16</v>
      </c>
      <c r="W26" t="b">
        <f>V26&gt;=$C$4</f>
        <v>0</v>
      </c>
      <c r="X26">
        <f>IF(V26&lt;=$C$5,11,ROW()-$C$5+1)</f>
        <v>11</v>
      </c>
      <c r="Y26" s="14">
        <f t="shared" si="0"/>
        <v>16</v>
      </c>
      <c r="Z26" s="10">
        <f t="shared" si="7"/>
        <v>6.0000000000000497E-2</v>
      </c>
      <c r="AA26" s="15">
        <f t="shared" si="8"/>
        <v>6.0606060606061109E-3</v>
      </c>
      <c r="AB26" s="15">
        <f t="shared" si="9"/>
        <v>4.9719580065288357E-2</v>
      </c>
      <c r="AC26" s="10">
        <f t="shared" si="1"/>
        <v>5.0221798045745813E-3</v>
      </c>
      <c r="AD26">
        <f t="shared" si="10"/>
        <v>6.0000000000000497E-2</v>
      </c>
      <c r="AE26">
        <f t="shared" si="18"/>
        <v>6.0000000000000497E-2</v>
      </c>
      <c r="AF26">
        <f t="shared" si="19"/>
        <v>0</v>
      </c>
      <c r="AG26">
        <f t="shared" si="21"/>
        <v>8.2595629579955785E-3</v>
      </c>
      <c r="AH26">
        <f t="shared" si="21"/>
        <v>6.0402733421730727E-2</v>
      </c>
      <c r="AI26">
        <f t="shared" si="11"/>
        <v>0.13674154280945314</v>
      </c>
      <c r="AJ26">
        <f t="shared" si="20"/>
        <v>12.029255346074265</v>
      </c>
      <c r="AK26" s="14">
        <f t="shared" si="2"/>
        <v>12.029255346074265</v>
      </c>
      <c r="AL26">
        <v>-7</v>
      </c>
      <c r="AN26" s="14">
        <f t="shared" si="12"/>
        <v>6.0975609756097615E-3</v>
      </c>
      <c r="AO26">
        <f t="shared" si="22"/>
        <v>1</v>
      </c>
      <c r="AP26" s="14">
        <f t="shared" si="23"/>
        <v>0.2</v>
      </c>
      <c r="AQ26">
        <f t="shared" si="14"/>
        <v>-7.3854956639363145E-5</v>
      </c>
      <c r="AR26">
        <f t="shared" si="15"/>
        <v>6.1714159322491229E-3</v>
      </c>
      <c r="AU26" s="14"/>
      <c r="AV26" s="19"/>
      <c r="AW26" s="19"/>
      <c r="AX26">
        <f t="shared" si="3"/>
        <v>0</v>
      </c>
      <c r="AY26">
        <f>IF(W26,SUMPRODUCT(INDEX(AX:AX,X26):INDEX(AX:AX,X26+Y26)),0)</f>
        <v>0</v>
      </c>
      <c r="AZ26">
        <f>IF(V26,COUNT(INDEX(AX:AX,X26):INDEX(AX:AX,ROW())),0)</f>
        <v>16</v>
      </c>
      <c r="BA26" s="14" t="str">
        <f t="shared" si="16"/>
        <v/>
      </c>
      <c r="BB26" s="6">
        <f t="shared" si="4"/>
        <v>9900</v>
      </c>
      <c r="BC26" s="6">
        <f>MEDIAN(INDEX(BB:BB,X26):INDEX(BB:BB,X26+Y26-1))</f>
        <v>1966</v>
      </c>
      <c r="BD26" s="25" t="str">
        <f t="shared" si="5"/>
        <v/>
      </c>
      <c r="BE26">
        <f t="shared" si="17"/>
        <v>0</v>
      </c>
      <c r="BF26" s="6">
        <f>SUM(INDEX(BE:BE,X26):INDEX(BE:BE,X26+Y26-1))</f>
        <v>4</v>
      </c>
      <c r="BG26" s="25" t="str">
        <f t="shared" si="6"/>
        <v/>
      </c>
    </row>
    <row r="27" spans="1:59" x14ac:dyDescent="0.3">
      <c r="A27" s="1">
        <v>43945</v>
      </c>
      <c r="B27">
        <v>9.93</v>
      </c>
      <c r="C27">
        <v>9.93</v>
      </c>
      <c r="D27">
        <v>9.93</v>
      </c>
      <c r="E27">
        <v>9.93</v>
      </c>
      <c r="F27">
        <v>25000</v>
      </c>
      <c r="G27" s="29">
        <v>4.8311038632053403E-2</v>
      </c>
      <c r="H27" s="29">
        <v>4.8651599830869504E-3</v>
      </c>
      <c r="I27" s="29">
        <v>3.0211480362537101E-3</v>
      </c>
      <c r="J27" s="29">
        <v>58.8453043534616</v>
      </c>
      <c r="K27" s="29">
        <v>2.47678018575852E-2</v>
      </c>
      <c r="L27" s="29">
        <v>0.4</v>
      </c>
      <c r="M27" s="29">
        <v>4.2205287789624797E-2</v>
      </c>
      <c r="N27" s="29">
        <v>4.0665731537843301E-2</v>
      </c>
      <c r="O27" s="29">
        <v>-1.6831683168316802E-2</v>
      </c>
      <c r="P27" s="29">
        <v>3.0303030303029301E-3</v>
      </c>
      <c r="R27" s="30"/>
      <c r="T27" s="14">
        <v>260.82799999999997</v>
      </c>
      <c r="U27" s="41"/>
      <c r="V27">
        <v>17</v>
      </c>
      <c r="W27" t="b">
        <f>V27&gt;=$C$4</f>
        <v>0</v>
      </c>
      <c r="X27">
        <f>IF(V27&lt;=$C$5,11,ROW()-$C$5+1)</f>
        <v>11</v>
      </c>
      <c r="Y27" s="14">
        <f t="shared" si="0"/>
        <v>17</v>
      </c>
      <c r="Z27" s="10">
        <f t="shared" si="7"/>
        <v>2.9999999999999361E-2</v>
      </c>
      <c r="AA27" s="15">
        <f t="shared" si="8"/>
        <v>3.0211480362537122E-3</v>
      </c>
      <c r="AB27" s="15">
        <f t="shared" si="9"/>
        <v>4.8311038632053431E-2</v>
      </c>
      <c r="AC27" s="10">
        <f t="shared" si="1"/>
        <v>4.8651599830869521E-3</v>
      </c>
      <c r="AD27">
        <f t="shared" si="10"/>
        <v>2.9999999999999361E-2</v>
      </c>
      <c r="AE27">
        <f t="shared" si="18"/>
        <v>2.9999999999999361E-2</v>
      </c>
      <c r="AF27">
        <f t="shared" si="19"/>
        <v>0</v>
      </c>
      <c r="AG27">
        <f t="shared" si="21"/>
        <v>9.8124513181387062E-3</v>
      </c>
      <c r="AH27">
        <f t="shared" si="21"/>
        <v>5.6088252463035677E-2</v>
      </c>
      <c r="AI27">
        <f t="shared" si="11"/>
        <v>0.17494664011159003</v>
      </c>
      <c r="AJ27">
        <f t="shared" si="20"/>
        <v>14.889751937583696</v>
      </c>
      <c r="AK27" s="14">
        <f t="shared" si="2"/>
        <v>14.889751937583696</v>
      </c>
      <c r="AL27">
        <v>-6</v>
      </c>
      <c r="AN27" s="14">
        <f t="shared" si="12"/>
        <v>3.0303030303029388E-3</v>
      </c>
      <c r="AO27">
        <f t="shared" si="22"/>
        <v>1</v>
      </c>
      <c r="AP27" s="14">
        <f t="shared" si="23"/>
        <v>0.4</v>
      </c>
      <c r="AQ27">
        <f t="shared" si="14"/>
        <v>1.3940180841386596E-2</v>
      </c>
      <c r="AR27">
        <f t="shared" si="15"/>
        <v>-1.0909877811083666E-2</v>
      </c>
      <c r="AU27" s="14"/>
      <c r="AV27" s="19"/>
      <c r="AW27" s="19"/>
      <c r="AX27">
        <f t="shared" si="3"/>
        <v>1</v>
      </c>
      <c r="AY27">
        <f>IF(W27,SUMPRODUCT(INDEX(AX:AX,X27):INDEX(AX:AX,X27+Y27)),0)</f>
        <v>0</v>
      </c>
      <c r="AZ27">
        <f>IF(V27,COUNT(INDEX(AX:AX,X27):INDEX(AX:AX,ROW())),0)</f>
        <v>17</v>
      </c>
      <c r="BA27" s="14" t="str">
        <f t="shared" si="16"/>
        <v/>
      </c>
      <c r="BB27" s="6">
        <f t="shared" si="4"/>
        <v>248250</v>
      </c>
      <c r="BC27" s="6">
        <f>MEDIAN(INDEX(BB:BB,X27):INDEX(BB:BB,X27+Y27-1))</f>
        <v>1968</v>
      </c>
      <c r="BD27" s="25" t="str">
        <f t="shared" si="5"/>
        <v/>
      </c>
      <c r="BE27">
        <f t="shared" si="17"/>
        <v>0</v>
      </c>
      <c r="BF27" s="6">
        <f>SUM(INDEX(BE:BE,X27):INDEX(BE:BE,X27+Y27-1))</f>
        <v>4</v>
      </c>
      <c r="BG27" s="25" t="str">
        <f t="shared" si="6"/>
        <v/>
      </c>
    </row>
    <row r="28" spans="1:59" x14ac:dyDescent="0.3">
      <c r="A28" s="1">
        <v>43948</v>
      </c>
      <c r="B28">
        <v>9.93</v>
      </c>
      <c r="C28">
        <v>9.93</v>
      </c>
      <c r="D28">
        <v>9.93</v>
      </c>
      <c r="E28">
        <v>9.93</v>
      </c>
      <c r="F28">
        <v>0</v>
      </c>
      <c r="G28" s="29">
        <v>4.4860250158335301E-2</v>
      </c>
      <c r="H28" s="29">
        <v>4.5176485557235999E-3</v>
      </c>
      <c r="I28" s="29">
        <v>0</v>
      </c>
      <c r="J28" s="29">
        <v>58.8453043534616</v>
      </c>
      <c r="K28" s="29">
        <v>2.0554984583761499E-2</v>
      </c>
      <c r="L28" s="29">
        <v>0.4</v>
      </c>
      <c r="M28" s="29">
        <v>2.8836718799555801E-2</v>
      </c>
      <c r="N28" s="29">
        <v>4.0676463097137003E-2</v>
      </c>
      <c r="O28" s="29">
        <v>-1.6831683168316802E-2</v>
      </c>
      <c r="P28" s="29">
        <v>0</v>
      </c>
      <c r="R28" s="30"/>
      <c r="T28" s="14">
        <v>264.589</v>
      </c>
      <c r="U28" s="41"/>
      <c r="V28">
        <v>18</v>
      </c>
      <c r="W28" t="b">
        <f>V28&gt;=$C$4</f>
        <v>0</v>
      </c>
      <c r="X28">
        <f>IF(V28&lt;=$C$5,11,ROW()-$C$5+1)</f>
        <v>11</v>
      </c>
      <c r="Y28" s="14">
        <f t="shared" si="0"/>
        <v>18</v>
      </c>
      <c r="Z28" s="10">
        <f t="shared" si="7"/>
        <v>0</v>
      </c>
      <c r="AA28" s="15">
        <f t="shared" si="8"/>
        <v>0</v>
      </c>
      <c r="AB28" s="15">
        <f t="shared" si="9"/>
        <v>4.4860250158335328E-2</v>
      </c>
      <c r="AC28" s="10">
        <f t="shared" si="1"/>
        <v>4.5176485557235982E-3</v>
      </c>
      <c r="AD28">
        <f t="shared" si="10"/>
        <v>0</v>
      </c>
      <c r="AE28">
        <f t="shared" si="18"/>
        <v>0</v>
      </c>
      <c r="AF28">
        <f t="shared" si="19"/>
        <v>0</v>
      </c>
      <c r="AG28">
        <f t="shared" si="21"/>
        <v>9.1115619382716555E-3</v>
      </c>
      <c r="AH28">
        <f t="shared" si="21"/>
        <v>5.2081948715675987E-2</v>
      </c>
      <c r="AI28">
        <f t="shared" si="11"/>
        <v>0.17494664011159003</v>
      </c>
      <c r="AJ28">
        <f t="shared" si="20"/>
        <v>14.889751937583696</v>
      </c>
      <c r="AK28" s="14">
        <f t="shared" si="2"/>
        <v>14.889751937583696</v>
      </c>
      <c r="AL28">
        <v>-5</v>
      </c>
      <c r="AN28" s="14">
        <f t="shared" si="12"/>
        <v>0</v>
      </c>
      <c r="AO28">
        <f t="shared" si="22"/>
        <v>0</v>
      </c>
      <c r="AP28" s="14">
        <f t="shared" si="23"/>
        <v>0.4</v>
      </c>
      <c r="AQ28">
        <f t="shared" si="14"/>
        <v>1.4419464167957585E-2</v>
      </c>
      <c r="AR28">
        <f t="shared" si="15"/>
        <v>-1.4419464167957585E-2</v>
      </c>
      <c r="AU28" s="14"/>
      <c r="AV28" s="19"/>
      <c r="AW28" s="19"/>
      <c r="AX28">
        <f t="shared" si="3"/>
        <v>1</v>
      </c>
      <c r="AY28">
        <f>IF(W28,SUMPRODUCT(INDEX(AX:AX,X28):INDEX(AX:AX,X28+Y28)),0)</f>
        <v>0</v>
      </c>
      <c r="AZ28">
        <f>IF(V28,COUNT(INDEX(AX:AX,X28):INDEX(AX:AX,ROW())),0)</f>
        <v>18</v>
      </c>
      <c r="BA28" s="14" t="str">
        <f t="shared" si="16"/>
        <v/>
      </c>
      <c r="BB28" s="6">
        <f t="shared" si="4"/>
        <v>0</v>
      </c>
      <c r="BC28" s="6">
        <f>MEDIAN(INDEX(BB:BB,X28):INDEX(BB:BB,X28+Y28-1))</f>
        <v>1966</v>
      </c>
      <c r="BD28" s="25" t="str">
        <f t="shared" si="5"/>
        <v/>
      </c>
      <c r="BE28">
        <f t="shared" si="17"/>
        <v>0</v>
      </c>
      <c r="BF28" s="6">
        <f>SUM(INDEX(BE:BE,X28):INDEX(BE:BE,X28+Y28-1))</f>
        <v>4</v>
      </c>
      <c r="BG28" s="25" t="str">
        <f t="shared" si="6"/>
        <v/>
      </c>
    </row>
    <row r="29" spans="1:59" x14ac:dyDescent="0.3">
      <c r="A29" s="1">
        <v>43949</v>
      </c>
      <c r="B29">
        <v>9.93</v>
      </c>
      <c r="C29">
        <v>9.93</v>
      </c>
      <c r="D29">
        <v>9.93</v>
      </c>
      <c r="E29">
        <v>9.93</v>
      </c>
      <c r="F29">
        <v>0</v>
      </c>
      <c r="G29" s="29">
        <v>4.1655946575597097E-2</v>
      </c>
      <c r="H29" s="29">
        <v>4.1949593731719099E-3</v>
      </c>
      <c r="I29" s="29">
        <v>0</v>
      </c>
      <c r="J29" s="29">
        <v>58.8453043534616</v>
      </c>
      <c r="K29" s="29">
        <v>1.32653061224488E-2</v>
      </c>
      <c r="L29" s="29">
        <v>0.4</v>
      </c>
      <c r="M29" s="29">
        <v>3.32629098462408E-2</v>
      </c>
      <c r="N29" s="29">
        <v>4.0029386729274301E-2</v>
      </c>
      <c r="O29" s="29">
        <v>-1.6831683168316802E-2</v>
      </c>
      <c r="P29" s="29">
        <v>0</v>
      </c>
      <c r="R29" s="30"/>
      <c r="T29" s="14">
        <v>263.37200000000001</v>
      </c>
      <c r="U29" s="41"/>
      <c r="V29">
        <v>19</v>
      </c>
      <c r="W29" t="b">
        <f>V29&gt;=$C$4</f>
        <v>0</v>
      </c>
      <c r="X29">
        <f>IF(V29&lt;=$C$5,11,ROW()-$C$5+1)</f>
        <v>11</v>
      </c>
      <c r="Y29" s="14">
        <f t="shared" si="0"/>
        <v>19</v>
      </c>
      <c r="Z29" s="10">
        <f t="shared" si="7"/>
        <v>0</v>
      </c>
      <c r="AA29" s="15">
        <f t="shared" si="8"/>
        <v>0</v>
      </c>
      <c r="AB29" s="15">
        <f t="shared" si="9"/>
        <v>4.165594657559709E-2</v>
      </c>
      <c r="AC29" s="10">
        <f t="shared" si="1"/>
        <v>4.1949593731719125E-3</v>
      </c>
      <c r="AD29">
        <f t="shared" si="10"/>
        <v>0</v>
      </c>
      <c r="AE29">
        <f t="shared" si="18"/>
        <v>0</v>
      </c>
      <c r="AF29">
        <f t="shared" si="19"/>
        <v>0</v>
      </c>
      <c r="AG29">
        <f t="shared" si="21"/>
        <v>8.4607360855379656E-3</v>
      </c>
      <c r="AH29">
        <f t="shared" si="21"/>
        <v>4.8361809521699127E-2</v>
      </c>
      <c r="AI29">
        <f t="shared" si="11"/>
        <v>0.17494664011159003</v>
      </c>
      <c r="AJ29">
        <f t="shared" si="20"/>
        <v>14.889751937583696</v>
      </c>
      <c r="AK29" s="14">
        <f t="shared" si="2"/>
        <v>14.889751937583696</v>
      </c>
      <c r="AL29">
        <v>-4</v>
      </c>
      <c r="AN29" s="14">
        <f t="shared" si="12"/>
        <v>0</v>
      </c>
      <c r="AO29">
        <f t="shared" si="22"/>
        <v>0</v>
      </c>
      <c r="AP29" s="14">
        <f t="shared" si="23"/>
        <v>0.4</v>
      </c>
      <c r="AQ29">
        <f t="shared" si="14"/>
        <v>-4.5995865285404225E-3</v>
      </c>
      <c r="AR29">
        <f t="shared" si="15"/>
        <v>4.5995865285404225E-3</v>
      </c>
      <c r="AU29" s="14"/>
      <c r="AV29" s="19"/>
      <c r="AW29" s="19"/>
      <c r="AX29">
        <f t="shared" si="3"/>
        <v>1</v>
      </c>
      <c r="AY29">
        <f>IF(W29,SUMPRODUCT(INDEX(AX:AX,X29):INDEX(AX:AX,X29+Y29)),0)</f>
        <v>0</v>
      </c>
      <c r="AZ29">
        <f>IF(V29,COUNT(INDEX(AX:AX,X29):INDEX(AX:AX,ROW())),0)</f>
        <v>19</v>
      </c>
      <c r="BA29" s="14" t="str">
        <f t="shared" si="16"/>
        <v/>
      </c>
      <c r="BB29" s="6">
        <f t="shared" si="4"/>
        <v>0</v>
      </c>
      <c r="BC29" s="6">
        <f>MEDIAN(INDEX(BB:BB,X29):INDEX(BB:BB,X29+Y29-1))</f>
        <v>1964</v>
      </c>
      <c r="BD29" s="25" t="str">
        <f t="shared" si="5"/>
        <v/>
      </c>
      <c r="BE29">
        <f t="shared" si="17"/>
        <v>1</v>
      </c>
      <c r="BF29" s="6">
        <f>SUM(INDEX(BE:BE,X29):INDEX(BE:BE,X29+Y29-1))</f>
        <v>5</v>
      </c>
      <c r="BG29" s="25" t="str">
        <f t="shared" si="6"/>
        <v/>
      </c>
    </row>
    <row r="30" spans="1:59" x14ac:dyDescent="0.3">
      <c r="A30" s="1">
        <v>43950</v>
      </c>
      <c r="B30">
        <v>9.89</v>
      </c>
      <c r="C30">
        <v>9.89</v>
      </c>
      <c r="D30">
        <v>9.8800000000000008</v>
      </c>
      <c r="E30">
        <v>9.8800000000000008</v>
      </c>
      <c r="F30">
        <v>100400</v>
      </c>
      <c r="G30" s="29">
        <v>4.2251950391625798E-2</v>
      </c>
      <c r="H30" s="29">
        <v>4.27651319753297E-3</v>
      </c>
      <c r="I30" s="29">
        <v>5.0607287449391603E-3</v>
      </c>
      <c r="J30" s="29">
        <v>52.506983201790803</v>
      </c>
      <c r="K30" s="29">
        <v>8.1632653061225399E-3</v>
      </c>
      <c r="L30" s="29">
        <v>0.4</v>
      </c>
      <c r="M30" s="29">
        <v>2.0383775609525302E-2</v>
      </c>
      <c r="N30" s="29">
        <v>3.8149741747777702E-2</v>
      </c>
      <c r="O30" s="29">
        <v>-2.17821782178216E-2</v>
      </c>
      <c r="P30" s="29">
        <v>-5.0352467270895398E-3</v>
      </c>
      <c r="R30" s="30"/>
      <c r="T30" s="14">
        <v>270.267</v>
      </c>
      <c r="U30" s="41"/>
      <c r="V30">
        <v>20</v>
      </c>
      <c r="W30" t="b">
        <f>V30&gt;=$C$4</f>
        <v>0</v>
      </c>
      <c r="X30">
        <f>IF(V30&lt;=$C$5,11,ROW()-$C$5+1)</f>
        <v>11</v>
      </c>
      <c r="Y30" s="14">
        <f t="shared" si="0"/>
        <v>20</v>
      </c>
      <c r="Z30" s="10">
        <f t="shared" si="7"/>
        <v>4.9999999999998934E-2</v>
      </c>
      <c r="AA30" s="15">
        <f t="shared" si="8"/>
        <v>5.0607287449391629E-3</v>
      </c>
      <c r="AB30" s="15">
        <f t="shared" si="9"/>
        <v>4.2251950391625791E-2</v>
      </c>
      <c r="AC30" s="10">
        <f t="shared" si="1"/>
        <v>4.2765131975329744E-3</v>
      </c>
      <c r="AD30">
        <f t="shared" si="10"/>
        <v>-4.9999999999998934E-2</v>
      </c>
      <c r="AE30">
        <f t="shared" si="18"/>
        <v>0</v>
      </c>
      <c r="AF30">
        <f t="shared" si="19"/>
        <v>4.9999999999998934E-2</v>
      </c>
      <c r="AG30">
        <f t="shared" ref="AG30:AH45" si="24">(AE30+13*AG29)/14</f>
        <v>7.8563977937138249E-3</v>
      </c>
      <c r="AH30">
        <f t="shared" si="24"/>
        <v>4.8478823127291966E-2</v>
      </c>
      <c r="AI30">
        <f t="shared" si="11"/>
        <v>0.16205834397186375</v>
      </c>
      <c r="AJ30">
        <f t="shared" si="20"/>
        <v>13.945800984308192</v>
      </c>
      <c r="AK30" s="14">
        <f t="shared" si="2"/>
        <v>13.945800984308192</v>
      </c>
      <c r="AL30">
        <v>-3</v>
      </c>
      <c r="AN30" s="14">
        <f t="shared" si="12"/>
        <v>-5.0352467270895485E-3</v>
      </c>
      <c r="AO30">
        <f t="shared" si="22"/>
        <v>0</v>
      </c>
      <c r="AP30" s="14">
        <f t="shared" si="23"/>
        <v>0.4</v>
      </c>
      <c r="AQ30">
        <f t="shared" si="14"/>
        <v>2.617970019592053E-2</v>
      </c>
      <c r="AR30">
        <f t="shared" si="15"/>
        <v>-3.1214946923010072E-2</v>
      </c>
      <c r="AU30" s="14"/>
      <c r="AV30" s="19"/>
      <c r="AW30" s="19"/>
      <c r="AX30">
        <f t="shared" si="3"/>
        <v>0</v>
      </c>
      <c r="AY30">
        <f>IF(W30,SUMPRODUCT(INDEX(AX:AX,X30):INDEX(AX:AX,X30+Y30)),0)</f>
        <v>0</v>
      </c>
      <c r="AZ30">
        <f>IF(V30,COUNT(INDEX(AX:AX,X30):INDEX(AX:AX,ROW())),0)</f>
        <v>20</v>
      </c>
      <c r="BA30" s="14" t="str">
        <f t="shared" si="16"/>
        <v/>
      </c>
      <c r="BB30" s="6">
        <f t="shared" si="4"/>
        <v>991952.00000000012</v>
      </c>
      <c r="BC30" s="6">
        <f>MEDIAN(INDEX(BB:BB,X30):INDEX(BB:BB,X30+Y30-1))</f>
        <v>1966</v>
      </c>
      <c r="BD30" s="25" t="str">
        <f t="shared" si="5"/>
        <v/>
      </c>
      <c r="BE30">
        <f t="shared" si="17"/>
        <v>0</v>
      </c>
      <c r="BF30" s="6">
        <f>SUM(INDEX(BE:BE,X30):INDEX(BE:BE,X30+Y30-1))</f>
        <v>5</v>
      </c>
      <c r="BG30" s="25" t="str">
        <f t="shared" si="6"/>
        <v/>
      </c>
    </row>
    <row r="31" spans="1:59" x14ac:dyDescent="0.3">
      <c r="A31" s="1">
        <v>43951</v>
      </c>
      <c r="B31">
        <v>9.8800000000000008</v>
      </c>
      <c r="C31">
        <v>9.8800000000000008</v>
      </c>
      <c r="D31">
        <v>9.8800000000000008</v>
      </c>
      <c r="E31">
        <v>9.8800000000000008</v>
      </c>
      <c r="F31">
        <v>4200</v>
      </c>
      <c r="G31" s="29">
        <v>3.9233953935081098E-2</v>
      </c>
      <c r="H31" s="29">
        <v>3.9710479691377597E-3</v>
      </c>
      <c r="I31" s="29">
        <v>0</v>
      </c>
      <c r="J31" s="29">
        <v>52.506983201790803</v>
      </c>
      <c r="K31" s="29">
        <v>1.12589559877176E-2</v>
      </c>
      <c r="L31" s="29">
        <v>0.2</v>
      </c>
      <c r="M31" s="29">
        <v>2.5850270840088299E-2</v>
      </c>
      <c r="N31" s="29">
        <v>3.8100192448015699E-2</v>
      </c>
      <c r="O31" s="29">
        <v>-2.17821782178216E-2</v>
      </c>
      <c r="P31" s="29">
        <v>0</v>
      </c>
      <c r="R31" s="30"/>
      <c r="T31" s="14">
        <v>267.75099999999998</v>
      </c>
      <c r="U31" s="41"/>
      <c r="V31">
        <v>21</v>
      </c>
      <c r="W31" t="b">
        <f>V31&gt;=$C$4</f>
        <v>0</v>
      </c>
      <c r="X31">
        <f>IF(V31&lt;=$C$5,11,ROW()-$C$5+1)</f>
        <v>11</v>
      </c>
      <c r="Y31" s="14">
        <f t="shared" si="0"/>
        <v>21</v>
      </c>
      <c r="Z31" s="10">
        <f t="shared" si="7"/>
        <v>0</v>
      </c>
      <c r="AA31" s="15">
        <f t="shared" si="8"/>
        <v>0</v>
      </c>
      <c r="AB31" s="15">
        <f t="shared" si="9"/>
        <v>3.9233953935081091E-2</v>
      </c>
      <c r="AC31" s="10">
        <f t="shared" si="1"/>
        <v>3.9710479691377623E-3</v>
      </c>
      <c r="AD31">
        <f t="shared" si="10"/>
        <v>0</v>
      </c>
      <c r="AE31">
        <f t="shared" si="18"/>
        <v>0</v>
      </c>
      <c r="AF31">
        <f t="shared" si="19"/>
        <v>0</v>
      </c>
      <c r="AG31">
        <f t="shared" si="24"/>
        <v>7.2952265227342666E-3</v>
      </c>
      <c r="AH31">
        <f t="shared" si="24"/>
        <v>4.501605004677111E-2</v>
      </c>
      <c r="AI31">
        <f t="shared" si="11"/>
        <v>0.16205834397186378</v>
      </c>
      <c r="AJ31">
        <f t="shared" si="20"/>
        <v>13.945800984308192</v>
      </c>
      <c r="AK31" s="14">
        <f t="shared" si="2"/>
        <v>13.945800984308192</v>
      </c>
      <c r="AL31">
        <v>-2</v>
      </c>
      <c r="AN31" s="14">
        <f t="shared" si="12"/>
        <v>0</v>
      </c>
      <c r="AO31">
        <f t="shared" si="22"/>
        <v>0</v>
      </c>
      <c r="AP31" s="14">
        <f t="shared" si="23"/>
        <v>0.2</v>
      </c>
      <c r="AQ31">
        <f t="shared" si="14"/>
        <v>-9.3093126426830874E-3</v>
      </c>
      <c r="AR31">
        <f t="shared" si="15"/>
        <v>9.3093126426830874E-3</v>
      </c>
      <c r="AU31" s="14"/>
      <c r="AV31" s="19"/>
      <c r="AW31" s="19">
        <f>(E31/MAX(E11:E31)-1)</f>
        <v>-2.1782178217821691E-2</v>
      </c>
      <c r="AX31">
        <f t="shared" si="3"/>
        <v>1</v>
      </c>
      <c r="AY31">
        <f>IF(W31,SUMPRODUCT(INDEX(AX:AX,X31):INDEX(AX:AX,X31+Y31)),0)</f>
        <v>0</v>
      </c>
      <c r="AZ31">
        <f>IF(V31,COUNT(INDEX(AX:AX,X31):INDEX(AX:AX,ROW())),0)</f>
        <v>21</v>
      </c>
      <c r="BA31" s="14" t="str">
        <f t="shared" si="16"/>
        <v/>
      </c>
      <c r="BB31" s="6">
        <f t="shared" si="4"/>
        <v>41496</v>
      </c>
      <c r="BC31" s="6">
        <f>MEDIAN(INDEX(BB:BB,X31):INDEX(BB:BB,X31+Y31-1))</f>
        <v>1968</v>
      </c>
      <c r="BD31" s="25" t="str">
        <f t="shared" si="5"/>
        <v/>
      </c>
      <c r="BE31">
        <f t="shared" si="17"/>
        <v>0</v>
      </c>
      <c r="BF31" s="6">
        <f>SUM(INDEX(BE:BE,X31):INDEX(BE:BE,X31+Y31-1))</f>
        <v>5</v>
      </c>
      <c r="BG31" s="25" t="str">
        <f t="shared" si="6"/>
        <v/>
      </c>
    </row>
    <row r="32" spans="1:59" x14ac:dyDescent="0.3">
      <c r="A32" s="1">
        <v>43952</v>
      </c>
      <c r="B32">
        <v>9.8800000000000008</v>
      </c>
      <c r="C32">
        <v>9.92</v>
      </c>
      <c r="D32">
        <v>9.8800000000000008</v>
      </c>
      <c r="E32">
        <v>9.92</v>
      </c>
      <c r="F32">
        <v>58800</v>
      </c>
      <c r="G32" s="29">
        <v>3.9288671511146601E-2</v>
      </c>
      <c r="H32" s="29">
        <v>3.96055156362365E-3</v>
      </c>
      <c r="I32" s="29">
        <v>4.0322580645160396E-3</v>
      </c>
      <c r="J32" s="29">
        <v>56.822016367176801</v>
      </c>
      <c r="K32" s="29">
        <v>-1.7821782178217799E-2</v>
      </c>
      <c r="L32" s="29">
        <v>0.2</v>
      </c>
      <c r="M32" s="29">
        <v>3.1561429084680702E-2</v>
      </c>
      <c r="N32" s="29">
        <v>3.6552553602664697E-2</v>
      </c>
      <c r="O32" s="29">
        <v>-3.0150753768843899E-3</v>
      </c>
      <c r="P32" s="29">
        <v>4.0485829959513399E-3</v>
      </c>
      <c r="R32" s="30"/>
      <c r="T32" s="14">
        <v>260.66199999999998</v>
      </c>
      <c r="U32" s="41"/>
      <c r="V32">
        <v>22</v>
      </c>
      <c r="W32" t="b">
        <f>V32&gt;=$C$4</f>
        <v>0</v>
      </c>
      <c r="X32">
        <f>IF(V32&lt;=$C$5,11,ROW()-$C$5+1)</f>
        <v>11</v>
      </c>
      <c r="Y32" s="14">
        <f t="shared" si="0"/>
        <v>22</v>
      </c>
      <c r="Z32" s="10">
        <f t="shared" si="7"/>
        <v>3.9999999999999147E-2</v>
      </c>
      <c r="AA32" s="15">
        <f t="shared" si="8"/>
        <v>4.0322580645160431E-3</v>
      </c>
      <c r="AB32" s="15">
        <f t="shared" si="9"/>
        <v>3.9288671511146671E-2</v>
      </c>
      <c r="AC32" s="10">
        <f t="shared" si="1"/>
        <v>3.9605515636236561E-3</v>
      </c>
      <c r="AD32">
        <f t="shared" si="10"/>
        <v>3.9999999999999147E-2</v>
      </c>
      <c r="AE32">
        <f t="shared" si="18"/>
        <v>3.9999999999999147E-2</v>
      </c>
      <c r="AF32">
        <f t="shared" si="19"/>
        <v>0</v>
      </c>
      <c r="AG32">
        <f t="shared" si="24"/>
        <v>9.6312817711103303E-3</v>
      </c>
      <c r="AH32">
        <f t="shared" si="24"/>
        <v>4.180061790057317E-2</v>
      </c>
      <c r="AI32">
        <f t="shared" si="11"/>
        <v>0.2304100335076211</v>
      </c>
      <c r="AJ32">
        <f t="shared" si="20"/>
        <v>18.726280445777419</v>
      </c>
      <c r="AK32" s="14">
        <f t="shared" si="2"/>
        <v>18.726280445777419</v>
      </c>
      <c r="AL32">
        <v>-1</v>
      </c>
      <c r="AM32">
        <f t="shared" ref="AM32:AM95" si="25">E32/E11-1</f>
        <v>-1.7821782178217838E-2</v>
      </c>
      <c r="AN32" s="14">
        <f t="shared" si="12"/>
        <v>4.0485829959513442E-3</v>
      </c>
      <c r="AO32">
        <f t="shared" si="22"/>
        <v>1</v>
      </c>
      <c r="AP32" s="14">
        <f t="shared" si="23"/>
        <v>0.2</v>
      </c>
      <c r="AQ32">
        <f t="shared" si="14"/>
        <v>-2.6476091592561701E-2</v>
      </c>
      <c r="AR32">
        <f t="shared" si="15"/>
        <v>3.0524674588513042E-2</v>
      </c>
      <c r="AU32" s="14"/>
      <c r="AV32" s="19"/>
      <c r="AW32" s="19">
        <f t="shared" ref="AW32:AW95" si="26">(E32/MAX(E12:E32)-1)</f>
        <v>-3.0150753768843908E-3</v>
      </c>
      <c r="AX32">
        <f t="shared" si="3"/>
        <v>0</v>
      </c>
      <c r="AY32">
        <f>IF(W32,SUMPRODUCT(INDEX(AX:AX,X32):INDEX(AX:AX,X32+Y32)),0)</f>
        <v>0</v>
      </c>
      <c r="AZ32">
        <f>IF(V32,COUNT(INDEX(AX:AX,X32):INDEX(AX:AX,ROW())),0)</f>
        <v>22</v>
      </c>
      <c r="BA32" s="14" t="str">
        <f t="shared" si="16"/>
        <v/>
      </c>
      <c r="BB32" s="6">
        <f t="shared" si="4"/>
        <v>583296</v>
      </c>
      <c r="BC32" s="6">
        <f>MEDIAN(INDEX(BB:BB,X32):INDEX(BB:BB,X32+Y32-1))</f>
        <v>1969</v>
      </c>
      <c r="BD32" s="25" t="str">
        <f t="shared" si="5"/>
        <v/>
      </c>
      <c r="BE32">
        <f t="shared" si="17"/>
        <v>0</v>
      </c>
      <c r="BF32" s="6">
        <f>SUM(INDEX(BE:BE,X32):INDEX(BE:BE,X32+Y32-1))</f>
        <v>5</v>
      </c>
      <c r="BG32" s="25" t="str">
        <f t="shared" si="6"/>
        <v/>
      </c>
    </row>
    <row r="33" spans="1:59" x14ac:dyDescent="0.3">
      <c r="A33" s="1">
        <v>43955</v>
      </c>
      <c r="B33">
        <v>9.92</v>
      </c>
      <c r="C33">
        <v>9.92</v>
      </c>
      <c r="D33">
        <v>9.92</v>
      </c>
      <c r="E33">
        <v>9.92</v>
      </c>
      <c r="F33">
        <v>0</v>
      </c>
      <c r="G33" s="29">
        <v>3.6482337831779003E-2</v>
      </c>
      <c r="H33" s="29">
        <v>3.6776550233648198E-3</v>
      </c>
      <c r="I33" s="29">
        <v>0</v>
      </c>
      <c r="J33" s="29">
        <v>56.822016367176801</v>
      </c>
      <c r="K33" s="29">
        <v>-3.0150753768843899E-3</v>
      </c>
      <c r="L33" s="29">
        <v>0.2</v>
      </c>
      <c r="M33" s="29">
        <v>3.3164071893571297E-2</v>
      </c>
      <c r="N33" s="29">
        <v>3.6470659360034803E-2</v>
      </c>
      <c r="O33" s="29">
        <v>-1.00704934541795E-3</v>
      </c>
      <c r="P33" s="29">
        <v>0</v>
      </c>
      <c r="Q33" s="29">
        <v>0.64285714285714202</v>
      </c>
      <c r="R33" s="30">
        <v>21826</v>
      </c>
      <c r="S33" s="29">
        <v>20</v>
      </c>
      <c r="T33" s="14">
        <v>261.38099999999997</v>
      </c>
      <c r="U33" s="41"/>
      <c r="V33">
        <v>23</v>
      </c>
      <c r="W33" t="b">
        <f>V33&gt;=$C$4</f>
        <v>0</v>
      </c>
      <c r="X33">
        <f>IF(V33&lt;=$C$5,11,ROW()-$C$5+1)</f>
        <v>11</v>
      </c>
      <c r="Y33" s="14">
        <f t="shared" si="0"/>
        <v>23</v>
      </c>
      <c r="Z33" s="10">
        <f t="shared" si="7"/>
        <v>0</v>
      </c>
      <c r="AA33" s="15">
        <f t="shared" si="8"/>
        <v>0</v>
      </c>
      <c r="AB33" s="15">
        <f t="shared" si="9"/>
        <v>3.6482337831779052E-2</v>
      </c>
      <c r="AC33" s="10">
        <f t="shared" si="1"/>
        <v>3.6776550233648237E-3</v>
      </c>
      <c r="AD33">
        <f t="shared" si="10"/>
        <v>0</v>
      </c>
      <c r="AE33">
        <f t="shared" si="18"/>
        <v>0</v>
      </c>
      <c r="AF33">
        <f t="shared" si="19"/>
        <v>0</v>
      </c>
      <c r="AG33">
        <f t="shared" si="24"/>
        <v>8.9433330731738779E-3</v>
      </c>
      <c r="AH33">
        <f t="shared" si="24"/>
        <v>3.881485947910366E-2</v>
      </c>
      <c r="AI33">
        <f t="shared" si="11"/>
        <v>0.23041003350762107</v>
      </c>
      <c r="AJ33">
        <f t="shared" si="20"/>
        <v>18.726280445777419</v>
      </c>
      <c r="AK33" s="14">
        <f t="shared" si="2"/>
        <v>18.726280445777419</v>
      </c>
      <c r="AL33">
        <v>0</v>
      </c>
      <c r="AM33">
        <f t="shared" si="25"/>
        <v>-3.0150753768843908E-3</v>
      </c>
      <c r="AN33" s="14">
        <f t="shared" si="12"/>
        <v>0</v>
      </c>
      <c r="AO33">
        <f t="shared" si="22"/>
        <v>0</v>
      </c>
      <c r="AP33" s="14">
        <f t="shared" si="23"/>
        <v>0.2</v>
      </c>
      <c r="AQ33">
        <f t="shared" si="14"/>
        <v>2.758361402889653E-3</v>
      </c>
      <c r="AR33">
        <f t="shared" si="15"/>
        <v>-2.758361402889653E-3</v>
      </c>
      <c r="AU33" s="14"/>
      <c r="AV33" s="19"/>
      <c r="AW33" s="19">
        <f t="shared" si="26"/>
        <v>-1.0070493454179541E-3</v>
      </c>
      <c r="AX33">
        <f t="shared" si="3"/>
        <v>1</v>
      </c>
      <c r="AY33">
        <f>IF(W33,SUMPRODUCT(INDEX(AX:AX,X33):INDEX(AX:AX,X33+Y33)),0)</f>
        <v>0</v>
      </c>
      <c r="AZ33">
        <f>IF(V33,COUNT(INDEX(AX:AX,X33):INDEX(AX:AX,ROW())),0)</f>
        <v>23</v>
      </c>
      <c r="BA33" s="14" t="str">
        <f t="shared" si="16"/>
        <v/>
      </c>
      <c r="BB33" s="6">
        <f t="shared" si="4"/>
        <v>0</v>
      </c>
      <c r="BC33" s="6">
        <f>MEDIAN(INDEX(BB:BB,X33):INDEX(BB:BB,X33+Y33-1))</f>
        <v>1968</v>
      </c>
      <c r="BD33" s="25" t="str">
        <f t="shared" si="5"/>
        <v/>
      </c>
      <c r="BE33">
        <f t="shared" si="17"/>
        <v>0</v>
      </c>
      <c r="BF33" s="6">
        <f>SUM(INDEX(BE:BE,X33):INDEX(BE:BE,X33+Y33-1))</f>
        <v>5</v>
      </c>
      <c r="BG33" s="25" t="str">
        <f t="shared" si="6"/>
        <v/>
      </c>
    </row>
    <row r="34" spans="1:59" x14ac:dyDescent="0.3">
      <c r="A34" s="1">
        <v>43956</v>
      </c>
      <c r="B34">
        <v>9.92</v>
      </c>
      <c r="C34">
        <v>9.92</v>
      </c>
      <c r="D34">
        <v>9.92</v>
      </c>
      <c r="E34">
        <v>9.92</v>
      </c>
      <c r="F34">
        <v>0</v>
      </c>
      <c r="G34" s="29">
        <v>3.3876456558080498E-2</v>
      </c>
      <c r="H34" s="29">
        <v>3.4149653788387601E-3</v>
      </c>
      <c r="I34" s="29">
        <v>0</v>
      </c>
      <c r="J34" s="29">
        <v>56.822016367176801</v>
      </c>
      <c r="K34" s="29">
        <v>7.1065989847716102E-3</v>
      </c>
      <c r="L34" s="29">
        <v>0.2</v>
      </c>
      <c r="M34" s="29">
        <v>3.6249197797742098E-2</v>
      </c>
      <c r="N34" s="29">
        <v>3.6724189384502198E-2</v>
      </c>
      <c r="O34" s="29">
        <v>-1.00704934541795E-3</v>
      </c>
      <c r="P34" s="29">
        <v>0</v>
      </c>
      <c r="Q34" s="29">
        <v>0.64566929133858197</v>
      </c>
      <c r="R34" s="30">
        <v>16016</v>
      </c>
      <c r="S34" s="29">
        <v>21</v>
      </c>
      <c r="T34" s="14">
        <v>263.79599999999999</v>
      </c>
      <c r="U34" s="41"/>
      <c r="V34">
        <v>24</v>
      </c>
      <c r="W34" t="b">
        <f>V34&gt;=$C$4</f>
        <v>0</v>
      </c>
      <c r="X34">
        <f>IF(V34&lt;=$C$5,11,ROW()-$C$5+1)</f>
        <v>11</v>
      </c>
      <c r="Y34" s="14">
        <f t="shared" si="0"/>
        <v>24</v>
      </c>
      <c r="Z34" s="10">
        <f t="shared" si="7"/>
        <v>0</v>
      </c>
      <c r="AA34" s="15">
        <f t="shared" si="8"/>
        <v>0</v>
      </c>
      <c r="AB34" s="15">
        <f t="shared" si="9"/>
        <v>3.3876456558080546E-2</v>
      </c>
      <c r="AC34" s="10">
        <f t="shared" si="1"/>
        <v>3.4149653788387649E-3</v>
      </c>
      <c r="AD34">
        <f t="shared" si="10"/>
        <v>0</v>
      </c>
      <c r="AE34">
        <f t="shared" si="18"/>
        <v>0</v>
      </c>
      <c r="AF34">
        <f t="shared" si="19"/>
        <v>0</v>
      </c>
      <c r="AG34">
        <f t="shared" si="24"/>
        <v>8.3045235679471731E-3</v>
      </c>
      <c r="AH34">
        <f t="shared" si="24"/>
        <v>3.6042369516310548E-2</v>
      </c>
      <c r="AI34">
        <f t="shared" si="11"/>
        <v>0.23041003350762107</v>
      </c>
      <c r="AJ34">
        <f t="shared" si="20"/>
        <v>18.726280445777419</v>
      </c>
      <c r="AK34" s="14">
        <f t="shared" si="2"/>
        <v>18.726280445777419</v>
      </c>
      <c r="AM34">
        <f t="shared" si="25"/>
        <v>7.1065989847716171E-3</v>
      </c>
      <c r="AN34" s="14">
        <f t="shared" si="12"/>
        <v>0</v>
      </c>
      <c r="AO34">
        <f t="shared" si="22"/>
        <v>0</v>
      </c>
      <c r="AP34" s="14">
        <f t="shared" si="23"/>
        <v>0.2</v>
      </c>
      <c r="AQ34">
        <f t="shared" si="14"/>
        <v>9.239386183387488E-3</v>
      </c>
      <c r="AR34">
        <f t="shared" si="15"/>
        <v>-9.239386183387488E-3</v>
      </c>
      <c r="AU34" s="14"/>
      <c r="AV34" s="19"/>
      <c r="AW34" s="19">
        <f t="shared" si="26"/>
        <v>-1.0070493454179541E-3</v>
      </c>
      <c r="AX34">
        <f t="shared" si="3"/>
        <v>1</v>
      </c>
      <c r="AY34">
        <f>IF(W34,SUMPRODUCT(INDEX(AX:AX,X34):INDEX(AX:AX,X34+Y34)),0)</f>
        <v>0</v>
      </c>
      <c r="AZ34">
        <f>IF(V34,COUNT(INDEX(AX:AX,X34):INDEX(AX:AX,ROW())),0)</f>
        <v>24</v>
      </c>
      <c r="BA34" s="14" t="str">
        <f t="shared" si="16"/>
        <v/>
      </c>
      <c r="BB34" s="6">
        <f t="shared" si="4"/>
        <v>0</v>
      </c>
      <c r="BC34" s="6">
        <f>MEDIAN(INDEX(BB:BB,X34):INDEX(BB:BB,X34+Y34-1))</f>
        <v>1966</v>
      </c>
      <c r="BD34" s="25" t="str">
        <f t="shared" si="5"/>
        <v/>
      </c>
      <c r="BE34">
        <f t="shared" si="17"/>
        <v>1</v>
      </c>
      <c r="BF34" s="6">
        <f>SUM(INDEX(BE:BE,X34):INDEX(BE:BE,X34+Y34-1))</f>
        <v>6</v>
      </c>
      <c r="BG34" s="25" t="str">
        <f t="shared" si="6"/>
        <v/>
      </c>
    </row>
    <row r="35" spans="1:59" x14ac:dyDescent="0.3">
      <c r="A35" s="1">
        <v>43957</v>
      </c>
      <c r="B35">
        <v>9.8800000000000008</v>
      </c>
      <c r="C35">
        <v>9.9139999999999997</v>
      </c>
      <c r="D35">
        <v>9.8699999999999992</v>
      </c>
      <c r="E35">
        <v>9.9139999999999997</v>
      </c>
      <c r="F35">
        <v>99300</v>
      </c>
      <c r="G35" s="29">
        <v>3.5028138232503399E-2</v>
      </c>
      <c r="H35" s="29">
        <v>3.5331993375532999E-3</v>
      </c>
      <c r="I35" s="29">
        <v>5.0433730078677302E-3</v>
      </c>
      <c r="J35" s="29">
        <v>55.871003997738399</v>
      </c>
      <c r="K35" s="29">
        <v>9.5723014256618999E-3</v>
      </c>
      <c r="L35" s="29">
        <v>0.2</v>
      </c>
      <c r="M35" s="29">
        <v>4.3997184257137299E-2</v>
      </c>
      <c r="N35" s="29">
        <v>3.6798763083086598E-2</v>
      </c>
      <c r="O35" s="29">
        <v>-1.6112789526686599E-3</v>
      </c>
      <c r="P35" s="29">
        <v>-6.0483870967742404E-4</v>
      </c>
      <c r="Q35" s="29">
        <v>0.640625</v>
      </c>
      <c r="R35" s="30">
        <v>21826</v>
      </c>
      <c r="S35" s="29">
        <v>21</v>
      </c>
      <c r="T35" s="14">
        <v>262.00799999999998</v>
      </c>
      <c r="U35" s="41"/>
      <c r="V35">
        <v>25</v>
      </c>
      <c r="W35" t="b">
        <f>V35&gt;=$C$4</f>
        <v>0</v>
      </c>
      <c r="X35">
        <f>IF(V35&lt;=$C$5,11,ROW()-$C$5+1)</f>
        <v>11</v>
      </c>
      <c r="Y35" s="14">
        <f t="shared" si="0"/>
        <v>25</v>
      </c>
      <c r="Z35" s="10">
        <f t="shared" si="7"/>
        <v>5.0000000000000711E-2</v>
      </c>
      <c r="AA35" s="15">
        <f t="shared" si="8"/>
        <v>5.0433730078677337E-3</v>
      </c>
      <c r="AB35" s="15">
        <f t="shared" si="9"/>
        <v>3.5028138232503413E-2</v>
      </c>
      <c r="AC35" s="10">
        <f t="shared" si="1"/>
        <v>3.5331993375532999E-3</v>
      </c>
      <c r="AD35">
        <f t="shared" si="10"/>
        <v>-6.0000000000002274E-3</v>
      </c>
      <c r="AE35">
        <f t="shared" si="18"/>
        <v>0</v>
      </c>
      <c r="AF35">
        <f t="shared" si="19"/>
        <v>6.0000000000002274E-3</v>
      </c>
      <c r="AG35">
        <f t="shared" si="24"/>
        <v>7.7113433130938033E-3</v>
      </c>
      <c r="AH35">
        <f t="shared" si="24"/>
        <v>3.3896485979431241E-2</v>
      </c>
      <c r="AI35">
        <f t="shared" si="11"/>
        <v>0.22749683603701962</v>
      </c>
      <c r="AJ35">
        <f t="shared" si="20"/>
        <v>18.533394902384785</v>
      </c>
      <c r="AK35" s="14">
        <f t="shared" si="2"/>
        <v>18.533394902384785</v>
      </c>
      <c r="AM35">
        <f t="shared" si="25"/>
        <v>9.5723014256618999E-3</v>
      </c>
      <c r="AN35" s="14">
        <f t="shared" si="12"/>
        <v>-6.0483870967742437E-4</v>
      </c>
      <c r="AO35">
        <f t="shared" si="22"/>
        <v>0</v>
      </c>
      <c r="AP35" s="14">
        <f t="shared" si="23"/>
        <v>0.2</v>
      </c>
      <c r="AQ35">
        <f t="shared" si="14"/>
        <v>-6.7779647909749219E-3</v>
      </c>
      <c r="AR35">
        <f t="shared" si="15"/>
        <v>6.1731260812974975E-3</v>
      </c>
      <c r="AU35" s="14"/>
      <c r="AV35" s="19"/>
      <c r="AW35" s="19">
        <f t="shared" si="26"/>
        <v>-1.6112789526686599E-3</v>
      </c>
      <c r="AX35">
        <f t="shared" si="3"/>
        <v>0</v>
      </c>
      <c r="AY35">
        <f>IF(W35,SUMPRODUCT(INDEX(AX:AX,X35):INDEX(AX:AX,X35+Y35)),0)</f>
        <v>0</v>
      </c>
      <c r="AZ35">
        <f>IF(V35,COUNT(INDEX(AX:AX,X35):INDEX(AX:AX,ROW())),0)</f>
        <v>25</v>
      </c>
      <c r="BA35" s="14" t="str">
        <f t="shared" si="16"/>
        <v/>
      </c>
      <c r="BB35" s="6">
        <f t="shared" si="4"/>
        <v>984460.2</v>
      </c>
      <c r="BC35" s="6">
        <f>MEDIAN(INDEX(BB:BB,X35):INDEX(BB:BB,X35+Y35-1))</f>
        <v>1968</v>
      </c>
      <c r="BD35" s="25" t="str">
        <f t="shared" si="5"/>
        <v/>
      </c>
      <c r="BE35">
        <f t="shared" si="17"/>
        <v>0</v>
      </c>
      <c r="BF35" s="6">
        <f>SUM(INDEX(BE:BE,X35):INDEX(BE:BE,X35+Y35-1))</f>
        <v>6</v>
      </c>
      <c r="BG35" s="25" t="str">
        <f t="shared" si="6"/>
        <v/>
      </c>
    </row>
    <row r="36" spans="1:59" x14ac:dyDescent="0.3">
      <c r="A36" s="1">
        <v>43958</v>
      </c>
      <c r="B36">
        <v>9.9139999999999997</v>
      </c>
      <c r="C36">
        <v>9.9139999999999997</v>
      </c>
      <c r="D36">
        <v>9.9139999999999997</v>
      </c>
      <c r="E36">
        <v>9.9139999999999997</v>
      </c>
      <c r="F36">
        <v>0</v>
      </c>
      <c r="G36" s="29">
        <v>3.2526128358753098E-2</v>
      </c>
      <c r="H36" s="29">
        <v>3.2808279562994902E-3</v>
      </c>
      <c r="I36" s="29">
        <v>0</v>
      </c>
      <c r="J36" s="29">
        <v>55.871003997738399</v>
      </c>
      <c r="K36" s="29">
        <v>9.5723014256618999E-3</v>
      </c>
      <c r="L36" s="29">
        <v>0.2</v>
      </c>
      <c r="M36" s="29">
        <v>4.0167895520379401E-2</v>
      </c>
      <c r="N36" s="29">
        <v>3.6741015104721601E-2</v>
      </c>
      <c r="O36" s="29">
        <v>-1.6112789526686599E-3</v>
      </c>
      <c r="P36" s="29">
        <v>0</v>
      </c>
      <c r="Q36" s="29">
        <v>0.64341085271317799</v>
      </c>
      <c r="R36" s="30">
        <v>16016</v>
      </c>
      <c r="S36" s="29">
        <v>21</v>
      </c>
      <c r="T36" s="14">
        <v>265.17</v>
      </c>
      <c r="U36" s="41"/>
      <c r="V36">
        <v>26</v>
      </c>
      <c r="W36" t="b">
        <f>V36&gt;=$C$4</f>
        <v>0</v>
      </c>
      <c r="X36">
        <f>IF(V36&lt;=$C$5,11,ROW()-$C$5+1)</f>
        <v>11</v>
      </c>
      <c r="Y36" s="14">
        <f t="shared" si="0"/>
        <v>26</v>
      </c>
      <c r="Z36" s="10">
        <f t="shared" si="7"/>
        <v>0</v>
      </c>
      <c r="AA36" s="15">
        <f t="shared" si="8"/>
        <v>0</v>
      </c>
      <c r="AB36" s="15">
        <f t="shared" si="9"/>
        <v>3.2526128358753167E-2</v>
      </c>
      <c r="AC36" s="10">
        <f t="shared" si="1"/>
        <v>3.2808279562994923E-3</v>
      </c>
      <c r="AD36">
        <f t="shared" si="10"/>
        <v>0</v>
      </c>
      <c r="AE36">
        <f t="shared" si="18"/>
        <v>0</v>
      </c>
      <c r="AF36">
        <f t="shared" si="19"/>
        <v>0</v>
      </c>
      <c r="AG36">
        <f t="shared" si="24"/>
        <v>7.1605330764442461E-3</v>
      </c>
      <c r="AH36">
        <f t="shared" si="24"/>
        <v>3.1475308409471867E-2</v>
      </c>
      <c r="AI36">
        <f t="shared" si="11"/>
        <v>0.22749683603701962</v>
      </c>
      <c r="AJ36">
        <f t="shared" si="20"/>
        <v>18.533394902384785</v>
      </c>
      <c r="AK36" s="14">
        <f t="shared" si="2"/>
        <v>18.533394902384785</v>
      </c>
      <c r="AM36">
        <f t="shared" si="25"/>
        <v>9.5723014256618999E-3</v>
      </c>
      <c r="AN36" s="14">
        <f t="shared" si="12"/>
        <v>0</v>
      </c>
      <c r="AO36">
        <f t="shared" si="22"/>
        <v>0</v>
      </c>
      <c r="AP36" s="14">
        <f t="shared" si="23"/>
        <v>0.2</v>
      </c>
      <c r="AQ36">
        <f t="shared" si="14"/>
        <v>1.2068333791334762E-2</v>
      </c>
      <c r="AR36">
        <f t="shared" si="15"/>
        <v>-1.2068333791334762E-2</v>
      </c>
      <c r="AU36" s="14"/>
      <c r="AV36" s="19"/>
      <c r="AW36" s="19">
        <f t="shared" si="26"/>
        <v>-1.6112789526686599E-3</v>
      </c>
      <c r="AX36">
        <f t="shared" si="3"/>
        <v>1</v>
      </c>
      <c r="AY36">
        <f>IF(W36,SUMPRODUCT(INDEX(AX:AX,X36):INDEX(AX:AX,X36+Y36)),0)</f>
        <v>0</v>
      </c>
      <c r="AZ36">
        <f>IF(V36,COUNT(INDEX(AX:AX,X36):INDEX(AX:AX,ROW())),0)</f>
        <v>26</v>
      </c>
      <c r="BA36" s="14" t="str">
        <f t="shared" si="16"/>
        <v/>
      </c>
      <c r="BB36" s="6">
        <f t="shared" si="4"/>
        <v>0</v>
      </c>
      <c r="BC36" s="6">
        <f>MEDIAN(INDEX(BB:BB,X36):INDEX(BB:BB,X36+Y36-1))</f>
        <v>1966</v>
      </c>
      <c r="BD36" s="25" t="str">
        <f t="shared" si="5"/>
        <v/>
      </c>
      <c r="BE36">
        <f t="shared" si="17"/>
        <v>0</v>
      </c>
      <c r="BF36" s="6">
        <f>SUM(INDEX(BE:BE,X36):INDEX(BE:BE,X36+Y36-1))</f>
        <v>6</v>
      </c>
      <c r="BG36" s="25" t="str">
        <f t="shared" si="6"/>
        <v/>
      </c>
    </row>
    <row r="37" spans="1:59" x14ac:dyDescent="0.3">
      <c r="A37" s="1">
        <v>43959</v>
      </c>
      <c r="B37">
        <v>9.9</v>
      </c>
      <c r="C37">
        <v>9.9</v>
      </c>
      <c r="D37">
        <v>9.9</v>
      </c>
      <c r="E37">
        <v>9.9</v>
      </c>
      <c r="F37">
        <v>8400</v>
      </c>
      <c r="G37" s="29">
        <v>3.1202833475985001E-2</v>
      </c>
      <c r="H37" s="29">
        <v>3.1518013612106101E-3</v>
      </c>
      <c r="I37" s="29">
        <v>1.41414141414134E-3</v>
      </c>
      <c r="J37" s="29">
        <v>53.450171291679503</v>
      </c>
      <c r="K37" s="29">
        <v>3.0395136778116299E-3</v>
      </c>
      <c r="L37" s="29">
        <v>0</v>
      </c>
      <c r="M37" s="29">
        <v>2.9974995444705499E-2</v>
      </c>
      <c r="N37" s="29">
        <v>3.6350496123077503E-2</v>
      </c>
      <c r="O37" s="29">
        <v>-3.02114803625375E-3</v>
      </c>
      <c r="P37" s="29">
        <v>-1.4121444422028301E-3</v>
      </c>
      <c r="Q37" s="29">
        <v>0.64615384615384597</v>
      </c>
      <c r="R37" s="30">
        <v>21826</v>
      </c>
      <c r="S37" s="29">
        <v>21</v>
      </c>
      <c r="T37" s="14">
        <v>269.55700000000002</v>
      </c>
      <c r="U37" s="41"/>
      <c r="V37">
        <v>27</v>
      </c>
      <c r="W37" t="b">
        <f>V37&gt;=$C$4</f>
        <v>0</v>
      </c>
      <c r="X37">
        <f>IF(V37&lt;=$C$5,11,ROW()-$C$5+1)</f>
        <v>11</v>
      </c>
      <c r="Y37" s="14">
        <f t="shared" si="0"/>
        <v>27</v>
      </c>
      <c r="Z37" s="10">
        <f t="shared" si="7"/>
        <v>1.3999999999999346E-2</v>
      </c>
      <c r="AA37" s="15">
        <f t="shared" si="8"/>
        <v>1.414141414141348E-3</v>
      </c>
      <c r="AB37" s="15">
        <f t="shared" si="9"/>
        <v>3.1202833475985039E-2</v>
      </c>
      <c r="AC37" s="10">
        <f t="shared" si="1"/>
        <v>3.1518013612106097E-3</v>
      </c>
      <c r="AD37">
        <f t="shared" si="10"/>
        <v>-1.3999999999999346E-2</v>
      </c>
      <c r="AE37">
        <f t="shared" si="18"/>
        <v>0</v>
      </c>
      <c r="AF37">
        <f t="shared" si="19"/>
        <v>1.3999999999999346E-2</v>
      </c>
      <c r="AG37">
        <f t="shared" si="24"/>
        <v>6.6490664281268E-3</v>
      </c>
      <c r="AH37">
        <f t="shared" si="24"/>
        <v>3.0227072094509543E-2</v>
      </c>
      <c r="AI37">
        <f t="shared" si="11"/>
        <v>0.21997057496463704</v>
      </c>
      <c r="AJ37">
        <f t="shared" si="20"/>
        <v>18.030809880067252</v>
      </c>
      <c r="AK37" s="14">
        <f t="shared" si="2"/>
        <v>18.030809880067252</v>
      </c>
      <c r="AM37">
        <f t="shared" si="25"/>
        <v>3.0395136778116338E-3</v>
      </c>
      <c r="AN37" s="14">
        <f t="shared" si="12"/>
        <v>-1.412144442202834E-3</v>
      </c>
      <c r="AO37">
        <f t="shared" si="22"/>
        <v>0</v>
      </c>
      <c r="AP37" s="14">
        <f t="shared" si="23"/>
        <v>0</v>
      </c>
      <c r="AQ37">
        <f t="shared" si="14"/>
        <v>1.6544103782479169E-2</v>
      </c>
      <c r="AR37">
        <f t="shared" si="15"/>
        <v>-1.7956248224682E-2</v>
      </c>
      <c r="AU37" s="14"/>
      <c r="AV37" s="19"/>
      <c r="AW37" s="19">
        <f t="shared" si="26"/>
        <v>-3.0211480362537513E-3</v>
      </c>
      <c r="AX37">
        <f t="shared" si="3"/>
        <v>1</v>
      </c>
      <c r="AY37">
        <f>IF(W37,SUMPRODUCT(INDEX(AX:AX,X37):INDEX(AX:AX,X37+Y37)),0)</f>
        <v>0</v>
      </c>
      <c r="AZ37">
        <f>IF(V37,COUNT(INDEX(AX:AX,X37):INDEX(AX:AX,ROW())),0)</f>
        <v>27</v>
      </c>
      <c r="BA37" s="14" t="str">
        <f t="shared" si="16"/>
        <v/>
      </c>
      <c r="BB37" s="6">
        <f t="shared" si="4"/>
        <v>83160</v>
      </c>
      <c r="BC37" s="6">
        <f>MEDIAN(INDEX(BB:BB,X37):INDEX(BB:BB,X37+Y37-1))</f>
        <v>1968</v>
      </c>
      <c r="BD37" s="25" t="str">
        <f t="shared" si="5"/>
        <v/>
      </c>
      <c r="BE37">
        <f t="shared" si="17"/>
        <v>0</v>
      </c>
      <c r="BF37" s="6">
        <f>SUM(INDEX(BE:BE,X37):INDEX(BE:BE,X37+Y37-1))</f>
        <v>6</v>
      </c>
      <c r="BG37" s="25" t="str">
        <f t="shared" si="6"/>
        <v/>
      </c>
    </row>
    <row r="38" spans="1:59" x14ac:dyDescent="0.3">
      <c r="A38" s="1">
        <v>43962</v>
      </c>
      <c r="B38">
        <v>9.9</v>
      </c>
      <c r="C38">
        <v>9.9</v>
      </c>
      <c r="D38">
        <v>9.9</v>
      </c>
      <c r="E38">
        <v>9.9</v>
      </c>
      <c r="F38">
        <v>0</v>
      </c>
      <c r="G38" s="29">
        <v>2.8974059656271801E-2</v>
      </c>
      <c r="H38" s="29">
        <v>2.92667269255271E-3</v>
      </c>
      <c r="I38" s="29">
        <v>0</v>
      </c>
      <c r="J38" s="29">
        <v>53.450171291679503</v>
      </c>
      <c r="K38" s="29">
        <v>8.7629916445894906E-3</v>
      </c>
      <c r="L38" s="29">
        <v>0</v>
      </c>
      <c r="M38" s="29">
        <v>3.2702981760120001E-2</v>
      </c>
      <c r="N38" s="29">
        <v>3.62682534416729E-2</v>
      </c>
      <c r="O38" s="29">
        <v>-3.02114803625375E-3</v>
      </c>
      <c r="P38" s="29">
        <v>0</v>
      </c>
      <c r="Q38" s="29">
        <v>0.64885496183206104</v>
      </c>
      <c r="R38" s="30">
        <v>16016</v>
      </c>
      <c r="S38" s="29">
        <v>21</v>
      </c>
      <c r="T38" s="14">
        <v>269.61200000000002</v>
      </c>
      <c r="U38" s="41"/>
      <c r="V38">
        <v>28</v>
      </c>
      <c r="W38" t="b">
        <f>V38&gt;=$C$4</f>
        <v>0</v>
      </c>
      <c r="X38">
        <f>IF(V38&lt;=$C$5,11,ROW()-$C$5+1)</f>
        <v>11</v>
      </c>
      <c r="Y38" s="14">
        <f t="shared" si="0"/>
        <v>28</v>
      </c>
      <c r="Z38" s="10">
        <f t="shared" si="7"/>
        <v>0</v>
      </c>
      <c r="AA38" s="15">
        <f t="shared" si="8"/>
        <v>0</v>
      </c>
      <c r="AB38" s="15">
        <f t="shared" si="9"/>
        <v>2.8974059656271822E-2</v>
      </c>
      <c r="AC38" s="10">
        <f t="shared" si="1"/>
        <v>2.9266726925527091E-3</v>
      </c>
      <c r="AD38">
        <f t="shared" si="10"/>
        <v>0</v>
      </c>
      <c r="AE38">
        <f t="shared" si="18"/>
        <v>0</v>
      </c>
      <c r="AF38">
        <f t="shared" si="19"/>
        <v>0</v>
      </c>
      <c r="AG38">
        <f t="shared" si="24"/>
        <v>6.1741331118320281E-3</v>
      </c>
      <c r="AH38">
        <f t="shared" si="24"/>
        <v>2.8067995516330289E-2</v>
      </c>
      <c r="AI38">
        <f t="shared" si="11"/>
        <v>0.21997057496463704</v>
      </c>
      <c r="AJ38">
        <f t="shared" si="20"/>
        <v>18.030809880067252</v>
      </c>
      <c r="AK38" s="14">
        <f t="shared" si="2"/>
        <v>18.030809880067252</v>
      </c>
      <c r="AM38">
        <f t="shared" si="25"/>
        <v>8.7629916445894906E-3</v>
      </c>
      <c r="AN38" s="14">
        <f t="shared" si="12"/>
        <v>0</v>
      </c>
      <c r="AO38">
        <f t="shared" si="22"/>
        <v>0</v>
      </c>
      <c r="AP38" s="14">
        <f t="shared" si="23"/>
        <v>0</v>
      </c>
      <c r="AQ38">
        <f t="shared" si="14"/>
        <v>2.040384779471438E-4</v>
      </c>
      <c r="AR38">
        <f t="shared" si="15"/>
        <v>-2.040384779471438E-4</v>
      </c>
      <c r="AU38" s="14"/>
      <c r="AV38" s="19"/>
      <c r="AW38" s="19">
        <f t="shared" si="26"/>
        <v>-3.0211480362537513E-3</v>
      </c>
      <c r="AX38">
        <f t="shared" si="3"/>
        <v>1</v>
      </c>
      <c r="AY38">
        <f>IF(W38,SUMPRODUCT(INDEX(AX:AX,X38):INDEX(AX:AX,X38+Y38)),0)</f>
        <v>0</v>
      </c>
      <c r="AZ38">
        <f>IF(V38,COUNT(INDEX(AX:AX,X38):INDEX(AX:AX,ROW())),0)</f>
        <v>28</v>
      </c>
      <c r="BA38" s="14" t="str">
        <f t="shared" si="16"/>
        <v/>
      </c>
      <c r="BB38" s="6">
        <f t="shared" si="4"/>
        <v>0</v>
      </c>
      <c r="BC38" s="6">
        <f>MEDIAN(INDEX(BB:BB,X38):INDEX(BB:BB,X38+Y38-1))</f>
        <v>1966</v>
      </c>
      <c r="BD38" s="25" t="str">
        <f t="shared" si="5"/>
        <v/>
      </c>
      <c r="BE38">
        <f t="shared" si="17"/>
        <v>0</v>
      </c>
      <c r="BF38" s="6">
        <f>SUM(INDEX(BE:BE,X38):INDEX(BE:BE,X38+Y38-1))</f>
        <v>6</v>
      </c>
      <c r="BG38" s="25" t="str">
        <f t="shared" si="6"/>
        <v/>
      </c>
    </row>
    <row r="39" spans="1:59" x14ac:dyDescent="0.3">
      <c r="A39" s="1">
        <v>43963</v>
      </c>
      <c r="B39">
        <v>9.9</v>
      </c>
      <c r="C39">
        <v>9.9</v>
      </c>
      <c r="D39">
        <v>9.9</v>
      </c>
      <c r="E39">
        <v>9.9</v>
      </c>
      <c r="F39">
        <v>3000</v>
      </c>
      <c r="G39" s="29">
        <v>2.6904483966538099E-2</v>
      </c>
      <c r="H39" s="29">
        <v>2.7176246430846498E-3</v>
      </c>
      <c r="I39" s="29">
        <v>0</v>
      </c>
      <c r="J39" s="29">
        <v>53.450171291679602</v>
      </c>
      <c r="K39" s="29">
        <v>5.0761421319798199E-3</v>
      </c>
      <c r="L39" s="29">
        <v>0</v>
      </c>
      <c r="M39" s="29">
        <v>4.2459160224736898E-2</v>
      </c>
      <c r="N39" s="29">
        <v>3.61320327262247E-2</v>
      </c>
      <c r="O39" s="29">
        <v>-3.02114803625375E-3</v>
      </c>
      <c r="P39" s="29">
        <v>0</v>
      </c>
      <c r="Q39" s="29">
        <v>0.65151515151515105</v>
      </c>
      <c r="R39" s="30">
        <v>21826</v>
      </c>
      <c r="S39" s="29">
        <v>21</v>
      </c>
      <c r="T39" s="14">
        <v>264.23899999999998</v>
      </c>
      <c r="U39" s="41"/>
      <c r="V39">
        <v>29</v>
      </c>
      <c r="W39" t="b">
        <f>V39&gt;=$C$4</f>
        <v>0</v>
      </c>
      <c r="X39">
        <f>IF(V39&lt;=$C$5,11,ROW()-$C$5+1)</f>
        <v>11</v>
      </c>
      <c r="Y39" s="14">
        <f t="shared" si="0"/>
        <v>29</v>
      </c>
      <c r="Z39" s="10">
        <f t="shared" si="7"/>
        <v>0</v>
      </c>
      <c r="AA39" s="15">
        <f t="shared" si="8"/>
        <v>0</v>
      </c>
      <c r="AB39" s="15">
        <f t="shared" si="9"/>
        <v>2.6904483966538117E-2</v>
      </c>
      <c r="AC39" s="10">
        <f t="shared" si="1"/>
        <v>2.7176246430846581E-3</v>
      </c>
      <c r="AD39">
        <f t="shared" si="10"/>
        <v>0</v>
      </c>
      <c r="AE39">
        <f t="shared" si="18"/>
        <v>0</v>
      </c>
      <c r="AF39">
        <f t="shared" si="19"/>
        <v>0</v>
      </c>
      <c r="AG39">
        <f t="shared" si="24"/>
        <v>5.7331236038440257E-3</v>
      </c>
      <c r="AH39">
        <f t="shared" si="24"/>
        <v>2.606313869373527E-2</v>
      </c>
      <c r="AI39">
        <f t="shared" si="11"/>
        <v>0.21997057496463701</v>
      </c>
      <c r="AJ39">
        <f t="shared" si="20"/>
        <v>18.030809880067252</v>
      </c>
      <c r="AK39" s="14">
        <f t="shared" si="2"/>
        <v>18.030809880067252</v>
      </c>
      <c r="AM39">
        <f t="shared" si="25"/>
        <v>5.0761421319798217E-3</v>
      </c>
      <c r="AN39" s="14">
        <f t="shared" si="12"/>
        <v>0</v>
      </c>
      <c r="AO39">
        <f t="shared" si="22"/>
        <v>0</v>
      </c>
      <c r="AP39" s="14">
        <f t="shared" si="23"/>
        <v>0</v>
      </c>
      <c r="AQ39">
        <f t="shared" si="14"/>
        <v>-1.9928638191178627E-2</v>
      </c>
      <c r="AR39">
        <f t="shared" si="15"/>
        <v>1.9928638191178627E-2</v>
      </c>
      <c r="AU39" s="14"/>
      <c r="AV39" s="19"/>
      <c r="AW39" s="19">
        <f t="shared" si="26"/>
        <v>-3.0211480362537513E-3</v>
      </c>
      <c r="AX39">
        <f t="shared" si="3"/>
        <v>1</v>
      </c>
      <c r="AY39">
        <f>IF(W39,SUMPRODUCT(INDEX(AX:AX,X39):INDEX(AX:AX,X39+Y39)),0)</f>
        <v>0</v>
      </c>
      <c r="AZ39">
        <f>IF(V39,COUNT(INDEX(AX:AX,X39):INDEX(AX:AX,ROW())),0)</f>
        <v>29</v>
      </c>
      <c r="BA39" s="14" t="str">
        <f t="shared" si="16"/>
        <v/>
      </c>
      <c r="BB39" s="6">
        <f t="shared" si="4"/>
        <v>29700</v>
      </c>
      <c r="BC39" s="6">
        <f>MEDIAN(INDEX(BB:BB,X39):INDEX(BB:BB,X39+Y39-1))</f>
        <v>1968</v>
      </c>
      <c r="BD39" s="25" t="str">
        <f t="shared" si="5"/>
        <v/>
      </c>
      <c r="BE39">
        <f t="shared" si="17"/>
        <v>0</v>
      </c>
      <c r="BF39" s="6">
        <f>SUM(INDEX(BE:BE,X39):INDEX(BE:BE,X39+Y39-1))</f>
        <v>6</v>
      </c>
      <c r="BG39" s="25" t="str">
        <f t="shared" si="6"/>
        <v/>
      </c>
    </row>
    <row r="40" spans="1:59" x14ac:dyDescent="0.3">
      <c r="A40" s="1">
        <v>43964</v>
      </c>
      <c r="B40">
        <v>9.9</v>
      </c>
      <c r="C40">
        <v>9.9</v>
      </c>
      <c r="D40">
        <v>9.9</v>
      </c>
      <c r="E40">
        <v>9.9</v>
      </c>
      <c r="F40">
        <v>200</v>
      </c>
      <c r="G40" s="29">
        <v>2.4982735111785399E-2</v>
      </c>
      <c r="H40" s="29">
        <v>2.5235085971500402E-3</v>
      </c>
      <c r="I40" s="29">
        <v>0</v>
      </c>
      <c r="J40" s="29">
        <v>53.450171291679602</v>
      </c>
      <c r="K40" s="29">
        <v>3.0395136778116299E-3</v>
      </c>
      <c r="L40" s="29">
        <v>0</v>
      </c>
      <c r="M40" s="29">
        <v>5.2856433378226098E-2</v>
      </c>
      <c r="N40" s="29">
        <v>3.6018602388699202E-2</v>
      </c>
      <c r="O40" s="29">
        <v>-3.02114803625375E-3</v>
      </c>
      <c r="P40" s="29">
        <v>0</v>
      </c>
      <c r="Q40" s="29">
        <v>0.65413533834586401</v>
      </c>
      <c r="R40" s="30">
        <v>16016</v>
      </c>
      <c r="S40" s="29">
        <v>21</v>
      </c>
      <c r="T40" s="14">
        <v>259.565</v>
      </c>
      <c r="U40" s="41"/>
      <c r="V40">
        <v>30</v>
      </c>
      <c r="W40" t="b">
        <f>V40&gt;=$C$4</f>
        <v>0</v>
      </c>
      <c r="X40">
        <f>IF(V40&lt;=$C$5,11,ROW()-$C$5+1)</f>
        <v>11</v>
      </c>
      <c r="Y40" s="14">
        <f t="shared" si="0"/>
        <v>30</v>
      </c>
      <c r="Z40" s="10">
        <f t="shared" si="7"/>
        <v>0</v>
      </c>
      <c r="AA40" s="15">
        <f t="shared" si="8"/>
        <v>0</v>
      </c>
      <c r="AB40" s="15">
        <f t="shared" si="9"/>
        <v>2.4982735111785392E-2</v>
      </c>
      <c r="AC40" s="10">
        <f t="shared" si="1"/>
        <v>2.5235085971500397E-3</v>
      </c>
      <c r="AD40">
        <f t="shared" si="10"/>
        <v>0</v>
      </c>
      <c r="AE40">
        <f t="shared" si="18"/>
        <v>0</v>
      </c>
      <c r="AF40">
        <f t="shared" si="19"/>
        <v>0</v>
      </c>
      <c r="AG40">
        <f t="shared" si="24"/>
        <v>5.3236147749980232E-3</v>
      </c>
      <c r="AH40">
        <f t="shared" si="24"/>
        <v>2.4201485929897036E-2</v>
      </c>
      <c r="AI40">
        <f t="shared" si="11"/>
        <v>0.21997057496463698</v>
      </c>
      <c r="AJ40">
        <f t="shared" si="20"/>
        <v>18.030809880067252</v>
      </c>
      <c r="AK40" s="14">
        <f t="shared" si="2"/>
        <v>18.030809880067252</v>
      </c>
      <c r="AM40">
        <f t="shared" si="25"/>
        <v>3.0395136778116338E-3</v>
      </c>
      <c r="AN40" s="14">
        <f t="shared" si="12"/>
        <v>0</v>
      </c>
      <c r="AO40">
        <f t="shared" si="22"/>
        <v>0</v>
      </c>
      <c r="AP40" s="14">
        <f t="shared" si="23"/>
        <v>0</v>
      </c>
      <c r="AQ40">
        <f t="shared" si="14"/>
        <v>-1.7688531972948618E-2</v>
      </c>
      <c r="AR40">
        <f t="shared" si="15"/>
        <v>1.7688531972948618E-2</v>
      </c>
      <c r="AU40" s="14"/>
      <c r="AV40" s="19"/>
      <c r="AW40" s="19">
        <f t="shared" si="26"/>
        <v>-3.0211480362537513E-3</v>
      </c>
      <c r="AX40">
        <f t="shared" si="3"/>
        <v>1</v>
      </c>
      <c r="AY40">
        <f>IF(W40,SUMPRODUCT(INDEX(AX:AX,X40):INDEX(AX:AX,X40+Y40)),0)</f>
        <v>0</v>
      </c>
      <c r="AZ40">
        <f>IF(V40,COUNT(INDEX(AX:AX,X40):INDEX(AX:AX,ROW())),0)</f>
        <v>30</v>
      </c>
      <c r="BA40" s="14" t="str">
        <f t="shared" si="16"/>
        <v/>
      </c>
      <c r="BB40" s="6">
        <f t="shared" si="4"/>
        <v>1980</v>
      </c>
      <c r="BC40" s="6">
        <f>MEDIAN(INDEX(BB:BB,X40):INDEX(BB:BB,X40+Y40-1))</f>
        <v>1969</v>
      </c>
      <c r="BD40" s="25" t="str">
        <f t="shared" si="5"/>
        <v/>
      </c>
      <c r="BE40">
        <f t="shared" si="17"/>
        <v>0</v>
      </c>
      <c r="BF40" s="6">
        <f>SUM(INDEX(BE:BE,X40):INDEX(BE:BE,X40+Y40-1))</f>
        <v>6</v>
      </c>
      <c r="BG40" s="25" t="str">
        <f t="shared" si="6"/>
        <v/>
      </c>
    </row>
    <row r="41" spans="1:59" x14ac:dyDescent="0.3">
      <c r="A41" s="1">
        <v>43965</v>
      </c>
      <c r="B41">
        <v>9.9</v>
      </c>
      <c r="C41">
        <v>9.9</v>
      </c>
      <c r="D41">
        <v>9.9</v>
      </c>
      <c r="E41">
        <v>9.9</v>
      </c>
      <c r="F41">
        <v>0</v>
      </c>
      <c r="G41" s="29">
        <v>2.31982540323721E-2</v>
      </c>
      <c r="H41" s="29">
        <v>2.3432579830678902E-3</v>
      </c>
      <c r="I41" s="29">
        <v>0</v>
      </c>
      <c r="J41" s="29">
        <v>53.450171291679503</v>
      </c>
      <c r="K41" s="29">
        <v>3.0395136778116299E-3</v>
      </c>
      <c r="L41" s="29">
        <v>0</v>
      </c>
      <c r="M41" s="29">
        <v>4.6726976992999297E-2</v>
      </c>
      <c r="N41" s="29">
        <v>3.5950272399574199E-2</v>
      </c>
      <c r="O41" s="29">
        <v>-3.02114803625375E-3</v>
      </c>
      <c r="P41" s="29">
        <v>0</v>
      </c>
      <c r="Q41" s="29">
        <v>0.65671641791044699</v>
      </c>
      <c r="R41" s="30">
        <v>15358</v>
      </c>
      <c r="S41" s="29">
        <v>21</v>
      </c>
      <c r="T41" s="14">
        <v>262.67200000000003</v>
      </c>
      <c r="U41" s="41"/>
      <c r="V41">
        <v>31</v>
      </c>
      <c r="W41" t="b">
        <f>V41&gt;=$C$4</f>
        <v>0</v>
      </c>
      <c r="X41">
        <f>IF(V41&lt;=$C$5,11,ROW()-$C$5+1)</f>
        <v>11</v>
      </c>
      <c r="Y41" s="14">
        <f t="shared" si="0"/>
        <v>31</v>
      </c>
      <c r="Z41" s="10">
        <f t="shared" si="7"/>
        <v>0</v>
      </c>
      <c r="AA41" s="15">
        <f t="shared" si="8"/>
        <v>0</v>
      </c>
      <c r="AB41" s="15">
        <f t="shared" si="9"/>
        <v>2.3198254032372152E-2</v>
      </c>
      <c r="AC41" s="10">
        <f t="shared" si="1"/>
        <v>2.3432579830678941E-3</v>
      </c>
      <c r="AD41">
        <f t="shared" si="10"/>
        <v>0</v>
      </c>
      <c r="AE41">
        <f t="shared" si="18"/>
        <v>0</v>
      </c>
      <c r="AF41">
        <f t="shared" si="19"/>
        <v>0</v>
      </c>
      <c r="AG41">
        <f t="shared" si="24"/>
        <v>4.9433565767838788E-3</v>
      </c>
      <c r="AH41">
        <f t="shared" si="24"/>
        <v>2.2472808363475819E-2</v>
      </c>
      <c r="AI41">
        <f t="shared" si="11"/>
        <v>0.21997057496463698</v>
      </c>
      <c r="AJ41">
        <f t="shared" si="20"/>
        <v>18.030809880067252</v>
      </c>
      <c r="AK41" s="14">
        <f t="shared" si="2"/>
        <v>18.030809880067252</v>
      </c>
      <c r="AM41">
        <f t="shared" si="25"/>
        <v>3.0395136778116338E-3</v>
      </c>
      <c r="AN41" s="14">
        <f t="shared" si="12"/>
        <v>0</v>
      </c>
      <c r="AO41">
        <f t="shared" si="22"/>
        <v>0</v>
      </c>
      <c r="AP41" s="14">
        <f t="shared" si="23"/>
        <v>0</v>
      </c>
      <c r="AQ41">
        <f t="shared" si="14"/>
        <v>1.1970026775566911E-2</v>
      </c>
      <c r="AR41">
        <f t="shared" si="15"/>
        <v>-1.1970026775566911E-2</v>
      </c>
      <c r="AU41" s="14"/>
      <c r="AV41" s="19"/>
      <c r="AW41" s="19">
        <f t="shared" si="26"/>
        <v>-3.0211480362537513E-3</v>
      </c>
      <c r="AX41">
        <f t="shared" si="3"/>
        <v>1</v>
      </c>
      <c r="AY41">
        <f>IF(W41,SUMPRODUCT(INDEX(AX:AX,X41):INDEX(AX:AX,X41+Y41)),0)</f>
        <v>0</v>
      </c>
      <c r="AZ41">
        <f>IF(V41,COUNT(INDEX(AX:AX,X41):INDEX(AX:AX,ROW())),0)</f>
        <v>31</v>
      </c>
      <c r="BA41" s="14" t="str">
        <f t="shared" si="16"/>
        <v/>
      </c>
      <c r="BB41" s="6">
        <f t="shared" si="4"/>
        <v>0</v>
      </c>
      <c r="BC41" s="6">
        <f>MEDIAN(INDEX(BB:BB,X41):INDEX(BB:BB,X41+Y41-1))</f>
        <v>1968</v>
      </c>
      <c r="BD41" s="25" t="str">
        <f t="shared" si="5"/>
        <v/>
      </c>
      <c r="BE41">
        <f t="shared" si="17"/>
        <v>0</v>
      </c>
      <c r="BF41" s="6">
        <f>SUM(INDEX(BE:BE,X41):INDEX(BE:BE,X41+Y41-1))</f>
        <v>6</v>
      </c>
      <c r="BG41" s="25" t="str">
        <f t="shared" si="6"/>
        <v/>
      </c>
    </row>
    <row r="42" spans="1:59" x14ac:dyDescent="0.3">
      <c r="A42" s="1">
        <v>43966</v>
      </c>
      <c r="B42">
        <v>9.9</v>
      </c>
      <c r="C42">
        <v>9.9</v>
      </c>
      <c r="D42">
        <v>9.9</v>
      </c>
      <c r="E42">
        <v>9.9</v>
      </c>
      <c r="F42">
        <v>0</v>
      </c>
      <c r="G42" s="29">
        <v>2.1541235887202699E-2</v>
      </c>
      <c r="H42" s="29">
        <v>2.17588241284876E-3</v>
      </c>
      <c r="I42" s="29">
        <v>0</v>
      </c>
      <c r="J42" s="29">
        <v>53.450171291679503</v>
      </c>
      <c r="K42" s="29">
        <v>3.0395136778116299E-3</v>
      </c>
      <c r="L42" s="29">
        <v>0</v>
      </c>
      <c r="M42" s="29">
        <v>4.5859278034322298E-2</v>
      </c>
      <c r="N42" s="29">
        <v>3.5982603430624198E-2</v>
      </c>
      <c r="O42" s="29">
        <v>-3.02114803625375E-3</v>
      </c>
      <c r="P42" s="29">
        <v>0</v>
      </c>
      <c r="Q42" s="29">
        <v>0.65925925925925899</v>
      </c>
      <c r="R42" s="30">
        <v>14700</v>
      </c>
      <c r="S42" s="29">
        <v>22</v>
      </c>
      <c r="T42" s="14">
        <v>263.87900000000002</v>
      </c>
      <c r="U42" s="41"/>
      <c r="V42">
        <v>32</v>
      </c>
      <c r="W42" t="b">
        <f>V42&gt;=$C$4</f>
        <v>0</v>
      </c>
      <c r="X42">
        <f>IF(V42&lt;=$C$5,11,ROW()-$C$5+1)</f>
        <v>11</v>
      </c>
      <c r="Y42" s="14">
        <f t="shared" si="0"/>
        <v>32</v>
      </c>
      <c r="Z42" s="10">
        <f t="shared" si="7"/>
        <v>0</v>
      </c>
      <c r="AA42" s="15">
        <f t="shared" si="8"/>
        <v>0</v>
      </c>
      <c r="AB42" s="15">
        <f t="shared" si="9"/>
        <v>2.1541235887202713E-2</v>
      </c>
      <c r="AC42" s="10">
        <f t="shared" si="1"/>
        <v>2.1758824128487587E-3</v>
      </c>
      <c r="AD42">
        <f t="shared" si="10"/>
        <v>0</v>
      </c>
      <c r="AE42">
        <f t="shared" si="18"/>
        <v>0</v>
      </c>
      <c r="AF42">
        <f t="shared" si="19"/>
        <v>0</v>
      </c>
      <c r="AG42">
        <f t="shared" si="24"/>
        <v>4.5902596784421724E-3</v>
      </c>
      <c r="AH42">
        <f t="shared" si="24"/>
        <v>2.0867607766084689E-2</v>
      </c>
      <c r="AI42">
        <f t="shared" si="11"/>
        <v>0.21997057496463696</v>
      </c>
      <c r="AJ42">
        <f t="shared" si="20"/>
        <v>18.030809880067252</v>
      </c>
      <c r="AK42" s="14">
        <f t="shared" si="2"/>
        <v>18.030809880067252</v>
      </c>
      <c r="AM42">
        <f t="shared" si="25"/>
        <v>3.0395136778116338E-3</v>
      </c>
      <c r="AN42" s="14">
        <f t="shared" si="12"/>
        <v>0</v>
      </c>
      <c r="AO42">
        <f t="shared" si="22"/>
        <v>0</v>
      </c>
      <c r="AP42" s="14">
        <f t="shared" si="23"/>
        <v>0</v>
      </c>
      <c r="AQ42">
        <f t="shared" si="14"/>
        <v>4.5950843637692085E-3</v>
      </c>
      <c r="AR42">
        <f t="shared" si="15"/>
        <v>-4.5950843637692085E-3</v>
      </c>
      <c r="AU42" s="14"/>
      <c r="AV42" s="19"/>
      <c r="AW42" s="19">
        <f t="shared" si="26"/>
        <v>-3.0211480362537513E-3</v>
      </c>
      <c r="AX42">
        <f t="shared" si="3"/>
        <v>1</v>
      </c>
      <c r="AY42">
        <f>IF(W42,SUMPRODUCT(INDEX(AX:AX,X42):INDEX(AX:AX,X42+Y42)),0)</f>
        <v>0</v>
      </c>
      <c r="AZ42">
        <f>IF(V42,COUNT(INDEX(AX:AX,X42):INDEX(AX:AX,ROW())),0)</f>
        <v>32</v>
      </c>
      <c r="BA42" s="14" t="str">
        <f t="shared" si="16"/>
        <v/>
      </c>
      <c r="BB42" s="6">
        <f t="shared" si="4"/>
        <v>0</v>
      </c>
      <c r="BC42" s="6">
        <f>MEDIAN(INDEX(BB:BB,X42):INDEX(BB:BB,X42+Y42-1))</f>
        <v>1966</v>
      </c>
      <c r="BD42" s="25" t="str">
        <f t="shared" si="5"/>
        <v/>
      </c>
      <c r="BE42">
        <f t="shared" si="17"/>
        <v>1</v>
      </c>
      <c r="BF42" s="6">
        <f>SUM(INDEX(BE:BE,X42):INDEX(BE:BE,X42+Y42-1))</f>
        <v>7</v>
      </c>
      <c r="BG42" s="25" t="str">
        <f t="shared" si="6"/>
        <v/>
      </c>
    </row>
    <row r="43" spans="1:59" x14ac:dyDescent="0.3">
      <c r="A43" s="1">
        <v>43969</v>
      </c>
      <c r="B43">
        <v>9.9</v>
      </c>
      <c r="C43">
        <v>9.9</v>
      </c>
      <c r="D43">
        <v>9.9</v>
      </c>
      <c r="E43">
        <v>9.9</v>
      </c>
      <c r="F43">
        <v>0</v>
      </c>
      <c r="G43" s="29">
        <v>2.00025761809739E-2</v>
      </c>
      <c r="H43" s="29">
        <v>2.0204622405024198E-3</v>
      </c>
      <c r="I43" s="29">
        <v>0</v>
      </c>
      <c r="J43" s="29">
        <v>53.450171291679503</v>
      </c>
      <c r="K43" s="29">
        <v>6.0975609756097598E-3</v>
      </c>
      <c r="L43" s="29">
        <v>0</v>
      </c>
      <c r="M43" s="29">
        <v>3.0957927307997801E-2</v>
      </c>
      <c r="N43" s="29">
        <v>3.5631770016962001E-2</v>
      </c>
      <c r="O43" s="29">
        <v>-3.02114803625375E-3</v>
      </c>
      <c r="P43" s="29">
        <v>0</v>
      </c>
      <c r="Q43" s="29">
        <v>0.66176470588235203</v>
      </c>
      <c r="R43" s="30">
        <v>14350</v>
      </c>
      <c r="S43" s="29">
        <v>23</v>
      </c>
      <c r="T43" s="14">
        <v>271.91699999999997</v>
      </c>
      <c r="U43" s="41"/>
      <c r="V43">
        <v>33</v>
      </c>
      <c r="W43" t="b">
        <f>V43&gt;=$C$4</f>
        <v>0</v>
      </c>
      <c r="X43">
        <f>IF(V43&lt;=$C$5,11,ROW()-$C$5+1)</f>
        <v>11</v>
      </c>
      <c r="Y43" s="14">
        <f t="shared" si="0"/>
        <v>33</v>
      </c>
      <c r="Z43" s="10">
        <f t="shared" si="7"/>
        <v>0</v>
      </c>
      <c r="AA43" s="15">
        <f t="shared" si="8"/>
        <v>0</v>
      </c>
      <c r="AB43" s="15">
        <f t="shared" si="9"/>
        <v>2.0002576180973949E-2</v>
      </c>
      <c r="AC43" s="10">
        <f t="shared" si="1"/>
        <v>2.020462240502419E-3</v>
      </c>
      <c r="AD43">
        <f t="shared" si="10"/>
        <v>0</v>
      </c>
      <c r="AE43">
        <f t="shared" si="18"/>
        <v>0</v>
      </c>
      <c r="AF43">
        <f t="shared" si="19"/>
        <v>0</v>
      </c>
      <c r="AG43">
        <f t="shared" si="24"/>
        <v>4.2623839871248747E-3</v>
      </c>
      <c r="AH43">
        <f t="shared" si="24"/>
        <v>1.9377064354221495E-2</v>
      </c>
      <c r="AI43">
        <f t="shared" si="11"/>
        <v>0.21997057496463698</v>
      </c>
      <c r="AJ43">
        <f t="shared" si="20"/>
        <v>18.030809880067252</v>
      </c>
      <c r="AK43" s="14">
        <f t="shared" si="2"/>
        <v>18.030809880067252</v>
      </c>
      <c r="AM43">
        <f t="shared" si="25"/>
        <v>6.0975609756097615E-3</v>
      </c>
      <c r="AN43" s="14">
        <f t="shared" si="12"/>
        <v>0</v>
      </c>
      <c r="AO43">
        <f t="shared" si="22"/>
        <v>0</v>
      </c>
      <c r="AP43" s="14">
        <f t="shared" si="23"/>
        <v>0</v>
      </c>
      <c r="AQ43">
        <f t="shared" si="14"/>
        <v>3.0460930956991428E-2</v>
      </c>
      <c r="AR43">
        <f t="shared" si="15"/>
        <v>-3.0460930956991428E-2</v>
      </c>
      <c r="AU43" s="14"/>
      <c r="AV43" s="19"/>
      <c r="AW43" s="19">
        <f t="shared" si="26"/>
        <v>-3.0211480362537513E-3</v>
      </c>
      <c r="AX43">
        <f t="shared" si="3"/>
        <v>1</v>
      </c>
      <c r="AY43">
        <f>IF(W43,SUMPRODUCT(INDEX(AX:AX,X43):INDEX(AX:AX,X43+Y43)),0)</f>
        <v>0</v>
      </c>
      <c r="AZ43">
        <f>IF(V43,COUNT(INDEX(AX:AX,X43):INDEX(AX:AX,ROW())),0)</f>
        <v>33</v>
      </c>
      <c r="BA43" s="14" t="str">
        <f t="shared" si="16"/>
        <v/>
      </c>
      <c r="BB43" s="6">
        <f t="shared" si="4"/>
        <v>0</v>
      </c>
      <c r="BC43" s="6">
        <f>MEDIAN(INDEX(BB:BB,X43):INDEX(BB:BB,X43+Y43-1))</f>
        <v>1964</v>
      </c>
      <c r="BD43" s="25" t="str">
        <f t="shared" si="5"/>
        <v/>
      </c>
      <c r="BE43">
        <f t="shared" si="17"/>
        <v>1</v>
      </c>
      <c r="BF43" s="6">
        <f>SUM(INDEX(BE:BE,X43):INDEX(BE:BE,X43+Y43-1))</f>
        <v>8</v>
      </c>
      <c r="BG43" s="25" t="str">
        <f t="shared" si="6"/>
        <v/>
      </c>
    </row>
    <row r="44" spans="1:59" x14ac:dyDescent="0.3">
      <c r="A44" s="1">
        <v>43970</v>
      </c>
      <c r="B44">
        <v>9.9</v>
      </c>
      <c r="C44">
        <v>9.9</v>
      </c>
      <c r="D44">
        <v>9.9</v>
      </c>
      <c r="E44">
        <v>9.9</v>
      </c>
      <c r="F44">
        <v>0</v>
      </c>
      <c r="G44" s="29">
        <v>1.8573820739475801E-2</v>
      </c>
      <c r="H44" s="29">
        <v>1.87614350903796E-3</v>
      </c>
      <c r="I44" s="29">
        <v>0</v>
      </c>
      <c r="J44" s="29">
        <v>53.450171291679503</v>
      </c>
      <c r="K44" s="29">
        <v>6.0975609756097598E-3</v>
      </c>
      <c r="L44" s="29">
        <v>0</v>
      </c>
      <c r="M44" s="29">
        <v>3.7416041867061101E-2</v>
      </c>
      <c r="N44" s="29">
        <v>3.5589234193960498E-2</v>
      </c>
      <c r="O44" s="29">
        <v>-3.02114803625375E-3</v>
      </c>
      <c r="P44" s="29">
        <v>0</v>
      </c>
      <c r="Q44" s="29">
        <v>0.66423357664233496</v>
      </c>
      <c r="R44" s="30">
        <v>14000</v>
      </c>
      <c r="S44" s="29">
        <v>24</v>
      </c>
      <c r="T44" s="14">
        <v>269.12400000000002</v>
      </c>
      <c r="U44" s="41"/>
      <c r="V44">
        <v>34</v>
      </c>
      <c r="W44" t="b">
        <f>V44&gt;=$C$4</f>
        <v>0</v>
      </c>
      <c r="X44">
        <f>IF(V44&lt;=$C$5,11,ROW()-$C$5+1)</f>
        <v>11</v>
      </c>
      <c r="Y44" s="14">
        <f t="shared" si="0"/>
        <v>34</v>
      </c>
      <c r="Z44" s="10">
        <f t="shared" si="7"/>
        <v>0</v>
      </c>
      <c r="AA44" s="15">
        <f t="shared" si="8"/>
        <v>0</v>
      </c>
      <c r="AB44" s="15">
        <f t="shared" si="9"/>
        <v>1.8573820739475808E-2</v>
      </c>
      <c r="AC44" s="10">
        <f t="shared" si="1"/>
        <v>1.8761435090379603E-3</v>
      </c>
      <c r="AD44">
        <f t="shared" si="10"/>
        <v>0</v>
      </c>
      <c r="AE44">
        <f t="shared" si="18"/>
        <v>0</v>
      </c>
      <c r="AF44">
        <f t="shared" si="19"/>
        <v>0</v>
      </c>
      <c r="AG44">
        <f t="shared" si="24"/>
        <v>3.9579279880445264E-3</v>
      </c>
      <c r="AH44">
        <f t="shared" si="24"/>
        <v>1.7992988328919959E-2</v>
      </c>
      <c r="AI44">
        <f t="shared" si="11"/>
        <v>0.21997057496463701</v>
      </c>
      <c r="AJ44">
        <f t="shared" si="20"/>
        <v>18.030809880067252</v>
      </c>
      <c r="AK44" s="14">
        <f t="shared" si="2"/>
        <v>18.030809880067252</v>
      </c>
      <c r="AM44">
        <f t="shared" si="25"/>
        <v>6.0975609756097615E-3</v>
      </c>
      <c r="AN44" s="14">
        <f t="shared" si="12"/>
        <v>0</v>
      </c>
      <c r="AO44">
        <f t="shared" si="22"/>
        <v>0</v>
      </c>
      <c r="AP44" s="14">
        <f t="shared" si="23"/>
        <v>0</v>
      </c>
      <c r="AQ44">
        <f t="shared" si="14"/>
        <v>-1.0271516676044312E-2</v>
      </c>
      <c r="AR44">
        <f t="shared" si="15"/>
        <v>1.0271516676044312E-2</v>
      </c>
      <c r="AU44" s="14"/>
      <c r="AV44" s="19"/>
      <c r="AW44" s="19">
        <f t="shared" si="26"/>
        <v>-3.0211480362537513E-3</v>
      </c>
      <c r="AX44">
        <f t="shared" si="3"/>
        <v>1</v>
      </c>
      <c r="AY44">
        <f>IF(W44,SUMPRODUCT(INDEX(AX:AX,X44):INDEX(AX:AX,X44+Y44)),0)</f>
        <v>0</v>
      </c>
      <c r="AZ44">
        <f>IF(V44,COUNT(INDEX(AX:AX,X44):INDEX(AX:AX,ROW())),0)</f>
        <v>34</v>
      </c>
      <c r="BA44" s="14" t="str">
        <f t="shared" si="16"/>
        <v/>
      </c>
      <c r="BB44" s="6">
        <f t="shared" si="4"/>
        <v>0</v>
      </c>
      <c r="BC44" s="6">
        <f>MEDIAN(INDEX(BB:BB,X44):INDEX(BB:BB,X44+Y44-1))</f>
        <v>1963.4</v>
      </c>
      <c r="BD44" s="25" t="str">
        <f t="shared" si="5"/>
        <v/>
      </c>
      <c r="BE44">
        <f t="shared" si="17"/>
        <v>1</v>
      </c>
      <c r="BF44" s="6">
        <f>SUM(INDEX(BE:BE,X44):INDEX(BE:BE,X44+Y44-1))</f>
        <v>9</v>
      </c>
      <c r="BG44" s="25" t="str">
        <f t="shared" si="6"/>
        <v/>
      </c>
    </row>
    <row r="45" spans="1:59" x14ac:dyDescent="0.3">
      <c r="A45" s="1">
        <v>43971</v>
      </c>
      <c r="B45">
        <v>9.9</v>
      </c>
      <c r="C45">
        <v>9.9</v>
      </c>
      <c r="D45">
        <v>9.9</v>
      </c>
      <c r="E45">
        <v>9.9</v>
      </c>
      <c r="F45">
        <v>0</v>
      </c>
      <c r="G45" s="29">
        <v>1.7247119258084601E-2</v>
      </c>
      <c r="H45" s="29">
        <v>1.74213325839239E-3</v>
      </c>
      <c r="I45" s="29">
        <v>0</v>
      </c>
      <c r="J45" s="29">
        <v>53.450171291679503</v>
      </c>
      <c r="K45" s="29">
        <v>6.0975609756097598E-3</v>
      </c>
      <c r="L45" s="29">
        <v>0</v>
      </c>
      <c r="M45" s="29">
        <v>2.82998527066919E-2</v>
      </c>
      <c r="N45" s="29">
        <v>3.54938660908031E-2</v>
      </c>
      <c r="O45" s="29">
        <v>-3.02114803625375E-3</v>
      </c>
      <c r="P45" s="29">
        <v>0</v>
      </c>
      <c r="Q45" s="29">
        <v>0.66666666666666596</v>
      </c>
      <c r="R45" s="30">
        <v>11950</v>
      </c>
      <c r="S45" s="29">
        <v>25</v>
      </c>
      <c r="T45" s="14">
        <v>273.69600000000003</v>
      </c>
      <c r="U45" s="41"/>
      <c r="V45">
        <v>35</v>
      </c>
      <c r="W45" t="b">
        <f>V45&gt;=$C$4</f>
        <v>0</v>
      </c>
      <c r="X45">
        <f>IF(V45&lt;=$C$5,11,ROW()-$C$5+1)</f>
        <v>11</v>
      </c>
      <c r="Y45" s="14">
        <f t="shared" si="0"/>
        <v>35</v>
      </c>
      <c r="Z45" s="10">
        <f t="shared" si="7"/>
        <v>0</v>
      </c>
      <c r="AA45" s="15">
        <f t="shared" si="8"/>
        <v>0</v>
      </c>
      <c r="AB45" s="15">
        <f t="shared" si="9"/>
        <v>1.724711925808468E-2</v>
      </c>
      <c r="AC45" s="10">
        <f t="shared" si="1"/>
        <v>1.742133258392392E-3</v>
      </c>
      <c r="AD45">
        <f t="shared" si="10"/>
        <v>0</v>
      </c>
      <c r="AE45">
        <f t="shared" si="18"/>
        <v>0</v>
      </c>
      <c r="AF45">
        <f t="shared" si="19"/>
        <v>0</v>
      </c>
      <c r="AG45">
        <f t="shared" si="24"/>
        <v>3.675218846041346E-3</v>
      </c>
      <c r="AH45">
        <f t="shared" si="24"/>
        <v>1.6707774876854247E-2</v>
      </c>
      <c r="AI45">
        <f t="shared" si="11"/>
        <v>0.21997057496463701</v>
      </c>
      <c r="AJ45">
        <f t="shared" si="20"/>
        <v>18.030809880067252</v>
      </c>
      <c r="AK45" s="14">
        <f t="shared" si="2"/>
        <v>18.030809880067252</v>
      </c>
      <c r="AM45">
        <f t="shared" si="25"/>
        <v>6.0975609756097615E-3</v>
      </c>
      <c r="AN45" s="14">
        <f t="shared" si="12"/>
        <v>0</v>
      </c>
      <c r="AO45">
        <f t="shared" si="22"/>
        <v>0</v>
      </c>
      <c r="AP45" s="14">
        <f t="shared" si="23"/>
        <v>0</v>
      </c>
      <c r="AQ45">
        <f t="shared" si="14"/>
        <v>1.6988451420163253E-2</v>
      </c>
      <c r="AR45">
        <f t="shared" si="15"/>
        <v>-1.6988451420163253E-2</v>
      </c>
      <c r="AU45" s="14"/>
      <c r="AV45" s="19"/>
      <c r="AW45" s="19">
        <f t="shared" si="26"/>
        <v>-3.0211480362537513E-3</v>
      </c>
      <c r="AX45">
        <f t="shared" si="3"/>
        <v>1</v>
      </c>
      <c r="AY45">
        <f>IF(W45,SUMPRODUCT(INDEX(AX:AX,X45):INDEX(AX:AX,X45+Y45)),0)</f>
        <v>0</v>
      </c>
      <c r="AZ45">
        <f>IF(V45,COUNT(INDEX(AX:AX,X45):INDEX(AX:AX,ROW())),0)</f>
        <v>35</v>
      </c>
      <c r="BA45" s="14" t="str">
        <f t="shared" si="16"/>
        <v/>
      </c>
      <c r="BB45" s="6">
        <f t="shared" si="4"/>
        <v>0</v>
      </c>
      <c r="BC45" s="6">
        <f>MEDIAN(INDEX(BB:BB,X45):INDEX(BB:BB,X45+Y45-1))</f>
        <v>1962.8</v>
      </c>
      <c r="BD45" s="25" t="str">
        <f t="shared" si="5"/>
        <v/>
      </c>
      <c r="BE45">
        <f t="shared" si="17"/>
        <v>1</v>
      </c>
      <c r="BF45" s="6">
        <f>SUM(INDEX(BE:BE,X45):INDEX(BE:BE,X45+Y45-1))</f>
        <v>10</v>
      </c>
      <c r="BG45" s="25" t="str">
        <f t="shared" si="6"/>
        <v/>
      </c>
    </row>
    <row r="46" spans="1:59" x14ac:dyDescent="0.3">
      <c r="A46" s="1">
        <v>43972</v>
      </c>
      <c r="B46">
        <v>9.9</v>
      </c>
      <c r="C46">
        <v>9.9</v>
      </c>
      <c r="D46">
        <v>9.9</v>
      </c>
      <c r="E46">
        <v>9.9</v>
      </c>
      <c r="F46">
        <v>0</v>
      </c>
      <c r="G46" s="29">
        <v>1.6015182168221499E-2</v>
      </c>
      <c r="H46" s="29">
        <v>1.6176951685072201E-3</v>
      </c>
      <c r="I46" s="29">
        <v>0</v>
      </c>
      <c r="J46" s="29">
        <v>53.450171291679503</v>
      </c>
      <c r="K46" s="29">
        <v>6.0975609756097598E-3</v>
      </c>
      <c r="L46" s="29">
        <v>0</v>
      </c>
      <c r="M46" s="29">
        <v>2.6852898678841199E-2</v>
      </c>
      <c r="N46" s="29">
        <v>3.5519988256658801E-2</v>
      </c>
      <c r="O46" s="29">
        <v>-3.02114803625375E-3</v>
      </c>
      <c r="P46" s="29">
        <v>0</v>
      </c>
      <c r="Q46" s="29">
        <v>0.66906474820143802</v>
      </c>
      <c r="R46" s="30">
        <v>9900</v>
      </c>
      <c r="S46" s="29">
        <v>26</v>
      </c>
      <c r="T46" s="14">
        <v>271.80599999999998</v>
      </c>
      <c r="U46" s="41"/>
      <c r="V46">
        <v>36</v>
      </c>
      <c r="W46" t="b">
        <f>V46&gt;=$C$4</f>
        <v>0</v>
      </c>
      <c r="X46">
        <f>IF(V46&lt;=$C$5,11,ROW()-$C$5+1)</f>
        <v>11</v>
      </c>
      <c r="Y46" s="14">
        <f t="shared" si="0"/>
        <v>36</v>
      </c>
      <c r="Z46" s="10">
        <f t="shared" si="7"/>
        <v>0</v>
      </c>
      <c r="AA46" s="15">
        <f t="shared" si="8"/>
        <v>0</v>
      </c>
      <c r="AB46" s="15">
        <f t="shared" si="9"/>
        <v>1.6015182168221488E-2</v>
      </c>
      <c r="AC46" s="10">
        <f t="shared" si="1"/>
        <v>1.6176951685072209E-3</v>
      </c>
      <c r="AD46">
        <f t="shared" si="10"/>
        <v>0</v>
      </c>
      <c r="AE46">
        <f t="shared" si="18"/>
        <v>0</v>
      </c>
      <c r="AF46">
        <f t="shared" si="19"/>
        <v>0</v>
      </c>
      <c r="AG46">
        <f t="shared" ref="AG46:AH61" si="27">(AE46+13*AG45)/14</f>
        <v>3.4127032141812496E-3</v>
      </c>
      <c r="AH46">
        <f t="shared" si="27"/>
        <v>1.5514362385650373E-2</v>
      </c>
      <c r="AI46">
        <f t="shared" si="11"/>
        <v>0.21997057496463698</v>
      </c>
      <c r="AJ46">
        <f t="shared" si="20"/>
        <v>18.030809880067252</v>
      </c>
      <c r="AK46" s="14">
        <f t="shared" si="2"/>
        <v>18.030809880067252</v>
      </c>
      <c r="AM46">
        <f t="shared" si="25"/>
        <v>6.0975609756097615E-3</v>
      </c>
      <c r="AN46" s="14">
        <f t="shared" si="12"/>
        <v>0</v>
      </c>
      <c r="AO46">
        <f t="shared" si="22"/>
        <v>0</v>
      </c>
      <c r="AP46" s="14">
        <f t="shared" si="23"/>
        <v>0</v>
      </c>
      <c r="AQ46">
        <f t="shared" si="14"/>
        <v>-6.9054717642933472E-3</v>
      </c>
      <c r="AR46">
        <f t="shared" si="15"/>
        <v>6.9054717642933472E-3</v>
      </c>
      <c r="AU46" s="14"/>
      <c r="AV46" s="19"/>
      <c r="AW46" s="19">
        <f t="shared" si="26"/>
        <v>-3.0211480362537513E-3</v>
      </c>
      <c r="AX46">
        <f t="shared" si="3"/>
        <v>1</v>
      </c>
      <c r="AY46">
        <f>IF(W46,SUMPRODUCT(INDEX(AX:AX,X46):INDEX(AX:AX,X46+Y46)),0)</f>
        <v>0</v>
      </c>
      <c r="AZ46">
        <f>IF(V46,COUNT(INDEX(AX:AX,X46):INDEX(AX:AX,ROW())),0)</f>
        <v>36</v>
      </c>
      <c r="BA46" s="14" t="str">
        <f t="shared" si="16"/>
        <v/>
      </c>
      <c r="BB46" s="6">
        <f t="shared" si="4"/>
        <v>0</v>
      </c>
      <c r="BC46" s="6">
        <f>MEDIAN(INDEX(BB:BB,X46):INDEX(BB:BB,X46+Y46-1))</f>
        <v>981.4</v>
      </c>
      <c r="BD46" s="25" t="str">
        <f t="shared" si="5"/>
        <v/>
      </c>
      <c r="BE46">
        <f t="shared" si="17"/>
        <v>1</v>
      </c>
      <c r="BF46" s="6">
        <f>SUM(INDEX(BE:BE,X46):INDEX(BE:BE,X46+Y46-1))</f>
        <v>11</v>
      </c>
      <c r="BG46" s="25" t="str">
        <f t="shared" si="6"/>
        <v/>
      </c>
    </row>
    <row r="47" spans="1:59" x14ac:dyDescent="0.3">
      <c r="A47" s="1">
        <v>43973</v>
      </c>
      <c r="B47">
        <v>9.9</v>
      </c>
      <c r="C47">
        <v>9.9</v>
      </c>
      <c r="D47">
        <v>9.9</v>
      </c>
      <c r="E47">
        <v>9.9</v>
      </c>
      <c r="F47">
        <v>0</v>
      </c>
      <c r="G47" s="29">
        <v>1.4871240584777101E-2</v>
      </c>
      <c r="H47" s="29">
        <v>1.5021455136138399E-3</v>
      </c>
      <c r="I47" s="29">
        <v>0</v>
      </c>
      <c r="J47" s="29">
        <v>53.450171291679503</v>
      </c>
      <c r="K47" s="29">
        <v>0</v>
      </c>
      <c r="L47" s="29">
        <v>0</v>
      </c>
      <c r="M47" s="29">
        <v>1.1886839465066201E-2</v>
      </c>
      <c r="N47" s="29">
        <v>3.6001872507025003E-2</v>
      </c>
      <c r="O47" s="29">
        <v>-3.02114803625375E-3</v>
      </c>
      <c r="P47" s="29">
        <v>0</v>
      </c>
      <c r="Q47" s="29">
        <v>0.67142857142857104</v>
      </c>
      <c r="R47" s="30">
        <v>9850</v>
      </c>
      <c r="S47" s="29">
        <v>27</v>
      </c>
      <c r="T47" s="14">
        <v>272.322</v>
      </c>
      <c r="U47" s="41"/>
      <c r="V47">
        <v>37</v>
      </c>
      <c r="W47" t="b">
        <f>V47&gt;=$C$4</f>
        <v>0</v>
      </c>
      <c r="X47">
        <f>IF(V47&lt;=$C$5,11,ROW()-$C$5+1)</f>
        <v>11</v>
      </c>
      <c r="Y47" s="14">
        <f t="shared" si="0"/>
        <v>37</v>
      </c>
      <c r="Z47" s="10">
        <f t="shared" si="7"/>
        <v>0</v>
      </c>
      <c r="AA47" s="15">
        <f t="shared" si="8"/>
        <v>0</v>
      </c>
      <c r="AB47" s="15">
        <f t="shared" si="9"/>
        <v>1.4871240584777096E-2</v>
      </c>
      <c r="AC47" s="10">
        <f t="shared" si="1"/>
        <v>1.5021455136138479E-3</v>
      </c>
      <c r="AD47">
        <f t="shared" si="10"/>
        <v>0</v>
      </c>
      <c r="AE47">
        <f t="shared" si="18"/>
        <v>0</v>
      </c>
      <c r="AF47">
        <f t="shared" si="19"/>
        <v>0</v>
      </c>
      <c r="AG47">
        <f t="shared" si="27"/>
        <v>3.168938698882589E-3</v>
      </c>
      <c r="AH47">
        <f t="shared" si="27"/>
        <v>1.4406193643818203E-2</v>
      </c>
      <c r="AI47">
        <f t="shared" si="11"/>
        <v>0.21997057496463698</v>
      </c>
      <c r="AJ47">
        <f t="shared" si="20"/>
        <v>18.030809880067252</v>
      </c>
      <c r="AK47" s="14">
        <f t="shared" si="2"/>
        <v>18.030809880067252</v>
      </c>
      <c r="AM47">
        <f t="shared" si="25"/>
        <v>0</v>
      </c>
      <c r="AN47" s="14">
        <f t="shared" si="12"/>
        <v>0</v>
      </c>
      <c r="AO47">
        <f t="shared" si="22"/>
        <v>0</v>
      </c>
      <c r="AP47" s="14">
        <f t="shared" si="23"/>
        <v>0</v>
      </c>
      <c r="AQ47">
        <f t="shared" si="14"/>
        <v>1.8984128385688415E-3</v>
      </c>
      <c r="AR47">
        <f t="shared" si="15"/>
        <v>-1.8984128385688415E-3</v>
      </c>
      <c r="AU47" s="14"/>
      <c r="AV47" s="19"/>
      <c r="AW47" s="19">
        <f t="shared" si="26"/>
        <v>-3.0211480362537513E-3</v>
      </c>
      <c r="AX47">
        <f t="shared" si="3"/>
        <v>1</v>
      </c>
      <c r="AY47">
        <f>IF(W47,SUMPRODUCT(INDEX(AX:AX,X47):INDEX(AX:AX,X47+Y47)),0)</f>
        <v>0</v>
      </c>
      <c r="AZ47">
        <f>IF(V47,COUNT(INDEX(AX:AX,X47):INDEX(AX:AX,ROW())),0)</f>
        <v>37</v>
      </c>
      <c r="BA47" s="14" t="str">
        <f t="shared" si="16"/>
        <v/>
      </c>
      <c r="BB47" s="6">
        <f t="shared" si="4"/>
        <v>0</v>
      </c>
      <c r="BC47" s="6">
        <f>MEDIAN(INDEX(BB:BB,X47):INDEX(BB:BB,X47+Y47-1))</f>
        <v>0</v>
      </c>
      <c r="BD47" s="25" t="str">
        <f t="shared" si="5"/>
        <v/>
      </c>
      <c r="BE47">
        <f t="shared" si="17"/>
        <v>1</v>
      </c>
      <c r="BF47" s="6">
        <f>SUM(INDEX(BE:BE,X47):INDEX(BE:BE,X47+Y47-1))</f>
        <v>12</v>
      </c>
      <c r="BG47" s="25" t="str">
        <f t="shared" si="6"/>
        <v/>
      </c>
    </row>
    <row r="48" spans="1:59" x14ac:dyDescent="0.3">
      <c r="A48" s="1">
        <v>43977</v>
      </c>
      <c r="B48">
        <v>9.9</v>
      </c>
      <c r="C48">
        <v>9.9</v>
      </c>
      <c r="D48">
        <v>9.9</v>
      </c>
      <c r="E48">
        <v>9.9</v>
      </c>
      <c r="F48">
        <v>0</v>
      </c>
      <c r="G48" s="29">
        <v>1.38090091144358E-2</v>
      </c>
      <c r="H48" s="29">
        <v>1.3948494054985699E-3</v>
      </c>
      <c r="I48" s="29">
        <v>0</v>
      </c>
      <c r="J48" s="29">
        <v>53.450171291679503</v>
      </c>
      <c r="K48" s="29">
        <v>-3.02114803625375E-3</v>
      </c>
      <c r="L48" s="29">
        <v>0</v>
      </c>
      <c r="M48" s="29">
        <v>-6.1026687316232796E-3</v>
      </c>
      <c r="N48" s="29">
        <v>3.6037192837950101E-2</v>
      </c>
      <c r="O48" s="29">
        <v>-3.02114803625375E-3</v>
      </c>
      <c r="P48" s="29">
        <v>0</v>
      </c>
      <c r="Q48" s="29">
        <v>0.67375886524822604</v>
      </c>
      <c r="R48" s="30">
        <v>9800</v>
      </c>
      <c r="S48" s="29">
        <v>28</v>
      </c>
      <c r="T48" s="14">
        <v>275.67700000000002</v>
      </c>
      <c r="U48" s="41"/>
      <c r="V48">
        <v>38</v>
      </c>
      <c r="W48" t="b">
        <f>V48&gt;=$C$4</f>
        <v>0</v>
      </c>
      <c r="X48">
        <f>IF(V48&lt;=$C$5,11,ROW()-$C$5+1)</f>
        <v>11</v>
      </c>
      <c r="Y48" s="14">
        <f t="shared" si="0"/>
        <v>38</v>
      </c>
      <c r="Z48" s="10">
        <f t="shared" si="7"/>
        <v>0</v>
      </c>
      <c r="AA48" s="15">
        <f t="shared" si="8"/>
        <v>0</v>
      </c>
      <c r="AB48" s="15">
        <f t="shared" si="9"/>
        <v>1.3809009114435875E-2</v>
      </c>
      <c r="AC48" s="10">
        <f t="shared" si="1"/>
        <v>1.3948494054985732E-3</v>
      </c>
      <c r="AD48">
        <f t="shared" si="10"/>
        <v>0</v>
      </c>
      <c r="AE48">
        <f t="shared" si="18"/>
        <v>0</v>
      </c>
      <c r="AF48">
        <f t="shared" si="19"/>
        <v>0</v>
      </c>
      <c r="AG48">
        <f t="shared" si="27"/>
        <v>2.9425859346766899E-3</v>
      </c>
      <c r="AH48">
        <f t="shared" si="27"/>
        <v>1.3377179812116903E-2</v>
      </c>
      <c r="AI48">
        <f t="shared" si="11"/>
        <v>0.21997057496463701</v>
      </c>
      <c r="AJ48">
        <f t="shared" si="20"/>
        <v>18.030809880067252</v>
      </c>
      <c r="AK48" s="14">
        <f t="shared" si="2"/>
        <v>18.030809880067252</v>
      </c>
      <c r="AM48">
        <f t="shared" si="25"/>
        <v>-3.0211480362537513E-3</v>
      </c>
      <c r="AN48" s="14">
        <f t="shared" si="12"/>
        <v>0</v>
      </c>
      <c r="AO48">
        <f t="shared" si="22"/>
        <v>0</v>
      </c>
      <c r="AP48" s="14">
        <f t="shared" si="23"/>
        <v>0</v>
      </c>
      <c r="AQ48">
        <f t="shared" si="14"/>
        <v>1.2319974148251145E-2</v>
      </c>
      <c r="AR48">
        <f t="shared" si="15"/>
        <v>-1.2319974148251145E-2</v>
      </c>
      <c r="AU48" s="14"/>
      <c r="AV48" s="19"/>
      <c r="AW48" s="19">
        <f t="shared" si="26"/>
        <v>-3.0211480362537513E-3</v>
      </c>
      <c r="AX48">
        <f t="shared" si="3"/>
        <v>1</v>
      </c>
      <c r="AY48">
        <f>IF(W48,SUMPRODUCT(INDEX(AX:AX,X48):INDEX(AX:AX,X48+Y48)),0)</f>
        <v>0</v>
      </c>
      <c r="AZ48">
        <f>IF(V48,COUNT(INDEX(AX:AX,X48):INDEX(AX:AX,ROW())),0)</f>
        <v>38</v>
      </c>
      <c r="BA48" s="14" t="str">
        <f t="shared" si="16"/>
        <v/>
      </c>
      <c r="BB48" s="6">
        <f t="shared" si="4"/>
        <v>0</v>
      </c>
      <c r="BC48" s="6">
        <f>MEDIAN(INDEX(BB:BB,X48):INDEX(BB:BB,X48+Y48-1))</f>
        <v>0</v>
      </c>
      <c r="BD48" s="25" t="str">
        <f t="shared" si="5"/>
        <v/>
      </c>
      <c r="BE48">
        <f t="shared" si="17"/>
        <v>1</v>
      </c>
      <c r="BF48" s="6">
        <f>SUM(INDEX(BE:BE,X48):INDEX(BE:BE,X48+Y48-1))</f>
        <v>13</v>
      </c>
      <c r="BG48" s="25" t="str">
        <f t="shared" si="6"/>
        <v/>
      </c>
    </row>
    <row r="49" spans="1:59" x14ac:dyDescent="0.3">
      <c r="A49" s="1">
        <v>43978</v>
      </c>
      <c r="B49">
        <v>9.9</v>
      </c>
      <c r="C49">
        <v>9.9</v>
      </c>
      <c r="D49">
        <v>9.9</v>
      </c>
      <c r="E49">
        <v>9.9</v>
      </c>
      <c r="F49">
        <v>0</v>
      </c>
      <c r="G49" s="29">
        <v>1.28226513205476E-2</v>
      </c>
      <c r="H49" s="29">
        <v>1.29521730510581E-3</v>
      </c>
      <c r="I49" s="29">
        <v>0</v>
      </c>
      <c r="J49" s="29">
        <v>53.450171291679503</v>
      </c>
      <c r="K49" s="29">
        <v>-3.02114803625375E-3</v>
      </c>
      <c r="L49" s="29">
        <v>0</v>
      </c>
      <c r="M49" s="29">
        <v>-1.45630483086237E-2</v>
      </c>
      <c r="N49" s="29">
        <v>3.6030989395541897E-2</v>
      </c>
      <c r="O49" s="29">
        <v>-3.02114803625375E-3</v>
      </c>
      <c r="P49" s="29">
        <v>0</v>
      </c>
      <c r="Q49" s="29">
        <v>0.676056338028169</v>
      </c>
      <c r="R49" s="30">
        <v>9323.5</v>
      </c>
      <c r="S49" s="29">
        <v>29</v>
      </c>
      <c r="T49" s="14">
        <v>279.779</v>
      </c>
      <c r="U49" s="41"/>
      <c r="V49">
        <v>39</v>
      </c>
      <c r="W49" t="b">
        <f>V49&gt;=$C$4</f>
        <v>0</v>
      </c>
      <c r="X49">
        <f>IF(V49&lt;=$C$5,11,ROW()-$C$5+1)</f>
        <v>11</v>
      </c>
      <c r="Y49" s="14">
        <f t="shared" si="0"/>
        <v>39</v>
      </c>
      <c r="Z49" s="10">
        <f t="shared" si="7"/>
        <v>0</v>
      </c>
      <c r="AA49" s="15">
        <f t="shared" si="8"/>
        <v>0</v>
      </c>
      <c r="AB49" s="15">
        <f t="shared" si="9"/>
        <v>1.2822651320547598E-2</v>
      </c>
      <c r="AC49" s="10">
        <f t="shared" si="1"/>
        <v>1.295217305105818E-3</v>
      </c>
      <c r="AD49">
        <f t="shared" si="10"/>
        <v>0</v>
      </c>
      <c r="AE49">
        <f t="shared" si="18"/>
        <v>0</v>
      </c>
      <c r="AF49">
        <f t="shared" si="19"/>
        <v>0</v>
      </c>
      <c r="AG49">
        <f t="shared" si="27"/>
        <v>2.7324012250569264E-3</v>
      </c>
      <c r="AH49">
        <f t="shared" si="27"/>
        <v>1.2421666968394267E-2</v>
      </c>
      <c r="AI49">
        <f t="shared" si="11"/>
        <v>0.21997057496463701</v>
      </c>
      <c r="AJ49">
        <f t="shared" si="20"/>
        <v>18.030809880067252</v>
      </c>
      <c r="AK49" s="14">
        <f t="shared" si="2"/>
        <v>18.030809880067252</v>
      </c>
      <c r="AM49">
        <f t="shared" si="25"/>
        <v>-3.0211480362537513E-3</v>
      </c>
      <c r="AN49" s="14">
        <f t="shared" si="12"/>
        <v>0</v>
      </c>
      <c r="AO49">
        <f t="shared" si="22"/>
        <v>0</v>
      </c>
      <c r="AP49" s="14">
        <f t="shared" si="23"/>
        <v>0</v>
      </c>
      <c r="AQ49">
        <f t="shared" si="14"/>
        <v>1.4879732440501003E-2</v>
      </c>
      <c r="AR49">
        <f t="shared" si="15"/>
        <v>-1.4879732440501003E-2</v>
      </c>
      <c r="AU49" s="14"/>
      <c r="AV49" s="19"/>
      <c r="AW49" s="19">
        <f t="shared" si="26"/>
        <v>-3.0211480362537513E-3</v>
      </c>
      <c r="AX49">
        <f t="shared" si="3"/>
        <v>1</v>
      </c>
      <c r="AY49">
        <f>IF(W49,SUMPRODUCT(INDEX(AX:AX,X49):INDEX(AX:AX,X49+Y49)),0)</f>
        <v>0</v>
      </c>
      <c r="AZ49">
        <f>IF(V49,COUNT(INDEX(AX:AX,X49):INDEX(AX:AX,ROW())),0)</f>
        <v>39</v>
      </c>
      <c r="BA49" s="14" t="str">
        <f t="shared" si="16"/>
        <v/>
      </c>
      <c r="BB49" s="6">
        <f t="shared" si="4"/>
        <v>0</v>
      </c>
      <c r="BC49" s="6">
        <f>MEDIAN(INDEX(BB:BB,X49):INDEX(BB:BB,X49+Y49-1))</f>
        <v>0</v>
      </c>
      <c r="BD49" s="25" t="str">
        <f t="shared" si="5"/>
        <v/>
      </c>
      <c r="BE49">
        <f t="shared" si="17"/>
        <v>1</v>
      </c>
      <c r="BF49" s="6">
        <f>SUM(INDEX(BE:BE,X49):INDEX(BE:BE,X49+Y49-1))</f>
        <v>14</v>
      </c>
      <c r="BG49" s="25" t="str">
        <f t="shared" si="6"/>
        <v/>
      </c>
    </row>
    <row r="50" spans="1:59" x14ac:dyDescent="0.3">
      <c r="A50" s="1">
        <v>43979</v>
      </c>
      <c r="B50">
        <v>9.9</v>
      </c>
      <c r="C50">
        <v>9.9</v>
      </c>
      <c r="D50">
        <v>9.9</v>
      </c>
      <c r="E50">
        <v>9.9</v>
      </c>
      <c r="F50">
        <v>0</v>
      </c>
      <c r="G50" s="29">
        <v>1.19067476547942E-2</v>
      </c>
      <c r="H50" s="29">
        <v>1.2027017833125401E-3</v>
      </c>
      <c r="I50" s="29">
        <v>0</v>
      </c>
      <c r="J50" s="29">
        <v>53.450171291679503</v>
      </c>
      <c r="K50" s="29">
        <v>-3.02114803625375E-3</v>
      </c>
      <c r="L50" s="29">
        <v>0</v>
      </c>
      <c r="M50" s="29">
        <v>-3.2264656614197001E-2</v>
      </c>
      <c r="N50" s="29">
        <v>3.5368264916775097E-2</v>
      </c>
      <c r="O50" s="29">
        <v>-2.0161290322579998E-3</v>
      </c>
      <c r="P50" s="29">
        <v>0</v>
      </c>
      <c r="Q50" s="29">
        <v>0.678321678321678</v>
      </c>
      <c r="R50" s="30">
        <v>8847</v>
      </c>
      <c r="S50" s="29">
        <v>30</v>
      </c>
      <c r="T50" s="14">
        <v>279.26299999999998</v>
      </c>
      <c r="U50" s="41"/>
      <c r="V50">
        <v>40</v>
      </c>
      <c r="W50" t="b">
        <f>V50&gt;=$C$4</f>
        <v>0</v>
      </c>
      <c r="X50">
        <f>IF(V50&lt;=$C$5,11,ROW()-$C$5+1)</f>
        <v>11</v>
      </c>
      <c r="Y50" s="14">
        <f t="shared" si="0"/>
        <v>40</v>
      </c>
      <c r="Z50" s="10">
        <f t="shared" si="7"/>
        <v>0</v>
      </c>
      <c r="AA50" s="15">
        <f t="shared" si="8"/>
        <v>0</v>
      </c>
      <c r="AB50" s="15">
        <f t="shared" si="9"/>
        <v>1.1906747654794199E-2</v>
      </c>
      <c r="AC50" s="10">
        <f t="shared" si="1"/>
        <v>1.2027017833125453E-3</v>
      </c>
      <c r="AD50">
        <f t="shared" si="10"/>
        <v>0</v>
      </c>
      <c r="AE50">
        <f t="shared" si="18"/>
        <v>0</v>
      </c>
      <c r="AF50">
        <f t="shared" si="19"/>
        <v>0</v>
      </c>
      <c r="AG50">
        <f t="shared" si="27"/>
        <v>2.5372297089814315E-3</v>
      </c>
      <c r="AH50">
        <f t="shared" si="27"/>
        <v>1.1534405042080391E-2</v>
      </c>
      <c r="AI50">
        <f t="shared" si="11"/>
        <v>0.21997057496463698</v>
      </c>
      <c r="AJ50">
        <f t="shared" si="20"/>
        <v>18.030809880067252</v>
      </c>
      <c r="AK50" s="14">
        <f t="shared" si="2"/>
        <v>18.030809880067252</v>
      </c>
      <c r="AM50">
        <f t="shared" si="25"/>
        <v>-3.0211480362537513E-3</v>
      </c>
      <c r="AN50" s="14">
        <f t="shared" si="12"/>
        <v>0</v>
      </c>
      <c r="AO50">
        <f t="shared" si="22"/>
        <v>0</v>
      </c>
      <c r="AP50" s="14">
        <f t="shared" si="23"/>
        <v>0</v>
      </c>
      <c r="AQ50">
        <f t="shared" si="14"/>
        <v>-1.8443128326286473E-3</v>
      </c>
      <c r="AR50">
        <f t="shared" si="15"/>
        <v>1.8443128326286473E-3</v>
      </c>
      <c r="AU50" s="14"/>
      <c r="AV50" s="19"/>
      <c r="AW50" s="19">
        <f t="shared" si="26"/>
        <v>-2.0161290322580072E-3</v>
      </c>
      <c r="AX50">
        <f t="shared" si="3"/>
        <v>1</v>
      </c>
      <c r="AY50">
        <f>IF(W50,SUMPRODUCT(INDEX(AX:AX,X50):INDEX(AX:AX,X50+Y50)),0)</f>
        <v>0</v>
      </c>
      <c r="AZ50">
        <f>IF(V50,COUNT(INDEX(AX:AX,X50):INDEX(AX:AX,ROW())),0)</f>
        <v>40</v>
      </c>
      <c r="BA50" s="14" t="str">
        <f t="shared" si="16"/>
        <v/>
      </c>
      <c r="BB50" s="6">
        <f t="shared" si="4"/>
        <v>0</v>
      </c>
      <c r="BC50" s="6">
        <f>MEDIAN(INDEX(BB:BB,X50):INDEX(BB:BB,X50+Y50-1))</f>
        <v>0</v>
      </c>
      <c r="BD50" s="25" t="str">
        <f t="shared" si="5"/>
        <v/>
      </c>
      <c r="BE50">
        <f t="shared" si="17"/>
        <v>1</v>
      </c>
      <c r="BF50" s="6">
        <f>SUM(INDEX(BE:BE,X50):INDEX(BE:BE,X50+Y50-1))</f>
        <v>15</v>
      </c>
      <c r="BG50" s="25" t="str">
        <f t="shared" si="6"/>
        <v/>
      </c>
    </row>
    <row r="51" spans="1:59" x14ac:dyDescent="0.3">
      <c r="A51" s="1">
        <v>43980</v>
      </c>
      <c r="B51">
        <v>9.9</v>
      </c>
      <c r="C51">
        <v>9.9</v>
      </c>
      <c r="D51">
        <v>9.8699999999999992</v>
      </c>
      <c r="E51">
        <v>9.8699999999999992</v>
      </c>
      <c r="F51">
        <v>109000</v>
      </c>
      <c r="G51" s="29">
        <v>1.31991228223089E-2</v>
      </c>
      <c r="H51" s="29">
        <v>1.3372971451174199E-3</v>
      </c>
      <c r="I51" s="29">
        <v>3.0395136778116599E-3</v>
      </c>
      <c r="J51" s="29">
        <v>42.352413282612098</v>
      </c>
      <c r="K51" s="29">
        <v>-1.012145748988E-3</v>
      </c>
      <c r="L51" s="29">
        <v>0</v>
      </c>
      <c r="M51" s="29">
        <v>-3.7378850807798798E-2</v>
      </c>
      <c r="N51" s="29">
        <v>3.5270228614952701E-2</v>
      </c>
      <c r="O51" s="29">
        <v>-5.0403225806452401E-3</v>
      </c>
      <c r="P51" s="29">
        <v>-3.03030303030316E-3</v>
      </c>
      <c r="Q51" s="29">
        <v>0.67361111111111105</v>
      </c>
      <c r="R51" s="30">
        <v>9323.5</v>
      </c>
      <c r="S51" s="29">
        <v>30</v>
      </c>
      <c r="T51" s="14">
        <v>280.50799999999998</v>
      </c>
      <c r="U51" s="41"/>
      <c r="V51">
        <v>41</v>
      </c>
      <c r="W51" t="b">
        <f>V51&gt;=$C$4</f>
        <v>0</v>
      </c>
      <c r="X51">
        <f>IF(V51&lt;=$C$5,11,ROW()-$C$5+1)</f>
        <v>11</v>
      </c>
      <c r="Y51" s="14">
        <f t="shared" si="0"/>
        <v>41</v>
      </c>
      <c r="Z51" s="10">
        <f t="shared" si="7"/>
        <v>3.0000000000001137E-2</v>
      </c>
      <c r="AA51" s="15">
        <f t="shared" si="8"/>
        <v>3.0395136778116655E-3</v>
      </c>
      <c r="AB51" s="15">
        <f t="shared" si="9"/>
        <v>1.319912282230898E-2</v>
      </c>
      <c r="AC51" s="10">
        <f t="shared" si="1"/>
        <v>1.3372971451174247E-3</v>
      </c>
      <c r="AD51">
        <f t="shared" si="10"/>
        <v>-3.0000000000001137E-2</v>
      </c>
      <c r="AE51">
        <f t="shared" si="18"/>
        <v>0</v>
      </c>
      <c r="AF51">
        <f t="shared" si="19"/>
        <v>3.0000000000001137E-2</v>
      </c>
      <c r="AG51">
        <f t="shared" si="27"/>
        <v>2.355999015482758E-3</v>
      </c>
      <c r="AH51">
        <f t="shared" si="27"/>
        <v>1.2853376110503301E-2</v>
      </c>
      <c r="AI51">
        <f t="shared" si="11"/>
        <v>0.18329806855628564</v>
      </c>
      <c r="AJ51">
        <f t="shared" si="20"/>
        <v>15.490439258463709</v>
      </c>
      <c r="AK51" s="14">
        <f t="shared" si="2"/>
        <v>15.490439258463709</v>
      </c>
      <c r="AM51">
        <f t="shared" si="25"/>
        <v>-1.0121457489880026E-3</v>
      </c>
      <c r="AN51" s="14">
        <f t="shared" si="12"/>
        <v>-3.0303030303031608E-3</v>
      </c>
      <c r="AO51">
        <f t="shared" si="22"/>
        <v>0</v>
      </c>
      <c r="AP51" s="14">
        <f t="shared" si="23"/>
        <v>0</v>
      </c>
      <c r="AQ51">
        <f t="shared" si="14"/>
        <v>4.4581630935713878E-3</v>
      </c>
      <c r="AR51">
        <f t="shared" si="15"/>
        <v>-7.4884661238745478E-3</v>
      </c>
      <c r="AU51" s="14"/>
      <c r="AV51" s="19"/>
      <c r="AW51" s="19">
        <f t="shared" si="26"/>
        <v>-5.0403225806452401E-3</v>
      </c>
      <c r="AX51">
        <f t="shared" si="3"/>
        <v>0</v>
      </c>
      <c r="AY51">
        <f>IF(W51,SUMPRODUCT(INDEX(AX:AX,X51):INDEX(AX:AX,X51+Y51)),0)</f>
        <v>0</v>
      </c>
      <c r="AZ51">
        <f>IF(V51,COUNT(INDEX(AX:AX,X51):INDEX(AX:AX,ROW())),0)</f>
        <v>41</v>
      </c>
      <c r="BA51" s="14" t="str">
        <f t="shared" si="16"/>
        <v/>
      </c>
      <c r="BB51" s="6">
        <f t="shared" si="4"/>
        <v>1075830</v>
      </c>
      <c r="BC51" s="6">
        <f>MEDIAN(INDEX(BB:BB,X51):INDEX(BB:BB,X51+Y51-1))</f>
        <v>0</v>
      </c>
      <c r="BD51" s="25" t="str">
        <f t="shared" si="5"/>
        <v/>
      </c>
      <c r="BE51">
        <f t="shared" si="17"/>
        <v>0</v>
      </c>
      <c r="BF51" s="6">
        <f>SUM(INDEX(BE:BE,X51):INDEX(BE:BE,X51+Y51-1))</f>
        <v>15</v>
      </c>
      <c r="BG51" s="25" t="str">
        <f t="shared" si="6"/>
        <v/>
      </c>
    </row>
    <row r="52" spans="1:59" x14ac:dyDescent="0.3">
      <c r="A52" s="1">
        <v>43983</v>
      </c>
      <c r="B52">
        <v>9.92</v>
      </c>
      <c r="C52">
        <v>9.93</v>
      </c>
      <c r="D52">
        <v>9.92</v>
      </c>
      <c r="E52">
        <v>9.93</v>
      </c>
      <c r="F52">
        <v>200600</v>
      </c>
      <c r="G52" s="29">
        <v>1.65420426207155E-2</v>
      </c>
      <c r="H52" s="29">
        <v>1.6658653193066899E-3</v>
      </c>
      <c r="I52" s="29">
        <v>6.0422960725075997E-3</v>
      </c>
      <c r="J52" s="29">
        <v>60.166095658524</v>
      </c>
      <c r="K52" s="29">
        <v>5.0607287449391204E-3</v>
      </c>
      <c r="L52" s="29">
        <v>0.2</v>
      </c>
      <c r="M52" s="29">
        <v>-1.7725381885604501E-2</v>
      </c>
      <c r="N52" s="29">
        <v>3.6208697261147102E-2</v>
      </c>
      <c r="O52" s="29">
        <v>0</v>
      </c>
      <c r="P52" s="29">
        <v>6.0790273556230404E-3</v>
      </c>
      <c r="Q52" s="29">
        <v>0.66896551724137898</v>
      </c>
      <c r="R52" s="30">
        <v>9800</v>
      </c>
      <c r="S52" s="29">
        <v>30</v>
      </c>
      <c r="T52" s="14">
        <v>281.64100000000002</v>
      </c>
      <c r="U52" s="41"/>
      <c r="V52">
        <v>42</v>
      </c>
      <c r="W52" t="b">
        <f>V52&gt;=$C$4</f>
        <v>0</v>
      </c>
      <c r="X52">
        <f>IF(V52&lt;=$C$5,11,ROW()-$C$5+1)</f>
        <v>11</v>
      </c>
      <c r="Y52" s="14">
        <f t="shared" si="0"/>
        <v>42</v>
      </c>
      <c r="Z52" s="10">
        <f t="shared" si="7"/>
        <v>6.0000000000000497E-2</v>
      </c>
      <c r="AA52" s="15">
        <f t="shared" si="8"/>
        <v>6.0422960725076032E-3</v>
      </c>
      <c r="AB52" s="15">
        <f t="shared" si="9"/>
        <v>1.6542042620715517E-2</v>
      </c>
      <c r="AC52" s="10">
        <f t="shared" si="1"/>
        <v>1.6658653193066986E-3</v>
      </c>
      <c r="AD52">
        <f t="shared" si="10"/>
        <v>6.0000000000000497E-2</v>
      </c>
      <c r="AE52">
        <f t="shared" si="18"/>
        <v>6.0000000000000497E-2</v>
      </c>
      <c r="AF52">
        <f t="shared" si="19"/>
        <v>0</v>
      </c>
      <c r="AG52">
        <f t="shared" si="27"/>
        <v>6.4734276572340254E-3</v>
      </c>
      <c r="AH52">
        <f t="shared" si="27"/>
        <v>1.1935277816895922E-2</v>
      </c>
      <c r="AI52">
        <f t="shared" si="11"/>
        <v>0.54237762677547863</v>
      </c>
      <c r="AJ52">
        <f t="shared" si="20"/>
        <v>35.165034642611019</v>
      </c>
      <c r="AK52" s="14">
        <f t="shared" si="2"/>
        <v>35.165034642611019</v>
      </c>
      <c r="AM52">
        <f t="shared" si="25"/>
        <v>5.0607287449391247E-3</v>
      </c>
      <c r="AN52" s="14">
        <f t="shared" si="12"/>
        <v>6.0790273556230456E-3</v>
      </c>
      <c r="AO52">
        <f t="shared" si="22"/>
        <v>1</v>
      </c>
      <c r="AP52" s="14">
        <f t="shared" si="23"/>
        <v>0.2</v>
      </c>
      <c r="AQ52">
        <f t="shared" si="14"/>
        <v>4.0391004891127125E-3</v>
      </c>
      <c r="AR52">
        <f t="shared" si="15"/>
        <v>2.039926866510328E-3</v>
      </c>
      <c r="AU52" s="14"/>
      <c r="AV52" s="19"/>
      <c r="AW52" s="19">
        <f t="shared" si="26"/>
        <v>0</v>
      </c>
      <c r="AX52">
        <f t="shared" si="3"/>
        <v>0</v>
      </c>
      <c r="AY52">
        <f>IF(W52,SUMPRODUCT(INDEX(AX:AX,X52):INDEX(AX:AX,X52+Y52)),0)</f>
        <v>0</v>
      </c>
      <c r="AZ52">
        <f>IF(V52,COUNT(INDEX(AX:AX,X52):INDEX(AX:AX,ROW())),0)</f>
        <v>42</v>
      </c>
      <c r="BA52" s="14" t="str">
        <f t="shared" si="16"/>
        <v/>
      </c>
      <c r="BB52" s="6">
        <f t="shared" si="4"/>
        <v>1991958</v>
      </c>
      <c r="BC52" s="6">
        <f>MEDIAN(INDEX(BB:BB,X52):INDEX(BB:BB,X52+Y52-1))</f>
        <v>0</v>
      </c>
      <c r="BD52" s="25" t="str">
        <f t="shared" si="5"/>
        <v/>
      </c>
      <c r="BE52">
        <f t="shared" si="17"/>
        <v>0</v>
      </c>
      <c r="BF52" s="6">
        <f>SUM(INDEX(BE:BE,X52):INDEX(BE:BE,X52+Y52-1))</f>
        <v>15</v>
      </c>
      <c r="BG52" s="25" t="str">
        <f t="shared" si="6"/>
        <v/>
      </c>
    </row>
    <row r="53" spans="1:59" x14ac:dyDescent="0.3">
      <c r="A53" s="1">
        <v>43984</v>
      </c>
      <c r="B53">
        <v>9.93</v>
      </c>
      <c r="C53">
        <v>9.93</v>
      </c>
      <c r="D53">
        <v>9.93</v>
      </c>
      <c r="E53">
        <v>9.93</v>
      </c>
      <c r="F53">
        <v>2300</v>
      </c>
      <c r="G53" s="29">
        <v>1.5360468147807199E-2</v>
      </c>
      <c r="H53" s="29">
        <v>1.5468749393562199E-3</v>
      </c>
      <c r="I53" s="29">
        <v>0</v>
      </c>
      <c r="J53" s="29">
        <v>60.166095658524</v>
      </c>
      <c r="K53" s="29">
        <v>1.0080645161289999E-3</v>
      </c>
      <c r="L53" s="29">
        <v>0.2</v>
      </c>
      <c r="M53" s="29">
        <v>-3.42379811440452E-2</v>
      </c>
      <c r="N53" s="29">
        <v>3.6593753713910999E-2</v>
      </c>
      <c r="O53" s="29">
        <v>0</v>
      </c>
      <c r="P53" s="29">
        <v>0</v>
      </c>
      <c r="Q53" s="29">
        <v>0.67123287671232801</v>
      </c>
      <c r="R53" s="30">
        <v>9850</v>
      </c>
      <c r="S53" s="29">
        <v>30</v>
      </c>
      <c r="T53" s="14">
        <v>283.97300000000001</v>
      </c>
      <c r="U53" s="41"/>
      <c r="V53">
        <v>43</v>
      </c>
      <c r="W53" t="b">
        <f>V53&gt;=$C$4</f>
        <v>0</v>
      </c>
      <c r="X53">
        <f>IF(V53&lt;=$C$5,11,ROW()-$C$5+1)</f>
        <v>11</v>
      </c>
      <c r="Y53" s="14">
        <f t="shared" si="0"/>
        <v>43</v>
      </c>
      <c r="Z53" s="10">
        <f t="shared" si="7"/>
        <v>0</v>
      </c>
      <c r="AA53" s="15">
        <f t="shared" si="8"/>
        <v>0</v>
      </c>
      <c r="AB53" s="15">
        <f t="shared" si="9"/>
        <v>1.5360468147807267E-2</v>
      </c>
      <c r="AC53" s="10">
        <f t="shared" si="1"/>
        <v>1.5468749393562204E-3</v>
      </c>
      <c r="AD53">
        <f t="shared" si="10"/>
        <v>0</v>
      </c>
      <c r="AE53">
        <f t="shared" si="18"/>
        <v>0</v>
      </c>
      <c r="AF53">
        <f t="shared" si="19"/>
        <v>0</v>
      </c>
      <c r="AG53">
        <f t="shared" si="27"/>
        <v>6.011039967431595E-3</v>
      </c>
      <c r="AH53">
        <f t="shared" si="27"/>
        <v>1.1082757972831926E-2</v>
      </c>
      <c r="AI53">
        <f t="shared" si="11"/>
        <v>0.54237762677547863</v>
      </c>
      <c r="AJ53">
        <f t="shared" si="20"/>
        <v>35.165034642611019</v>
      </c>
      <c r="AK53" s="14">
        <f t="shared" si="2"/>
        <v>35.165034642611019</v>
      </c>
      <c r="AM53">
        <f t="shared" si="25"/>
        <v>1.0080645161290036E-3</v>
      </c>
      <c r="AN53" s="14">
        <f t="shared" si="12"/>
        <v>0</v>
      </c>
      <c r="AO53">
        <f t="shared" si="22"/>
        <v>0</v>
      </c>
      <c r="AP53" s="14">
        <f t="shared" si="23"/>
        <v>0.2</v>
      </c>
      <c r="AQ53">
        <f t="shared" si="14"/>
        <v>8.2800444537549645E-3</v>
      </c>
      <c r="AR53">
        <f t="shared" si="15"/>
        <v>-8.2800444537549645E-3</v>
      </c>
      <c r="AU53" s="14"/>
      <c r="AV53" s="19"/>
      <c r="AW53" s="19">
        <f t="shared" si="26"/>
        <v>0</v>
      </c>
      <c r="AX53">
        <f t="shared" si="3"/>
        <v>1</v>
      </c>
      <c r="AY53">
        <f>IF(W53,SUMPRODUCT(INDEX(AX:AX,X53):INDEX(AX:AX,X53+Y53)),0)</f>
        <v>0</v>
      </c>
      <c r="AZ53">
        <f>IF(V53,COUNT(INDEX(AX:AX,X53):INDEX(AX:AX,ROW())),0)</f>
        <v>43</v>
      </c>
      <c r="BA53" s="14" t="str">
        <f t="shared" si="16"/>
        <v/>
      </c>
      <c r="BB53" s="6">
        <f t="shared" si="4"/>
        <v>22839</v>
      </c>
      <c r="BC53" s="6">
        <f>MEDIAN(INDEX(BB:BB,X53):INDEX(BB:BB,X53+Y53-1))</f>
        <v>0</v>
      </c>
      <c r="BD53" s="25" t="str">
        <f t="shared" si="5"/>
        <v/>
      </c>
      <c r="BE53">
        <f t="shared" si="17"/>
        <v>0</v>
      </c>
      <c r="BF53" s="6">
        <f>SUM(INDEX(BE:BE,X53):INDEX(BE:BE,X53+Y53-1))</f>
        <v>15</v>
      </c>
      <c r="BG53" s="25" t="str">
        <f t="shared" si="6"/>
        <v/>
      </c>
    </row>
    <row r="54" spans="1:59" x14ac:dyDescent="0.3">
      <c r="A54" s="1">
        <v>43985</v>
      </c>
      <c r="B54">
        <v>9.93</v>
      </c>
      <c r="C54">
        <v>9.93</v>
      </c>
      <c r="D54">
        <v>9.93</v>
      </c>
      <c r="E54">
        <v>9.93</v>
      </c>
      <c r="F54">
        <v>0</v>
      </c>
      <c r="G54" s="29">
        <v>1.42632918515353E-2</v>
      </c>
      <c r="H54" s="29">
        <v>1.4363838722593399E-3</v>
      </c>
      <c r="I54" s="29">
        <v>0</v>
      </c>
      <c r="J54" s="29">
        <v>60.166095658524</v>
      </c>
      <c r="K54" s="29">
        <v>1.0080645161289999E-3</v>
      </c>
      <c r="L54" s="29">
        <v>0.2</v>
      </c>
      <c r="M54" s="29">
        <v>-2.1673259034298901E-2</v>
      </c>
      <c r="N54" s="29">
        <v>3.7268131804910301E-2</v>
      </c>
      <c r="O54" s="29">
        <v>0</v>
      </c>
      <c r="P54" s="29">
        <v>0</v>
      </c>
      <c r="Q54" s="29">
        <v>0.67346938775510201</v>
      </c>
      <c r="R54" s="30">
        <v>9800</v>
      </c>
      <c r="S54" s="29">
        <v>30</v>
      </c>
      <c r="T54" s="14">
        <v>287.75299999999999</v>
      </c>
      <c r="U54" s="41"/>
      <c r="V54">
        <v>44</v>
      </c>
      <c r="W54" t="b">
        <f>V54&gt;=$C$4</f>
        <v>0</v>
      </c>
      <c r="X54">
        <f>IF(V54&lt;=$C$5,11,ROW()-$C$5+1)</f>
        <v>11</v>
      </c>
      <c r="Y54" s="14">
        <f t="shared" si="0"/>
        <v>44</v>
      </c>
      <c r="Z54" s="10">
        <f t="shared" si="7"/>
        <v>0</v>
      </c>
      <c r="AA54" s="15">
        <f t="shared" si="8"/>
        <v>0</v>
      </c>
      <c r="AB54" s="15">
        <f t="shared" si="9"/>
        <v>1.4263291851535321E-2</v>
      </c>
      <c r="AC54" s="10">
        <f t="shared" si="1"/>
        <v>1.4363838722593475E-3</v>
      </c>
      <c r="AD54">
        <f t="shared" si="10"/>
        <v>0</v>
      </c>
      <c r="AE54">
        <f t="shared" si="18"/>
        <v>0</v>
      </c>
      <c r="AF54">
        <f t="shared" si="19"/>
        <v>0</v>
      </c>
      <c r="AG54">
        <f t="shared" si="27"/>
        <v>5.5816799697579102E-3</v>
      </c>
      <c r="AH54">
        <f t="shared" si="27"/>
        <v>1.0291132403343933E-2</v>
      </c>
      <c r="AI54">
        <f t="shared" si="11"/>
        <v>0.54237762677547863</v>
      </c>
      <c r="AJ54">
        <f t="shared" si="20"/>
        <v>35.165034642611019</v>
      </c>
      <c r="AK54" s="14">
        <f t="shared" si="2"/>
        <v>35.165034642611019</v>
      </c>
      <c r="AM54">
        <f t="shared" si="25"/>
        <v>1.0080645161290036E-3</v>
      </c>
      <c r="AN54" s="14">
        <f t="shared" si="12"/>
        <v>0</v>
      </c>
      <c r="AO54">
        <f t="shared" si="22"/>
        <v>0</v>
      </c>
      <c r="AP54" s="14">
        <f t="shared" si="23"/>
        <v>0.2</v>
      </c>
      <c r="AQ54">
        <f t="shared" si="14"/>
        <v>1.3311124649174388E-2</v>
      </c>
      <c r="AR54">
        <f t="shared" si="15"/>
        <v>-1.3311124649174388E-2</v>
      </c>
      <c r="AU54" s="14"/>
      <c r="AV54" s="19"/>
      <c r="AW54" s="19">
        <f t="shared" si="26"/>
        <v>0</v>
      </c>
      <c r="AX54">
        <f t="shared" si="3"/>
        <v>1</v>
      </c>
      <c r="AY54">
        <f>IF(W54,SUMPRODUCT(INDEX(AX:AX,X54):INDEX(AX:AX,X54+Y54)),0)</f>
        <v>0</v>
      </c>
      <c r="AZ54">
        <f>IF(V54,COUNT(INDEX(AX:AX,X54):INDEX(AX:AX,ROW())),0)</f>
        <v>44</v>
      </c>
      <c r="BA54" s="14" t="str">
        <f t="shared" si="16"/>
        <v/>
      </c>
      <c r="BB54" s="6">
        <f t="shared" si="4"/>
        <v>0</v>
      </c>
      <c r="BC54" s="6">
        <f>MEDIAN(INDEX(BB:BB,X54):INDEX(BB:BB,X54+Y54-1))</f>
        <v>0</v>
      </c>
      <c r="BD54" s="25" t="str">
        <f t="shared" si="5"/>
        <v/>
      </c>
      <c r="BE54">
        <f t="shared" si="17"/>
        <v>0</v>
      </c>
      <c r="BF54" s="6">
        <f>SUM(INDEX(BE:BE,X54):INDEX(BE:BE,X54+Y54-1))</f>
        <v>15</v>
      </c>
      <c r="BG54" s="25" t="str">
        <f t="shared" si="6"/>
        <v/>
      </c>
    </row>
    <row r="55" spans="1:59" x14ac:dyDescent="0.3">
      <c r="A55" s="1">
        <v>43986</v>
      </c>
      <c r="B55">
        <v>9.93</v>
      </c>
      <c r="C55">
        <v>9.93</v>
      </c>
      <c r="D55">
        <v>9.93</v>
      </c>
      <c r="E55">
        <v>9.93</v>
      </c>
      <c r="F55">
        <v>0</v>
      </c>
      <c r="G55" s="29">
        <v>1.3244485290711301E-2</v>
      </c>
      <c r="H55" s="29">
        <v>1.3337850242408199E-3</v>
      </c>
      <c r="I55" s="29">
        <v>0</v>
      </c>
      <c r="J55" s="29">
        <v>60.166095658524</v>
      </c>
      <c r="K55" s="29">
        <v>1.0080645161289999E-3</v>
      </c>
      <c r="L55" s="29">
        <v>0.2</v>
      </c>
      <c r="M55" s="29">
        <v>-3.5225136284825501E-2</v>
      </c>
      <c r="N55" s="29">
        <v>3.7398650833781598E-2</v>
      </c>
      <c r="O55" s="29">
        <v>0</v>
      </c>
      <c r="P55" s="29">
        <v>0</v>
      </c>
      <c r="Q55" s="29">
        <v>0.67567567567567499</v>
      </c>
      <c r="R55" s="30">
        <v>9323.5</v>
      </c>
      <c r="S55" s="29">
        <v>31</v>
      </c>
      <c r="T55" s="14">
        <v>286.99700000000001</v>
      </c>
      <c r="U55" s="41"/>
      <c r="V55">
        <v>45</v>
      </c>
      <c r="W55" t="b">
        <f>V55&gt;=$C$4</f>
        <v>0</v>
      </c>
      <c r="X55">
        <f>IF(V55&lt;=$C$5,11,ROW()-$C$5+1)</f>
        <v>11</v>
      </c>
      <c r="Y55" s="14">
        <f t="shared" si="0"/>
        <v>45</v>
      </c>
      <c r="Z55" s="10">
        <f t="shared" si="7"/>
        <v>0</v>
      </c>
      <c r="AA55" s="15">
        <f t="shared" si="8"/>
        <v>0</v>
      </c>
      <c r="AB55" s="15">
        <f t="shared" si="9"/>
        <v>1.324448529071137E-2</v>
      </c>
      <c r="AC55" s="10">
        <f t="shared" si="1"/>
        <v>1.3337850242408228E-3</v>
      </c>
      <c r="AD55">
        <f t="shared" si="10"/>
        <v>0</v>
      </c>
      <c r="AE55">
        <f t="shared" si="18"/>
        <v>0</v>
      </c>
      <c r="AF55">
        <f t="shared" si="19"/>
        <v>0</v>
      </c>
      <c r="AG55">
        <f t="shared" si="27"/>
        <v>5.1829885433466311E-3</v>
      </c>
      <c r="AH55">
        <f t="shared" si="27"/>
        <v>9.5560515173907946E-3</v>
      </c>
      <c r="AI55">
        <f t="shared" si="11"/>
        <v>0.54237762677547863</v>
      </c>
      <c r="AJ55">
        <f t="shared" si="20"/>
        <v>35.165034642611019</v>
      </c>
      <c r="AK55" s="14">
        <f t="shared" si="2"/>
        <v>35.165034642611019</v>
      </c>
      <c r="AM55">
        <f t="shared" si="25"/>
        <v>1.0080645161290036E-3</v>
      </c>
      <c r="AN55" s="14">
        <f t="shared" si="12"/>
        <v>0</v>
      </c>
      <c r="AO55">
        <f t="shared" si="22"/>
        <v>0</v>
      </c>
      <c r="AP55" s="14">
        <f t="shared" si="23"/>
        <v>0.2</v>
      </c>
      <c r="AQ55">
        <f t="shared" si="14"/>
        <v>-2.6272532345448241E-3</v>
      </c>
      <c r="AR55">
        <f t="shared" si="15"/>
        <v>2.6272532345448241E-3</v>
      </c>
      <c r="AU55" s="14"/>
      <c r="AV55" s="19"/>
      <c r="AW55" s="19">
        <f t="shared" si="26"/>
        <v>0</v>
      </c>
      <c r="AX55">
        <f t="shared" si="3"/>
        <v>1</v>
      </c>
      <c r="AY55">
        <f>IF(W55,SUMPRODUCT(INDEX(AX:AX,X55):INDEX(AX:AX,X55+Y55)),0)</f>
        <v>0</v>
      </c>
      <c r="AZ55">
        <f>IF(V55,COUNT(INDEX(AX:AX,X55):INDEX(AX:AX,ROW())),0)</f>
        <v>45</v>
      </c>
      <c r="BA55" s="14" t="str">
        <f t="shared" si="16"/>
        <v/>
      </c>
      <c r="BB55" s="6">
        <f t="shared" si="4"/>
        <v>0</v>
      </c>
      <c r="BC55" s="6">
        <f>MEDIAN(INDEX(BB:BB,X55):INDEX(BB:BB,X55+Y55-1))</f>
        <v>0</v>
      </c>
      <c r="BD55" s="25" t="str">
        <f t="shared" si="5"/>
        <v/>
      </c>
      <c r="BE55">
        <f t="shared" si="17"/>
        <v>1</v>
      </c>
      <c r="BF55" s="6">
        <f>SUM(INDEX(BE:BE,X55):INDEX(BE:BE,X55+Y55-1))</f>
        <v>16</v>
      </c>
      <c r="BG55" s="25" t="str">
        <f t="shared" si="6"/>
        <v/>
      </c>
    </row>
    <row r="56" spans="1:59" x14ac:dyDescent="0.3">
      <c r="A56" s="1">
        <v>43987</v>
      </c>
      <c r="B56">
        <v>9.92</v>
      </c>
      <c r="C56">
        <v>9.92</v>
      </c>
      <c r="D56">
        <v>9.92</v>
      </c>
      <c r="E56">
        <v>9.92</v>
      </c>
      <c r="F56">
        <v>300000</v>
      </c>
      <c r="G56" s="29">
        <v>1.30127363413748E-2</v>
      </c>
      <c r="H56" s="29">
        <v>1.3117677763482599E-3</v>
      </c>
      <c r="I56" s="29">
        <v>1.0080645161290099E-3</v>
      </c>
      <c r="J56" s="29">
        <v>56.268259853477097</v>
      </c>
      <c r="K56" s="29">
        <v>6.05204760944166E-4</v>
      </c>
      <c r="L56" s="29">
        <v>0.2</v>
      </c>
      <c r="M56" s="29">
        <v>-5.47876311479037E-2</v>
      </c>
      <c r="N56" s="29">
        <v>3.7072032598048699E-2</v>
      </c>
      <c r="O56" s="29">
        <v>-1.00704934541795E-3</v>
      </c>
      <c r="P56" s="29">
        <v>-1.00704934541795E-3</v>
      </c>
      <c r="Q56" s="29">
        <v>0.67785234899328795</v>
      </c>
      <c r="R56" s="30">
        <v>9800</v>
      </c>
      <c r="S56" s="29">
        <v>31</v>
      </c>
      <c r="T56" s="14">
        <v>294.35199999999998</v>
      </c>
      <c r="U56" s="41"/>
      <c r="V56">
        <v>46</v>
      </c>
      <c r="W56" t="b">
        <f>V56&gt;=$C$4</f>
        <v>0</v>
      </c>
      <c r="X56">
        <f>IF(V56&lt;=$C$5,11,ROW()-$C$5+1)</f>
        <v>11</v>
      </c>
      <c r="Y56" s="14">
        <f t="shared" si="0"/>
        <v>46</v>
      </c>
      <c r="Z56" s="10">
        <f t="shared" si="7"/>
        <v>9.9999999999997868E-3</v>
      </c>
      <c r="AA56" s="15">
        <f t="shared" si="8"/>
        <v>1.0080645161290108E-3</v>
      </c>
      <c r="AB56" s="15">
        <f t="shared" si="9"/>
        <v>1.3012736341374828E-2</v>
      </c>
      <c r="AC56" s="10">
        <f t="shared" si="1"/>
        <v>1.311767776348269E-3</v>
      </c>
      <c r="AD56">
        <f t="shared" si="10"/>
        <v>-9.9999999999997868E-3</v>
      </c>
      <c r="AE56">
        <f t="shared" si="18"/>
        <v>0</v>
      </c>
      <c r="AF56">
        <f t="shared" si="19"/>
        <v>9.9999999999997868E-3</v>
      </c>
      <c r="AG56">
        <f t="shared" si="27"/>
        <v>4.8127750759647285E-3</v>
      </c>
      <c r="AH56">
        <f t="shared" si="27"/>
        <v>9.5877621232914358E-3</v>
      </c>
      <c r="AI56">
        <f t="shared" si="11"/>
        <v>0.50197063861994573</v>
      </c>
      <c r="AJ56">
        <f t="shared" si="20"/>
        <v>33.420802358771212</v>
      </c>
      <c r="AK56" s="14">
        <f t="shared" si="2"/>
        <v>33.420802358771212</v>
      </c>
      <c r="AM56">
        <f t="shared" si="25"/>
        <v>6.0520476094416686E-4</v>
      </c>
      <c r="AN56" s="14">
        <f t="shared" si="12"/>
        <v>-1.0070493454179541E-3</v>
      </c>
      <c r="AO56">
        <f t="shared" si="22"/>
        <v>0</v>
      </c>
      <c r="AP56" s="14">
        <f t="shared" si="23"/>
        <v>0.2</v>
      </c>
      <c r="AQ56">
        <f t="shared" si="14"/>
        <v>2.5627445583054742E-2</v>
      </c>
      <c r="AR56">
        <f t="shared" si="15"/>
        <v>-2.6634494928472693E-2</v>
      </c>
      <c r="AU56" s="14"/>
      <c r="AV56" s="19"/>
      <c r="AW56" s="19">
        <f t="shared" si="26"/>
        <v>-1.0070493454179541E-3</v>
      </c>
      <c r="AX56">
        <f t="shared" si="3"/>
        <v>1</v>
      </c>
      <c r="AY56">
        <f>IF(W56,SUMPRODUCT(INDEX(AX:AX,X56):INDEX(AX:AX,X56+Y56)),0)</f>
        <v>0</v>
      </c>
      <c r="AZ56">
        <f>IF(V56,COUNT(INDEX(AX:AX,X56):INDEX(AX:AX,ROW())),0)</f>
        <v>46</v>
      </c>
      <c r="BA56" s="14" t="str">
        <f t="shared" si="16"/>
        <v/>
      </c>
      <c r="BB56" s="6">
        <f t="shared" si="4"/>
        <v>2976000</v>
      </c>
      <c r="BC56" s="6">
        <f>MEDIAN(INDEX(BB:BB,X56):INDEX(BB:BB,X56+Y56-1))</f>
        <v>0</v>
      </c>
      <c r="BD56" s="25" t="str">
        <f t="shared" si="5"/>
        <v/>
      </c>
      <c r="BE56">
        <f t="shared" si="17"/>
        <v>0</v>
      </c>
      <c r="BF56" s="6">
        <f>SUM(INDEX(BE:BE,X56):INDEX(BE:BE,X56+Y56-1))</f>
        <v>16</v>
      </c>
      <c r="BG56" s="25" t="str">
        <f t="shared" si="6"/>
        <v/>
      </c>
    </row>
    <row r="57" spans="1:59" x14ac:dyDescent="0.3">
      <c r="A57" s="1">
        <v>43990</v>
      </c>
      <c r="B57">
        <v>9.9550000000000001</v>
      </c>
      <c r="C57">
        <v>9.9550000000000001</v>
      </c>
      <c r="D57">
        <v>9.9550000000000001</v>
      </c>
      <c r="E57">
        <v>9.9550000000000001</v>
      </c>
      <c r="F57">
        <v>100</v>
      </c>
      <c r="G57" s="29">
        <v>1.45832551741337E-2</v>
      </c>
      <c r="H57" s="29">
        <v>1.46491764682408E-3</v>
      </c>
      <c r="I57" s="29">
        <v>3.5158211953792199E-3</v>
      </c>
      <c r="J57" s="29">
        <v>64.851181846173105</v>
      </c>
      <c r="K57" s="29">
        <v>4.1355658664514704E-3</v>
      </c>
      <c r="L57" s="29">
        <v>0.2</v>
      </c>
      <c r="M57" s="29">
        <v>-9.6817581633651895E-2</v>
      </c>
      <c r="N57" s="29">
        <v>3.8255874678262101E-2</v>
      </c>
      <c r="O57" s="29">
        <v>0</v>
      </c>
      <c r="P57" s="29">
        <v>3.5282258064517299E-3</v>
      </c>
      <c r="Q57" s="29">
        <v>0.68</v>
      </c>
      <c r="R57" s="30">
        <v>9323.5</v>
      </c>
      <c r="S57" s="29">
        <v>31</v>
      </c>
      <c r="T57" s="14">
        <v>297.91000000000003</v>
      </c>
      <c r="U57" s="41"/>
      <c r="V57">
        <v>47</v>
      </c>
      <c r="W57" t="b">
        <f>V57&gt;=$C$4</f>
        <v>0</v>
      </c>
      <c r="X57">
        <f>IF(V57&lt;=$C$5,11,ROW()-$C$5+1)</f>
        <v>11</v>
      </c>
      <c r="Y57" s="14">
        <f t="shared" si="0"/>
        <v>47</v>
      </c>
      <c r="Z57" s="10">
        <f t="shared" si="7"/>
        <v>3.5000000000000142E-2</v>
      </c>
      <c r="AA57" s="15">
        <f t="shared" si="8"/>
        <v>3.5158211953792208E-3</v>
      </c>
      <c r="AB57" s="15">
        <f t="shared" si="9"/>
        <v>1.458325517413378E-2</v>
      </c>
      <c r="AC57" s="10">
        <f t="shared" si="1"/>
        <v>1.4649176468240863E-3</v>
      </c>
      <c r="AD57">
        <f t="shared" si="10"/>
        <v>3.5000000000000142E-2</v>
      </c>
      <c r="AE57">
        <f t="shared" si="18"/>
        <v>3.5000000000000142E-2</v>
      </c>
      <c r="AF57">
        <f t="shared" si="19"/>
        <v>0</v>
      </c>
      <c r="AG57">
        <f t="shared" si="27"/>
        <v>6.9690054276815433E-3</v>
      </c>
      <c r="AH57">
        <f t="shared" si="27"/>
        <v>8.902921971627762E-3</v>
      </c>
      <c r="AI57">
        <f t="shared" si="11"/>
        <v>0.78277732298347524</v>
      </c>
      <c r="AJ57">
        <f t="shared" si="20"/>
        <v>43.907745117236438</v>
      </c>
      <c r="AK57" s="14">
        <f t="shared" si="2"/>
        <v>43.907745117236438</v>
      </c>
      <c r="AM57">
        <f t="shared" si="25"/>
        <v>4.1355658664514738E-3</v>
      </c>
      <c r="AN57" s="14">
        <f t="shared" si="12"/>
        <v>3.5282258064517347E-3</v>
      </c>
      <c r="AO57">
        <f t="shared" si="22"/>
        <v>1</v>
      </c>
      <c r="AP57" s="14">
        <f t="shared" si="23"/>
        <v>0.2</v>
      </c>
      <c r="AQ57">
        <f t="shared" si="14"/>
        <v>1.2087568625319456E-2</v>
      </c>
      <c r="AR57">
        <f t="shared" si="15"/>
        <v>-8.5593428188677264E-3</v>
      </c>
      <c r="AU57" s="14"/>
      <c r="AV57" s="19"/>
      <c r="AW57" s="19">
        <f t="shared" si="26"/>
        <v>0</v>
      </c>
      <c r="AX57">
        <f t="shared" si="3"/>
        <v>1</v>
      </c>
      <c r="AY57">
        <f>IF(W57,SUMPRODUCT(INDEX(AX:AX,X57):INDEX(AX:AX,X57+Y57)),0)</f>
        <v>0</v>
      </c>
      <c r="AZ57">
        <f>IF(V57,COUNT(INDEX(AX:AX,X57):INDEX(AX:AX,ROW())),0)</f>
        <v>47</v>
      </c>
      <c r="BA57" s="14" t="str">
        <f t="shared" si="16"/>
        <v/>
      </c>
      <c r="BB57" s="6">
        <f t="shared" si="4"/>
        <v>995.5</v>
      </c>
      <c r="BC57" s="6">
        <f>MEDIAN(INDEX(BB:BB,X57):INDEX(BB:BB,X57+Y57-1))</f>
        <v>0</v>
      </c>
      <c r="BD57" s="25" t="str">
        <f t="shared" si="5"/>
        <v/>
      </c>
      <c r="BE57">
        <f t="shared" si="17"/>
        <v>0</v>
      </c>
      <c r="BF57" s="6">
        <f>SUM(INDEX(BE:BE,X57):INDEX(BE:BE,X57+Y57-1))</f>
        <v>16</v>
      </c>
      <c r="BG57" s="25" t="str">
        <f t="shared" si="6"/>
        <v/>
      </c>
    </row>
    <row r="58" spans="1:59" x14ac:dyDescent="0.3">
      <c r="A58" s="1">
        <v>43991</v>
      </c>
      <c r="B58">
        <v>9.93</v>
      </c>
      <c r="C58">
        <v>9.9499999999999993</v>
      </c>
      <c r="D58">
        <v>9.92</v>
      </c>
      <c r="E58">
        <v>9.92</v>
      </c>
      <c r="F58">
        <v>45400</v>
      </c>
      <c r="G58" s="29">
        <v>1.6041594090267002E-2</v>
      </c>
      <c r="H58" s="29">
        <v>1.61709617845434E-3</v>
      </c>
      <c r="I58" s="29">
        <v>3.5282258064516202E-3</v>
      </c>
      <c r="J58" s="29">
        <v>53.535839304820897</v>
      </c>
      <c r="K58" s="29">
        <v>2.0202020202020302E-3</v>
      </c>
      <c r="L58" s="29">
        <v>0.2</v>
      </c>
      <c r="M58" s="29">
        <v>-7.0099157058008205E-2</v>
      </c>
      <c r="N58" s="29">
        <v>4.27812267397027E-2</v>
      </c>
      <c r="O58" s="29">
        <v>-3.51582119537918E-3</v>
      </c>
      <c r="P58" s="29">
        <v>-3.51582119537918E-3</v>
      </c>
      <c r="Q58" s="29">
        <v>0.67549668874172097</v>
      </c>
      <c r="R58" s="30">
        <v>9800</v>
      </c>
      <c r="S58" s="29">
        <v>31</v>
      </c>
      <c r="T58" s="14">
        <v>295.68900000000002</v>
      </c>
      <c r="U58" s="41"/>
      <c r="V58">
        <v>48</v>
      </c>
      <c r="W58" t="b">
        <f>V58&gt;=$C$4</f>
        <v>0</v>
      </c>
      <c r="X58">
        <f>IF(V58&lt;=$C$5,11,ROW()-$C$5+1)</f>
        <v>11</v>
      </c>
      <c r="Y58" s="14">
        <f t="shared" si="0"/>
        <v>48</v>
      </c>
      <c r="Z58" s="10">
        <f t="shared" si="7"/>
        <v>3.5000000000000142E-2</v>
      </c>
      <c r="AA58" s="15">
        <f t="shared" si="8"/>
        <v>3.5282258064516271E-3</v>
      </c>
      <c r="AB58" s="15">
        <f t="shared" si="9"/>
        <v>1.6041594090267092E-2</v>
      </c>
      <c r="AC58" s="10">
        <f t="shared" si="1"/>
        <v>1.6170961784543439E-3</v>
      </c>
      <c r="AD58">
        <f t="shared" si="10"/>
        <v>-3.5000000000000142E-2</v>
      </c>
      <c r="AE58">
        <f t="shared" si="18"/>
        <v>0</v>
      </c>
      <c r="AF58">
        <f t="shared" si="19"/>
        <v>3.5000000000000142E-2</v>
      </c>
      <c r="AG58">
        <f t="shared" si="27"/>
        <v>6.4712193257042902E-3</v>
      </c>
      <c r="AH58">
        <f t="shared" si="27"/>
        <v>1.076699897365436E-2</v>
      </c>
      <c r="AI58">
        <f t="shared" si="11"/>
        <v>0.60102349238990727</v>
      </c>
      <c r="AJ58">
        <f t="shared" si="20"/>
        <v>37.539954613204152</v>
      </c>
      <c r="AK58" s="14">
        <f t="shared" si="2"/>
        <v>37.539954613204152</v>
      </c>
      <c r="AM58">
        <f t="shared" si="25"/>
        <v>2.0202020202020332E-3</v>
      </c>
      <c r="AN58" s="14">
        <f t="shared" si="12"/>
        <v>-3.5158211953791874E-3</v>
      </c>
      <c r="AO58">
        <f t="shared" si="22"/>
        <v>0</v>
      </c>
      <c r="AP58" s="14">
        <f t="shared" si="23"/>
        <v>0.2</v>
      </c>
      <c r="AQ58">
        <f t="shared" si="14"/>
        <v>-7.4552717263602908E-3</v>
      </c>
      <c r="AR58">
        <f t="shared" si="15"/>
        <v>3.9394505309811104E-3</v>
      </c>
      <c r="AU58" s="14"/>
      <c r="AV58" s="19"/>
      <c r="AW58" s="19">
        <f t="shared" si="26"/>
        <v>-3.5158211953791874E-3</v>
      </c>
      <c r="AX58">
        <f t="shared" si="3"/>
        <v>0</v>
      </c>
      <c r="AY58">
        <f>IF(W58,SUMPRODUCT(INDEX(AX:AX,X58):INDEX(AX:AX,X58+Y58)),0)</f>
        <v>0</v>
      </c>
      <c r="AZ58">
        <f>IF(V58,COUNT(INDEX(AX:AX,X58):INDEX(AX:AX,ROW())),0)</f>
        <v>48</v>
      </c>
      <c r="BA58" s="14" t="str">
        <f t="shared" si="16"/>
        <v/>
      </c>
      <c r="BB58" s="6">
        <f t="shared" si="4"/>
        <v>450368</v>
      </c>
      <c r="BC58" s="6">
        <f>MEDIAN(INDEX(BB:BB,X58):INDEX(BB:BB,X58+Y58-1))</f>
        <v>497.75</v>
      </c>
      <c r="BD58" s="25" t="str">
        <f t="shared" si="5"/>
        <v/>
      </c>
      <c r="BE58">
        <f t="shared" si="17"/>
        <v>0</v>
      </c>
      <c r="BF58" s="6">
        <f>SUM(INDEX(BE:BE,X58):INDEX(BE:BE,X58+Y58-1))</f>
        <v>16</v>
      </c>
      <c r="BG58" s="25" t="str">
        <f t="shared" si="6"/>
        <v/>
      </c>
    </row>
    <row r="59" spans="1:59" x14ac:dyDescent="0.3">
      <c r="A59" s="1">
        <v>43992</v>
      </c>
      <c r="B59">
        <v>9.93</v>
      </c>
      <c r="C59">
        <v>9.93</v>
      </c>
      <c r="D59">
        <v>9.92</v>
      </c>
      <c r="E59">
        <v>9.92</v>
      </c>
      <c r="F59">
        <v>25000</v>
      </c>
      <c r="G59" s="29">
        <v>1.5610051655248E-2</v>
      </c>
      <c r="H59" s="29">
        <v>1.5735939168596701E-3</v>
      </c>
      <c r="I59" s="29">
        <v>1.0080645161290099E-3</v>
      </c>
      <c r="J59" s="29">
        <v>53.535839304820897</v>
      </c>
      <c r="K59" s="29">
        <v>2.0202020202020302E-3</v>
      </c>
      <c r="L59" s="29">
        <v>0.2</v>
      </c>
      <c r="M59" s="29">
        <v>-9.2607310695395795E-2</v>
      </c>
      <c r="N59" s="29">
        <v>4.4365178157940999E-2</v>
      </c>
      <c r="O59" s="29">
        <v>-3.51582119537918E-3</v>
      </c>
      <c r="P59" s="29">
        <v>0</v>
      </c>
      <c r="Q59" s="29">
        <v>0.67105263157894701</v>
      </c>
      <c r="R59" s="30">
        <v>9850</v>
      </c>
      <c r="S59" s="29">
        <v>31</v>
      </c>
      <c r="T59" s="14">
        <v>294.03899999999999</v>
      </c>
      <c r="U59" s="41"/>
      <c r="V59">
        <v>49</v>
      </c>
      <c r="W59" t="b">
        <f>V59&gt;=$C$4</f>
        <v>0</v>
      </c>
      <c r="X59">
        <f>IF(V59&lt;=$C$5,11,ROW()-$C$5+1)</f>
        <v>11</v>
      </c>
      <c r="Y59" s="14">
        <f t="shared" si="0"/>
        <v>49</v>
      </c>
      <c r="Z59" s="10">
        <f t="shared" si="7"/>
        <v>9.9999999999997868E-3</v>
      </c>
      <c r="AA59" s="15">
        <f t="shared" si="8"/>
        <v>1.0080645161290108E-3</v>
      </c>
      <c r="AB59" s="15">
        <f t="shared" si="9"/>
        <v>1.5610051655247998E-2</v>
      </c>
      <c r="AC59" s="10">
        <f t="shared" si="1"/>
        <v>1.5735939168596772E-3</v>
      </c>
      <c r="AD59">
        <f t="shared" si="10"/>
        <v>0</v>
      </c>
      <c r="AE59">
        <f t="shared" si="18"/>
        <v>0</v>
      </c>
      <c r="AF59">
        <f t="shared" si="19"/>
        <v>0</v>
      </c>
      <c r="AG59">
        <f t="shared" si="27"/>
        <v>6.0089893738682698E-3</v>
      </c>
      <c r="AH59">
        <f t="shared" si="27"/>
        <v>9.997927618393335E-3</v>
      </c>
      <c r="AI59">
        <f t="shared" si="11"/>
        <v>0.60102349238990727</v>
      </c>
      <c r="AJ59">
        <f t="shared" si="20"/>
        <v>37.539954613204152</v>
      </c>
      <c r="AK59" s="14">
        <f t="shared" si="2"/>
        <v>37.539954613204152</v>
      </c>
      <c r="AM59">
        <f t="shared" si="25"/>
        <v>2.0202020202020332E-3</v>
      </c>
      <c r="AN59" s="14">
        <f t="shared" si="12"/>
        <v>0</v>
      </c>
      <c r="AO59">
        <f t="shared" si="22"/>
        <v>0</v>
      </c>
      <c r="AP59" s="14">
        <f t="shared" si="23"/>
        <v>0.2</v>
      </c>
      <c r="AQ59">
        <f t="shared" si="14"/>
        <v>-5.5801872913772144E-3</v>
      </c>
      <c r="AR59">
        <f t="shared" si="15"/>
        <v>5.5801872913772144E-3</v>
      </c>
      <c r="AU59" s="14"/>
      <c r="AV59" s="19"/>
      <c r="AW59" s="19">
        <f t="shared" si="26"/>
        <v>-3.5158211953791874E-3</v>
      </c>
      <c r="AX59">
        <f t="shared" si="3"/>
        <v>0</v>
      </c>
      <c r="AY59">
        <f>IF(W59,SUMPRODUCT(INDEX(AX:AX,X59):INDEX(AX:AX,X59+Y59)),0)</f>
        <v>0</v>
      </c>
      <c r="AZ59">
        <f>IF(V59,COUNT(INDEX(AX:AX,X59):INDEX(AX:AX,ROW())),0)</f>
        <v>49</v>
      </c>
      <c r="BA59" s="14" t="str">
        <f t="shared" si="16"/>
        <v/>
      </c>
      <c r="BB59" s="6">
        <f t="shared" si="4"/>
        <v>248000</v>
      </c>
      <c r="BC59" s="6">
        <f>MEDIAN(INDEX(BB:BB,X59):INDEX(BB:BB,X59+Y59-1))</f>
        <v>995.5</v>
      </c>
      <c r="BD59" s="25" t="str">
        <f t="shared" si="5"/>
        <v/>
      </c>
      <c r="BE59">
        <f t="shared" si="17"/>
        <v>0</v>
      </c>
      <c r="BF59" s="6">
        <f>SUM(INDEX(BE:BE,X59):INDEX(BE:BE,X59+Y59-1))</f>
        <v>16</v>
      </c>
      <c r="BG59" s="25" t="str">
        <f t="shared" si="6"/>
        <v/>
      </c>
    </row>
    <row r="60" spans="1:59" x14ac:dyDescent="0.3">
      <c r="A60" s="1">
        <v>43993</v>
      </c>
      <c r="B60">
        <v>9.92</v>
      </c>
      <c r="C60">
        <v>9.93</v>
      </c>
      <c r="D60">
        <v>9.92</v>
      </c>
      <c r="E60">
        <v>9.92</v>
      </c>
      <c r="F60">
        <v>95000</v>
      </c>
      <c r="G60" s="29">
        <v>1.5209333679873101E-2</v>
      </c>
      <c r="H60" s="29">
        <v>1.5331989596646201E-3</v>
      </c>
      <c r="I60" s="29">
        <v>1.0080645161290099E-3</v>
      </c>
      <c r="J60" s="29">
        <v>53.535839304820897</v>
      </c>
      <c r="K60" s="29">
        <v>2.0202020202020302E-3</v>
      </c>
      <c r="L60" s="29">
        <v>0.2</v>
      </c>
      <c r="M60" s="29">
        <v>-0.108864976417686</v>
      </c>
      <c r="N60" s="29">
        <v>3.0232202026259699E-2</v>
      </c>
      <c r="O60" s="29">
        <v>-3.51582119537918E-3</v>
      </c>
      <c r="P60" s="29">
        <v>0</v>
      </c>
      <c r="Q60" s="29">
        <v>0.66666666666666596</v>
      </c>
      <c r="R60" s="30">
        <v>9900</v>
      </c>
      <c r="S60" s="29">
        <v>31</v>
      </c>
      <c r="T60" s="14">
        <v>277.08800000000002</v>
      </c>
      <c r="U60" s="41"/>
      <c r="V60">
        <v>50</v>
      </c>
      <c r="W60" t="b">
        <f>V60&gt;=$C$4</f>
        <v>0</v>
      </c>
      <c r="X60">
        <f>IF(V60&lt;=$C$5,11,ROW()-$C$5+1)</f>
        <v>11</v>
      </c>
      <c r="Y60" s="14">
        <f t="shared" si="0"/>
        <v>50</v>
      </c>
      <c r="Z60" s="10">
        <f t="shared" si="7"/>
        <v>9.9999999999997868E-3</v>
      </c>
      <c r="AA60" s="15">
        <f t="shared" si="8"/>
        <v>1.0080645161290108E-3</v>
      </c>
      <c r="AB60" s="15">
        <f t="shared" si="9"/>
        <v>1.5209333679873125E-2</v>
      </c>
      <c r="AC60" s="10">
        <f t="shared" si="1"/>
        <v>1.5331989596646296E-3</v>
      </c>
      <c r="AD60">
        <f t="shared" si="10"/>
        <v>0</v>
      </c>
      <c r="AE60">
        <f t="shared" si="18"/>
        <v>0</v>
      </c>
      <c r="AF60">
        <f t="shared" si="19"/>
        <v>0</v>
      </c>
      <c r="AG60">
        <f t="shared" si="27"/>
        <v>5.5797758471633927E-3</v>
      </c>
      <c r="AH60">
        <f t="shared" si="27"/>
        <v>9.283789931365239E-3</v>
      </c>
      <c r="AI60">
        <f t="shared" si="11"/>
        <v>0.60102349238990715</v>
      </c>
      <c r="AJ60">
        <f t="shared" si="20"/>
        <v>37.539954613204152</v>
      </c>
      <c r="AK60" s="14">
        <f t="shared" si="2"/>
        <v>37.539954613204152</v>
      </c>
      <c r="AM60">
        <f t="shared" si="25"/>
        <v>2.0202020202020332E-3</v>
      </c>
      <c r="AN60" s="14">
        <f t="shared" si="12"/>
        <v>0</v>
      </c>
      <c r="AO60">
        <f t="shared" si="22"/>
        <v>0</v>
      </c>
      <c r="AP60" s="14">
        <f t="shared" si="23"/>
        <v>0.2</v>
      </c>
      <c r="AQ60">
        <f t="shared" si="14"/>
        <v>-5.764881529320931E-2</v>
      </c>
      <c r="AR60">
        <f t="shared" si="15"/>
        <v>5.764881529320931E-2</v>
      </c>
      <c r="AU60" s="14"/>
      <c r="AV60" s="19"/>
      <c r="AW60" s="19">
        <f t="shared" si="26"/>
        <v>-3.5158211953791874E-3</v>
      </c>
      <c r="AX60">
        <f t="shared" si="3"/>
        <v>0</v>
      </c>
      <c r="AY60">
        <f>IF(W60,SUMPRODUCT(INDEX(AX:AX,X60):INDEX(AX:AX,X60+Y60)),0)</f>
        <v>0</v>
      </c>
      <c r="AZ60">
        <f>IF(V60,COUNT(INDEX(AX:AX,X60):INDEX(AX:AX,ROW())),0)</f>
        <v>50</v>
      </c>
      <c r="BA60" s="14" t="str">
        <f t="shared" si="16"/>
        <v/>
      </c>
      <c r="BB60" s="6">
        <f t="shared" si="4"/>
        <v>942400</v>
      </c>
      <c r="BC60" s="6">
        <f>MEDIAN(INDEX(BB:BB,X60):INDEX(BB:BB,X60+Y60-1))</f>
        <v>1479.15</v>
      </c>
      <c r="BD60" s="25" t="str">
        <f t="shared" si="5"/>
        <v/>
      </c>
      <c r="BE60">
        <f t="shared" si="17"/>
        <v>0</v>
      </c>
      <c r="BF60" s="6">
        <f>SUM(INDEX(BE:BE,X60):INDEX(BE:BE,X60+Y60-1))</f>
        <v>16</v>
      </c>
      <c r="BG60" s="25" t="str">
        <f t="shared" si="6"/>
        <v/>
      </c>
    </row>
    <row r="61" spans="1:59" x14ac:dyDescent="0.3">
      <c r="A61" s="1">
        <v>43994</v>
      </c>
      <c r="B61">
        <v>10.01</v>
      </c>
      <c r="C61">
        <v>10.01</v>
      </c>
      <c r="D61">
        <v>9.92</v>
      </c>
      <c r="E61">
        <v>9.92</v>
      </c>
      <c r="F61">
        <v>202500</v>
      </c>
      <c r="G61" s="29">
        <v>2.05515241313107E-2</v>
      </c>
      <c r="H61" s="29">
        <v>2.0717262229143899E-3</v>
      </c>
      <c r="I61" s="29">
        <v>9.0725806451612701E-3</v>
      </c>
      <c r="J61" s="29">
        <v>53.535839304820897</v>
      </c>
      <c r="K61" s="29">
        <v>2.0202020202020302E-3</v>
      </c>
      <c r="L61" s="29">
        <v>0.2</v>
      </c>
      <c r="M61" s="29">
        <v>-7.6264363097208104E-2</v>
      </c>
      <c r="N61" s="29">
        <v>3.3399889685989601E-2</v>
      </c>
      <c r="O61" s="29">
        <v>-3.51582119537918E-3</v>
      </c>
      <c r="P61" s="29">
        <v>0</v>
      </c>
      <c r="Q61" s="29">
        <v>0.662337662337662</v>
      </c>
      <c r="R61" s="30">
        <v>11950</v>
      </c>
      <c r="S61" s="29">
        <v>31</v>
      </c>
      <c r="T61" s="14">
        <v>280.40600000000001</v>
      </c>
      <c r="U61" s="41"/>
      <c r="V61">
        <v>51</v>
      </c>
      <c r="W61" t="b">
        <f>V61&gt;=$C$4</f>
        <v>0</v>
      </c>
      <c r="X61">
        <f>IF(V61&lt;=$C$5,11,ROW()-$C$5+1)</f>
        <v>11</v>
      </c>
      <c r="Y61" s="14">
        <f t="shared" si="0"/>
        <v>51</v>
      </c>
      <c r="Z61" s="10">
        <f t="shared" si="7"/>
        <v>8.9999999999999858E-2</v>
      </c>
      <c r="AA61" s="15">
        <f t="shared" si="8"/>
        <v>9.0725806451612753E-3</v>
      </c>
      <c r="AB61" s="15">
        <f t="shared" si="9"/>
        <v>2.0551524131310752E-2</v>
      </c>
      <c r="AC61" s="10">
        <f t="shared" si="1"/>
        <v>2.0717262229143904E-3</v>
      </c>
      <c r="AD61">
        <f t="shared" si="10"/>
        <v>0</v>
      </c>
      <c r="AE61">
        <f t="shared" si="18"/>
        <v>0</v>
      </c>
      <c r="AF61">
        <f t="shared" si="19"/>
        <v>0</v>
      </c>
      <c r="AG61">
        <f t="shared" si="27"/>
        <v>5.1812204295088645E-3</v>
      </c>
      <c r="AH61">
        <f t="shared" si="27"/>
        <v>8.6206620791248641E-3</v>
      </c>
      <c r="AI61">
        <f t="shared" si="11"/>
        <v>0.60102349238990727</v>
      </c>
      <c r="AJ61">
        <f t="shared" si="20"/>
        <v>37.539954613204152</v>
      </c>
      <c r="AK61" s="14">
        <f t="shared" si="2"/>
        <v>37.539954613204152</v>
      </c>
      <c r="AM61">
        <f t="shared" si="25"/>
        <v>2.0202020202020332E-3</v>
      </c>
      <c r="AN61" s="14">
        <f t="shared" si="12"/>
        <v>0</v>
      </c>
      <c r="AO61">
        <f t="shared" si="22"/>
        <v>0</v>
      </c>
      <c r="AP61" s="14">
        <f t="shared" si="23"/>
        <v>0.2</v>
      </c>
      <c r="AQ61">
        <f t="shared" si="14"/>
        <v>1.1974535165723443E-2</v>
      </c>
      <c r="AR61">
        <f t="shared" si="15"/>
        <v>-1.1974535165723443E-2</v>
      </c>
      <c r="AU61" s="14"/>
      <c r="AV61" s="19"/>
      <c r="AW61" s="19">
        <f t="shared" si="26"/>
        <v>-3.5158211953791874E-3</v>
      </c>
      <c r="AX61">
        <f t="shared" si="3"/>
        <v>0</v>
      </c>
      <c r="AY61">
        <f>IF(W61,SUMPRODUCT(INDEX(AX:AX,X61):INDEX(AX:AX,X61+Y61)),0)</f>
        <v>0</v>
      </c>
      <c r="AZ61">
        <f>IF(V61,COUNT(INDEX(AX:AX,X61):INDEX(AX:AX,ROW())),0)</f>
        <v>51</v>
      </c>
      <c r="BA61" s="14" t="str">
        <f t="shared" si="16"/>
        <v/>
      </c>
      <c r="BB61" s="6">
        <f t="shared" si="4"/>
        <v>2008800</v>
      </c>
      <c r="BC61" s="6">
        <f>MEDIAN(INDEX(BB:BB,X61):INDEX(BB:BB,X61+Y61-1))</f>
        <v>1962.8</v>
      </c>
      <c r="BD61" s="25" t="str">
        <f t="shared" si="5"/>
        <v/>
      </c>
      <c r="BE61">
        <f t="shared" si="17"/>
        <v>0</v>
      </c>
      <c r="BF61" s="6">
        <f>SUM(INDEX(BE:BE,X61):INDEX(BE:BE,X61+Y61-1))</f>
        <v>16</v>
      </c>
      <c r="BG61" s="25" t="str">
        <f t="shared" si="6"/>
        <v/>
      </c>
    </row>
    <row r="62" spans="1:59" x14ac:dyDescent="0.3">
      <c r="A62" s="1">
        <v>43997</v>
      </c>
      <c r="B62">
        <v>9.92</v>
      </c>
      <c r="C62">
        <v>9.92</v>
      </c>
      <c r="D62">
        <v>9.92</v>
      </c>
      <c r="E62">
        <v>9.92</v>
      </c>
      <c r="F62">
        <v>200000</v>
      </c>
      <c r="G62" s="29">
        <v>1.9083558121931399E-2</v>
      </c>
      <c r="H62" s="29">
        <v>1.9237457784205001E-3</v>
      </c>
      <c r="I62" s="29">
        <v>0</v>
      </c>
      <c r="J62" s="29">
        <v>53.535839304820897</v>
      </c>
      <c r="K62" s="29">
        <v>2.0202020202020302E-3</v>
      </c>
      <c r="L62" s="29">
        <v>0</v>
      </c>
      <c r="M62" s="29">
        <v>-0.140164640227354</v>
      </c>
      <c r="N62" s="29">
        <v>-1.1187426767627399E-2</v>
      </c>
      <c r="O62" s="29">
        <v>-3.51582119537918E-3</v>
      </c>
      <c r="P62" s="29">
        <v>0</v>
      </c>
      <c r="Q62" s="29">
        <v>0.66451612903225799</v>
      </c>
      <c r="R62" s="30">
        <v>14000</v>
      </c>
      <c r="S62" s="29">
        <v>31</v>
      </c>
      <c r="T62" s="14">
        <v>283.024</v>
      </c>
      <c r="U62" s="41"/>
      <c r="V62">
        <v>52</v>
      </c>
      <c r="W62" t="b">
        <f>V62&gt;=$C$4</f>
        <v>0</v>
      </c>
      <c r="X62">
        <f>IF(V62&lt;=$C$5,11,ROW()-$C$5+1)</f>
        <v>11</v>
      </c>
      <c r="Y62" s="14">
        <f t="shared" si="0"/>
        <v>52</v>
      </c>
      <c r="Z62" s="10">
        <f t="shared" si="7"/>
        <v>0</v>
      </c>
      <c r="AA62" s="15">
        <f t="shared" si="8"/>
        <v>0</v>
      </c>
      <c r="AB62" s="15">
        <f t="shared" si="9"/>
        <v>1.9083558121931413E-2</v>
      </c>
      <c r="AC62" s="10">
        <f t="shared" si="1"/>
        <v>1.9237457784205055E-3</v>
      </c>
      <c r="AD62">
        <f t="shared" si="10"/>
        <v>0</v>
      </c>
      <c r="AE62">
        <f t="shared" si="18"/>
        <v>0</v>
      </c>
      <c r="AF62">
        <f t="shared" si="19"/>
        <v>0</v>
      </c>
      <c r="AG62">
        <f t="shared" ref="AG62:AH77" si="28">(AE62+13*AG61)/14</f>
        <v>4.811133255972517E-3</v>
      </c>
      <c r="AH62">
        <f t="shared" si="28"/>
        <v>8.0049005020445159E-3</v>
      </c>
      <c r="AI62">
        <f t="shared" si="11"/>
        <v>0.60102349238990727</v>
      </c>
      <c r="AJ62">
        <f t="shared" si="20"/>
        <v>37.539954613204152</v>
      </c>
      <c r="AK62" s="14">
        <f t="shared" si="2"/>
        <v>37.539954613204152</v>
      </c>
      <c r="AM62">
        <f t="shared" si="25"/>
        <v>2.0202020202020332E-3</v>
      </c>
      <c r="AN62" s="14">
        <f t="shared" si="12"/>
        <v>0</v>
      </c>
      <c r="AO62">
        <f t="shared" si="22"/>
        <v>0</v>
      </c>
      <c r="AP62" s="14">
        <f t="shared" si="23"/>
        <v>0</v>
      </c>
      <c r="AQ62">
        <f t="shared" si="14"/>
        <v>9.3364621299116823E-3</v>
      </c>
      <c r="AR62">
        <f t="shared" si="15"/>
        <v>-9.3364621299116823E-3</v>
      </c>
      <c r="AU62" s="14"/>
      <c r="AV62" s="19"/>
      <c r="AW62" s="19">
        <f t="shared" si="26"/>
        <v>-3.5158211953791874E-3</v>
      </c>
      <c r="AX62">
        <f t="shared" si="3"/>
        <v>1</v>
      </c>
      <c r="AY62">
        <f>IF(W62,SUMPRODUCT(INDEX(AX:AX,X62):INDEX(AX:AX,X62+Y62)),0)</f>
        <v>0</v>
      </c>
      <c r="AZ62">
        <f>IF(V62,COUNT(INDEX(AX:AX,X62):INDEX(AX:AX,ROW())),0)</f>
        <v>52</v>
      </c>
      <c r="BA62" s="14" t="str">
        <f t="shared" si="16"/>
        <v/>
      </c>
      <c r="BB62" s="6">
        <f t="shared" si="4"/>
        <v>1984000</v>
      </c>
      <c r="BC62" s="6">
        <f>MEDIAN(INDEX(BB:BB,X62):INDEX(BB:BB,X62+Y62-1))</f>
        <v>1963.4</v>
      </c>
      <c r="BD62" s="25" t="str">
        <f t="shared" si="5"/>
        <v/>
      </c>
      <c r="BE62">
        <f t="shared" si="17"/>
        <v>0</v>
      </c>
      <c r="BF62" s="6">
        <f>SUM(INDEX(BE:BE,X62):INDEX(BE:BE,X62+Y62-1))</f>
        <v>16</v>
      </c>
      <c r="BG62" s="25" t="str">
        <f t="shared" si="6"/>
        <v/>
      </c>
    </row>
    <row r="63" spans="1:59" x14ac:dyDescent="0.3">
      <c r="A63" s="1">
        <v>43998</v>
      </c>
      <c r="B63">
        <v>10</v>
      </c>
      <c r="C63">
        <v>10</v>
      </c>
      <c r="D63">
        <v>9.9700000000000006</v>
      </c>
      <c r="E63">
        <v>9.9700000000000006</v>
      </c>
      <c r="F63">
        <v>542900</v>
      </c>
      <c r="G63" s="29">
        <v>2.3434732541793402E-2</v>
      </c>
      <c r="H63" s="29">
        <v>2.35052482866534E-3</v>
      </c>
      <c r="I63" s="29">
        <v>8.0240722166499499E-3</v>
      </c>
      <c r="J63" s="29">
        <v>65.861696305433895</v>
      </c>
      <c r="K63" s="29">
        <v>7.070707070707E-3</v>
      </c>
      <c r="L63" s="29">
        <v>0.2</v>
      </c>
      <c r="M63" s="29">
        <v>-0.120231864794643</v>
      </c>
      <c r="N63" s="29">
        <v>-9.4460660906938304E-3</v>
      </c>
      <c r="O63" s="29">
        <v>0</v>
      </c>
      <c r="P63" s="29">
        <v>5.0403225806452401E-3</v>
      </c>
      <c r="Q63" s="29">
        <v>0.66025641025641002</v>
      </c>
      <c r="R63" s="30">
        <v>14350</v>
      </c>
      <c r="S63" s="29">
        <v>31</v>
      </c>
      <c r="T63" s="14">
        <v>288.47199999999998</v>
      </c>
      <c r="U63" s="41"/>
      <c r="V63">
        <v>53</v>
      </c>
      <c r="W63" t="b">
        <f>V63&gt;=$C$4</f>
        <v>0</v>
      </c>
      <c r="X63">
        <f>IF(V63&lt;=$C$5,11,ROW()-$C$5+1)</f>
        <v>11</v>
      </c>
      <c r="Y63" s="14">
        <f t="shared" si="0"/>
        <v>53</v>
      </c>
      <c r="Z63" s="10">
        <f t="shared" si="7"/>
        <v>8.0000000000000071E-2</v>
      </c>
      <c r="AA63" s="15">
        <f t="shared" si="8"/>
        <v>8.0240722166499568E-3</v>
      </c>
      <c r="AB63" s="15">
        <f t="shared" si="9"/>
        <v>2.3434732541793461E-2</v>
      </c>
      <c r="AC63" s="10">
        <f t="shared" si="1"/>
        <v>2.3505248286653417E-3</v>
      </c>
      <c r="AD63">
        <f t="shared" si="10"/>
        <v>5.0000000000000711E-2</v>
      </c>
      <c r="AE63">
        <f t="shared" si="18"/>
        <v>5.0000000000000711E-2</v>
      </c>
      <c r="AF63">
        <f t="shared" si="19"/>
        <v>0</v>
      </c>
      <c r="AG63">
        <f t="shared" si="28"/>
        <v>8.0389094519745311E-3</v>
      </c>
      <c r="AH63">
        <f t="shared" si="28"/>
        <v>7.433121894755622E-3</v>
      </c>
      <c r="AI63">
        <f t="shared" si="11"/>
        <v>1.0814984021244582</v>
      </c>
      <c r="AJ63">
        <f t="shared" si="20"/>
        <v>51.957685916099614</v>
      </c>
      <c r="AK63" s="14">
        <f t="shared" si="2"/>
        <v>51.957685916099614</v>
      </c>
      <c r="AM63">
        <f t="shared" si="25"/>
        <v>7.0707070707070052E-3</v>
      </c>
      <c r="AN63" s="14">
        <f t="shared" si="12"/>
        <v>5.0403225806452401E-3</v>
      </c>
      <c r="AO63">
        <f t="shared" si="22"/>
        <v>1</v>
      </c>
      <c r="AP63" s="14">
        <f t="shared" si="23"/>
        <v>0.2</v>
      </c>
      <c r="AQ63">
        <f t="shared" si="14"/>
        <v>1.9249250946915986E-2</v>
      </c>
      <c r="AR63">
        <f t="shared" si="15"/>
        <v>-1.4208928366270746E-2</v>
      </c>
      <c r="AU63" s="14"/>
      <c r="AV63" s="19"/>
      <c r="AW63" s="19">
        <f t="shared" si="26"/>
        <v>0</v>
      </c>
      <c r="AX63">
        <f t="shared" si="3"/>
        <v>0</v>
      </c>
      <c r="AY63">
        <f>IF(W63,SUMPRODUCT(INDEX(AX:AX,X63):INDEX(AX:AX,X63+Y63)),0)</f>
        <v>0</v>
      </c>
      <c r="AZ63">
        <f>IF(V63,COUNT(INDEX(AX:AX,X63):INDEX(AX:AX,ROW())),0)</f>
        <v>53</v>
      </c>
      <c r="BA63" s="14" t="str">
        <f t="shared" si="16"/>
        <v/>
      </c>
      <c r="BB63" s="6">
        <f t="shared" si="4"/>
        <v>5412713</v>
      </c>
      <c r="BC63" s="6">
        <f>MEDIAN(INDEX(BB:BB,X63):INDEX(BB:BB,X63+Y63-1))</f>
        <v>1964</v>
      </c>
      <c r="BD63" s="25" t="str">
        <f t="shared" si="5"/>
        <v/>
      </c>
      <c r="BE63">
        <f t="shared" si="17"/>
        <v>0</v>
      </c>
      <c r="BF63" s="6">
        <f>SUM(INDEX(BE:BE,X63):INDEX(BE:BE,X63+Y63-1))</f>
        <v>16</v>
      </c>
      <c r="BG63" s="25" t="str">
        <f t="shared" si="6"/>
        <v/>
      </c>
    </row>
    <row r="64" spans="1:59" x14ac:dyDescent="0.3">
      <c r="A64" s="1">
        <v>43999</v>
      </c>
      <c r="B64">
        <v>9.9700000000000006</v>
      </c>
      <c r="C64">
        <v>9.9700000000000006</v>
      </c>
      <c r="D64">
        <v>9.9700000000000006</v>
      </c>
      <c r="E64">
        <v>9.9700000000000006</v>
      </c>
      <c r="F64">
        <v>100</v>
      </c>
      <c r="G64" s="29">
        <v>2.1760823074522401E-2</v>
      </c>
      <c r="H64" s="29">
        <v>2.1826301980463802E-3</v>
      </c>
      <c r="I64" s="29">
        <v>0</v>
      </c>
      <c r="J64" s="29">
        <v>65.861696305433895</v>
      </c>
      <c r="K64" s="29">
        <v>7.070707070707E-3</v>
      </c>
      <c r="L64" s="29">
        <v>0.2</v>
      </c>
      <c r="M64" s="29">
        <v>-0.14649232415011099</v>
      </c>
      <c r="N64" s="29">
        <v>-2.3053151185588601E-2</v>
      </c>
      <c r="O64" s="29">
        <v>0</v>
      </c>
      <c r="P64" s="29">
        <v>0</v>
      </c>
      <c r="Q64" s="29">
        <v>0.66242038216560495</v>
      </c>
      <c r="R64" s="30">
        <v>14000</v>
      </c>
      <c r="S64" s="29">
        <v>31</v>
      </c>
      <c r="T64" s="14">
        <v>287.27300000000002</v>
      </c>
      <c r="U64" s="41"/>
      <c r="V64">
        <v>54</v>
      </c>
      <c r="W64" t="b">
        <f>V64&gt;=$C$4</f>
        <v>0</v>
      </c>
      <c r="X64">
        <f>IF(V64&lt;=$C$5,11,ROW()-$C$5+1)</f>
        <v>11</v>
      </c>
      <c r="Y64" s="14">
        <f t="shared" si="0"/>
        <v>54</v>
      </c>
      <c r="Z64" s="10">
        <f t="shared" si="7"/>
        <v>0</v>
      </c>
      <c r="AA64" s="15">
        <f t="shared" si="8"/>
        <v>0</v>
      </c>
      <c r="AB64" s="15">
        <f t="shared" si="9"/>
        <v>2.1760823074522501E-2</v>
      </c>
      <c r="AC64" s="10">
        <f t="shared" si="1"/>
        <v>2.1826301980463893E-3</v>
      </c>
      <c r="AD64">
        <f t="shared" si="10"/>
        <v>0</v>
      </c>
      <c r="AE64">
        <f t="shared" si="18"/>
        <v>0</v>
      </c>
      <c r="AF64">
        <f t="shared" si="19"/>
        <v>0</v>
      </c>
      <c r="AG64">
        <f t="shared" si="28"/>
        <v>7.4647016339763495E-3</v>
      </c>
      <c r="AH64">
        <f t="shared" si="28"/>
        <v>6.9021846165587914E-3</v>
      </c>
      <c r="AI64">
        <f t="shared" si="11"/>
        <v>1.0814984021244582</v>
      </c>
      <c r="AJ64">
        <f t="shared" si="20"/>
        <v>51.957685916099614</v>
      </c>
      <c r="AK64" s="14">
        <f t="shared" si="2"/>
        <v>51.957685916099614</v>
      </c>
      <c r="AM64">
        <f t="shared" si="25"/>
        <v>7.0707070707070052E-3</v>
      </c>
      <c r="AN64" s="14">
        <f t="shared" si="12"/>
        <v>0</v>
      </c>
      <c r="AO64">
        <f t="shared" si="22"/>
        <v>0</v>
      </c>
      <c r="AP64" s="14">
        <f t="shared" si="23"/>
        <v>0.2</v>
      </c>
      <c r="AQ64">
        <f t="shared" si="14"/>
        <v>-4.1563825951910216E-3</v>
      </c>
      <c r="AR64">
        <f t="shared" si="15"/>
        <v>4.1563825951910216E-3</v>
      </c>
      <c r="AU64" s="14"/>
      <c r="AV64" s="19"/>
      <c r="AW64" s="19">
        <f t="shared" si="26"/>
        <v>0</v>
      </c>
      <c r="AX64">
        <f t="shared" si="3"/>
        <v>1</v>
      </c>
      <c r="AY64">
        <f>IF(W64,SUMPRODUCT(INDEX(AX:AX,X64):INDEX(AX:AX,X64+Y64)),0)</f>
        <v>0</v>
      </c>
      <c r="AZ64">
        <f>IF(V64,COUNT(INDEX(AX:AX,X64):INDEX(AX:AX,ROW())),0)</f>
        <v>54</v>
      </c>
      <c r="BA64" s="14" t="str">
        <f t="shared" si="16"/>
        <v/>
      </c>
      <c r="BB64" s="6">
        <f t="shared" si="4"/>
        <v>997.00000000000011</v>
      </c>
      <c r="BC64" s="6">
        <f>MEDIAN(INDEX(BB:BB,X64):INDEX(BB:BB,X64+Y64-1))</f>
        <v>1963.4</v>
      </c>
      <c r="BD64" s="25" t="str">
        <f t="shared" si="5"/>
        <v/>
      </c>
      <c r="BE64">
        <f t="shared" si="17"/>
        <v>0</v>
      </c>
      <c r="BF64" s="6">
        <f>SUM(INDEX(BE:BE,X64):INDEX(BE:BE,X64+Y64-1))</f>
        <v>16</v>
      </c>
      <c r="BG64" s="25" t="str">
        <f t="shared" si="6"/>
        <v/>
      </c>
    </row>
    <row r="65" spans="1:59" x14ac:dyDescent="0.3">
      <c r="A65" s="1">
        <v>44000</v>
      </c>
      <c r="B65">
        <v>9.9700000000000006</v>
      </c>
      <c r="C65">
        <v>9.9700000000000006</v>
      </c>
      <c r="D65">
        <v>9.9700000000000006</v>
      </c>
      <c r="E65">
        <v>9.9700000000000006</v>
      </c>
      <c r="F65">
        <v>30200</v>
      </c>
      <c r="G65" s="29">
        <v>2.0206478569199399E-2</v>
      </c>
      <c r="H65" s="29">
        <v>2.0267280410430702E-3</v>
      </c>
      <c r="I65" s="29">
        <v>0</v>
      </c>
      <c r="J65" s="29">
        <v>65.861696305433895</v>
      </c>
      <c r="K65" s="29">
        <v>7.070707070707E-3</v>
      </c>
      <c r="L65" s="29">
        <v>0.2</v>
      </c>
      <c r="M65" s="29">
        <v>-0.144763594135491</v>
      </c>
      <c r="N65" s="29">
        <v>-2.3078036960806798E-2</v>
      </c>
      <c r="O65" s="29">
        <v>0</v>
      </c>
      <c r="P65" s="29">
        <v>0</v>
      </c>
      <c r="Q65" s="29">
        <v>0.664556962025316</v>
      </c>
      <c r="R65" s="30">
        <v>14350</v>
      </c>
      <c r="S65" s="29">
        <v>31</v>
      </c>
      <c r="T65" s="14">
        <v>287.38400000000001</v>
      </c>
      <c r="U65" s="41"/>
      <c r="V65">
        <v>55</v>
      </c>
      <c r="W65" t="b">
        <f>V65&gt;=$C$4</f>
        <v>0</v>
      </c>
      <c r="X65">
        <f>IF(V65&lt;=$C$5,11,ROW()-$C$5+1)</f>
        <v>11</v>
      </c>
      <c r="Y65" s="14">
        <f t="shared" si="0"/>
        <v>55</v>
      </c>
      <c r="Z65" s="10">
        <f t="shared" si="7"/>
        <v>0</v>
      </c>
      <c r="AA65" s="15">
        <f t="shared" si="8"/>
        <v>0</v>
      </c>
      <c r="AB65" s="15">
        <f t="shared" si="9"/>
        <v>2.0206478569199465E-2</v>
      </c>
      <c r="AC65" s="10">
        <f t="shared" si="1"/>
        <v>2.0267280410430758E-3</v>
      </c>
      <c r="AD65">
        <f t="shared" si="10"/>
        <v>0</v>
      </c>
      <c r="AE65">
        <f t="shared" si="18"/>
        <v>0</v>
      </c>
      <c r="AF65">
        <f t="shared" si="19"/>
        <v>0</v>
      </c>
      <c r="AG65">
        <f t="shared" si="28"/>
        <v>6.9315086601208966E-3</v>
      </c>
      <c r="AH65">
        <f t="shared" si="28"/>
        <v>6.409171429661735E-3</v>
      </c>
      <c r="AI65">
        <f t="shared" si="11"/>
        <v>1.0814984021244582</v>
      </c>
      <c r="AJ65">
        <f t="shared" si="20"/>
        <v>51.957685916099614</v>
      </c>
      <c r="AK65" s="14">
        <f t="shared" si="2"/>
        <v>51.957685916099614</v>
      </c>
      <c r="AM65">
        <f t="shared" si="25"/>
        <v>7.0707070707070052E-3</v>
      </c>
      <c r="AN65" s="14">
        <f t="shared" si="12"/>
        <v>0</v>
      </c>
      <c r="AO65">
        <f t="shared" si="22"/>
        <v>0</v>
      </c>
      <c r="AP65" s="14">
        <f t="shared" si="23"/>
        <v>0.2</v>
      </c>
      <c r="AQ65">
        <f t="shared" si="14"/>
        <v>3.86392038235428E-4</v>
      </c>
      <c r="AR65">
        <f t="shared" si="15"/>
        <v>-3.86392038235428E-4</v>
      </c>
      <c r="AU65" s="14"/>
      <c r="AV65" s="19"/>
      <c r="AW65" s="19">
        <f t="shared" si="26"/>
        <v>0</v>
      </c>
      <c r="AX65">
        <f t="shared" si="3"/>
        <v>1</v>
      </c>
      <c r="AY65">
        <f>IF(W65,SUMPRODUCT(INDEX(AX:AX,X65):INDEX(AX:AX,X65+Y65)),0)</f>
        <v>0</v>
      </c>
      <c r="AZ65">
        <f>IF(V65,COUNT(INDEX(AX:AX,X65):INDEX(AX:AX,ROW())),0)</f>
        <v>55</v>
      </c>
      <c r="BA65" s="14" t="str">
        <f t="shared" si="16"/>
        <v/>
      </c>
      <c r="BB65" s="6">
        <f t="shared" si="4"/>
        <v>301094</v>
      </c>
      <c r="BC65" s="6">
        <f>MEDIAN(INDEX(BB:BB,X65):INDEX(BB:BB,X65+Y65-1))</f>
        <v>1964</v>
      </c>
      <c r="BD65" s="25" t="str">
        <f t="shared" si="5"/>
        <v/>
      </c>
      <c r="BE65">
        <f t="shared" si="17"/>
        <v>0</v>
      </c>
      <c r="BF65" s="6">
        <f>SUM(INDEX(BE:BE,X65):INDEX(BE:BE,X65+Y65-1))</f>
        <v>16</v>
      </c>
      <c r="BG65" s="25" t="str">
        <f t="shared" si="6"/>
        <v/>
      </c>
    </row>
    <row r="66" spans="1:59" x14ac:dyDescent="0.3">
      <c r="A66" s="1">
        <v>44001</v>
      </c>
      <c r="B66">
        <v>9.98</v>
      </c>
      <c r="C66">
        <v>10.02</v>
      </c>
      <c r="D66">
        <v>9.98</v>
      </c>
      <c r="E66">
        <v>10.02</v>
      </c>
      <c r="F66">
        <v>100500</v>
      </c>
      <c r="G66" s="29">
        <v>2.23345872428279E-2</v>
      </c>
      <c r="H66" s="29">
        <v>2.2290007228371201E-3</v>
      </c>
      <c r="I66" s="29">
        <v>4.9900199600797302E-3</v>
      </c>
      <c r="J66" s="29">
        <v>74.357631857849796</v>
      </c>
      <c r="K66" s="29">
        <v>1.2121212121211899E-2</v>
      </c>
      <c r="L66" s="29">
        <v>0.4</v>
      </c>
      <c r="M66" s="29">
        <v>-0.16867479083148099</v>
      </c>
      <c r="N66" s="29">
        <v>-2.6806290876623898E-2</v>
      </c>
      <c r="O66" s="29">
        <v>0</v>
      </c>
      <c r="P66" s="29">
        <v>5.0150451354060701E-3</v>
      </c>
      <c r="Q66" s="29">
        <v>0.660377358490566</v>
      </c>
      <c r="R66" s="30">
        <v>14700</v>
      </c>
      <c r="S66" s="29">
        <v>31</v>
      </c>
      <c r="T66" s="14">
        <v>285.74099999999999</v>
      </c>
      <c r="U66" s="41"/>
      <c r="V66">
        <v>56</v>
      </c>
      <c r="W66" t="b">
        <f>V66&gt;=$C$4</f>
        <v>0</v>
      </c>
      <c r="X66">
        <f>IF(V66&lt;=$C$5,11,ROW()-$C$5+1)</f>
        <v>11</v>
      </c>
      <c r="Y66" s="14">
        <f t="shared" si="0"/>
        <v>56</v>
      </c>
      <c r="Z66" s="10">
        <f t="shared" si="7"/>
        <v>4.9999999999998934E-2</v>
      </c>
      <c r="AA66" s="15">
        <f t="shared" si="8"/>
        <v>4.9900199600797345E-3</v>
      </c>
      <c r="AB66" s="15">
        <f t="shared" si="9"/>
        <v>2.2334587242827997E-2</v>
      </c>
      <c r="AC66" s="10">
        <f t="shared" si="1"/>
        <v>2.2290007228371257E-3</v>
      </c>
      <c r="AD66">
        <f t="shared" si="10"/>
        <v>4.9999999999998934E-2</v>
      </c>
      <c r="AE66">
        <f t="shared" si="18"/>
        <v>4.9999999999998934E-2</v>
      </c>
      <c r="AF66">
        <f t="shared" si="19"/>
        <v>0</v>
      </c>
      <c r="AG66">
        <f t="shared" si="28"/>
        <v>1.0007829470112185E-2</v>
      </c>
      <c r="AH66">
        <f t="shared" si="28"/>
        <v>5.9513734704001826E-3</v>
      </c>
      <c r="AI66">
        <f t="shared" si="11"/>
        <v>1.6815999734997706</v>
      </c>
      <c r="AJ66">
        <f t="shared" si="20"/>
        <v>62.708830180405528</v>
      </c>
      <c r="AK66" s="14">
        <f t="shared" si="2"/>
        <v>62.708830180405528</v>
      </c>
      <c r="AM66">
        <f t="shared" si="25"/>
        <v>1.2121212121211977E-2</v>
      </c>
      <c r="AN66" s="14">
        <f t="shared" si="12"/>
        <v>5.015045135406071E-3</v>
      </c>
      <c r="AO66">
        <f t="shared" si="22"/>
        <v>1</v>
      </c>
      <c r="AP66" s="14">
        <f t="shared" si="23"/>
        <v>0.4</v>
      </c>
      <c r="AQ66">
        <f t="shared" si="14"/>
        <v>-5.717089329955849E-3</v>
      </c>
      <c r="AR66">
        <f t="shared" si="15"/>
        <v>1.073213446536192E-2</v>
      </c>
      <c r="AU66" s="14"/>
      <c r="AV66" s="19"/>
      <c r="AW66" s="19">
        <f t="shared" si="26"/>
        <v>0</v>
      </c>
      <c r="AX66">
        <f t="shared" si="3"/>
        <v>0</v>
      </c>
      <c r="AY66">
        <f>IF(W66,SUMPRODUCT(INDEX(AX:AX,X66):INDEX(AX:AX,X66+Y66)),0)</f>
        <v>0</v>
      </c>
      <c r="AZ66">
        <f>IF(V66,COUNT(INDEX(AX:AX,X66):INDEX(AX:AX,ROW())),0)</f>
        <v>56</v>
      </c>
      <c r="BA66" s="14" t="str">
        <f t="shared" si="16"/>
        <v/>
      </c>
      <c r="BB66" s="6">
        <f t="shared" si="4"/>
        <v>1007010</v>
      </c>
      <c r="BC66" s="6">
        <f>MEDIAN(INDEX(BB:BB,X66):INDEX(BB:BB,X66+Y66-1))</f>
        <v>1966</v>
      </c>
      <c r="BD66" s="25" t="str">
        <f t="shared" si="5"/>
        <v/>
      </c>
      <c r="BE66">
        <f t="shared" si="17"/>
        <v>0</v>
      </c>
      <c r="BF66" s="6">
        <f>SUM(INDEX(BE:BE,X66):INDEX(BE:BE,X66+Y66-1))</f>
        <v>16</v>
      </c>
      <c r="BG66" s="25" t="str">
        <f t="shared" si="6"/>
        <v/>
      </c>
    </row>
    <row r="67" spans="1:59" x14ac:dyDescent="0.3">
      <c r="A67" s="1">
        <v>44004</v>
      </c>
      <c r="B67">
        <v>10.02</v>
      </c>
      <c r="C67">
        <v>10.050000000000001</v>
      </c>
      <c r="D67">
        <v>10.02</v>
      </c>
      <c r="E67">
        <v>10.050000000000001</v>
      </c>
      <c r="F67">
        <v>63400</v>
      </c>
      <c r="G67" s="29">
        <v>2.2882116725483199E-2</v>
      </c>
      <c r="H67" s="29">
        <v>2.2768275348739502E-3</v>
      </c>
      <c r="I67" s="29">
        <v>2.9850746268657801E-3</v>
      </c>
      <c r="J67" s="29">
        <v>77.909879893023998</v>
      </c>
      <c r="K67" s="29">
        <v>1.51515151515151E-2</v>
      </c>
      <c r="L67" s="29">
        <v>0.6</v>
      </c>
      <c r="M67" s="29">
        <v>-0.189026779976387</v>
      </c>
      <c r="N67" s="29">
        <v>-2.8250297635202998E-2</v>
      </c>
      <c r="O67" s="29">
        <v>0</v>
      </c>
      <c r="P67" s="29">
        <v>2.99401197604809E-3</v>
      </c>
      <c r="Q67" s="29">
        <v>0.65625</v>
      </c>
      <c r="R67" s="30">
        <v>15358</v>
      </c>
      <c r="S67" s="29">
        <v>31</v>
      </c>
      <c r="T67" s="14">
        <v>287.57499999999999</v>
      </c>
      <c r="U67" s="41"/>
      <c r="V67">
        <v>57</v>
      </c>
      <c r="W67" t="b">
        <f>V67&gt;=$C$4</f>
        <v>0</v>
      </c>
      <c r="X67">
        <f>IF(V67&lt;=$C$5,11,ROW()-$C$5+1)</f>
        <v>11</v>
      </c>
      <c r="Y67" s="14">
        <f t="shared" si="0"/>
        <v>57</v>
      </c>
      <c r="Z67" s="10">
        <f t="shared" si="7"/>
        <v>3.0000000000001137E-2</v>
      </c>
      <c r="AA67" s="15">
        <f t="shared" si="8"/>
        <v>2.9850746268657844E-3</v>
      </c>
      <c r="AB67" s="15">
        <f t="shared" si="9"/>
        <v>2.288211672548322E-2</v>
      </c>
      <c r="AC67" s="10">
        <f t="shared" si="1"/>
        <v>2.2768275348739519E-3</v>
      </c>
      <c r="AD67">
        <f t="shared" si="10"/>
        <v>3.0000000000001137E-2</v>
      </c>
      <c r="AE67">
        <f t="shared" si="18"/>
        <v>3.0000000000001137E-2</v>
      </c>
      <c r="AF67">
        <f t="shared" si="19"/>
        <v>0</v>
      </c>
      <c r="AG67">
        <f t="shared" si="28"/>
        <v>1.1435841650818538E-2</v>
      </c>
      <c r="AH67">
        <f t="shared" si="28"/>
        <v>5.5262753653715982E-3</v>
      </c>
      <c r="AI67">
        <f t="shared" si="11"/>
        <v>2.0693579119269185</v>
      </c>
      <c r="AJ67">
        <f t="shared" si="20"/>
        <v>67.419895994722623</v>
      </c>
      <c r="AK67" s="14">
        <f t="shared" si="2"/>
        <v>67.419895994722623</v>
      </c>
      <c r="AM67">
        <f t="shared" si="25"/>
        <v>1.5151515151515138E-2</v>
      </c>
      <c r="AN67" s="14">
        <f t="shared" si="12"/>
        <v>2.9940119760480943E-3</v>
      </c>
      <c r="AO67">
        <f t="shared" si="22"/>
        <v>1</v>
      </c>
      <c r="AP67" s="14">
        <f t="shared" si="23"/>
        <v>0.6</v>
      </c>
      <c r="AQ67">
        <f t="shared" si="14"/>
        <v>6.4183998796112363E-3</v>
      </c>
      <c r="AR67">
        <f t="shared" si="15"/>
        <v>-3.4243879035631463E-3</v>
      </c>
      <c r="AU67" s="14"/>
      <c r="AV67" s="19"/>
      <c r="AW67" s="19">
        <f t="shared" si="26"/>
        <v>0</v>
      </c>
      <c r="AX67">
        <f t="shared" si="3"/>
        <v>0</v>
      </c>
      <c r="AY67">
        <f>IF(W67,SUMPRODUCT(INDEX(AX:AX,X67):INDEX(AX:AX,X67+Y67)),0)</f>
        <v>0</v>
      </c>
      <c r="AZ67">
        <f>IF(V67,COUNT(INDEX(AX:AX,X67):INDEX(AX:AX,ROW())),0)</f>
        <v>57</v>
      </c>
      <c r="BA67" s="14" t="str">
        <f t="shared" si="16"/>
        <v/>
      </c>
      <c r="BB67" s="6">
        <f t="shared" si="4"/>
        <v>637170</v>
      </c>
      <c r="BC67" s="6">
        <f>MEDIAN(INDEX(BB:BB,X67):INDEX(BB:BB,X67+Y67-1))</f>
        <v>1968</v>
      </c>
      <c r="BD67" s="25" t="str">
        <f t="shared" si="5"/>
        <v/>
      </c>
      <c r="BE67">
        <f t="shared" si="17"/>
        <v>0</v>
      </c>
      <c r="BF67" s="6">
        <f>SUM(INDEX(BE:BE,X67):INDEX(BE:BE,X67+Y67-1))</f>
        <v>16</v>
      </c>
      <c r="BG67" s="25" t="str">
        <f t="shared" si="6"/>
        <v/>
      </c>
    </row>
    <row r="68" spans="1:59" x14ac:dyDescent="0.3">
      <c r="A68" s="1">
        <v>44005</v>
      </c>
      <c r="B68">
        <v>10.050000000000001</v>
      </c>
      <c r="C68">
        <v>10.077999999999999</v>
      </c>
      <c r="D68">
        <v>10.050000000000001</v>
      </c>
      <c r="E68">
        <v>10.077999999999999</v>
      </c>
      <c r="F68">
        <v>88900</v>
      </c>
      <c r="G68" s="29">
        <v>2.3247679816520001E-2</v>
      </c>
      <c r="H68" s="29">
        <v>2.30677513559436E-3</v>
      </c>
      <c r="I68" s="29">
        <v>2.7783290335382702E-3</v>
      </c>
      <c r="J68" s="29">
        <v>80.609789016086793</v>
      </c>
      <c r="K68" s="29">
        <v>1.7979797979797901E-2</v>
      </c>
      <c r="L68" s="29">
        <v>0.6</v>
      </c>
      <c r="M68" s="29">
        <v>-0.151715013357376</v>
      </c>
      <c r="N68" s="29">
        <v>-7.2296282724943095E-2</v>
      </c>
      <c r="O68" s="29">
        <v>0</v>
      </c>
      <c r="P68" s="29">
        <v>2.78606965174121E-3</v>
      </c>
      <c r="Q68" s="29">
        <v>0.65217391304347805</v>
      </c>
      <c r="R68" s="30">
        <v>16016</v>
      </c>
      <c r="S68" s="29">
        <v>31</v>
      </c>
      <c r="T68" s="14">
        <v>288.89800000000002</v>
      </c>
      <c r="U68" s="41"/>
      <c r="V68">
        <v>58</v>
      </c>
      <c r="W68" t="b">
        <f>V68&gt;=$C$4</f>
        <v>0</v>
      </c>
      <c r="X68">
        <f>IF(V68&lt;=$C$5,11,ROW()-$C$5+1)</f>
        <v>11</v>
      </c>
      <c r="Y68" s="14">
        <f t="shared" si="0"/>
        <v>58</v>
      </c>
      <c r="Z68" s="10">
        <f t="shared" si="7"/>
        <v>2.7999999999998693E-2</v>
      </c>
      <c r="AA68" s="15">
        <f t="shared" si="8"/>
        <v>2.7783290335382711E-3</v>
      </c>
      <c r="AB68" s="15">
        <f t="shared" si="9"/>
        <v>2.3247679816520039E-2</v>
      </c>
      <c r="AC68" s="10">
        <f t="shared" si="1"/>
        <v>2.3067751355943678E-3</v>
      </c>
      <c r="AD68">
        <f t="shared" si="10"/>
        <v>2.7999999999998693E-2</v>
      </c>
      <c r="AE68">
        <f t="shared" si="18"/>
        <v>2.7999999999998693E-2</v>
      </c>
      <c r="AF68">
        <f t="shared" si="19"/>
        <v>0</v>
      </c>
      <c r="AG68">
        <f t="shared" si="28"/>
        <v>1.2618995818617121E-2</v>
      </c>
      <c r="AH68">
        <f t="shared" si="28"/>
        <v>5.1315414107021978E-3</v>
      </c>
      <c r="AI68">
        <f t="shared" si="11"/>
        <v>2.4591043526023779</v>
      </c>
      <c r="AJ68">
        <f t="shared" si="20"/>
        <v>71.090782524451072</v>
      </c>
      <c r="AK68" s="14">
        <f t="shared" si="2"/>
        <v>71.090782524451072</v>
      </c>
      <c r="AM68">
        <f t="shared" si="25"/>
        <v>1.7979797979797985E-2</v>
      </c>
      <c r="AN68" s="14">
        <f t="shared" si="12"/>
        <v>2.7860696517412187E-3</v>
      </c>
      <c r="AO68">
        <f t="shared" si="22"/>
        <v>1</v>
      </c>
      <c r="AP68" s="14">
        <f t="shared" si="23"/>
        <v>0.6</v>
      </c>
      <c r="AQ68">
        <f t="shared" si="14"/>
        <v>4.6005389898289284E-3</v>
      </c>
      <c r="AR68">
        <f t="shared" si="15"/>
        <v>-1.8144693380877184E-3</v>
      </c>
      <c r="AU68" s="14"/>
      <c r="AV68" s="19"/>
      <c r="AW68" s="19">
        <f t="shared" si="26"/>
        <v>0</v>
      </c>
      <c r="AX68">
        <f t="shared" si="3"/>
        <v>0</v>
      </c>
      <c r="AY68">
        <f>IF(W68,SUMPRODUCT(INDEX(AX:AX,X68):INDEX(AX:AX,X68+Y68)),0)</f>
        <v>0</v>
      </c>
      <c r="AZ68">
        <f>IF(V68,COUNT(INDEX(AX:AX,X68):INDEX(AX:AX,ROW())),0)</f>
        <v>58</v>
      </c>
      <c r="BA68" s="14" t="str">
        <f t="shared" si="16"/>
        <v/>
      </c>
      <c r="BB68" s="6">
        <f t="shared" si="4"/>
        <v>895934.2</v>
      </c>
      <c r="BC68" s="6">
        <f>MEDIAN(INDEX(BB:BB,X68):INDEX(BB:BB,X68+Y68-1))</f>
        <v>1969</v>
      </c>
      <c r="BD68" s="25" t="str">
        <f t="shared" si="5"/>
        <v/>
      </c>
      <c r="BE68">
        <f t="shared" si="17"/>
        <v>0</v>
      </c>
      <c r="BF68" s="6">
        <f>SUM(INDEX(BE:BE,X68):INDEX(BE:BE,X68+Y68-1))</f>
        <v>16</v>
      </c>
      <c r="BG68" s="25" t="str">
        <f t="shared" si="6"/>
        <v/>
      </c>
    </row>
    <row r="69" spans="1:59" x14ac:dyDescent="0.3">
      <c r="A69" s="1">
        <v>44006</v>
      </c>
      <c r="B69">
        <v>10.039999999999999</v>
      </c>
      <c r="C69">
        <v>10.039999999999999</v>
      </c>
      <c r="D69">
        <v>10.039999999999999</v>
      </c>
      <c r="E69">
        <v>10.039999999999999</v>
      </c>
      <c r="F69">
        <v>52100</v>
      </c>
      <c r="G69" s="29">
        <v>2.4301416972482899E-2</v>
      </c>
      <c r="H69" s="29">
        <v>2.4204598578170199E-3</v>
      </c>
      <c r="I69" s="29">
        <v>3.7848605577689501E-3</v>
      </c>
      <c r="J69" s="29">
        <v>68.392620552628799</v>
      </c>
      <c r="K69" s="29">
        <v>1.4141414141414E-2</v>
      </c>
      <c r="L69" s="29">
        <v>0.6</v>
      </c>
      <c r="M69" s="29">
        <v>-0.129760768179743</v>
      </c>
      <c r="N69" s="29">
        <v>-6.7986759783961098E-2</v>
      </c>
      <c r="O69" s="29">
        <v>-3.77058940265928E-3</v>
      </c>
      <c r="P69" s="29">
        <v>-3.77058940265928E-3</v>
      </c>
      <c r="Q69" s="29">
        <v>0.65432098765432101</v>
      </c>
      <c r="R69" s="30">
        <v>19427.5</v>
      </c>
      <c r="S69" s="29">
        <v>31</v>
      </c>
      <c r="T69" s="14">
        <v>281.529</v>
      </c>
      <c r="U69" s="41"/>
      <c r="V69">
        <v>59</v>
      </c>
      <c r="W69" t="b">
        <f>V69&gt;=$C$4</f>
        <v>0</v>
      </c>
      <c r="X69">
        <f>IF(V69&lt;=$C$5,11,ROW()-$C$5+1)</f>
        <v>11</v>
      </c>
      <c r="Y69" s="14">
        <f t="shared" si="0"/>
        <v>59</v>
      </c>
      <c r="Z69" s="10">
        <f t="shared" si="7"/>
        <v>3.8000000000000256E-2</v>
      </c>
      <c r="AA69" s="15">
        <f t="shared" si="8"/>
        <v>3.7848605577689501E-3</v>
      </c>
      <c r="AB69" s="15">
        <f t="shared" si="9"/>
        <v>2.4301416972482913E-2</v>
      </c>
      <c r="AC69" s="10">
        <f t="shared" si="1"/>
        <v>2.4204598578170234E-3</v>
      </c>
      <c r="AD69">
        <f t="shared" si="10"/>
        <v>-3.8000000000000256E-2</v>
      </c>
      <c r="AE69">
        <f t="shared" si="18"/>
        <v>0</v>
      </c>
      <c r="AF69">
        <f t="shared" si="19"/>
        <v>3.8000000000000256E-2</v>
      </c>
      <c r="AG69">
        <f t="shared" si="28"/>
        <v>1.1717638974430183E-2</v>
      </c>
      <c r="AH69">
        <f t="shared" si="28"/>
        <v>7.4792884527949159E-3</v>
      </c>
      <c r="AI69">
        <f t="shared" si="11"/>
        <v>1.5666783074867836</v>
      </c>
      <c r="AJ69">
        <f t="shared" si="20"/>
        <v>61.039137741450318</v>
      </c>
      <c r="AK69" s="14">
        <f t="shared" si="2"/>
        <v>61.039137741450318</v>
      </c>
      <c r="AM69">
        <f t="shared" si="25"/>
        <v>1.414141414141401E-2</v>
      </c>
      <c r="AN69" s="14">
        <f t="shared" si="12"/>
        <v>-3.7705894026592857E-3</v>
      </c>
      <c r="AO69">
        <f t="shared" si="22"/>
        <v>0</v>
      </c>
      <c r="AP69" s="14">
        <f t="shared" si="23"/>
        <v>0.6</v>
      </c>
      <c r="AQ69">
        <f t="shared" si="14"/>
        <v>-2.5507272462945485E-2</v>
      </c>
      <c r="AR69">
        <f t="shared" si="15"/>
        <v>2.1736683060286206E-2</v>
      </c>
      <c r="AU69" s="14"/>
      <c r="AV69" s="19"/>
      <c r="AW69" s="19">
        <f t="shared" si="26"/>
        <v>-3.7705894026592857E-3</v>
      </c>
      <c r="AX69">
        <f t="shared" si="3"/>
        <v>1</v>
      </c>
      <c r="AY69">
        <f>IF(W69,SUMPRODUCT(INDEX(AX:AX,X69):INDEX(AX:AX,X69+Y69)),0)</f>
        <v>0</v>
      </c>
      <c r="AZ69">
        <f>IF(V69,COUNT(INDEX(AX:AX,X69):INDEX(AX:AX,ROW())),0)</f>
        <v>59</v>
      </c>
      <c r="BA69" s="14" t="str">
        <f t="shared" si="16"/>
        <v/>
      </c>
      <c r="BB69" s="6">
        <f t="shared" si="4"/>
        <v>523083.99999999994</v>
      </c>
      <c r="BC69" s="6">
        <f>MEDIAN(INDEX(BB:BB,X69):INDEX(BB:BB,X69+Y69-1))</f>
        <v>1970</v>
      </c>
      <c r="BD69" s="25" t="str">
        <f t="shared" si="5"/>
        <v/>
      </c>
      <c r="BE69">
        <f t="shared" si="17"/>
        <v>0</v>
      </c>
      <c r="BF69" s="6">
        <f>SUM(INDEX(BE:BE,X69):INDEX(BE:BE,X69+Y69-1))</f>
        <v>16</v>
      </c>
      <c r="BG69" s="25" t="str">
        <f t="shared" si="6"/>
        <v/>
      </c>
    </row>
    <row r="70" spans="1:59" x14ac:dyDescent="0.3">
      <c r="A70" s="1">
        <v>44007</v>
      </c>
      <c r="B70">
        <v>10.039999999999999</v>
      </c>
      <c r="C70">
        <v>10.039999999999999</v>
      </c>
      <c r="D70">
        <v>10.039999999999999</v>
      </c>
      <c r="E70">
        <v>10.039999999999999</v>
      </c>
      <c r="F70">
        <v>53600</v>
      </c>
      <c r="G70" s="29">
        <v>2.2565601474448398E-2</v>
      </c>
      <c r="H70" s="29">
        <v>2.2475698679729501E-3</v>
      </c>
      <c r="I70" s="29">
        <v>0</v>
      </c>
      <c r="J70" s="29">
        <v>68.392620552628799</v>
      </c>
      <c r="K70" s="29">
        <v>1.4141414141414E-2</v>
      </c>
      <c r="L70" s="29">
        <v>0.6</v>
      </c>
      <c r="M70" s="29">
        <v>-0.10427695746709</v>
      </c>
      <c r="N70" s="29">
        <v>-8.4028150530214396E-2</v>
      </c>
      <c r="O70" s="29">
        <v>-3.77058940265928E-3</v>
      </c>
      <c r="P70" s="29">
        <v>0</v>
      </c>
      <c r="Q70" s="29">
        <v>0.65644171779141103</v>
      </c>
      <c r="R70" s="30">
        <v>22839</v>
      </c>
      <c r="S70" s="29">
        <v>31</v>
      </c>
      <c r="T70" s="14">
        <v>284.54700000000003</v>
      </c>
      <c r="U70" s="41"/>
      <c r="V70">
        <v>60</v>
      </c>
      <c r="W70" t="b">
        <f>V70&gt;=$C$4</f>
        <v>0</v>
      </c>
      <c r="X70">
        <f>IF(V70&lt;=$C$5,11,ROW()-$C$5+1)</f>
        <v>11</v>
      </c>
      <c r="Y70" s="14">
        <f t="shared" si="0"/>
        <v>60</v>
      </c>
      <c r="Z70" s="10">
        <f t="shared" si="7"/>
        <v>0</v>
      </c>
      <c r="AA70" s="15">
        <f t="shared" si="8"/>
        <v>0</v>
      </c>
      <c r="AB70" s="15">
        <f t="shared" si="9"/>
        <v>2.2565601474448419E-2</v>
      </c>
      <c r="AC70" s="10">
        <f t="shared" si="1"/>
        <v>2.2475698679729505E-3</v>
      </c>
      <c r="AD70">
        <f t="shared" si="10"/>
        <v>0</v>
      </c>
      <c r="AE70">
        <f t="shared" si="18"/>
        <v>0</v>
      </c>
      <c r="AF70">
        <f t="shared" si="19"/>
        <v>0</v>
      </c>
      <c r="AG70">
        <f t="shared" si="28"/>
        <v>1.0880664761970884E-2</v>
      </c>
      <c r="AH70">
        <f t="shared" si="28"/>
        <v>6.9450535633095644E-3</v>
      </c>
      <c r="AI70">
        <f t="shared" si="11"/>
        <v>1.5666783074867836</v>
      </c>
      <c r="AJ70">
        <f t="shared" si="20"/>
        <v>61.039137741450318</v>
      </c>
      <c r="AK70" s="14">
        <f t="shared" si="2"/>
        <v>61.039137741450318</v>
      </c>
      <c r="AM70">
        <f t="shared" si="25"/>
        <v>1.414141414141401E-2</v>
      </c>
      <c r="AN70" s="14">
        <f t="shared" si="12"/>
        <v>0</v>
      </c>
      <c r="AO70">
        <f t="shared" si="22"/>
        <v>0</v>
      </c>
      <c r="AP70" s="14">
        <f t="shared" si="23"/>
        <v>0.6</v>
      </c>
      <c r="AQ70">
        <f t="shared" si="14"/>
        <v>1.0720032394531342E-2</v>
      </c>
      <c r="AR70">
        <f t="shared" si="15"/>
        <v>-1.0720032394531342E-2</v>
      </c>
      <c r="AU70" s="14"/>
      <c r="AV70" s="19"/>
      <c r="AW70" s="19">
        <f t="shared" si="26"/>
        <v>-3.7705894026592857E-3</v>
      </c>
      <c r="AX70">
        <f t="shared" si="3"/>
        <v>1</v>
      </c>
      <c r="AY70">
        <f>IF(W70,SUMPRODUCT(INDEX(AX:AX,X70):INDEX(AX:AX,X70+Y70)),0)</f>
        <v>0</v>
      </c>
      <c r="AZ70">
        <f>IF(V70,COUNT(INDEX(AX:AX,X70):INDEX(AX:AX,ROW())),0)</f>
        <v>60</v>
      </c>
      <c r="BA70" s="14" t="str">
        <f t="shared" si="16"/>
        <v/>
      </c>
      <c r="BB70" s="6">
        <f t="shared" si="4"/>
        <v>538144</v>
      </c>
      <c r="BC70" s="6">
        <f>MEDIAN(INDEX(BB:BB,X70):INDEX(BB:BB,X70+Y70-1))</f>
        <v>1975</v>
      </c>
      <c r="BD70" s="25" t="str">
        <f t="shared" si="5"/>
        <v/>
      </c>
      <c r="BE70">
        <f t="shared" si="17"/>
        <v>0</v>
      </c>
      <c r="BF70" s="6">
        <f>SUM(INDEX(BE:BE,X70):INDEX(BE:BE,X70+Y70-1))</f>
        <v>16</v>
      </c>
      <c r="BG70" s="25" t="str">
        <f t="shared" si="6"/>
        <v/>
      </c>
    </row>
    <row r="71" spans="1:59" x14ac:dyDescent="0.3">
      <c r="A71" s="1">
        <v>44008</v>
      </c>
      <c r="B71">
        <v>10.039999999999999</v>
      </c>
      <c r="C71">
        <v>10.039999999999999</v>
      </c>
      <c r="D71">
        <v>10.039999999999999</v>
      </c>
      <c r="E71">
        <v>10.039999999999999</v>
      </c>
      <c r="F71">
        <v>0</v>
      </c>
      <c r="G71" s="29">
        <v>2.0953772797702101E-2</v>
      </c>
      <c r="H71" s="29">
        <v>2.0870291631177301E-3</v>
      </c>
      <c r="I71" s="29">
        <v>0</v>
      </c>
      <c r="J71" s="29">
        <v>68.392620552628799</v>
      </c>
      <c r="K71" s="29">
        <v>1.4141414141414E-2</v>
      </c>
      <c r="L71" s="29">
        <v>0.4</v>
      </c>
      <c r="M71" s="29">
        <v>-0.115232164013018</v>
      </c>
      <c r="N71" s="29">
        <v>-7.5893118102557305E-2</v>
      </c>
      <c r="O71" s="29">
        <v>-3.77058940265928E-3</v>
      </c>
      <c r="P71" s="29">
        <v>0</v>
      </c>
      <c r="Q71" s="29">
        <v>0.65853658536585302</v>
      </c>
      <c r="R71" s="30">
        <v>19427.5</v>
      </c>
      <c r="S71" s="29">
        <v>31</v>
      </c>
      <c r="T71" s="14">
        <v>277.78899999999999</v>
      </c>
      <c r="U71" s="41"/>
      <c r="V71">
        <v>61</v>
      </c>
      <c r="W71" t="b">
        <f>V71&gt;=$C$4</f>
        <v>0</v>
      </c>
      <c r="X71">
        <f>IF(V71&lt;=$C$5,11,ROW()-$C$5+1)</f>
        <v>11</v>
      </c>
      <c r="Y71" s="14">
        <f t="shared" si="0"/>
        <v>61</v>
      </c>
      <c r="Z71" s="10">
        <f t="shared" si="7"/>
        <v>0</v>
      </c>
      <c r="AA71" s="15">
        <f t="shared" si="8"/>
        <v>0</v>
      </c>
      <c r="AB71" s="15">
        <f t="shared" si="9"/>
        <v>2.0953772797702105E-2</v>
      </c>
      <c r="AC71" s="10">
        <f t="shared" si="1"/>
        <v>2.0870291631177396E-3</v>
      </c>
      <c r="AD71">
        <f t="shared" si="10"/>
        <v>0</v>
      </c>
      <c r="AE71">
        <f t="shared" si="18"/>
        <v>0</v>
      </c>
      <c r="AF71">
        <f t="shared" si="19"/>
        <v>0</v>
      </c>
      <c r="AG71">
        <f t="shared" si="28"/>
        <v>1.0103474421830105E-2</v>
      </c>
      <c r="AH71">
        <f t="shared" si="28"/>
        <v>6.4489783087874532E-3</v>
      </c>
      <c r="AI71">
        <f t="shared" si="11"/>
        <v>1.5666783074867832</v>
      </c>
      <c r="AJ71">
        <f t="shared" si="20"/>
        <v>61.039137741450311</v>
      </c>
      <c r="AK71" s="14">
        <f t="shared" si="2"/>
        <v>61.039137741450311</v>
      </c>
      <c r="AM71">
        <f t="shared" si="25"/>
        <v>1.414141414141401E-2</v>
      </c>
      <c r="AN71" s="14">
        <f t="shared" si="12"/>
        <v>0</v>
      </c>
      <c r="AO71">
        <f t="shared" si="22"/>
        <v>0</v>
      </c>
      <c r="AP71" s="14">
        <f t="shared" si="23"/>
        <v>0.4</v>
      </c>
      <c r="AQ71">
        <f t="shared" si="14"/>
        <v>-2.3750030750631868E-2</v>
      </c>
      <c r="AR71">
        <f t="shared" si="15"/>
        <v>2.3750030750631868E-2</v>
      </c>
      <c r="AU71" s="14"/>
      <c r="AV71" s="19"/>
      <c r="AW71" s="19">
        <f t="shared" si="26"/>
        <v>-3.7705894026592857E-3</v>
      </c>
      <c r="AX71">
        <f t="shared" si="3"/>
        <v>1</v>
      </c>
      <c r="AY71">
        <f>IF(W71,SUMPRODUCT(INDEX(AX:AX,X71):INDEX(AX:AX,X71+Y71)),0)</f>
        <v>0</v>
      </c>
      <c r="AZ71">
        <f>IF(V71,COUNT(INDEX(AX:AX,X71):INDEX(AX:AX,ROW())),0)</f>
        <v>61</v>
      </c>
      <c r="BA71" s="14" t="str">
        <f t="shared" si="16"/>
        <v/>
      </c>
      <c r="BB71" s="6">
        <f t="shared" si="4"/>
        <v>0</v>
      </c>
      <c r="BC71" s="6">
        <f>MEDIAN(INDEX(BB:BB,X71):INDEX(BB:BB,X71+Y71-1))</f>
        <v>1970</v>
      </c>
      <c r="BD71" s="25" t="str">
        <f t="shared" si="5"/>
        <v/>
      </c>
      <c r="BE71">
        <f t="shared" si="17"/>
        <v>0</v>
      </c>
      <c r="BF71" s="6">
        <f>SUM(INDEX(BE:BE,X71):INDEX(BE:BE,X71+Y71-1))</f>
        <v>16</v>
      </c>
      <c r="BG71" s="25" t="str">
        <f t="shared" si="6"/>
        <v/>
      </c>
    </row>
    <row r="72" spans="1:59" x14ac:dyDescent="0.3">
      <c r="A72" s="1">
        <v>44011</v>
      </c>
      <c r="B72">
        <v>10.045</v>
      </c>
      <c r="C72">
        <v>10.15</v>
      </c>
      <c r="D72">
        <v>10.029999999999999</v>
      </c>
      <c r="E72">
        <v>10.15</v>
      </c>
      <c r="F72">
        <v>29600</v>
      </c>
      <c r="G72" s="29">
        <v>2.8028503312151998E-2</v>
      </c>
      <c r="H72" s="29">
        <v>2.76142889774896E-3</v>
      </c>
      <c r="I72" s="29">
        <v>1.18226600985222E-2</v>
      </c>
      <c r="J72" s="29">
        <v>79.581219670227398</v>
      </c>
      <c r="K72" s="29">
        <v>2.8368794326241099E-2</v>
      </c>
      <c r="L72" s="29">
        <v>0.4</v>
      </c>
      <c r="M72" s="29">
        <v>-9.6093038661739197E-2</v>
      </c>
      <c r="N72" s="29">
        <v>-7.2462009380774406E-2</v>
      </c>
      <c r="O72" s="29">
        <v>0</v>
      </c>
      <c r="P72" s="29">
        <v>1.09561752988049E-2</v>
      </c>
      <c r="Q72" s="29">
        <v>0.65454545454545399</v>
      </c>
      <c r="R72" s="30">
        <v>22839</v>
      </c>
      <c r="S72" s="29">
        <v>31</v>
      </c>
      <c r="T72" s="14">
        <v>281.87200000000001</v>
      </c>
      <c r="U72" s="41"/>
      <c r="V72">
        <v>62</v>
      </c>
      <c r="W72" t="b">
        <f>V72&gt;=$C$4</f>
        <v>0</v>
      </c>
      <c r="X72">
        <f>IF(V72&lt;=$C$5,11,ROW()-$C$5+1)</f>
        <v>11</v>
      </c>
      <c r="Y72" s="14">
        <f t="shared" si="0"/>
        <v>62</v>
      </c>
      <c r="Z72" s="10">
        <f t="shared" si="7"/>
        <v>0.12000000000000099</v>
      </c>
      <c r="AA72" s="15">
        <f t="shared" si="8"/>
        <v>1.1822660098522265E-2</v>
      </c>
      <c r="AB72" s="15">
        <f t="shared" si="9"/>
        <v>2.8028503312152026E-2</v>
      </c>
      <c r="AC72" s="10">
        <f t="shared" si="1"/>
        <v>2.7614288977489678E-3</v>
      </c>
      <c r="AD72">
        <f t="shared" si="10"/>
        <v>0.11000000000000121</v>
      </c>
      <c r="AE72">
        <f t="shared" si="18"/>
        <v>0.11000000000000121</v>
      </c>
      <c r="AF72">
        <f t="shared" si="19"/>
        <v>0</v>
      </c>
      <c r="AG72">
        <f t="shared" si="28"/>
        <v>1.7238940534556612E-2</v>
      </c>
      <c r="AH72">
        <f t="shared" si="28"/>
        <v>5.9883370010169207E-3</v>
      </c>
      <c r="AI72">
        <f t="shared" si="11"/>
        <v>2.8787525704764358</v>
      </c>
      <c r="AJ72">
        <f t="shared" si="20"/>
        <v>74.218515313103154</v>
      </c>
      <c r="AK72" s="14">
        <f t="shared" si="2"/>
        <v>74.218515313103154</v>
      </c>
      <c r="AM72">
        <f t="shared" si="25"/>
        <v>2.8368794326241176E-2</v>
      </c>
      <c r="AN72" s="14">
        <f t="shared" si="12"/>
        <v>1.0956175298804993E-2</v>
      </c>
      <c r="AO72">
        <f t="shared" si="22"/>
        <v>1</v>
      </c>
      <c r="AP72" s="14">
        <f t="shared" si="23"/>
        <v>0.4</v>
      </c>
      <c r="AQ72">
        <f t="shared" si="14"/>
        <v>1.4698206192469865E-2</v>
      </c>
      <c r="AR72">
        <f t="shared" si="15"/>
        <v>-3.7420308936649653E-3</v>
      </c>
      <c r="AU72" s="14"/>
      <c r="AV72" s="19"/>
      <c r="AW72" s="19">
        <f t="shared" si="26"/>
        <v>0</v>
      </c>
      <c r="AX72">
        <f t="shared" si="3"/>
        <v>0</v>
      </c>
      <c r="AY72">
        <f>IF(W72,SUMPRODUCT(INDEX(AX:AX,X72):INDEX(AX:AX,X72+Y72)),0)</f>
        <v>0</v>
      </c>
      <c r="AZ72">
        <f>IF(V72,COUNT(INDEX(AX:AX,X72):INDEX(AX:AX,ROW())),0)</f>
        <v>62</v>
      </c>
      <c r="BA72" s="14" t="str">
        <f t="shared" si="16"/>
        <v/>
      </c>
      <c r="BB72" s="6">
        <f t="shared" si="4"/>
        <v>300440</v>
      </c>
      <c r="BC72" s="6">
        <f>MEDIAN(INDEX(BB:BB,X72):INDEX(BB:BB,X72+Y72-1))</f>
        <v>1975</v>
      </c>
      <c r="BD72" s="25" t="str">
        <f t="shared" si="5"/>
        <v/>
      </c>
      <c r="BE72">
        <f t="shared" si="17"/>
        <v>0</v>
      </c>
      <c r="BF72" s="6">
        <f>SUM(INDEX(BE:BE,X72):INDEX(BE:BE,X72+Y72-1))</f>
        <v>16</v>
      </c>
      <c r="BG72" s="25" t="str">
        <f t="shared" si="6"/>
        <v/>
      </c>
    </row>
    <row r="73" spans="1:59" x14ac:dyDescent="0.3">
      <c r="A73" s="1">
        <v>44012</v>
      </c>
      <c r="B73">
        <v>10.1</v>
      </c>
      <c r="C73">
        <v>10.119999999999999</v>
      </c>
      <c r="D73">
        <v>10.07</v>
      </c>
      <c r="E73">
        <v>10.08</v>
      </c>
      <c r="F73">
        <v>105100</v>
      </c>
      <c r="G73" s="29">
        <v>3.17407530755697E-2</v>
      </c>
      <c r="H73" s="29">
        <v>3.1488842336874702E-3</v>
      </c>
      <c r="I73" s="29">
        <v>7.9365079365079395E-3</v>
      </c>
      <c r="J73" s="29">
        <v>64.044506586752206</v>
      </c>
      <c r="K73" s="29">
        <v>1.51057401812688E-2</v>
      </c>
      <c r="L73" s="29">
        <v>0.2</v>
      </c>
      <c r="M73" s="29">
        <v>-0.118831117239492</v>
      </c>
      <c r="N73" s="29">
        <v>-7.8888089708633702E-2</v>
      </c>
      <c r="O73" s="29">
        <v>-6.8965517241379396E-3</v>
      </c>
      <c r="P73" s="29">
        <v>-6.8965517241379396E-3</v>
      </c>
      <c r="Q73" s="29">
        <v>0.65060240963855398</v>
      </c>
      <c r="R73" s="30">
        <v>25237.5</v>
      </c>
      <c r="S73" s="29">
        <v>31</v>
      </c>
      <c r="T73" s="14">
        <v>285.48200000000003</v>
      </c>
      <c r="U73" s="41"/>
      <c r="V73">
        <v>63</v>
      </c>
      <c r="W73" t="b">
        <f>V73&gt;=$C$4</f>
        <v>0</v>
      </c>
      <c r="X73">
        <f>IF(V73&lt;=$C$5,11,ROW()-$C$5+1)</f>
        <v>11</v>
      </c>
      <c r="Y73" s="14">
        <f t="shared" si="0"/>
        <v>63</v>
      </c>
      <c r="Z73" s="10">
        <f t="shared" si="7"/>
        <v>8.0000000000000071E-2</v>
      </c>
      <c r="AA73" s="15">
        <f t="shared" si="8"/>
        <v>7.936507936507943E-3</v>
      </c>
      <c r="AB73" s="15">
        <f t="shared" si="9"/>
        <v>3.1740753075569741E-2</v>
      </c>
      <c r="AC73" s="10">
        <f t="shared" si="1"/>
        <v>3.1488842336874741E-3</v>
      </c>
      <c r="AD73">
        <f t="shared" si="10"/>
        <v>-7.0000000000000284E-2</v>
      </c>
      <c r="AE73">
        <f t="shared" si="18"/>
        <v>0</v>
      </c>
      <c r="AF73">
        <f t="shared" si="19"/>
        <v>7.0000000000000284E-2</v>
      </c>
      <c r="AG73">
        <f t="shared" si="28"/>
        <v>1.600758763923114E-2</v>
      </c>
      <c r="AH73">
        <f t="shared" si="28"/>
        <v>1.0560598643801447E-2</v>
      </c>
      <c r="AI73">
        <f t="shared" si="11"/>
        <v>1.515784112165536</v>
      </c>
      <c r="AJ73">
        <f t="shared" si="20"/>
        <v>60.250961314036587</v>
      </c>
      <c r="AK73" s="14">
        <f t="shared" si="2"/>
        <v>60.250961314036587</v>
      </c>
      <c r="AM73">
        <f t="shared" si="25"/>
        <v>1.5105740181268867E-2</v>
      </c>
      <c r="AN73" s="14">
        <f t="shared" si="12"/>
        <v>-6.8965517241379448E-3</v>
      </c>
      <c r="AO73">
        <f t="shared" si="22"/>
        <v>0</v>
      </c>
      <c r="AP73" s="14">
        <f t="shared" si="23"/>
        <v>0.2</v>
      </c>
      <c r="AQ73">
        <f t="shared" si="14"/>
        <v>1.2807231651245976E-2</v>
      </c>
      <c r="AR73">
        <f t="shared" si="15"/>
        <v>-1.9703783375383914E-2</v>
      </c>
      <c r="AU73" s="14"/>
      <c r="AV73" s="19"/>
      <c r="AW73" s="19">
        <f t="shared" si="26"/>
        <v>-6.8965517241379448E-3</v>
      </c>
      <c r="AX73">
        <f t="shared" si="3"/>
        <v>0</v>
      </c>
      <c r="AY73">
        <f>IF(W73,SUMPRODUCT(INDEX(AX:AX,X73):INDEX(AX:AX,X73+Y73)),0)</f>
        <v>0</v>
      </c>
      <c r="AZ73">
        <f>IF(V73,COUNT(INDEX(AX:AX,X73):INDEX(AX:AX,ROW())),0)</f>
        <v>63</v>
      </c>
      <c r="BA73" s="14" t="str">
        <f t="shared" si="16"/>
        <v/>
      </c>
      <c r="BB73" s="6">
        <f t="shared" si="4"/>
        <v>1059408</v>
      </c>
      <c r="BC73" s="6">
        <f>MEDIAN(INDEX(BB:BB,X73):INDEX(BB:BB,X73+Y73-1))</f>
        <v>1980</v>
      </c>
      <c r="BD73" s="25" t="str">
        <f t="shared" si="5"/>
        <v/>
      </c>
      <c r="BE73">
        <f t="shared" si="17"/>
        <v>0</v>
      </c>
      <c r="BF73" s="6">
        <f>SUM(INDEX(BE:BE,X73):INDEX(BE:BE,X73+Y73-1))</f>
        <v>16</v>
      </c>
      <c r="BG73" s="25" t="str">
        <f t="shared" si="6"/>
        <v/>
      </c>
    </row>
    <row r="74" spans="1:59" x14ac:dyDescent="0.3">
      <c r="A74" s="1">
        <v>44013</v>
      </c>
      <c r="B74">
        <v>10.081</v>
      </c>
      <c r="C74">
        <v>10.15</v>
      </c>
      <c r="D74">
        <v>10.08</v>
      </c>
      <c r="E74">
        <v>10.15</v>
      </c>
      <c r="F74">
        <v>3100</v>
      </c>
      <c r="G74" s="29">
        <v>3.44735564273147E-2</v>
      </c>
      <c r="H74" s="29">
        <v>3.3964095002280499E-3</v>
      </c>
      <c r="I74" s="29">
        <v>6.89655172413795E-3</v>
      </c>
      <c r="J74" s="29">
        <v>70.290821565552093</v>
      </c>
      <c r="K74" s="29">
        <v>2.21550855991943E-2</v>
      </c>
      <c r="L74" s="29">
        <v>0.4</v>
      </c>
      <c r="M74" s="29">
        <v>-0.20020433042857699</v>
      </c>
      <c r="N74" s="29">
        <v>-1.10682001407878E-2</v>
      </c>
      <c r="O74" s="29">
        <v>0</v>
      </c>
      <c r="P74" s="29">
        <v>6.9444444444444198E-3</v>
      </c>
      <c r="Q74" s="29">
        <v>0.64670658682634696</v>
      </c>
      <c r="R74" s="30">
        <v>27635.999999999902</v>
      </c>
      <c r="S74" s="29">
        <v>31</v>
      </c>
      <c r="T74" s="14">
        <v>287.48200000000003</v>
      </c>
      <c r="U74" s="41"/>
      <c r="V74">
        <v>64</v>
      </c>
      <c r="W74" t="b">
        <f>V74&gt;=$C$4</f>
        <v>0</v>
      </c>
      <c r="X74">
        <f>IF(V74&lt;=$C$5,11,ROW()-$C$5+1)</f>
        <v>11</v>
      </c>
      <c r="Y74" s="14">
        <f t="shared" si="0"/>
        <v>64</v>
      </c>
      <c r="Z74" s="10">
        <f t="shared" si="7"/>
        <v>7.0000000000000284E-2</v>
      </c>
      <c r="AA74" s="15">
        <f t="shared" si="8"/>
        <v>6.8965517241379587E-3</v>
      </c>
      <c r="AB74" s="15">
        <f t="shared" si="9"/>
        <v>3.4473556427314776E-2</v>
      </c>
      <c r="AC74" s="10">
        <f t="shared" si="1"/>
        <v>3.3964095002280569E-3</v>
      </c>
      <c r="AD74">
        <f t="shared" si="10"/>
        <v>7.0000000000000284E-2</v>
      </c>
      <c r="AE74">
        <f t="shared" si="18"/>
        <v>7.0000000000000284E-2</v>
      </c>
      <c r="AF74">
        <f t="shared" si="19"/>
        <v>0</v>
      </c>
      <c r="AG74">
        <f t="shared" si="28"/>
        <v>1.9864188522143222E-2</v>
      </c>
      <c r="AH74">
        <f t="shared" si="28"/>
        <v>9.8062701692441991E-3</v>
      </c>
      <c r="AI74">
        <f t="shared" si="11"/>
        <v>2.0256619672221636</v>
      </c>
      <c r="AJ74">
        <f t="shared" si="20"/>
        <v>66.949381297934877</v>
      </c>
      <c r="AK74" s="14">
        <f t="shared" si="2"/>
        <v>66.949381297934877</v>
      </c>
      <c r="AM74">
        <f t="shared" si="25"/>
        <v>2.2155085599194324E-2</v>
      </c>
      <c r="AN74" s="14">
        <f t="shared" si="12"/>
        <v>6.9444444444444198E-3</v>
      </c>
      <c r="AO74">
        <f t="shared" si="22"/>
        <v>1</v>
      </c>
      <c r="AP74" s="14">
        <f t="shared" si="23"/>
        <v>0.4</v>
      </c>
      <c r="AQ74">
        <f t="shared" si="14"/>
        <v>7.0056956305475371E-3</v>
      </c>
      <c r="AR74">
        <f t="shared" si="15"/>
        <v>-6.1251186103117305E-5</v>
      </c>
      <c r="AS74">
        <f t="shared" ref="AS74:AS137" si="29">AVERAGE(AR12:AR74)</f>
        <v>-3.8497347680742939E-3</v>
      </c>
      <c r="AT74">
        <f t="shared" ref="AT74:AT137" si="30">_xlfn.STDEV.S(AR12:AR74)</f>
        <v>1.9229028462237382E-2</v>
      </c>
      <c r="AU74" s="14">
        <f>AS74/AT74</f>
        <v>-0.20020433042857746</v>
      </c>
      <c r="AV74" s="19">
        <f t="shared" ref="AV74:AV137" si="31">_xlfn.COVARIANCE.S(P12:P74,AQ12:AQ74)/_xlfn.VAR.S(AQ12:AQ74)</f>
        <v>-1.1068200140787913E-2</v>
      </c>
      <c r="AW74" s="19">
        <f t="shared" si="26"/>
        <v>0</v>
      </c>
      <c r="AX74">
        <f t="shared" si="3"/>
        <v>0</v>
      </c>
      <c r="AY74">
        <f>IF(W74,SUMPRODUCT(INDEX(AX:AX,X74):INDEX(AX:AX,X74+Y74)),0)</f>
        <v>0</v>
      </c>
      <c r="AZ74">
        <f>IF(V74,COUNT(INDEX(AX:AX,X74):INDEX(AX:AX,ROW())),0)</f>
        <v>64</v>
      </c>
      <c r="BA74" s="14" t="str">
        <f t="shared" si="16"/>
        <v/>
      </c>
      <c r="BB74" s="6">
        <f t="shared" si="4"/>
        <v>31465</v>
      </c>
      <c r="BC74" s="6">
        <f>MEDIAN(INDEX(BB:BB,X74):INDEX(BB:BB,X74+Y74-1))</f>
        <v>3457.5</v>
      </c>
      <c r="BD74" s="25" t="str">
        <f t="shared" si="5"/>
        <v/>
      </c>
      <c r="BE74">
        <f t="shared" si="17"/>
        <v>0</v>
      </c>
      <c r="BF74" s="6">
        <f>SUM(INDEX(BE:BE,X74):INDEX(BE:BE,X74+Y74-1))</f>
        <v>16</v>
      </c>
      <c r="BG74" s="25" t="str">
        <f t="shared" si="6"/>
        <v/>
      </c>
    </row>
    <row r="75" spans="1:59" x14ac:dyDescent="0.3">
      <c r="A75" s="1">
        <v>44014</v>
      </c>
      <c r="B75">
        <v>10.09</v>
      </c>
      <c r="C75">
        <v>10.220000000000001</v>
      </c>
      <c r="D75">
        <v>10.09</v>
      </c>
      <c r="E75">
        <v>10.220000000000001</v>
      </c>
      <c r="F75">
        <v>34000</v>
      </c>
      <c r="G75" s="29">
        <v>4.1296873825363699E-2</v>
      </c>
      <c r="H75" s="29">
        <v>4.0407900024817698E-3</v>
      </c>
      <c r="I75" s="29">
        <v>1.2720156555773E-2</v>
      </c>
      <c r="J75" s="29">
        <v>74.973037636700198</v>
      </c>
      <c r="K75" s="29">
        <v>2.9204431017119999E-2</v>
      </c>
      <c r="L75" s="29">
        <v>0.6</v>
      </c>
      <c r="M75" s="29">
        <v>-0.17215378051305999</v>
      </c>
      <c r="N75" s="29">
        <v>3.01497537117193E-3</v>
      </c>
      <c r="O75" s="29">
        <v>0</v>
      </c>
      <c r="P75" s="29">
        <v>6.8965517241379396E-3</v>
      </c>
      <c r="Q75" s="29">
        <v>0.64285714285714202</v>
      </c>
      <c r="R75" s="30">
        <v>28668</v>
      </c>
      <c r="S75" s="29">
        <v>31</v>
      </c>
      <c r="T75" s="14">
        <v>289.065</v>
      </c>
      <c r="U75" s="41"/>
      <c r="V75">
        <v>65</v>
      </c>
      <c r="W75" t="b">
        <f>V75&gt;=$C$4</f>
        <v>0</v>
      </c>
      <c r="X75">
        <f>IF(V75&lt;=$C$5,11,ROW()-$C$5+1)</f>
        <v>11</v>
      </c>
      <c r="Y75" s="14">
        <f t="shared" ref="Y75:Y138" si="32">ROW()-X75+1</f>
        <v>65</v>
      </c>
      <c r="Z75" s="10">
        <f t="shared" si="7"/>
        <v>0.13000000000000078</v>
      </c>
      <c r="AA75" s="15">
        <f t="shared" si="8"/>
        <v>1.272015655577307E-2</v>
      </c>
      <c r="AB75" s="15">
        <f t="shared" si="9"/>
        <v>4.1296873825363782E-2</v>
      </c>
      <c r="AC75" s="10">
        <f t="shared" ref="AC75:AC138" si="33">AB75/E75</f>
        <v>4.0407900024817785E-3</v>
      </c>
      <c r="AD75">
        <f t="shared" si="10"/>
        <v>7.0000000000000284E-2</v>
      </c>
      <c r="AE75">
        <f t="shared" si="18"/>
        <v>7.0000000000000284E-2</v>
      </c>
      <c r="AF75">
        <f t="shared" si="19"/>
        <v>0</v>
      </c>
      <c r="AG75">
        <f t="shared" si="28"/>
        <v>2.3445317913418726E-2</v>
      </c>
      <c r="AH75">
        <f t="shared" si="28"/>
        <v>9.105822300012471E-3</v>
      </c>
      <c r="AI75">
        <f t="shared" si="11"/>
        <v>2.574761195744685</v>
      </c>
      <c r="AJ75">
        <f t="shared" si="20"/>
        <v>72.026103416631656</v>
      </c>
      <c r="AK75" s="14">
        <f t="shared" ref="AK75:AK138" si="34">IF(AH75=0,
    IF(AG75=0, 50, 100),
    IF(AG75=0, 0, 100-(100/(1+AG75/AH75)))
)</f>
        <v>72.026103416631656</v>
      </c>
      <c r="AM75">
        <f t="shared" si="25"/>
        <v>2.9204431017120003E-2</v>
      </c>
      <c r="AN75" s="14">
        <f t="shared" si="12"/>
        <v>6.8965517241379448E-3</v>
      </c>
      <c r="AO75">
        <f t="shared" si="22"/>
        <v>1</v>
      </c>
      <c r="AP75" s="14">
        <f t="shared" si="23"/>
        <v>0.6</v>
      </c>
      <c r="AQ75">
        <f t="shared" si="14"/>
        <v>5.5064317070285806E-3</v>
      </c>
      <c r="AR75">
        <f t="shared" si="15"/>
        <v>1.390120017109359E-3</v>
      </c>
      <c r="AS75">
        <f t="shared" si="29"/>
        <v>-3.2256241492377921E-3</v>
      </c>
      <c r="AT75">
        <f t="shared" si="30"/>
        <v>1.873687664380435E-2</v>
      </c>
      <c r="AU75" s="14">
        <f t="shared" ref="AU75:AU138" si="35">AS75/AT75</f>
        <v>-0.17215378051306096</v>
      </c>
      <c r="AV75" s="19">
        <f t="shared" si="31"/>
        <v>3.0149753711718754E-3</v>
      </c>
      <c r="AW75" s="19">
        <f t="shared" si="26"/>
        <v>0</v>
      </c>
      <c r="AX75">
        <f t="shared" ref="AX75:AX138" si="36">IF(OR(F75=0,C75=D75),1,0)</f>
        <v>0</v>
      </c>
      <c r="AY75">
        <f>IF(W75,SUMPRODUCT(INDEX(AX:AX,X75):INDEX(AX:AX,X75+Y75)),0)</f>
        <v>0</v>
      </c>
      <c r="AZ75">
        <f>IF(V75,COUNT(INDEX(AX:AX,X75):INDEX(AX:AX,ROW())),0)</f>
        <v>65</v>
      </c>
      <c r="BA75" s="14" t="str">
        <f t="shared" si="16"/>
        <v/>
      </c>
      <c r="BB75" s="6">
        <f t="shared" ref="BB75:BB138" si="37">E75*F75</f>
        <v>347480</v>
      </c>
      <c r="BC75" s="6">
        <f>MEDIAN(INDEX(BB:BB,X75):INDEX(BB:BB,X75+Y75-1))</f>
        <v>4935</v>
      </c>
      <c r="BD75" s="25" t="str">
        <f t="shared" ref="BD75:BD138" si="38">IF(W75,BC75,"")</f>
        <v/>
      </c>
      <c r="BE75">
        <f t="shared" si="17"/>
        <v>0</v>
      </c>
      <c r="BF75" s="6">
        <f>SUM(INDEX(BE:BE,X75):INDEX(BE:BE,X75+Y75-1))</f>
        <v>16</v>
      </c>
      <c r="BG75" s="25" t="str">
        <f t="shared" ref="BG75:BG138" si="39">IF(W75,BF75,"")</f>
        <v/>
      </c>
    </row>
    <row r="76" spans="1:59" x14ac:dyDescent="0.3">
      <c r="A76" s="1">
        <v>44018</v>
      </c>
      <c r="B76">
        <v>10.220000000000001</v>
      </c>
      <c r="C76">
        <v>10.220000000000001</v>
      </c>
      <c r="D76">
        <v>10.199999999999999</v>
      </c>
      <c r="E76">
        <v>10.199999999999999</v>
      </c>
      <c r="F76">
        <v>55000</v>
      </c>
      <c r="G76" s="29">
        <v>3.9775668552123597E-2</v>
      </c>
      <c r="H76" s="29">
        <v>3.8995753482474098E-3</v>
      </c>
      <c r="I76" s="29">
        <v>1.9607843137256198E-3</v>
      </c>
      <c r="J76" s="29">
        <v>71.505532650591107</v>
      </c>
      <c r="K76" s="29">
        <v>2.71903323262838E-2</v>
      </c>
      <c r="L76" s="29">
        <v>0.6</v>
      </c>
      <c r="M76" s="29">
        <v>-0.19003014362572501</v>
      </c>
      <c r="N76" s="29">
        <v>-7.5161683235452402E-3</v>
      </c>
      <c r="O76" s="29">
        <v>-1.95694716242678E-3</v>
      </c>
      <c r="P76" s="29">
        <v>-1.95694716242678E-3</v>
      </c>
      <c r="Q76" s="29">
        <v>0.63905325443786898</v>
      </c>
      <c r="R76" s="30">
        <v>29700</v>
      </c>
      <c r="S76" s="29">
        <v>31</v>
      </c>
      <c r="T76" s="14">
        <v>293.52699999999999</v>
      </c>
      <c r="U76" s="41"/>
      <c r="V76">
        <v>66</v>
      </c>
      <c r="W76" t="b">
        <f>V76&gt;=$C$4</f>
        <v>0</v>
      </c>
      <c r="X76">
        <f>IF(V76&lt;=$C$5,11,ROW()-$C$5+1)</f>
        <v>11</v>
      </c>
      <c r="Y76" s="14">
        <f t="shared" si="32"/>
        <v>66</v>
      </c>
      <c r="Z76" s="10">
        <f t="shared" ref="Z76:Z139" si="40">MAX(C76-D76,ABS(C76-E75),ABS(D76-E75))</f>
        <v>2.000000000000135E-2</v>
      </c>
      <c r="AA76" s="15">
        <f t="shared" ref="AA76:AA139" si="41">Z76/E76</f>
        <v>1.9607843137256229E-3</v>
      </c>
      <c r="AB76" s="15">
        <f t="shared" ref="AB76:AB139" si="42">(Z76+13*AB75)/14</f>
        <v>3.9775668552123611E-2</v>
      </c>
      <c r="AC76" s="10">
        <f t="shared" si="33"/>
        <v>3.8995753482474133E-3</v>
      </c>
      <c r="AD76">
        <f t="shared" ref="AD76:AD139" si="43">E76-E75</f>
        <v>-2.000000000000135E-2</v>
      </c>
      <c r="AE76">
        <f t="shared" si="18"/>
        <v>0</v>
      </c>
      <c r="AF76">
        <f t="shared" si="19"/>
        <v>2.000000000000135E-2</v>
      </c>
      <c r="AG76">
        <f t="shared" si="28"/>
        <v>2.1770652348174529E-2</v>
      </c>
      <c r="AH76">
        <f t="shared" si="28"/>
        <v>9.883977850011676E-3</v>
      </c>
      <c r="AI76">
        <f t="shared" ref="AI76:AI139" si="44">AG76/AH76</f>
        <v>2.202620511553333</v>
      </c>
      <c r="AJ76">
        <f t="shared" si="20"/>
        <v>68.77556999361812</v>
      </c>
      <c r="AK76" s="14">
        <f t="shared" si="34"/>
        <v>68.77556999361812</v>
      </c>
      <c r="AM76">
        <f t="shared" si="25"/>
        <v>2.7190332326283873E-2</v>
      </c>
      <c r="AN76" s="14">
        <f t="shared" ref="AN76:AN139" si="45">E76/E75-1</f>
        <v>-1.9569471624267809E-3</v>
      </c>
      <c r="AO76">
        <f t="shared" si="22"/>
        <v>0</v>
      </c>
      <c r="AP76" s="14">
        <f t="shared" si="23"/>
        <v>0.6</v>
      </c>
      <c r="AQ76">
        <f t="shared" ref="AQ76:AQ139" si="46">T76/T75-1</f>
        <v>1.5435974607787228E-2</v>
      </c>
      <c r="AR76">
        <f t="shared" ref="AR76:AR139" si="47">P76-AQ76</f>
        <v>-1.7392921770214009E-2</v>
      </c>
      <c r="AS76">
        <f t="shared" si="29"/>
        <v>-3.5715938319003295E-3</v>
      </c>
      <c r="AT76">
        <f t="shared" si="30"/>
        <v>1.8794880452938915E-2</v>
      </c>
      <c r="AU76" s="14">
        <f t="shared" si="35"/>
        <v>-0.19003014362572584</v>
      </c>
      <c r="AV76" s="19">
        <f t="shared" si="31"/>
        <v>-7.5161683235453105E-3</v>
      </c>
      <c r="AW76" s="19">
        <f t="shared" si="26"/>
        <v>-1.9569471624267809E-3</v>
      </c>
      <c r="AX76">
        <f t="shared" si="36"/>
        <v>0</v>
      </c>
      <c r="AY76">
        <f>IF(W76,SUMPRODUCT(INDEX(AX:AX,X76):INDEX(AX:AX,X76+Y76)),0)</f>
        <v>0</v>
      </c>
      <c r="AZ76">
        <f>IF(V76,COUNT(INDEX(AX:AX,X76):INDEX(AX:AX,ROW())),0)</f>
        <v>66</v>
      </c>
      <c r="BA76" s="14" t="str">
        <f t="shared" ref="BA76:BA139" si="48">IF(W76,AY76/AZ76,"")</f>
        <v/>
      </c>
      <c r="BB76" s="6">
        <f t="shared" si="37"/>
        <v>561000</v>
      </c>
      <c r="BC76" s="6">
        <f>MEDIAN(INDEX(BB:BB,X76):INDEX(BB:BB,X76+Y76-1))</f>
        <v>7417.5</v>
      </c>
      <c r="BD76" s="25" t="str">
        <f t="shared" si="38"/>
        <v/>
      </c>
      <c r="BE76">
        <f t="shared" ref="BE76:BE139" si="49">IF(F75=F76,1,0)</f>
        <v>0</v>
      </c>
      <c r="BF76" s="6">
        <f>SUM(INDEX(BE:BE,X76):INDEX(BE:BE,X76+Y76-1))</f>
        <v>16</v>
      </c>
      <c r="BG76" s="25" t="str">
        <f t="shared" si="39"/>
        <v/>
      </c>
    </row>
    <row r="77" spans="1:59" x14ac:dyDescent="0.3">
      <c r="A77" s="1">
        <v>44019</v>
      </c>
      <c r="B77">
        <v>10.18</v>
      </c>
      <c r="C77">
        <v>10.18</v>
      </c>
      <c r="D77">
        <v>10.18</v>
      </c>
      <c r="E77">
        <v>10.18</v>
      </c>
      <c r="F77">
        <v>3000</v>
      </c>
      <c r="G77" s="29">
        <v>3.8363120798400402E-2</v>
      </c>
      <c r="H77" s="29">
        <v>3.7684794497446399E-3</v>
      </c>
      <c r="I77" s="29">
        <v>1.96463654223964E-3</v>
      </c>
      <c r="J77" s="29">
        <v>68.112980331786403</v>
      </c>
      <c r="K77" s="29">
        <v>2.6209677419354701E-2</v>
      </c>
      <c r="L77" s="29">
        <v>0.4</v>
      </c>
      <c r="M77" s="29">
        <v>-0.138344648935492</v>
      </c>
      <c r="N77" s="29">
        <v>6.2486811891571299E-3</v>
      </c>
      <c r="O77" s="29">
        <v>-3.9138943248533398E-3</v>
      </c>
      <c r="P77" s="29">
        <v>-1.9607843137254802E-3</v>
      </c>
      <c r="Q77" s="29">
        <v>0.64117647058823501</v>
      </c>
      <c r="R77" s="30">
        <v>30120</v>
      </c>
      <c r="S77" s="29">
        <v>31</v>
      </c>
      <c r="T77" s="14">
        <v>290.5</v>
      </c>
      <c r="U77" s="41"/>
      <c r="V77">
        <v>67</v>
      </c>
      <c r="W77" t="b">
        <f>V77&gt;=$C$4</f>
        <v>0</v>
      </c>
      <c r="X77">
        <f>IF(V77&lt;=$C$5,11,ROW()-$C$5+1)</f>
        <v>11</v>
      </c>
      <c r="Y77" s="14">
        <f t="shared" si="32"/>
        <v>67</v>
      </c>
      <c r="Z77" s="10">
        <f t="shared" si="40"/>
        <v>1.9999999999999574E-2</v>
      </c>
      <c r="AA77" s="15">
        <f t="shared" si="41"/>
        <v>1.9646365422396439E-3</v>
      </c>
      <c r="AB77" s="15">
        <f t="shared" si="42"/>
        <v>3.8363120798400464E-2</v>
      </c>
      <c r="AC77" s="10">
        <f t="shared" si="33"/>
        <v>3.7684794497446429E-3</v>
      </c>
      <c r="AD77">
        <f t="shared" si="43"/>
        <v>-1.9999999999999574E-2</v>
      </c>
      <c r="AE77">
        <f t="shared" ref="AE77:AE140" si="50">MAX($AD77,0)</f>
        <v>0</v>
      </c>
      <c r="AF77">
        <f t="shared" ref="AF77:AF140" si="51">MAX(-$AD77,0)</f>
        <v>1.9999999999999574E-2</v>
      </c>
      <c r="AG77">
        <f t="shared" si="28"/>
        <v>2.0215605751876347E-2</v>
      </c>
      <c r="AH77">
        <f t="shared" si="28"/>
        <v>1.0606550860725096E-2</v>
      </c>
      <c r="AI77">
        <f t="shared" si="44"/>
        <v>1.9059547271613559</v>
      </c>
      <c r="AJ77">
        <f t="shared" ref="AJ77:AJ140" si="52">(100-(100/(1+AI77)))</f>
        <v>65.587901605857539</v>
      </c>
      <c r="AK77" s="14">
        <f t="shared" si="34"/>
        <v>65.587901605857539</v>
      </c>
      <c r="AM77">
        <f t="shared" si="25"/>
        <v>2.620967741935476E-2</v>
      </c>
      <c r="AN77" s="14">
        <f t="shared" si="45"/>
        <v>-1.9607843137254832E-3</v>
      </c>
      <c r="AO77">
        <f t="shared" si="22"/>
        <v>0</v>
      </c>
      <c r="AP77" s="14">
        <f t="shared" si="23"/>
        <v>0.4</v>
      </c>
      <c r="AQ77">
        <f t="shared" si="46"/>
        <v>-1.0312509581742013E-2</v>
      </c>
      <c r="AR77">
        <f t="shared" si="47"/>
        <v>8.3517252680165334E-3</v>
      </c>
      <c r="AS77">
        <f t="shared" si="29"/>
        <v>-2.3245948281956385E-3</v>
      </c>
      <c r="AT77">
        <f t="shared" si="30"/>
        <v>1.6802925491390373E-2</v>
      </c>
      <c r="AU77" s="14">
        <f t="shared" si="35"/>
        <v>-0.13834464893549248</v>
      </c>
      <c r="AV77" s="19">
        <f t="shared" si="31"/>
        <v>6.2486811891571117E-3</v>
      </c>
      <c r="AW77" s="19">
        <f t="shared" si="26"/>
        <v>-3.9138943248533398E-3</v>
      </c>
      <c r="AX77">
        <f t="shared" si="36"/>
        <v>1</v>
      </c>
      <c r="AY77">
        <f>IF(W77,SUMPRODUCT(INDEX(AX:AX,X77):INDEX(AX:AX,X77+Y77)),0)</f>
        <v>0</v>
      </c>
      <c r="AZ77">
        <f>IF(V77,COUNT(INDEX(AX:AX,X77):INDEX(AX:AX,ROW())),0)</f>
        <v>67</v>
      </c>
      <c r="BA77" s="14" t="str">
        <f t="shared" si="48"/>
        <v/>
      </c>
      <c r="BB77" s="6">
        <f t="shared" si="37"/>
        <v>30540</v>
      </c>
      <c r="BC77" s="6">
        <f>MEDIAN(INDEX(BB:BB,X77):INDEX(BB:BB,X77+Y77-1))</f>
        <v>9900</v>
      </c>
      <c r="BD77" s="25" t="str">
        <f t="shared" si="38"/>
        <v/>
      </c>
      <c r="BE77">
        <f t="shared" si="49"/>
        <v>0</v>
      </c>
      <c r="BF77" s="6">
        <f>SUM(INDEX(BE:BE,X77):INDEX(BE:BE,X77+Y77-1))</f>
        <v>16</v>
      </c>
      <c r="BG77" s="25" t="str">
        <f t="shared" si="39"/>
        <v/>
      </c>
    </row>
    <row r="78" spans="1:59" x14ac:dyDescent="0.3">
      <c r="A78" s="1">
        <v>44020</v>
      </c>
      <c r="B78">
        <v>10.15</v>
      </c>
      <c r="C78">
        <v>10.151</v>
      </c>
      <c r="D78">
        <v>10.1</v>
      </c>
      <c r="E78">
        <v>10.1</v>
      </c>
      <c r="F78">
        <v>3300</v>
      </c>
      <c r="G78" s="29">
        <v>4.1337183598514703E-2</v>
      </c>
      <c r="H78" s="29">
        <v>4.0927904552984801E-3</v>
      </c>
      <c r="I78" s="29">
        <v>7.9207920792079192E-3</v>
      </c>
      <c r="J78" s="29">
        <v>56.554543945546499</v>
      </c>
      <c r="K78" s="29">
        <v>1.45655449522852E-2</v>
      </c>
      <c r="L78" s="29">
        <v>0.4</v>
      </c>
      <c r="M78" s="29">
        <v>-0.15130282605433601</v>
      </c>
      <c r="N78" s="29">
        <v>3.8929880956613001E-3</v>
      </c>
      <c r="O78" s="29">
        <v>-1.17416829745597E-2</v>
      </c>
      <c r="P78" s="29">
        <v>-7.8585461689587507E-3</v>
      </c>
      <c r="Q78" s="29">
        <v>0.63742690058479501</v>
      </c>
      <c r="R78" s="30">
        <v>30540</v>
      </c>
      <c r="S78" s="29">
        <v>31</v>
      </c>
      <c r="T78" s="14">
        <v>292.72199999999998</v>
      </c>
      <c r="U78" s="41"/>
      <c r="V78">
        <v>68</v>
      </c>
      <c r="W78" t="b">
        <f>V78&gt;=$C$4</f>
        <v>0</v>
      </c>
      <c r="X78">
        <f>IF(V78&lt;=$C$5,11,ROW()-$C$5+1)</f>
        <v>11</v>
      </c>
      <c r="Y78" s="14">
        <f t="shared" si="32"/>
        <v>68</v>
      </c>
      <c r="Z78" s="10">
        <f t="shared" si="40"/>
        <v>8.0000000000000071E-2</v>
      </c>
      <c r="AA78" s="15">
        <f t="shared" si="41"/>
        <v>7.9207920792079278E-3</v>
      </c>
      <c r="AB78" s="15">
        <f t="shared" si="42"/>
        <v>4.1337183598514723E-2</v>
      </c>
      <c r="AC78" s="10">
        <f t="shared" si="33"/>
        <v>4.0927904552984879E-3</v>
      </c>
      <c r="AD78">
        <f t="shared" si="43"/>
        <v>-8.0000000000000071E-2</v>
      </c>
      <c r="AE78">
        <f t="shared" si="50"/>
        <v>0</v>
      </c>
      <c r="AF78">
        <f t="shared" si="51"/>
        <v>8.0000000000000071E-2</v>
      </c>
      <c r="AG78">
        <f t="shared" ref="AG78:AH93" si="53">(AE78+13*AG77)/14</f>
        <v>1.877163391245661E-2</v>
      </c>
      <c r="AH78">
        <f t="shared" si="53"/>
        <v>1.5563225799244738E-2</v>
      </c>
      <c r="AI78">
        <f t="shared" si="44"/>
        <v>1.2061531558173224</v>
      </c>
      <c r="AJ78">
        <f t="shared" si="52"/>
        <v>54.672231283529086</v>
      </c>
      <c r="AK78" s="14">
        <f t="shared" si="34"/>
        <v>54.672231283529086</v>
      </c>
      <c r="AM78">
        <f t="shared" si="25"/>
        <v>1.4565544952285236E-2</v>
      </c>
      <c r="AN78" s="14">
        <f t="shared" si="45"/>
        <v>-7.8585461689587577E-3</v>
      </c>
      <c r="AO78">
        <f t="shared" ref="AO78:AO141" si="54">IF(AN78&gt;0,1,0)</f>
        <v>0</v>
      </c>
      <c r="AP78" s="14">
        <f t="shared" si="23"/>
        <v>0.4</v>
      </c>
      <c r="AQ78">
        <f t="shared" si="46"/>
        <v>7.6488812392425665E-3</v>
      </c>
      <c r="AR78">
        <f t="shared" si="47"/>
        <v>-1.5507427408201317E-2</v>
      </c>
      <c r="AS78">
        <f t="shared" si="29"/>
        <v>-2.5545551442126501E-3</v>
      </c>
      <c r="AT78">
        <f t="shared" si="30"/>
        <v>1.6883723925257301E-2</v>
      </c>
      <c r="AU78" s="14">
        <f t="shared" si="35"/>
        <v>-0.15130282605433681</v>
      </c>
      <c r="AV78" s="19">
        <f t="shared" si="31"/>
        <v>3.8929880956612641E-3</v>
      </c>
      <c r="AW78" s="19">
        <f t="shared" si="26"/>
        <v>-1.1741682974559797E-2</v>
      </c>
      <c r="AX78">
        <f t="shared" si="36"/>
        <v>0</v>
      </c>
      <c r="AY78">
        <f>IF(W78,SUMPRODUCT(INDEX(AX:AX,X78):INDEX(AX:AX,X78+Y78)),0)</f>
        <v>0</v>
      </c>
      <c r="AZ78">
        <f>IF(V78,COUNT(INDEX(AX:AX,X78):INDEX(AX:AX,ROW())),0)</f>
        <v>68</v>
      </c>
      <c r="BA78" s="14" t="str">
        <f t="shared" si="48"/>
        <v/>
      </c>
      <c r="BB78" s="6">
        <f t="shared" si="37"/>
        <v>33330</v>
      </c>
      <c r="BC78" s="6">
        <f>MEDIAN(INDEX(BB:BB,X78):INDEX(BB:BB,X78+Y78-1))</f>
        <v>16369.5</v>
      </c>
      <c r="BD78" s="25" t="str">
        <f t="shared" si="38"/>
        <v/>
      </c>
      <c r="BE78">
        <f t="shared" si="49"/>
        <v>0</v>
      </c>
      <c r="BF78" s="6">
        <f>SUM(INDEX(BE:BE,X78):INDEX(BE:BE,X78+Y78-1))</f>
        <v>16</v>
      </c>
      <c r="BG78" s="25" t="str">
        <f t="shared" si="39"/>
        <v/>
      </c>
    </row>
    <row r="79" spans="1:59" x14ac:dyDescent="0.3">
      <c r="A79" s="1">
        <v>44021</v>
      </c>
      <c r="B79">
        <v>10.130000000000001</v>
      </c>
      <c r="C79">
        <v>10.130000000000001</v>
      </c>
      <c r="D79">
        <v>10.119999999999999</v>
      </c>
      <c r="E79">
        <v>10.119999999999999</v>
      </c>
      <c r="F79">
        <v>4800</v>
      </c>
      <c r="G79" s="29">
        <v>4.0527384770049399E-2</v>
      </c>
      <c r="H79" s="29">
        <v>4.0046822895305704E-3</v>
      </c>
      <c r="I79" s="29">
        <v>2.96442687747046E-3</v>
      </c>
      <c r="J79" s="29">
        <v>58.452720008350703</v>
      </c>
      <c r="K79" s="29">
        <v>2.0161290322580499E-2</v>
      </c>
      <c r="L79" s="29">
        <v>0.4</v>
      </c>
      <c r="M79" s="29">
        <v>-0.11931919560581</v>
      </c>
      <c r="N79" s="29">
        <v>-5.5456877797964198E-3</v>
      </c>
      <c r="O79" s="29">
        <v>-9.7847358121332297E-3</v>
      </c>
      <c r="P79" s="29">
        <v>1.9801980198019798E-3</v>
      </c>
      <c r="Q79" s="29">
        <v>0.63372093023255804</v>
      </c>
      <c r="R79" s="30">
        <v>31002.5</v>
      </c>
      <c r="S79" s="29">
        <v>31</v>
      </c>
      <c r="T79" s="14">
        <v>291.05599999999998</v>
      </c>
      <c r="U79" s="41"/>
      <c r="V79">
        <v>69</v>
      </c>
      <c r="W79" t="b">
        <f>V79&gt;=$C$4</f>
        <v>0</v>
      </c>
      <c r="X79">
        <f>IF(V79&lt;=$C$5,11,ROW()-$C$5+1)</f>
        <v>11</v>
      </c>
      <c r="Y79" s="14">
        <f t="shared" si="32"/>
        <v>69</v>
      </c>
      <c r="Z79" s="10">
        <f t="shared" si="40"/>
        <v>3.0000000000001137E-2</v>
      </c>
      <c r="AA79" s="15">
        <f t="shared" si="41"/>
        <v>2.9644268774704683E-3</v>
      </c>
      <c r="AB79" s="15">
        <f t="shared" si="42"/>
        <v>4.0527384770049468E-2</v>
      </c>
      <c r="AC79" s="10">
        <f t="shared" si="33"/>
        <v>4.0046822895305799E-3</v>
      </c>
      <c r="AD79">
        <f t="shared" si="43"/>
        <v>1.9999999999999574E-2</v>
      </c>
      <c r="AE79">
        <f t="shared" si="50"/>
        <v>1.9999999999999574E-2</v>
      </c>
      <c r="AF79">
        <f t="shared" si="51"/>
        <v>0</v>
      </c>
      <c r="AG79">
        <f t="shared" si="53"/>
        <v>1.8859374347281108E-2</v>
      </c>
      <c r="AH79">
        <f t="shared" si="53"/>
        <v>1.4451566813584399E-2</v>
      </c>
      <c r="AI79">
        <f t="shared" si="44"/>
        <v>1.3050055118973947</v>
      </c>
      <c r="AJ79">
        <f t="shared" si="52"/>
        <v>56.616155803599909</v>
      </c>
      <c r="AK79" s="14">
        <f t="shared" si="34"/>
        <v>56.616155803599909</v>
      </c>
      <c r="AM79">
        <f t="shared" si="25"/>
        <v>2.0161290322580516E-2</v>
      </c>
      <c r="AN79" s="14">
        <f t="shared" si="45"/>
        <v>1.980198019801982E-3</v>
      </c>
      <c r="AO79">
        <f t="shared" si="54"/>
        <v>1</v>
      </c>
      <c r="AP79" s="14">
        <f t="shared" ref="AP79:AP142" si="55">SUM(AO75:AO79) / 5</f>
        <v>0.4</v>
      </c>
      <c r="AQ79">
        <f t="shared" si="46"/>
        <v>-5.6914068638502791E-3</v>
      </c>
      <c r="AR79">
        <f t="shared" si="47"/>
        <v>7.6716048836522593E-3</v>
      </c>
      <c r="AS79">
        <f t="shared" si="29"/>
        <v>-1.9807444403096585E-3</v>
      </c>
      <c r="AT79">
        <f t="shared" si="30"/>
        <v>1.6600383787813592E-2</v>
      </c>
      <c r="AU79" s="14">
        <f t="shared" si="35"/>
        <v>-0.11931919560581068</v>
      </c>
      <c r="AV79" s="19">
        <f t="shared" si="31"/>
        <v>-5.5456877797965213E-3</v>
      </c>
      <c r="AW79" s="19">
        <f t="shared" si="26"/>
        <v>-9.7847358121332384E-3</v>
      </c>
      <c r="AX79">
        <f t="shared" si="36"/>
        <v>0</v>
      </c>
      <c r="AY79">
        <f>IF(W79,SUMPRODUCT(INDEX(AX:AX,X79):INDEX(AX:AX,X79+Y79)),0)</f>
        <v>0</v>
      </c>
      <c r="AZ79">
        <f>IF(V79,COUNT(INDEX(AX:AX,X79):INDEX(AX:AX,ROW())),0)</f>
        <v>69</v>
      </c>
      <c r="BA79" s="14" t="str">
        <f t="shared" si="48"/>
        <v/>
      </c>
      <c r="BB79" s="6">
        <f t="shared" si="37"/>
        <v>48575.999999999993</v>
      </c>
      <c r="BC79" s="6">
        <f>MEDIAN(INDEX(BB:BB,X79):INDEX(BB:BB,X79+Y79-1))</f>
        <v>22839</v>
      </c>
      <c r="BD79" s="25" t="str">
        <f t="shared" si="38"/>
        <v/>
      </c>
      <c r="BE79">
        <f t="shared" si="49"/>
        <v>0</v>
      </c>
      <c r="BF79" s="6">
        <f>SUM(INDEX(BE:BE,X79):INDEX(BE:BE,X79+Y79-1))</f>
        <v>16</v>
      </c>
      <c r="BG79" s="25" t="str">
        <f t="shared" si="39"/>
        <v/>
      </c>
    </row>
    <row r="80" spans="1:59" x14ac:dyDescent="0.3">
      <c r="A80" s="1">
        <v>44022</v>
      </c>
      <c r="B80">
        <v>10.18</v>
      </c>
      <c r="C80">
        <v>10.18</v>
      </c>
      <c r="D80">
        <v>10.08</v>
      </c>
      <c r="E80">
        <v>10.1</v>
      </c>
      <c r="F80">
        <v>23800</v>
      </c>
      <c r="G80" s="29">
        <v>4.4775428715045897E-2</v>
      </c>
      <c r="H80" s="29">
        <v>4.4332107638659296E-3</v>
      </c>
      <c r="I80" s="29">
        <v>9.9009900990098595E-3</v>
      </c>
      <c r="J80" s="29">
        <v>55.826002632251601</v>
      </c>
      <c r="K80" s="29">
        <v>1.8145161290322499E-2</v>
      </c>
      <c r="L80" s="29">
        <v>0.2</v>
      </c>
      <c r="M80" s="29">
        <v>-0.111832607659774</v>
      </c>
      <c r="N80" s="29">
        <v>-1.89294333710799E-3</v>
      </c>
      <c r="O80" s="29">
        <v>-1.17416829745597E-2</v>
      </c>
      <c r="P80" s="29">
        <v>-1.9762845849802201E-3</v>
      </c>
      <c r="Q80" s="29">
        <v>0.63005780346820806</v>
      </c>
      <c r="R80" s="30">
        <v>31465</v>
      </c>
      <c r="S80" s="29">
        <v>31</v>
      </c>
      <c r="T80" s="14">
        <v>294.02699999999999</v>
      </c>
      <c r="U80" s="41"/>
      <c r="V80">
        <v>70</v>
      </c>
      <c r="W80" t="b">
        <f>V80&gt;=$C$4</f>
        <v>0</v>
      </c>
      <c r="X80">
        <f>IF(V80&lt;=$C$5,11,ROW()-$C$5+1)</f>
        <v>11</v>
      </c>
      <c r="Y80" s="14">
        <f t="shared" si="32"/>
        <v>70</v>
      </c>
      <c r="Z80" s="10">
        <f t="shared" si="40"/>
        <v>9.9999999999999645E-2</v>
      </c>
      <c r="AA80" s="15">
        <f t="shared" si="41"/>
        <v>9.9009900990098664E-3</v>
      </c>
      <c r="AB80" s="15">
        <f t="shared" si="42"/>
        <v>4.477542871504591E-2</v>
      </c>
      <c r="AC80" s="10">
        <f t="shared" si="33"/>
        <v>4.4332107638659322E-3</v>
      </c>
      <c r="AD80">
        <f t="shared" si="43"/>
        <v>-1.9999999999999574E-2</v>
      </c>
      <c r="AE80">
        <f t="shared" si="50"/>
        <v>0</v>
      </c>
      <c r="AF80">
        <f t="shared" si="51"/>
        <v>1.9999999999999574E-2</v>
      </c>
      <c r="AG80">
        <f t="shared" si="53"/>
        <v>1.7512276179618171E-2</v>
      </c>
      <c r="AH80">
        <f t="shared" si="53"/>
        <v>1.484788346975691E-2</v>
      </c>
      <c r="AI80">
        <f t="shared" si="44"/>
        <v>1.179445960448724</v>
      </c>
      <c r="AJ80">
        <f t="shared" si="52"/>
        <v>54.116779303208283</v>
      </c>
      <c r="AK80" s="14">
        <f t="shared" si="34"/>
        <v>54.116779303208283</v>
      </c>
      <c r="AM80">
        <f t="shared" si="25"/>
        <v>1.8145161290322509E-2</v>
      </c>
      <c r="AN80" s="14">
        <f t="shared" si="45"/>
        <v>-1.9762845849802257E-3</v>
      </c>
      <c r="AO80">
        <f t="shared" si="54"/>
        <v>0</v>
      </c>
      <c r="AP80" s="14">
        <f t="shared" si="55"/>
        <v>0.2</v>
      </c>
      <c r="AQ80">
        <f t="shared" si="46"/>
        <v>1.0207657632895328E-2</v>
      </c>
      <c r="AR80">
        <f t="shared" si="47"/>
        <v>-1.2183942217875549E-2</v>
      </c>
      <c r="AS80">
        <f t="shared" si="29"/>
        <v>-1.8425806919201921E-3</v>
      </c>
      <c r="AT80">
        <f t="shared" si="30"/>
        <v>1.6476238285758477E-2</v>
      </c>
      <c r="AU80" s="14">
        <f t="shared" si="35"/>
        <v>-0.11183260765977503</v>
      </c>
      <c r="AV80" s="19">
        <f t="shared" si="31"/>
        <v>-1.8929433371080728E-3</v>
      </c>
      <c r="AW80" s="19">
        <f t="shared" si="26"/>
        <v>-1.1741682974559797E-2</v>
      </c>
      <c r="AX80">
        <f t="shared" si="36"/>
        <v>0</v>
      </c>
      <c r="AY80">
        <f>IF(W80,SUMPRODUCT(INDEX(AX:AX,X80):INDEX(AX:AX,X80+Y80)),0)</f>
        <v>0</v>
      </c>
      <c r="AZ80">
        <f>IF(V80,COUNT(INDEX(AX:AX,X80):INDEX(AX:AX,ROW())),0)</f>
        <v>70</v>
      </c>
      <c r="BA80" s="14" t="str">
        <f t="shared" si="48"/>
        <v/>
      </c>
      <c r="BB80" s="6">
        <f t="shared" si="37"/>
        <v>240380</v>
      </c>
      <c r="BC80" s="6">
        <f>MEDIAN(INDEX(BB:BB,X80):INDEX(BB:BB,X80+Y80-1))</f>
        <v>26269.5</v>
      </c>
      <c r="BD80" s="25" t="str">
        <f t="shared" si="38"/>
        <v/>
      </c>
      <c r="BE80">
        <f t="shared" si="49"/>
        <v>0</v>
      </c>
      <c r="BF80" s="6">
        <f>SUM(INDEX(BE:BE,X80):INDEX(BE:BE,X80+Y80-1))</f>
        <v>16</v>
      </c>
      <c r="BG80" s="25" t="str">
        <f t="shared" si="39"/>
        <v/>
      </c>
    </row>
    <row r="81" spans="1:59" x14ac:dyDescent="0.3">
      <c r="A81" s="1">
        <v>44025</v>
      </c>
      <c r="B81">
        <v>10.138999999999999</v>
      </c>
      <c r="C81">
        <v>10.147</v>
      </c>
      <c r="D81">
        <v>10.119999999999999</v>
      </c>
      <c r="E81">
        <v>10.119999999999999</v>
      </c>
      <c r="F81">
        <v>12100</v>
      </c>
      <c r="G81" s="29">
        <v>4.4934326663971201E-2</v>
      </c>
      <c r="H81" s="29">
        <v>4.4401508561236402E-3</v>
      </c>
      <c r="I81" s="29">
        <v>4.6442687747036103E-3</v>
      </c>
      <c r="J81" s="29">
        <v>57.865087947164</v>
      </c>
      <c r="K81" s="29">
        <v>2.0161290322580499E-2</v>
      </c>
      <c r="L81" s="29">
        <v>0.4</v>
      </c>
      <c r="M81" s="29">
        <v>-0.114110561760132</v>
      </c>
      <c r="N81" s="29">
        <v>-6.5507297004940401E-4</v>
      </c>
      <c r="O81" s="29">
        <v>-9.7847358121332297E-3</v>
      </c>
      <c r="P81" s="29">
        <v>1.9801980198019798E-3</v>
      </c>
      <c r="Q81" s="29">
        <v>0.62643678160919503</v>
      </c>
      <c r="R81" s="30">
        <v>32397.5</v>
      </c>
      <c r="S81" s="29">
        <v>31</v>
      </c>
      <c r="T81" s="14">
        <v>291.48099999999999</v>
      </c>
      <c r="U81" s="41"/>
      <c r="V81">
        <v>71</v>
      </c>
      <c r="W81" t="b">
        <f>V81&gt;=$C$4</f>
        <v>0</v>
      </c>
      <c r="X81">
        <f>IF(V81&lt;=$C$5,11,ROW()-$C$5+1)</f>
        <v>11</v>
      </c>
      <c r="Y81" s="14">
        <f t="shared" si="32"/>
        <v>71</v>
      </c>
      <c r="Z81" s="10">
        <f t="shared" si="40"/>
        <v>4.7000000000000597E-2</v>
      </c>
      <c r="AA81" s="15">
        <f t="shared" si="41"/>
        <v>4.6442687747036164E-3</v>
      </c>
      <c r="AB81" s="15">
        <f t="shared" si="42"/>
        <v>4.4934326663971243E-2</v>
      </c>
      <c r="AC81" s="10">
        <f t="shared" si="33"/>
        <v>4.4401508561236411E-3</v>
      </c>
      <c r="AD81">
        <f t="shared" si="43"/>
        <v>1.9999999999999574E-2</v>
      </c>
      <c r="AE81">
        <f t="shared" si="50"/>
        <v>1.9999999999999574E-2</v>
      </c>
      <c r="AF81">
        <f t="shared" si="51"/>
        <v>0</v>
      </c>
      <c r="AG81">
        <f t="shared" si="53"/>
        <v>1.7689970738216841E-2</v>
      </c>
      <c r="AH81">
        <f t="shared" si="53"/>
        <v>1.3787320364774274E-2</v>
      </c>
      <c r="AI81">
        <f t="shared" si="44"/>
        <v>1.283060831995577</v>
      </c>
      <c r="AJ81">
        <f t="shared" si="52"/>
        <v>56.199152208926456</v>
      </c>
      <c r="AK81" s="14">
        <f t="shared" si="34"/>
        <v>56.199152208926456</v>
      </c>
      <c r="AM81">
        <f t="shared" si="25"/>
        <v>2.0161290322580516E-2</v>
      </c>
      <c r="AN81" s="14">
        <f t="shared" si="45"/>
        <v>1.980198019801982E-3</v>
      </c>
      <c r="AO81">
        <f t="shared" si="54"/>
        <v>1</v>
      </c>
      <c r="AP81" s="14">
        <f t="shared" si="55"/>
        <v>0.4</v>
      </c>
      <c r="AQ81">
        <f t="shared" si="46"/>
        <v>-8.6590687249810117E-3</v>
      </c>
      <c r="AR81">
        <f t="shared" si="47"/>
        <v>1.0639266744782992E-2</v>
      </c>
      <c r="AS81">
        <f t="shared" si="29"/>
        <v>-1.8768366247230682E-3</v>
      </c>
      <c r="AT81">
        <f t="shared" si="30"/>
        <v>1.6447527693959591E-2</v>
      </c>
      <c r="AU81" s="14">
        <f t="shared" si="35"/>
        <v>-0.11411056176013266</v>
      </c>
      <c r="AV81" s="19">
        <f t="shared" si="31"/>
        <v>-6.5507297004948175E-4</v>
      </c>
      <c r="AW81" s="19">
        <f t="shared" si="26"/>
        <v>-9.7847358121332384E-3</v>
      </c>
      <c r="AX81">
        <f t="shared" si="36"/>
        <v>0</v>
      </c>
      <c r="AY81">
        <f>IF(W81,SUMPRODUCT(INDEX(AX:AX,X81):INDEX(AX:AX,X81+Y81)),0)</f>
        <v>0</v>
      </c>
      <c r="AZ81">
        <f>IF(V81,COUNT(INDEX(AX:AX,X81):INDEX(AX:AX,ROW())),0)</f>
        <v>71</v>
      </c>
      <c r="BA81" s="14" t="str">
        <f t="shared" si="48"/>
        <v/>
      </c>
      <c r="BB81" s="6">
        <f t="shared" si="37"/>
        <v>122451.99999999999</v>
      </c>
      <c r="BC81" s="6">
        <f>MEDIAN(INDEX(BB:BB,X81):INDEX(BB:BB,X81+Y81-1))</f>
        <v>29700</v>
      </c>
      <c r="BD81" s="25" t="str">
        <f t="shared" si="38"/>
        <v/>
      </c>
      <c r="BE81">
        <f t="shared" si="49"/>
        <v>0</v>
      </c>
      <c r="BF81" s="6">
        <f>SUM(INDEX(BE:BE,X81):INDEX(BE:BE,X81+Y81-1))</f>
        <v>16</v>
      </c>
      <c r="BG81" s="25" t="str">
        <f t="shared" si="39"/>
        <v/>
      </c>
    </row>
    <row r="82" spans="1:59" x14ac:dyDescent="0.3">
      <c r="A82" s="1">
        <v>44026</v>
      </c>
      <c r="B82">
        <v>10.15</v>
      </c>
      <c r="C82">
        <v>10.15</v>
      </c>
      <c r="D82">
        <v>10.119999999999999</v>
      </c>
      <c r="E82">
        <v>10.119999999999999</v>
      </c>
      <c r="F82">
        <v>84900</v>
      </c>
      <c r="G82" s="29">
        <v>4.3867589045116201E-2</v>
      </c>
      <c r="H82" s="29">
        <v>4.3347420005055504E-3</v>
      </c>
      <c r="I82" s="29">
        <v>2.96442687747046E-3</v>
      </c>
      <c r="J82" s="29">
        <v>57.865087947164</v>
      </c>
      <c r="K82" s="29">
        <v>2.0161290322580499E-2</v>
      </c>
      <c r="L82" s="29">
        <v>0.4</v>
      </c>
      <c r="M82" s="29">
        <v>-0.101751831658754</v>
      </c>
      <c r="N82" s="29">
        <v>-3.8076317268875E-3</v>
      </c>
      <c r="O82" s="29">
        <v>-9.7847358121332297E-3</v>
      </c>
      <c r="P82" s="29">
        <v>0</v>
      </c>
      <c r="Q82" s="29">
        <v>0.622857142857142</v>
      </c>
      <c r="R82" s="30">
        <v>33330</v>
      </c>
      <c r="S82" s="29">
        <v>31</v>
      </c>
      <c r="T82" s="14">
        <v>295.25900000000001</v>
      </c>
      <c r="U82" s="41"/>
      <c r="V82">
        <v>72</v>
      </c>
      <c r="W82" t="b">
        <f>V82&gt;=$C$4</f>
        <v>0</v>
      </c>
      <c r="X82">
        <f>IF(V82&lt;=$C$5,11,ROW()-$C$5+1)</f>
        <v>11</v>
      </c>
      <c r="Y82" s="14">
        <f t="shared" si="32"/>
        <v>72</v>
      </c>
      <c r="Z82" s="10">
        <f t="shared" si="40"/>
        <v>3.0000000000001137E-2</v>
      </c>
      <c r="AA82" s="15">
        <f t="shared" si="41"/>
        <v>2.9644268774704683E-3</v>
      </c>
      <c r="AB82" s="15">
        <f t="shared" si="42"/>
        <v>4.3867589045116236E-2</v>
      </c>
      <c r="AC82" s="10">
        <f t="shared" si="33"/>
        <v>4.3347420005055573E-3</v>
      </c>
      <c r="AD82">
        <f t="shared" si="43"/>
        <v>0</v>
      </c>
      <c r="AE82">
        <f t="shared" si="50"/>
        <v>0</v>
      </c>
      <c r="AF82">
        <f t="shared" si="51"/>
        <v>0</v>
      </c>
      <c r="AG82">
        <f t="shared" si="53"/>
        <v>1.6426401399772781E-2</v>
      </c>
      <c r="AH82">
        <f t="shared" si="53"/>
        <v>1.2802511767290397E-2</v>
      </c>
      <c r="AI82">
        <f t="shared" si="44"/>
        <v>1.283060831995577</v>
      </c>
      <c r="AJ82">
        <f t="shared" si="52"/>
        <v>56.199152208926456</v>
      </c>
      <c r="AK82" s="14">
        <f t="shared" si="34"/>
        <v>56.199152208926456</v>
      </c>
      <c r="AM82">
        <f t="shared" si="25"/>
        <v>2.0161290322580516E-2</v>
      </c>
      <c r="AN82" s="14">
        <f t="shared" si="45"/>
        <v>0</v>
      </c>
      <c r="AO82">
        <f t="shared" si="54"/>
        <v>0</v>
      </c>
      <c r="AP82" s="14">
        <f t="shared" si="55"/>
        <v>0.4</v>
      </c>
      <c r="AQ82">
        <f t="shared" si="46"/>
        <v>1.2961393710053226E-2</v>
      </c>
      <c r="AR82">
        <f t="shared" si="47"/>
        <v>-1.2961393710053226E-2</v>
      </c>
      <c r="AS82">
        <f t="shared" si="29"/>
        <v>-1.6466519263574277E-3</v>
      </c>
      <c r="AT82">
        <f t="shared" si="30"/>
        <v>1.6183019995942814E-2</v>
      </c>
      <c r="AU82" s="14">
        <f t="shared" si="35"/>
        <v>-0.10175183165875429</v>
      </c>
      <c r="AV82" s="19">
        <f t="shared" si="31"/>
        <v>-3.8076317268876014E-3</v>
      </c>
      <c r="AW82" s="19">
        <f t="shared" si="26"/>
        <v>-9.7847358121332384E-3</v>
      </c>
      <c r="AX82">
        <f t="shared" si="36"/>
        <v>0</v>
      </c>
      <c r="AY82">
        <f>IF(W82,SUMPRODUCT(INDEX(AX:AX,X82):INDEX(AX:AX,X82+Y82)),0)</f>
        <v>0</v>
      </c>
      <c r="AZ82">
        <f>IF(V82,COUNT(INDEX(AX:AX,X82):INDEX(AX:AX,ROW())),0)</f>
        <v>72</v>
      </c>
      <c r="BA82" s="14" t="str">
        <f t="shared" si="48"/>
        <v/>
      </c>
      <c r="BB82" s="6">
        <f t="shared" si="37"/>
        <v>859187.99999999988</v>
      </c>
      <c r="BC82" s="6">
        <f>MEDIAN(INDEX(BB:BB,X82):INDEX(BB:BB,X82+Y82-1))</f>
        <v>30120</v>
      </c>
      <c r="BD82" s="25" t="str">
        <f t="shared" si="38"/>
        <v/>
      </c>
      <c r="BE82">
        <f t="shared" si="49"/>
        <v>0</v>
      </c>
      <c r="BF82" s="6">
        <f>SUM(INDEX(BE:BE,X82):INDEX(BE:BE,X82+Y82-1))</f>
        <v>16</v>
      </c>
      <c r="BG82" s="25" t="str">
        <f t="shared" si="39"/>
        <v/>
      </c>
    </row>
    <row r="83" spans="1:59" x14ac:dyDescent="0.3">
      <c r="A83" s="1">
        <v>44027</v>
      </c>
      <c r="B83">
        <v>10.134</v>
      </c>
      <c r="C83">
        <v>10.175000000000001</v>
      </c>
      <c r="D83">
        <v>10.134</v>
      </c>
      <c r="E83">
        <v>10.17</v>
      </c>
      <c r="F83">
        <v>68400</v>
      </c>
      <c r="G83" s="29">
        <v>4.4662761256179399E-2</v>
      </c>
      <c r="H83" s="29">
        <v>4.39161860926051E-3</v>
      </c>
      <c r="I83" s="29">
        <v>5.4080629301869699E-3</v>
      </c>
      <c r="J83" s="29">
        <v>62.838670334774598</v>
      </c>
      <c r="K83" s="29">
        <v>2.5201612903225701E-2</v>
      </c>
      <c r="L83" s="29">
        <v>0.6</v>
      </c>
      <c r="M83" s="29">
        <v>-0.12886680418940799</v>
      </c>
      <c r="N83" s="29">
        <v>-2.5618178607816201E-3</v>
      </c>
      <c r="O83" s="29">
        <v>-4.8923679060666097E-3</v>
      </c>
      <c r="P83" s="29">
        <v>4.9407114624506702E-3</v>
      </c>
      <c r="Q83" s="29">
        <v>0.61931818181818099</v>
      </c>
      <c r="R83" s="30">
        <v>33665</v>
      </c>
      <c r="S83" s="29">
        <v>31</v>
      </c>
      <c r="T83" s="14">
        <v>297.971</v>
      </c>
      <c r="U83" s="41"/>
      <c r="V83">
        <v>73</v>
      </c>
      <c r="W83" t="b">
        <f>V83&gt;=$C$4</f>
        <v>0</v>
      </c>
      <c r="X83">
        <f>IF(V83&lt;=$C$5,11,ROW()-$C$5+1)</f>
        <v>11</v>
      </c>
      <c r="Y83" s="14">
        <f t="shared" si="32"/>
        <v>73</v>
      </c>
      <c r="Z83" s="10">
        <f t="shared" si="40"/>
        <v>5.5000000000001492E-2</v>
      </c>
      <c r="AA83" s="15">
        <f t="shared" si="41"/>
        <v>5.4080629301869708E-3</v>
      </c>
      <c r="AB83" s="15">
        <f t="shared" si="42"/>
        <v>4.4662761256179469E-2</v>
      </c>
      <c r="AC83" s="10">
        <f t="shared" si="33"/>
        <v>4.3916186092605178E-3</v>
      </c>
      <c r="AD83">
        <f t="shared" si="43"/>
        <v>5.0000000000000711E-2</v>
      </c>
      <c r="AE83">
        <f t="shared" si="50"/>
        <v>5.0000000000000711E-2</v>
      </c>
      <c r="AF83">
        <f t="shared" si="51"/>
        <v>0</v>
      </c>
      <c r="AG83">
        <f t="shared" si="53"/>
        <v>1.8824515585503347E-2</v>
      </c>
      <c r="AH83">
        <f t="shared" si="53"/>
        <v>1.188804664105537E-2</v>
      </c>
      <c r="AI83">
        <f t="shared" si="44"/>
        <v>1.5834826489065816</v>
      </c>
      <c r="AJ83">
        <f t="shared" si="52"/>
        <v>61.292559854302326</v>
      </c>
      <c r="AK83" s="14">
        <f t="shared" si="34"/>
        <v>61.292559854302326</v>
      </c>
      <c r="AM83">
        <f t="shared" si="25"/>
        <v>2.5201612903225756E-2</v>
      </c>
      <c r="AN83" s="14">
        <f t="shared" si="45"/>
        <v>4.9407114624506754E-3</v>
      </c>
      <c r="AO83">
        <f t="shared" si="54"/>
        <v>1</v>
      </c>
      <c r="AP83" s="14">
        <f t="shared" si="55"/>
        <v>0.6</v>
      </c>
      <c r="AQ83">
        <f t="shared" si="46"/>
        <v>9.1851560833031698E-3</v>
      </c>
      <c r="AR83">
        <f t="shared" si="47"/>
        <v>-4.2444446208524996E-3</v>
      </c>
      <c r="AS83">
        <f t="shared" si="29"/>
        <v>-2.05128560144878E-3</v>
      </c>
      <c r="AT83">
        <f t="shared" si="30"/>
        <v>1.5917874384731388E-2</v>
      </c>
      <c r="AU83" s="14">
        <f t="shared" si="35"/>
        <v>-0.12886680418940843</v>
      </c>
      <c r="AV83" s="19">
        <f t="shared" si="31"/>
        <v>-2.5618178607817021E-3</v>
      </c>
      <c r="AW83" s="19">
        <f t="shared" si="26"/>
        <v>-4.8923679060666192E-3</v>
      </c>
      <c r="AX83">
        <f t="shared" si="36"/>
        <v>0</v>
      </c>
      <c r="AY83">
        <f>IF(W83,SUMPRODUCT(INDEX(AX:AX,X83):INDEX(AX:AX,X83+Y83)),0)</f>
        <v>0</v>
      </c>
      <c r="AZ83">
        <f>IF(V83,COUNT(INDEX(AX:AX,X83):INDEX(AX:AX,ROW())),0)</f>
        <v>73</v>
      </c>
      <c r="BA83" s="14" t="str">
        <f t="shared" si="48"/>
        <v/>
      </c>
      <c r="BB83" s="6">
        <f t="shared" si="37"/>
        <v>695628</v>
      </c>
      <c r="BC83" s="6">
        <f>MEDIAN(INDEX(BB:BB,X83):INDEX(BB:BB,X83+Y83-1))</f>
        <v>30540</v>
      </c>
      <c r="BD83" s="25" t="str">
        <f t="shared" si="38"/>
        <v/>
      </c>
      <c r="BE83">
        <f t="shared" si="49"/>
        <v>0</v>
      </c>
      <c r="BF83" s="6">
        <f>SUM(INDEX(BE:BE,X83):INDEX(BE:BE,X83+Y83-1))</f>
        <v>16</v>
      </c>
      <c r="BG83" s="25" t="str">
        <f t="shared" si="39"/>
        <v/>
      </c>
    </row>
    <row r="84" spans="1:59" x14ac:dyDescent="0.3">
      <c r="A84" s="1">
        <v>44028</v>
      </c>
      <c r="B84">
        <v>10.119999999999999</v>
      </c>
      <c r="C84">
        <v>10.18</v>
      </c>
      <c r="D84">
        <v>10.11</v>
      </c>
      <c r="E84">
        <v>10.18</v>
      </c>
      <c r="F84">
        <v>10600</v>
      </c>
      <c r="G84" s="29">
        <v>4.6472564023595203E-2</v>
      </c>
      <c r="H84" s="29">
        <v>4.5650848746164197E-3</v>
      </c>
      <c r="I84" s="29">
        <v>6.8762278978389199E-3</v>
      </c>
      <c r="J84" s="29">
        <v>63.760031111365699</v>
      </c>
      <c r="K84" s="29">
        <v>2.1063189568706099E-2</v>
      </c>
      <c r="L84" s="29">
        <v>0.6</v>
      </c>
      <c r="M84" s="29">
        <v>-0.119675039108917</v>
      </c>
      <c r="N84" s="29">
        <v>-2.6702157587431999E-3</v>
      </c>
      <c r="O84" s="29">
        <v>-3.9138943248533398E-3</v>
      </c>
      <c r="P84" s="29">
        <v>9.8328416912485395E-4</v>
      </c>
      <c r="Q84" s="29">
        <v>0.61581920903954801</v>
      </c>
      <c r="R84" s="30">
        <v>34000</v>
      </c>
      <c r="S84" s="29">
        <v>31</v>
      </c>
      <c r="T84" s="14">
        <v>296.99</v>
      </c>
      <c r="U84" s="41"/>
      <c r="V84">
        <v>74</v>
      </c>
      <c r="W84" t="b">
        <f>V84&gt;=$C$4</f>
        <v>0</v>
      </c>
      <c r="X84">
        <f>IF(V84&lt;=$C$5,11,ROW()-$C$5+1)</f>
        <v>11</v>
      </c>
      <c r="Y84" s="14">
        <f t="shared" si="32"/>
        <v>74</v>
      </c>
      <c r="Z84" s="10">
        <f t="shared" si="40"/>
        <v>7.0000000000000284E-2</v>
      </c>
      <c r="AA84" s="15">
        <f t="shared" si="41"/>
        <v>6.8762278978389277E-3</v>
      </c>
      <c r="AB84" s="15">
        <f t="shared" si="42"/>
        <v>4.6472564023595238E-2</v>
      </c>
      <c r="AC84" s="10">
        <f t="shared" si="33"/>
        <v>4.5650848746164284E-3</v>
      </c>
      <c r="AD84">
        <f t="shared" si="43"/>
        <v>9.9999999999997868E-3</v>
      </c>
      <c r="AE84">
        <f t="shared" si="50"/>
        <v>9.9999999999997868E-3</v>
      </c>
      <c r="AF84">
        <f t="shared" si="51"/>
        <v>0</v>
      </c>
      <c r="AG84">
        <f t="shared" si="53"/>
        <v>1.8194193043681663E-2</v>
      </c>
      <c r="AH84">
        <f t="shared" si="53"/>
        <v>1.1038900452408558E-2</v>
      </c>
      <c r="AI84">
        <f t="shared" si="44"/>
        <v>1.6481888863951033</v>
      </c>
      <c r="AJ84">
        <f t="shared" si="52"/>
        <v>62.23834315076865</v>
      </c>
      <c r="AK84" s="14">
        <f t="shared" si="34"/>
        <v>62.23834315076865</v>
      </c>
      <c r="AM84">
        <f t="shared" si="25"/>
        <v>2.106318956870612E-2</v>
      </c>
      <c r="AN84" s="14">
        <f t="shared" si="45"/>
        <v>9.8328416912485395E-4</v>
      </c>
      <c r="AO84">
        <f t="shared" si="54"/>
        <v>1</v>
      </c>
      <c r="AP84" s="14">
        <f t="shared" si="55"/>
        <v>0.6</v>
      </c>
      <c r="AQ84">
        <f t="shared" si="46"/>
        <v>-3.2922666970947034E-3</v>
      </c>
      <c r="AR84">
        <f t="shared" si="47"/>
        <v>4.2755508662195574E-3</v>
      </c>
      <c r="AS84">
        <f t="shared" si="29"/>
        <v>-1.9068525902383158E-3</v>
      </c>
      <c r="AT84">
        <f t="shared" si="30"/>
        <v>1.5933586522607006E-2</v>
      </c>
      <c r="AU84" s="14">
        <f t="shared" si="35"/>
        <v>-0.11967503910891759</v>
      </c>
      <c r="AV84" s="19">
        <f t="shared" si="31"/>
        <v>-2.6702157587432931E-3</v>
      </c>
      <c r="AW84" s="19">
        <f t="shared" si="26"/>
        <v>-3.9138943248533398E-3</v>
      </c>
      <c r="AX84">
        <f t="shared" si="36"/>
        <v>0</v>
      </c>
      <c r="AY84">
        <f>IF(W84,SUMPRODUCT(INDEX(AX:AX,X84):INDEX(AX:AX,X84+Y84)),0)</f>
        <v>0</v>
      </c>
      <c r="AZ84">
        <f>IF(V84,COUNT(INDEX(AX:AX,X84):INDEX(AX:AX,ROW())),0)</f>
        <v>74</v>
      </c>
      <c r="BA84" s="14" t="str">
        <f t="shared" si="48"/>
        <v/>
      </c>
      <c r="BB84" s="6">
        <f t="shared" si="37"/>
        <v>107908</v>
      </c>
      <c r="BC84" s="6">
        <f>MEDIAN(INDEX(BB:BB,X84):INDEX(BB:BB,X84+Y84-1))</f>
        <v>31002.5</v>
      </c>
      <c r="BD84" s="25" t="str">
        <f t="shared" si="38"/>
        <v/>
      </c>
      <c r="BE84">
        <f t="shared" si="49"/>
        <v>0</v>
      </c>
      <c r="BF84" s="6">
        <f>SUM(INDEX(BE:BE,X84):INDEX(BE:BE,X84+Y84-1))</f>
        <v>16</v>
      </c>
      <c r="BG84" s="25" t="str">
        <f t="shared" si="39"/>
        <v/>
      </c>
    </row>
    <row r="85" spans="1:59" x14ac:dyDescent="0.3">
      <c r="A85" s="1">
        <v>44029</v>
      </c>
      <c r="B85">
        <v>10.130000000000001</v>
      </c>
      <c r="C85">
        <v>10.130000000000001</v>
      </c>
      <c r="D85">
        <v>10.130000000000001</v>
      </c>
      <c r="E85">
        <v>10.130000000000001</v>
      </c>
      <c r="F85">
        <v>900</v>
      </c>
      <c r="G85" s="29">
        <v>4.6724523736195497E-2</v>
      </c>
      <c r="H85" s="29">
        <v>4.6124900035730901E-3</v>
      </c>
      <c r="I85" s="29">
        <v>4.9358341559722499E-3</v>
      </c>
      <c r="J85" s="29">
        <v>56.250397352390699</v>
      </c>
      <c r="K85" s="29">
        <v>1.6048144433299799E-2</v>
      </c>
      <c r="L85" s="29">
        <v>0.6</v>
      </c>
      <c r="M85" s="29">
        <v>-9.9976122649222399E-2</v>
      </c>
      <c r="N85" s="29">
        <v>3.0073624847381099E-3</v>
      </c>
      <c r="O85" s="29">
        <v>-8.80626223091973E-3</v>
      </c>
      <c r="P85" s="29">
        <v>-4.9115913555991498E-3</v>
      </c>
      <c r="Q85" s="29">
        <v>0.61797752808988704</v>
      </c>
      <c r="R85" s="30">
        <v>33665</v>
      </c>
      <c r="S85" s="29">
        <v>31</v>
      </c>
      <c r="T85" s="14">
        <v>297.851</v>
      </c>
      <c r="U85" s="41"/>
      <c r="V85">
        <v>75</v>
      </c>
      <c r="W85" t="b">
        <f>V85&gt;=$C$4</f>
        <v>0</v>
      </c>
      <c r="X85">
        <f>IF(V85&lt;=$C$5,11,ROW()-$C$5+1)</f>
        <v>11</v>
      </c>
      <c r="Y85" s="14">
        <f t="shared" si="32"/>
        <v>75</v>
      </c>
      <c r="Z85" s="10">
        <f t="shared" si="40"/>
        <v>4.9999999999998934E-2</v>
      </c>
      <c r="AA85" s="15">
        <f t="shared" si="41"/>
        <v>4.9358341559722534E-3</v>
      </c>
      <c r="AB85" s="15">
        <f t="shared" si="42"/>
        <v>4.6724523736195504E-2</v>
      </c>
      <c r="AC85" s="10">
        <f t="shared" si="33"/>
        <v>4.6124900035730996E-3</v>
      </c>
      <c r="AD85">
        <f t="shared" si="43"/>
        <v>-4.9999999999998934E-2</v>
      </c>
      <c r="AE85">
        <f t="shared" si="50"/>
        <v>0</v>
      </c>
      <c r="AF85">
        <f t="shared" si="51"/>
        <v>4.9999999999998934E-2</v>
      </c>
      <c r="AG85">
        <f t="shared" si="53"/>
        <v>1.6894607826275828E-2</v>
      </c>
      <c r="AH85">
        <f t="shared" si="53"/>
        <v>1.38218361343793E-2</v>
      </c>
      <c r="AI85">
        <f t="shared" si="44"/>
        <v>1.2223128433894226</v>
      </c>
      <c r="AJ85">
        <f t="shared" si="52"/>
        <v>55.001835003805226</v>
      </c>
      <c r="AK85" s="14">
        <f t="shared" si="34"/>
        <v>55.001835003805226</v>
      </c>
      <c r="AM85">
        <f t="shared" si="25"/>
        <v>1.6048144433299827E-2</v>
      </c>
      <c r="AN85" s="14">
        <f t="shared" si="45"/>
        <v>-4.9115913555991542E-3</v>
      </c>
      <c r="AO85">
        <f t="shared" si="54"/>
        <v>0</v>
      </c>
      <c r="AP85" s="14">
        <f t="shared" si="55"/>
        <v>0.6</v>
      </c>
      <c r="AQ85">
        <f t="shared" si="46"/>
        <v>2.8990875113639181E-3</v>
      </c>
      <c r="AR85">
        <f t="shared" si="47"/>
        <v>-7.8106788669630679E-3</v>
      </c>
      <c r="AS85">
        <f t="shared" si="29"/>
        <v>-1.5537700421600256E-3</v>
      </c>
      <c r="AT85">
        <f t="shared" si="30"/>
        <v>1.5541411298891862E-2</v>
      </c>
      <c r="AU85" s="14">
        <f t="shared" si="35"/>
        <v>-9.9976122649222524E-2</v>
      </c>
      <c r="AV85" s="19">
        <f t="shared" si="31"/>
        <v>3.0073624847380669E-3</v>
      </c>
      <c r="AW85" s="19">
        <f t="shared" si="26"/>
        <v>-8.8062622309197369E-3</v>
      </c>
      <c r="AX85">
        <f t="shared" si="36"/>
        <v>1</v>
      </c>
      <c r="AY85">
        <f>IF(W85,SUMPRODUCT(INDEX(AX:AX,X85):INDEX(AX:AX,X85+Y85)),0)</f>
        <v>0</v>
      </c>
      <c r="AZ85">
        <f>IF(V85,COUNT(INDEX(AX:AX,X85):INDEX(AX:AX,ROW())),0)</f>
        <v>75</v>
      </c>
      <c r="BA85" s="14" t="str">
        <f t="shared" si="48"/>
        <v/>
      </c>
      <c r="BB85" s="6">
        <f t="shared" si="37"/>
        <v>9117</v>
      </c>
      <c r="BC85" s="6">
        <f>MEDIAN(INDEX(BB:BB,X85):INDEX(BB:BB,X85+Y85-1))</f>
        <v>30540</v>
      </c>
      <c r="BD85" s="25" t="str">
        <f t="shared" si="38"/>
        <v/>
      </c>
      <c r="BE85">
        <f t="shared" si="49"/>
        <v>0</v>
      </c>
      <c r="BF85" s="6">
        <f>SUM(INDEX(BE:BE,X85):INDEX(BE:BE,X85+Y85-1))</f>
        <v>16</v>
      </c>
      <c r="BG85" s="25" t="str">
        <f t="shared" si="39"/>
        <v/>
      </c>
    </row>
    <row r="86" spans="1:59" x14ac:dyDescent="0.3">
      <c r="A86" s="1">
        <v>44032</v>
      </c>
      <c r="B86">
        <v>10.199999999999999</v>
      </c>
      <c r="C86">
        <v>10.199999999999999</v>
      </c>
      <c r="D86">
        <v>10.199999999999999</v>
      </c>
      <c r="E86">
        <v>10.199999999999999</v>
      </c>
      <c r="F86">
        <v>128200</v>
      </c>
      <c r="G86" s="29">
        <v>4.8387057755038501E-2</v>
      </c>
      <c r="H86" s="29">
        <v>4.7438291916704397E-3</v>
      </c>
      <c r="I86" s="29">
        <v>6.8627450980390699E-3</v>
      </c>
      <c r="J86" s="29">
        <v>62.847729068363698</v>
      </c>
      <c r="K86" s="29">
        <v>2.3069207622868401E-2</v>
      </c>
      <c r="L86" s="29">
        <v>0.6</v>
      </c>
      <c r="M86" s="29">
        <v>-0.12067912164403399</v>
      </c>
      <c r="N86" s="29">
        <v>5.0082023209345704E-3</v>
      </c>
      <c r="O86" s="29">
        <v>-1.95694716242678E-3</v>
      </c>
      <c r="P86" s="29">
        <v>6.9101678183611697E-3</v>
      </c>
      <c r="Q86" s="29">
        <v>0.62011173184357504</v>
      </c>
      <c r="R86" s="30">
        <v>34000</v>
      </c>
      <c r="S86" s="29">
        <v>31</v>
      </c>
      <c r="T86" s="14">
        <v>300.25799999999998</v>
      </c>
      <c r="U86" s="41"/>
      <c r="V86">
        <v>76</v>
      </c>
      <c r="W86" t="b">
        <f>V86&gt;=$C$4</f>
        <v>0</v>
      </c>
      <c r="X86">
        <f>IF(V86&lt;=$C$5,11,ROW()-$C$5+1)</f>
        <v>11</v>
      </c>
      <c r="Y86" s="14">
        <f t="shared" si="32"/>
        <v>76</v>
      </c>
      <c r="Z86" s="10">
        <f t="shared" si="40"/>
        <v>6.9999999999998508E-2</v>
      </c>
      <c r="AA86" s="15">
        <f t="shared" si="41"/>
        <v>6.8627450980390699E-3</v>
      </c>
      <c r="AB86" s="15">
        <f t="shared" si="42"/>
        <v>4.8387057755038577E-2</v>
      </c>
      <c r="AC86" s="10">
        <f t="shared" si="33"/>
        <v>4.7438291916704492E-3</v>
      </c>
      <c r="AD86">
        <f t="shared" si="43"/>
        <v>6.9999999999998508E-2</v>
      </c>
      <c r="AE86">
        <f t="shared" si="50"/>
        <v>6.9999999999998508E-2</v>
      </c>
      <c r="AF86">
        <f t="shared" si="51"/>
        <v>0</v>
      </c>
      <c r="AG86">
        <f t="shared" si="53"/>
        <v>2.0687850124398877E-2</v>
      </c>
      <c r="AH86">
        <f t="shared" si="53"/>
        <v>1.2834562124780778E-2</v>
      </c>
      <c r="AI86">
        <f t="shared" si="44"/>
        <v>1.6118859313832834</v>
      </c>
      <c r="AJ86">
        <f t="shared" si="52"/>
        <v>61.71348878661064</v>
      </c>
      <c r="AK86" s="14">
        <f t="shared" si="34"/>
        <v>61.71348878661064</v>
      </c>
      <c r="AM86">
        <f t="shared" si="25"/>
        <v>2.3069207622868459E-2</v>
      </c>
      <c r="AN86" s="14">
        <f t="shared" si="45"/>
        <v>6.9101678183611792E-3</v>
      </c>
      <c r="AO86">
        <f t="shared" si="54"/>
        <v>1</v>
      </c>
      <c r="AP86" s="14">
        <f t="shared" si="55"/>
        <v>0.6</v>
      </c>
      <c r="AQ86">
        <f t="shared" si="46"/>
        <v>8.0812218189632024E-3</v>
      </c>
      <c r="AR86">
        <f t="shared" si="47"/>
        <v>-1.1710540006020327E-3</v>
      </c>
      <c r="AS86">
        <f t="shared" si="29"/>
        <v>-1.8520168407326371E-3</v>
      </c>
      <c r="AT86">
        <f t="shared" si="30"/>
        <v>1.5346621814132018E-2</v>
      </c>
      <c r="AU86" s="14">
        <f t="shared" si="35"/>
        <v>-0.12067912164403488</v>
      </c>
      <c r="AV86" s="19">
        <f t="shared" si="31"/>
        <v>5.0082023209345331E-3</v>
      </c>
      <c r="AW86" s="19">
        <f t="shared" si="26"/>
        <v>-1.9569471624267809E-3</v>
      </c>
      <c r="AX86">
        <f t="shared" si="36"/>
        <v>1</v>
      </c>
      <c r="AY86">
        <f>IF(W86,SUMPRODUCT(INDEX(AX:AX,X86):INDEX(AX:AX,X86+Y86)),0)</f>
        <v>0</v>
      </c>
      <c r="AZ86">
        <f>IF(V86,COUNT(INDEX(AX:AX,X86):INDEX(AX:AX,ROW())),0)</f>
        <v>76</v>
      </c>
      <c r="BA86" s="14" t="str">
        <f t="shared" si="48"/>
        <v/>
      </c>
      <c r="BB86" s="6">
        <f t="shared" si="37"/>
        <v>1307640</v>
      </c>
      <c r="BC86" s="6">
        <f>MEDIAN(INDEX(BB:BB,X86):INDEX(BB:BB,X86+Y86-1))</f>
        <v>31002.5</v>
      </c>
      <c r="BD86" s="25" t="str">
        <f t="shared" si="38"/>
        <v/>
      </c>
      <c r="BE86">
        <f t="shared" si="49"/>
        <v>0</v>
      </c>
      <c r="BF86" s="6">
        <f>SUM(INDEX(BE:BE,X86):INDEX(BE:BE,X86+Y86-1))</f>
        <v>16</v>
      </c>
      <c r="BG86" s="25" t="str">
        <f t="shared" si="39"/>
        <v/>
      </c>
    </row>
    <row r="87" spans="1:59" x14ac:dyDescent="0.3">
      <c r="A87" s="1">
        <v>44033</v>
      </c>
      <c r="B87">
        <v>10.25</v>
      </c>
      <c r="C87">
        <v>10.285</v>
      </c>
      <c r="D87">
        <v>10.249000000000001</v>
      </c>
      <c r="E87">
        <v>10.26</v>
      </c>
      <c r="F87">
        <v>72800</v>
      </c>
      <c r="G87" s="29">
        <v>5.1002267915393001E-2</v>
      </c>
      <c r="H87" s="29">
        <v>4.97098127830341E-3</v>
      </c>
      <c r="I87" s="29">
        <v>8.2846003898636306E-3</v>
      </c>
      <c r="J87" s="29">
        <v>67.387337169809399</v>
      </c>
      <c r="K87" s="29">
        <v>2.39520958083832E-2</v>
      </c>
      <c r="L87" s="29">
        <v>0.8</v>
      </c>
      <c r="M87" s="29">
        <v>-0.153651801050666</v>
      </c>
      <c r="N87" s="29">
        <v>3.6193880326669098E-3</v>
      </c>
      <c r="O87" s="29">
        <v>0</v>
      </c>
      <c r="P87" s="29">
        <v>5.8823529411764497E-3</v>
      </c>
      <c r="Q87" s="29">
        <v>0.61666666666666603</v>
      </c>
      <c r="R87" s="30">
        <v>34694</v>
      </c>
      <c r="S87" s="29">
        <v>31</v>
      </c>
      <c r="T87" s="14">
        <v>300.89699999999999</v>
      </c>
      <c r="U87" s="41"/>
      <c r="V87">
        <v>77</v>
      </c>
      <c r="W87" t="b">
        <f>V87&gt;=$C$4</f>
        <v>0</v>
      </c>
      <c r="X87">
        <f>IF(V87&lt;=$C$5,11,ROW()-$C$5+1)</f>
        <v>11</v>
      </c>
      <c r="Y87" s="14">
        <f t="shared" si="32"/>
        <v>77</v>
      </c>
      <c r="Z87" s="10">
        <f t="shared" si="40"/>
        <v>8.5000000000000853E-2</v>
      </c>
      <c r="AA87" s="15">
        <f t="shared" si="41"/>
        <v>8.2846003898636306E-3</v>
      </c>
      <c r="AB87" s="15">
        <f t="shared" si="42"/>
        <v>5.1002267915393029E-2</v>
      </c>
      <c r="AC87" s="10">
        <f t="shared" si="33"/>
        <v>4.9709812783034144E-3</v>
      </c>
      <c r="AD87">
        <f t="shared" si="43"/>
        <v>6.0000000000000497E-2</v>
      </c>
      <c r="AE87">
        <f t="shared" si="50"/>
        <v>6.0000000000000497E-2</v>
      </c>
      <c r="AF87">
        <f t="shared" si="51"/>
        <v>0</v>
      </c>
      <c r="AG87">
        <f t="shared" si="53"/>
        <v>2.3495860829798994E-2</v>
      </c>
      <c r="AH87">
        <f t="shared" si="53"/>
        <v>1.1917807687296436E-2</v>
      </c>
      <c r="AI87">
        <f t="shared" si="44"/>
        <v>1.9714918587622425</v>
      </c>
      <c r="AJ87">
        <f t="shared" si="52"/>
        <v>66.346870611432735</v>
      </c>
      <c r="AK87" s="14">
        <f t="shared" si="34"/>
        <v>66.346870611432735</v>
      </c>
      <c r="AM87">
        <f t="shared" si="25"/>
        <v>2.39520958083832E-2</v>
      </c>
      <c r="AN87" s="14">
        <f t="shared" si="45"/>
        <v>5.8823529411764497E-3</v>
      </c>
      <c r="AO87">
        <f t="shared" si="54"/>
        <v>1</v>
      </c>
      <c r="AP87" s="14">
        <f t="shared" si="55"/>
        <v>0.8</v>
      </c>
      <c r="AQ87">
        <f t="shared" si="46"/>
        <v>2.1281697739943262E-3</v>
      </c>
      <c r="AR87">
        <f t="shared" si="47"/>
        <v>3.7541831671821235E-3</v>
      </c>
      <c r="AS87">
        <f t="shared" si="29"/>
        <v>-2.2743851998046033E-3</v>
      </c>
      <c r="AT87">
        <f t="shared" si="30"/>
        <v>1.4802203321096309E-2</v>
      </c>
      <c r="AU87" s="14">
        <f t="shared" si="35"/>
        <v>-0.15365180105066639</v>
      </c>
      <c r="AV87" s="19">
        <f t="shared" si="31"/>
        <v>3.6193880326668825E-3</v>
      </c>
      <c r="AW87" s="19">
        <f t="shared" si="26"/>
        <v>0</v>
      </c>
      <c r="AX87">
        <f t="shared" si="36"/>
        <v>0</v>
      </c>
      <c r="AY87">
        <f>IF(W87,SUMPRODUCT(INDEX(AX:AX,X87):INDEX(AX:AX,X87+Y87)),0)</f>
        <v>0</v>
      </c>
      <c r="AZ87">
        <f>IF(V87,COUNT(INDEX(AX:AX,X87):INDEX(AX:AX,ROW())),0)</f>
        <v>77</v>
      </c>
      <c r="BA87" s="14" t="str">
        <f t="shared" si="48"/>
        <v/>
      </c>
      <c r="BB87" s="6">
        <f t="shared" si="37"/>
        <v>746928</v>
      </c>
      <c r="BC87" s="6">
        <f>MEDIAN(INDEX(BB:BB,X87):INDEX(BB:BB,X87+Y87-1))</f>
        <v>31465</v>
      </c>
      <c r="BD87" s="25" t="str">
        <f t="shared" si="38"/>
        <v/>
      </c>
      <c r="BE87">
        <f t="shared" si="49"/>
        <v>0</v>
      </c>
      <c r="BF87" s="6">
        <f>SUM(INDEX(BE:BE,X87):INDEX(BE:BE,X87+Y87-1))</f>
        <v>16</v>
      </c>
      <c r="BG87" s="25" t="str">
        <f t="shared" si="39"/>
        <v/>
      </c>
    </row>
    <row r="88" spans="1:59" x14ac:dyDescent="0.3">
      <c r="A88" s="1">
        <v>44034</v>
      </c>
      <c r="B88">
        <v>10.27</v>
      </c>
      <c r="C88">
        <v>10.3</v>
      </c>
      <c r="D88">
        <v>10.27</v>
      </c>
      <c r="E88">
        <v>10.3</v>
      </c>
      <c r="F88">
        <v>175600</v>
      </c>
      <c r="G88" s="29">
        <v>5.0216391635722099E-2</v>
      </c>
      <c r="H88" s="29">
        <v>4.8753778287108796E-3</v>
      </c>
      <c r="I88" s="29">
        <v>3.8834951456311502E-3</v>
      </c>
      <c r="J88" s="29">
        <v>70.017564742235095</v>
      </c>
      <c r="K88" s="29">
        <v>2.4875621890547199E-2</v>
      </c>
      <c r="L88" s="29">
        <v>0.8</v>
      </c>
      <c r="M88" s="29">
        <v>-0.13377534606227201</v>
      </c>
      <c r="N88" s="29">
        <v>5.5302030594450201E-3</v>
      </c>
      <c r="O88" s="29">
        <v>0</v>
      </c>
      <c r="P88" s="29">
        <v>3.8986354775829499E-3</v>
      </c>
      <c r="Q88" s="29">
        <v>0.61325966850828695</v>
      </c>
      <c r="R88" s="30">
        <v>35388</v>
      </c>
      <c r="S88" s="29">
        <v>31</v>
      </c>
      <c r="T88" s="14">
        <v>302.61</v>
      </c>
      <c r="U88" s="41"/>
      <c r="V88">
        <v>78</v>
      </c>
      <c r="W88" t="b">
        <f>V88&gt;=$C$4</f>
        <v>0</v>
      </c>
      <c r="X88">
        <f>IF(V88&lt;=$C$5,11,ROW()-$C$5+1)</f>
        <v>11</v>
      </c>
      <c r="Y88" s="14">
        <f t="shared" si="32"/>
        <v>78</v>
      </c>
      <c r="Z88" s="10">
        <f t="shared" si="40"/>
        <v>4.0000000000000924E-2</v>
      </c>
      <c r="AA88" s="15">
        <f t="shared" si="41"/>
        <v>3.8834951456311576E-3</v>
      </c>
      <c r="AB88" s="15">
        <f t="shared" si="42"/>
        <v>5.0216391635722162E-2</v>
      </c>
      <c r="AC88" s="10">
        <f t="shared" si="33"/>
        <v>4.8753778287108892E-3</v>
      </c>
      <c r="AD88">
        <f t="shared" si="43"/>
        <v>4.0000000000000924E-2</v>
      </c>
      <c r="AE88">
        <f t="shared" si="50"/>
        <v>4.0000000000000924E-2</v>
      </c>
      <c r="AF88">
        <f t="shared" si="51"/>
        <v>0</v>
      </c>
      <c r="AG88">
        <f t="shared" si="53"/>
        <v>2.4674727913384847E-2</v>
      </c>
      <c r="AH88">
        <f t="shared" si="53"/>
        <v>1.1066535709632406E-2</v>
      </c>
      <c r="AI88">
        <f t="shared" si="44"/>
        <v>2.2296704732907298</v>
      </c>
      <c r="AJ88">
        <f t="shared" si="52"/>
        <v>69.037088821600605</v>
      </c>
      <c r="AK88" s="14">
        <f t="shared" si="34"/>
        <v>69.037088821600605</v>
      </c>
      <c r="AM88">
        <f t="shared" si="25"/>
        <v>2.4875621890547261E-2</v>
      </c>
      <c r="AN88" s="14">
        <f t="shared" si="45"/>
        <v>3.8986354775829568E-3</v>
      </c>
      <c r="AO88">
        <f t="shared" si="54"/>
        <v>1</v>
      </c>
      <c r="AP88" s="14">
        <f t="shared" si="55"/>
        <v>0.8</v>
      </c>
      <c r="AQ88">
        <f t="shared" si="46"/>
        <v>5.692977995792603E-3</v>
      </c>
      <c r="AR88">
        <f t="shared" si="47"/>
        <v>-1.7943425182096531E-3</v>
      </c>
      <c r="AS88">
        <f t="shared" si="29"/>
        <v>-1.9505606120517776E-3</v>
      </c>
      <c r="AT88">
        <f t="shared" si="30"/>
        <v>1.458086762222828E-2</v>
      </c>
      <c r="AU88" s="14">
        <f t="shared" si="35"/>
        <v>-0.13377534606227284</v>
      </c>
      <c r="AV88" s="19">
        <f t="shared" si="31"/>
        <v>5.5302030594449854E-3</v>
      </c>
      <c r="AW88" s="19">
        <f t="shared" si="26"/>
        <v>0</v>
      </c>
      <c r="AX88">
        <f t="shared" si="36"/>
        <v>0</v>
      </c>
      <c r="AY88">
        <f>IF(W88,SUMPRODUCT(INDEX(AX:AX,X88):INDEX(AX:AX,X88+Y88)),0)</f>
        <v>0</v>
      </c>
      <c r="AZ88">
        <f>IF(V88,COUNT(INDEX(AX:AX,X88):INDEX(AX:AX,ROW())),0)</f>
        <v>78</v>
      </c>
      <c r="BA88" s="14" t="str">
        <f t="shared" si="48"/>
        <v/>
      </c>
      <c r="BB88" s="6">
        <f t="shared" si="37"/>
        <v>1808680.0000000002</v>
      </c>
      <c r="BC88" s="6">
        <f>MEDIAN(INDEX(BB:BB,X88):INDEX(BB:BB,X88+Y88-1))</f>
        <v>32397.5</v>
      </c>
      <c r="BD88" s="25" t="str">
        <f t="shared" si="38"/>
        <v/>
      </c>
      <c r="BE88">
        <f t="shared" si="49"/>
        <v>0</v>
      </c>
      <c r="BF88" s="6">
        <f>SUM(INDEX(BE:BE,X88):INDEX(BE:BE,X88+Y88-1))</f>
        <v>16</v>
      </c>
      <c r="BG88" s="25" t="str">
        <f t="shared" si="39"/>
        <v/>
      </c>
    </row>
    <row r="89" spans="1:59" x14ac:dyDescent="0.3">
      <c r="A89" s="1">
        <v>44035</v>
      </c>
      <c r="B89">
        <v>10.25</v>
      </c>
      <c r="C89">
        <v>10.3</v>
      </c>
      <c r="D89">
        <v>10.25</v>
      </c>
      <c r="E89">
        <v>10.3</v>
      </c>
      <c r="F89">
        <v>182400</v>
      </c>
      <c r="G89" s="29">
        <v>5.0200935090313398E-2</v>
      </c>
      <c r="H89" s="29">
        <v>4.87387719323431E-3</v>
      </c>
      <c r="I89" s="29">
        <v>4.8543689320388996E-3</v>
      </c>
      <c r="J89" s="29">
        <v>70.017564742235095</v>
      </c>
      <c r="K89" s="29">
        <v>2.2028180194483198E-2</v>
      </c>
      <c r="L89" s="29">
        <v>0.6</v>
      </c>
      <c r="M89" s="29">
        <v>-0.126897049486075</v>
      </c>
      <c r="N89" s="29">
        <v>7.3391941399655203E-3</v>
      </c>
      <c r="O89" s="29">
        <v>0</v>
      </c>
      <c r="P89" s="29">
        <v>0</v>
      </c>
      <c r="Q89" s="29">
        <v>0.60989010989010894</v>
      </c>
      <c r="R89" s="30">
        <v>38442</v>
      </c>
      <c r="S89" s="29">
        <v>31</v>
      </c>
      <c r="T89" s="14">
        <v>298.99900000000002</v>
      </c>
      <c r="U89" s="41"/>
      <c r="V89">
        <v>79</v>
      </c>
      <c r="W89" t="b">
        <f>V89&gt;=$C$4</f>
        <v>0</v>
      </c>
      <c r="X89">
        <f>IF(V89&lt;=$C$5,11,ROW()-$C$5+1)</f>
        <v>11</v>
      </c>
      <c r="Y89" s="14">
        <f t="shared" si="32"/>
        <v>79</v>
      </c>
      <c r="Z89" s="10">
        <f t="shared" si="40"/>
        <v>5.0000000000000711E-2</v>
      </c>
      <c r="AA89" s="15">
        <f t="shared" si="41"/>
        <v>4.8543689320389039E-3</v>
      </c>
      <c r="AB89" s="15">
        <f t="shared" si="42"/>
        <v>5.0200935090313488E-2</v>
      </c>
      <c r="AC89" s="10">
        <f t="shared" si="33"/>
        <v>4.8738771932343187E-3</v>
      </c>
      <c r="AD89">
        <f t="shared" si="43"/>
        <v>0</v>
      </c>
      <c r="AE89">
        <f t="shared" si="50"/>
        <v>0</v>
      </c>
      <c r="AF89">
        <f t="shared" si="51"/>
        <v>0</v>
      </c>
      <c r="AG89">
        <f t="shared" si="53"/>
        <v>2.2912247348143074E-2</v>
      </c>
      <c r="AH89">
        <f t="shared" si="53"/>
        <v>1.027606887323009E-2</v>
      </c>
      <c r="AI89">
        <f t="shared" si="44"/>
        <v>2.2296704732907302</v>
      </c>
      <c r="AJ89">
        <f t="shared" si="52"/>
        <v>69.037088821600605</v>
      </c>
      <c r="AK89" s="14">
        <f t="shared" si="34"/>
        <v>69.037088821600605</v>
      </c>
      <c r="AM89">
        <f t="shared" si="25"/>
        <v>2.2028180194483271E-2</v>
      </c>
      <c r="AN89" s="14">
        <f t="shared" si="45"/>
        <v>0</v>
      </c>
      <c r="AO89">
        <f t="shared" si="54"/>
        <v>0</v>
      </c>
      <c r="AP89" s="14">
        <f t="shared" si="55"/>
        <v>0.6</v>
      </c>
      <c r="AQ89">
        <f t="shared" si="46"/>
        <v>-1.1932850864148525E-2</v>
      </c>
      <c r="AR89">
        <f t="shared" si="47"/>
        <v>1.1932850864148525E-2</v>
      </c>
      <c r="AS89">
        <f t="shared" si="29"/>
        <v>-1.8591092639263899E-3</v>
      </c>
      <c r="AT89">
        <f t="shared" si="30"/>
        <v>1.4650531840225309E-2</v>
      </c>
      <c r="AU89" s="14">
        <f t="shared" si="35"/>
        <v>-0.12689704948607511</v>
      </c>
      <c r="AV89" s="19">
        <f t="shared" si="31"/>
        <v>7.3391941399655013E-3</v>
      </c>
      <c r="AW89" s="19">
        <f t="shared" si="26"/>
        <v>0</v>
      </c>
      <c r="AX89">
        <f t="shared" si="36"/>
        <v>0</v>
      </c>
      <c r="AY89">
        <f>IF(W89,SUMPRODUCT(INDEX(AX:AX,X89):INDEX(AX:AX,X89+Y89)),0)</f>
        <v>0</v>
      </c>
      <c r="AZ89">
        <f>IF(V89,COUNT(INDEX(AX:AX,X89):INDEX(AX:AX,ROW())),0)</f>
        <v>79</v>
      </c>
      <c r="BA89" s="14" t="str">
        <f t="shared" si="48"/>
        <v/>
      </c>
      <c r="BB89" s="6">
        <f t="shared" si="37"/>
        <v>1878720.0000000002</v>
      </c>
      <c r="BC89" s="6">
        <f>MEDIAN(INDEX(BB:BB,X89):INDEX(BB:BB,X89+Y89-1))</f>
        <v>33330</v>
      </c>
      <c r="BD89" s="25" t="str">
        <f t="shared" si="38"/>
        <v/>
      </c>
      <c r="BE89">
        <f t="shared" si="49"/>
        <v>0</v>
      </c>
      <c r="BF89" s="6">
        <f>SUM(INDEX(BE:BE,X89):INDEX(BE:BE,X89+Y89-1))</f>
        <v>16</v>
      </c>
      <c r="BG89" s="25" t="str">
        <f t="shared" si="39"/>
        <v/>
      </c>
    </row>
    <row r="90" spans="1:59" x14ac:dyDescent="0.3">
      <c r="A90" s="1">
        <v>44036</v>
      </c>
      <c r="B90">
        <v>10.15</v>
      </c>
      <c r="C90">
        <v>10.199999999999999</v>
      </c>
      <c r="D90">
        <v>10.15</v>
      </c>
      <c r="E90">
        <v>10.199999999999999</v>
      </c>
      <c r="F90">
        <v>3100</v>
      </c>
      <c r="G90" s="29">
        <v>5.7329439726719597E-2</v>
      </c>
      <c r="H90" s="29">
        <v>5.6205333065411402E-3</v>
      </c>
      <c r="I90" s="29">
        <v>1.4705882352941201E-2</v>
      </c>
      <c r="J90" s="29">
        <v>56.747744352197302</v>
      </c>
      <c r="K90" s="29">
        <v>1.5936254980079601E-2</v>
      </c>
      <c r="L90" s="29">
        <v>0.6</v>
      </c>
      <c r="M90" s="29">
        <v>-0.118978718197877</v>
      </c>
      <c r="N90" s="29">
        <v>1.2140511622402501E-2</v>
      </c>
      <c r="O90" s="29">
        <v>-9.7087378640777697E-3</v>
      </c>
      <c r="P90" s="29">
        <v>-9.7087378640777697E-3</v>
      </c>
      <c r="Q90" s="29">
        <v>0.60655737704918</v>
      </c>
      <c r="R90" s="30">
        <v>35388</v>
      </c>
      <c r="S90" s="29">
        <v>31</v>
      </c>
      <c r="T90" s="14">
        <v>297.07299999999998</v>
      </c>
      <c r="U90" s="41"/>
      <c r="V90">
        <v>80</v>
      </c>
      <c r="W90" t="b">
        <f>V90&gt;=$C$4</f>
        <v>0</v>
      </c>
      <c r="X90">
        <f>IF(V90&lt;=$C$5,11,ROW()-$C$5+1)</f>
        <v>11</v>
      </c>
      <c r="Y90" s="14">
        <f t="shared" si="32"/>
        <v>80</v>
      </c>
      <c r="Z90" s="10">
        <f t="shared" si="40"/>
        <v>0.15000000000000036</v>
      </c>
      <c r="AA90" s="15">
        <f t="shared" si="41"/>
        <v>1.4705882352941213E-2</v>
      </c>
      <c r="AB90" s="15">
        <f t="shared" si="42"/>
        <v>5.7329439726719687E-2</v>
      </c>
      <c r="AC90" s="10">
        <f t="shared" si="33"/>
        <v>5.6205333065411462E-3</v>
      </c>
      <c r="AD90">
        <f t="shared" si="43"/>
        <v>-0.10000000000000142</v>
      </c>
      <c r="AE90">
        <f t="shared" si="50"/>
        <v>0</v>
      </c>
      <c r="AF90">
        <f t="shared" si="51"/>
        <v>0.10000000000000142</v>
      </c>
      <c r="AG90">
        <f t="shared" si="53"/>
        <v>2.127565825184714E-2</v>
      </c>
      <c r="AH90">
        <f t="shared" si="53"/>
        <v>1.6684921096570899E-2</v>
      </c>
      <c r="AI90">
        <f t="shared" si="44"/>
        <v>1.2751428747373419</v>
      </c>
      <c r="AJ90">
        <f t="shared" si="52"/>
        <v>56.046716401692052</v>
      </c>
      <c r="AK90" s="14">
        <f t="shared" si="34"/>
        <v>56.046716401692052</v>
      </c>
      <c r="AM90">
        <f t="shared" si="25"/>
        <v>1.5936254980079667E-2</v>
      </c>
      <c r="AN90" s="14">
        <f t="shared" si="45"/>
        <v>-9.7087378640777766E-3</v>
      </c>
      <c r="AO90">
        <f t="shared" si="54"/>
        <v>0</v>
      </c>
      <c r="AP90" s="14">
        <f t="shared" si="55"/>
        <v>0.6</v>
      </c>
      <c r="AQ90">
        <f t="shared" si="46"/>
        <v>-6.441493115361685E-3</v>
      </c>
      <c r="AR90">
        <f t="shared" si="47"/>
        <v>-3.2672447487160847E-3</v>
      </c>
      <c r="AS90">
        <f t="shared" si="29"/>
        <v>-1.737797628015794E-3</v>
      </c>
      <c r="AT90">
        <f t="shared" si="30"/>
        <v>1.4605953521247434E-2</v>
      </c>
      <c r="AU90" s="14">
        <f t="shared" si="35"/>
        <v>-0.11897871819787743</v>
      </c>
      <c r="AV90" s="19">
        <f t="shared" si="31"/>
        <v>1.2140511622402539E-2</v>
      </c>
      <c r="AW90" s="19">
        <f t="shared" si="26"/>
        <v>-9.7087378640777766E-3</v>
      </c>
      <c r="AX90">
        <f t="shared" si="36"/>
        <v>0</v>
      </c>
      <c r="AY90">
        <f>IF(W90,SUMPRODUCT(INDEX(AX:AX,X90):INDEX(AX:AX,X90+Y90)),0)</f>
        <v>0</v>
      </c>
      <c r="AZ90">
        <f>IF(V90,COUNT(INDEX(AX:AX,X90):INDEX(AX:AX,ROW())),0)</f>
        <v>80</v>
      </c>
      <c r="BA90" s="14" t="str">
        <f t="shared" si="48"/>
        <v/>
      </c>
      <c r="BB90" s="6">
        <f t="shared" si="37"/>
        <v>31619.999999999996</v>
      </c>
      <c r="BC90" s="6">
        <f>MEDIAN(INDEX(BB:BB,X90):INDEX(BB:BB,X90+Y90-1))</f>
        <v>32475</v>
      </c>
      <c r="BD90" s="25" t="str">
        <f t="shared" si="38"/>
        <v/>
      </c>
      <c r="BE90">
        <f t="shared" si="49"/>
        <v>0</v>
      </c>
      <c r="BF90" s="6">
        <f>SUM(INDEX(BE:BE,X90):INDEX(BE:BE,X90+Y90-1))</f>
        <v>16</v>
      </c>
      <c r="BG90" s="25" t="str">
        <f t="shared" si="39"/>
        <v/>
      </c>
    </row>
    <row r="91" spans="1:59" x14ac:dyDescent="0.3">
      <c r="A91" s="1">
        <v>44039</v>
      </c>
      <c r="B91">
        <v>10.25</v>
      </c>
      <c r="C91">
        <v>10.25</v>
      </c>
      <c r="D91">
        <v>10.210000000000001</v>
      </c>
      <c r="E91">
        <v>10.210000000000001</v>
      </c>
      <c r="F91">
        <v>400</v>
      </c>
      <c r="G91" s="29">
        <v>5.6805908317668297E-2</v>
      </c>
      <c r="H91" s="29">
        <v>5.5637520389488996E-3</v>
      </c>
      <c r="I91" s="29">
        <v>4.8971596474045699E-3</v>
      </c>
      <c r="J91" s="29">
        <v>57.6128652186053</v>
      </c>
      <c r="K91" s="29">
        <v>1.6932270916334799E-2</v>
      </c>
      <c r="L91" s="29">
        <v>0.6</v>
      </c>
      <c r="M91" s="29">
        <v>-0.110761868421674</v>
      </c>
      <c r="N91" s="29">
        <v>1.2909951633232801E-2</v>
      </c>
      <c r="O91" s="29">
        <v>-8.7378640776698494E-3</v>
      </c>
      <c r="P91" s="29">
        <v>9.8039215686296301E-4</v>
      </c>
      <c r="Q91" s="29">
        <v>0.60326086956521696</v>
      </c>
      <c r="R91" s="30">
        <v>34694</v>
      </c>
      <c r="S91" s="29">
        <v>31</v>
      </c>
      <c r="T91" s="14">
        <v>299.24</v>
      </c>
      <c r="U91" s="41"/>
      <c r="V91">
        <v>81</v>
      </c>
      <c r="W91" t="b">
        <f>V91&gt;=$C$4</f>
        <v>0</v>
      </c>
      <c r="X91">
        <f>IF(V91&lt;=$C$5,11,ROW()-$C$5+1)</f>
        <v>11</v>
      </c>
      <c r="Y91" s="14">
        <f t="shared" si="32"/>
        <v>81</v>
      </c>
      <c r="Z91" s="10">
        <f t="shared" si="40"/>
        <v>5.0000000000000711E-2</v>
      </c>
      <c r="AA91" s="15">
        <f t="shared" si="41"/>
        <v>4.8971596474045743E-3</v>
      </c>
      <c r="AB91" s="15">
        <f t="shared" si="42"/>
        <v>5.6805908317668331E-2</v>
      </c>
      <c r="AC91" s="10">
        <f t="shared" si="33"/>
        <v>5.5637520389489057E-3</v>
      </c>
      <c r="AD91">
        <f t="shared" si="43"/>
        <v>1.0000000000001563E-2</v>
      </c>
      <c r="AE91">
        <f t="shared" si="50"/>
        <v>1.0000000000001563E-2</v>
      </c>
      <c r="AF91">
        <f t="shared" si="51"/>
        <v>0</v>
      </c>
      <c r="AG91">
        <f t="shared" si="53"/>
        <v>2.0470254091001026E-2</v>
      </c>
      <c r="AH91">
        <f t="shared" si="53"/>
        <v>1.5493141018244406E-2</v>
      </c>
      <c r="AI91">
        <f t="shared" si="44"/>
        <v>1.3212462254681394</v>
      </c>
      <c r="AJ91">
        <f t="shared" si="52"/>
        <v>56.919693006788883</v>
      </c>
      <c r="AK91" s="14">
        <f t="shared" si="34"/>
        <v>56.919693006788883</v>
      </c>
      <c r="AM91">
        <f t="shared" si="25"/>
        <v>1.6932270916334868E-2</v>
      </c>
      <c r="AN91" s="14">
        <f t="shared" si="45"/>
        <v>9.8039215686296366E-4</v>
      </c>
      <c r="AO91">
        <f t="shared" si="54"/>
        <v>1</v>
      </c>
      <c r="AP91" s="14">
        <f t="shared" si="55"/>
        <v>0.6</v>
      </c>
      <c r="AQ91">
        <f t="shared" si="46"/>
        <v>7.2945033712252805E-3</v>
      </c>
      <c r="AR91">
        <f t="shared" si="47"/>
        <v>-6.3141112143623177E-3</v>
      </c>
      <c r="AS91">
        <f t="shared" si="29"/>
        <v>-1.6091412319269799E-3</v>
      </c>
      <c r="AT91">
        <f t="shared" si="30"/>
        <v>1.4527935063364248E-2</v>
      </c>
      <c r="AU91" s="14">
        <f t="shared" si="35"/>
        <v>-0.11076186842167433</v>
      </c>
      <c r="AV91" s="19">
        <f t="shared" si="31"/>
        <v>1.2909951633232863E-2</v>
      </c>
      <c r="AW91" s="19">
        <f t="shared" si="26"/>
        <v>-8.7378640776698546E-3</v>
      </c>
      <c r="AX91">
        <f t="shared" si="36"/>
        <v>0</v>
      </c>
      <c r="AY91">
        <f>IF(W91,SUMPRODUCT(INDEX(AX:AX,X91):INDEX(AX:AX,X91+Y91)),0)</f>
        <v>0</v>
      </c>
      <c r="AZ91">
        <f>IF(V91,COUNT(INDEX(AX:AX,X91):INDEX(AX:AX,ROW())),0)</f>
        <v>81</v>
      </c>
      <c r="BA91" s="14" t="str">
        <f t="shared" si="48"/>
        <v/>
      </c>
      <c r="BB91" s="6">
        <f t="shared" si="37"/>
        <v>4084.0000000000005</v>
      </c>
      <c r="BC91" s="6">
        <f>MEDIAN(INDEX(BB:BB,X91):INDEX(BB:BB,X91+Y91-1))</f>
        <v>31619.999999999996</v>
      </c>
      <c r="BD91" s="25" t="str">
        <f t="shared" si="38"/>
        <v/>
      </c>
      <c r="BE91">
        <f t="shared" si="49"/>
        <v>0</v>
      </c>
      <c r="BF91" s="6">
        <f>SUM(INDEX(BE:BE,X91):INDEX(BE:BE,X91+Y91-1))</f>
        <v>16</v>
      </c>
      <c r="BG91" s="25" t="str">
        <f t="shared" si="39"/>
        <v/>
      </c>
    </row>
    <row r="92" spans="1:59" x14ac:dyDescent="0.3">
      <c r="A92" s="1">
        <v>44040</v>
      </c>
      <c r="B92">
        <v>10.3</v>
      </c>
      <c r="C92">
        <v>10.3</v>
      </c>
      <c r="D92">
        <v>10.3</v>
      </c>
      <c r="E92">
        <v>10.3</v>
      </c>
      <c r="F92">
        <v>200</v>
      </c>
      <c r="G92" s="29">
        <v>5.9176914866406298E-2</v>
      </c>
      <c r="H92" s="29">
        <v>5.7453315404277904E-3</v>
      </c>
      <c r="I92" s="29">
        <v>8.7378640776698893E-3</v>
      </c>
      <c r="J92" s="29">
        <v>64.495817198918402</v>
      </c>
      <c r="K92" s="29">
        <v>2.5896414342629601E-2</v>
      </c>
      <c r="L92" s="29">
        <v>0.6</v>
      </c>
      <c r="M92" s="29">
        <v>-9.8325729138680998E-2</v>
      </c>
      <c r="N92" s="29">
        <v>7.1187575431645601E-3</v>
      </c>
      <c r="O92" s="29">
        <v>0</v>
      </c>
      <c r="P92" s="29">
        <v>8.8148873653282004E-3</v>
      </c>
      <c r="Q92" s="29">
        <v>0.60540540540540499</v>
      </c>
      <c r="R92" s="30">
        <v>34000</v>
      </c>
      <c r="S92" s="29">
        <v>31</v>
      </c>
      <c r="T92" s="14">
        <v>297.34199999999998</v>
      </c>
      <c r="U92" s="41"/>
      <c r="V92">
        <v>82</v>
      </c>
      <c r="W92" t="b">
        <f>V92&gt;=$C$4</f>
        <v>0</v>
      </c>
      <c r="X92">
        <f>IF(V92&lt;=$C$5,11,ROW()-$C$5+1)</f>
        <v>11</v>
      </c>
      <c r="Y92" s="14">
        <f t="shared" si="32"/>
        <v>82</v>
      </c>
      <c r="Z92" s="10">
        <f t="shared" si="40"/>
        <v>8.9999999999999858E-2</v>
      </c>
      <c r="AA92" s="15">
        <f t="shared" si="41"/>
        <v>8.7378640776698893E-3</v>
      </c>
      <c r="AB92" s="15">
        <f t="shared" si="42"/>
        <v>5.9176914866406298E-2</v>
      </c>
      <c r="AC92" s="10">
        <f t="shared" si="33"/>
        <v>5.7453315404277956E-3</v>
      </c>
      <c r="AD92">
        <f t="shared" si="43"/>
        <v>8.9999999999999858E-2</v>
      </c>
      <c r="AE92">
        <f t="shared" si="50"/>
        <v>8.9999999999999858E-2</v>
      </c>
      <c r="AF92">
        <f t="shared" si="51"/>
        <v>0</v>
      </c>
      <c r="AG92">
        <f t="shared" si="53"/>
        <v>2.5436664513072371E-2</v>
      </c>
      <c r="AH92">
        <f t="shared" si="53"/>
        <v>1.4386488088369806E-2</v>
      </c>
      <c r="AI92">
        <f t="shared" si="44"/>
        <v>1.7680940863973362</v>
      </c>
      <c r="AJ92">
        <f t="shared" si="52"/>
        <v>63.87406031774389</v>
      </c>
      <c r="AK92" s="14">
        <f t="shared" si="34"/>
        <v>63.87406031774389</v>
      </c>
      <c r="AM92">
        <f t="shared" si="25"/>
        <v>2.5896414342629681E-2</v>
      </c>
      <c r="AN92" s="14">
        <f t="shared" si="45"/>
        <v>8.8148873653282056E-3</v>
      </c>
      <c r="AO92">
        <f t="shared" si="54"/>
        <v>1</v>
      </c>
      <c r="AP92" s="14">
        <f t="shared" si="55"/>
        <v>0.6</v>
      </c>
      <c r="AQ92">
        <f t="shared" si="46"/>
        <v>-6.3427349284855827E-3</v>
      </c>
      <c r="AR92">
        <f t="shared" si="47"/>
        <v>1.5157622293813783E-2</v>
      </c>
      <c r="AS92">
        <f t="shared" si="29"/>
        <v>-1.4415533626369269E-3</v>
      </c>
      <c r="AT92">
        <f t="shared" si="30"/>
        <v>1.4660998451419794E-2</v>
      </c>
      <c r="AU92" s="14">
        <f t="shared" si="35"/>
        <v>-9.8325729138681178E-2</v>
      </c>
      <c r="AV92" s="19">
        <f t="shared" si="31"/>
        <v>7.1187575431645479E-3</v>
      </c>
      <c r="AW92" s="19">
        <f t="shared" si="26"/>
        <v>0</v>
      </c>
      <c r="AX92">
        <f t="shared" si="36"/>
        <v>1</v>
      </c>
      <c r="AY92">
        <f>IF(W92,SUMPRODUCT(INDEX(AX:AX,X92):INDEX(AX:AX,X92+Y92)),0)</f>
        <v>0</v>
      </c>
      <c r="AZ92">
        <f>IF(V92,COUNT(INDEX(AX:AX,X92):INDEX(AX:AX,ROW())),0)</f>
        <v>82</v>
      </c>
      <c r="BA92" s="14" t="str">
        <f t="shared" si="48"/>
        <v/>
      </c>
      <c r="BB92" s="6">
        <f t="shared" si="37"/>
        <v>2060</v>
      </c>
      <c r="BC92" s="6">
        <f>MEDIAN(INDEX(BB:BB,X92):INDEX(BB:BB,X92+Y92-1))</f>
        <v>31542.5</v>
      </c>
      <c r="BD92" s="25" t="str">
        <f t="shared" si="38"/>
        <v/>
      </c>
      <c r="BE92">
        <f t="shared" si="49"/>
        <v>0</v>
      </c>
      <c r="BF92" s="6">
        <f>SUM(INDEX(BE:BE,X92):INDEX(BE:BE,X92+Y92-1))</f>
        <v>16</v>
      </c>
      <c r="BG92" s="25" t="str">
        <f t="shared" si="39"/>
        <v/>
      </c>
    </row>
    <row r="93" spans="1:59" x14ac:dyDescent="0.3">
      <c r="A93" s="1">
        <v>44041</v>
      </c>
      <c r="B93">
        <v>10.210000000000001</v>
      </c>
      <c r="C93">
        <v>10.23</v>
      </c>
      <c r="D93">
        <v>10.199999999999999</v>
      </c>
      <c r="E93">
        <v>10.199999999999999</v>
      </c>
      <c r="F93">
        <v>2600</v>
      </c>
      <c r="G93" s="29">
        <v>6.20928495188059E-2</v>
      </c>
      <c r="H93" s="29">
        <v>6.0875342665495996E-3</v>
      </c>
      <c r="I93" s="29">
        <v>9.8039215686275896E-3</v>
      </c>
      <c r="J93" s="29">
        <v>54.002825362831601</v>
      </c>
      <c r="K93" s="29">
        <v>4.9261083743841099E-3</v>
      </c>
      <c r="L93" s="29">
        <v>0.4</v>
      </c>
      <c r="M93" s="29">
        <v>-8.99398122831747E-2</v>
      </c>
      <c r="N93" s="29">
        <v>9.7813127247822901E-3</v>
      </c>
      <c r="O93" s="29">
        <v>-9.7087378640777697E-3</v>
      </c>
      <c r="P93" s="29">
        <v>-9.7087378640777697E-3</v>
      </c>
      <c r="Q93" s="29">
        <v>0.60215053763440796</v>
      </c>
      <c r="R93" s="30">
        <v>33665</v>
      </c>
      <c r="S93" s="29">
        <v>31</v>
      </c>
      <c r="T93" s="14">
        <v>300.99900000000002</v>
      </c>
      <c r="U93" s="41"/>
      <c r="V93">
        <v>83</v>
      </c>
      <c r="W93" t="b">
        <f>V93&gt;=$C$4</f>
        <v>0</v>
      </c>
      <c r="X93">
        <f>IF(V93&lt;=$C$5,11,ROW()-$C$5+1)</f>
        <v>11</v>
      </c>
      <c r="Y93" s="14">
        <f t="shared" si="32"/>
        <v>83</v>
      </c>
      <c r="Z93" s="10">
        <f t="shared" si="40"/>
        <v>0.10000000000000142</v>
      </c>
      <c r="AA93" s="15">
        <f t="shared" si="41"/>
        <v>9.8039215686275914E-3</v>
      </c>
      <c r="AB93" s="15">
        <f t="shared" si="42"/>
        <v>6.2092849518805948E-2</v>
      </c>
      <c r="AC93" s="10">
        <f t="shared" si="33"/>
        <v>6.0875342665496031E-3</v>
      </c>
      <c r="AD93">
        <f t="shared" si="43"/>
        <v>-0.10000000000000142</v>
      </c>
      <c r="AE93">
        <f t="shared" si="50"/>
        <v>0</v>
      </c>
      <c r="AF93">
        <f t="shared" si="51"/>
        <v>0.10000000000000142</v>
      </c>
      <c r="AG93">
        <f t="shared" si="53"/>
        <v>2.361975990499577E-2</v>
      </c>
      <c r="AH93">
        <f t="shared" si="53"/>
        <v>2.0501738939200636E-2</v>
      </c>
      <c r="AI93">
        <f t="shared" si="44"/>
        <v>1.1520856828311905</v>
      </c>
      <c r="AJ93">
        <f t="shared" si="52"/>
        <v>53.533448599293521</v>
      </c>
      <c r="AK93" s="14">
        <f t="shared" si="34"/>
        <v>53.533448599293521</v>
      </c>
      <c r="AM93">
        <f t="shared" si="25"/>
        <v>4.9261083743841194E-3</v>
      </c>
      <c r="AN93" s="14">
        <f t="shared" si="45"/>
        <v>-9.7087378640777766E-3</v>
      </c>
      <c r="AO93">
        <f t="shared" si="54"/>
        <v>0</v>
      </c>
      <c r="AP93" s="14">
        <f t="shared" si="55"/>
        <v>0.4</v>
      </c>
      <c r="AQ93">
        <f t="shared" si="46"/>
        <v>1.2298968864136395E-2</v>
      </c>
      <c r="AR93">
        <f t="shared" si="47"/>
        <v>-2.2007706728214164E-2</v>
      </c>
      <c r="AS93">
        <f t="shared" si="29"/>
        <v>-1.2954066928782617E-3</v>
      </c>
      <c r="AT93">
        <f t="shared" si="30"/>
        <v>1.4403039766190329E-2</v>
      </c>
      <c r="AU93" s="14">
        <f t="shared" si="35"/>
        <v>-8.9939812283174922E-2</v>
      </c>
      <c r="AV93" s="19">
        <f t="shared" si="31"/>
        <v>9.7813127247822953E-3</v>
      </c>
      <c r="AW93" s="19">
        <f t="shared" si="26"/>
        <v>-9.7087378640777766E-3</v>
      </c>
      <c r="AX93">
        <f t="shared" si="36"/>
        <v>0</v>
      </c>
      <c r="AY93">
        <f>IF(W93,SUMPRODUCT(INDEX(AX:AX,X93):INDEX(AX:AX,X93+Y93)),0)</f>
        <v>0</v>
      </c>
      <c r="AZ93">
        <f>IF(V93,COUNT(INDEX(AX:AX,X93):INDEX(AX:AX,ROW())),0)</f>
        <v>83</v>
      </c>
      <c r="BA93" s="14" t="str">
        <f t="shared" si="48"/>
        <v/>
      </c>
      <c r="BB93" s="6">
        <f t="shared" si="37"/>
        <v>26519.999999999996</v>
      </c>
      <c r="BC93" s="6">
        <f>MEDIAN(INDEX(BB:BB,X93):INDEX(BB:BB,X93+Y93-1))</f>
        <v>31465</v>
      </c>
      <c r="BD93" s="25" t="str">
        <f t="shared" si="38"/>
        <v/>
      </c>
      <c r="BE93">
        <f t="shared" si="49"/>
        <v>0</v>
      </c>
      <c r="BF93" s="6">
        <f>SUM(INDEX(BE:BE,X93):INDEX(BE:BE,X93+Y93-1))</f>
        <v>16</v>
      </c>
      <c r="BG93" s="25" t="str">
        <f t="shared" si="39"/>
        <v/>
      </c>
    </row>
    <row r="94" spans="1:59" x14ac:dyDescent="0.3">
      <c r="A94" s="1">
        <v>44042</v>
      </c>
      <c r="B94">
        <v>10.199999999999999</v>
      </c>
      <c r="C94">
        <v>10.199999999999999</v>
      </c>
      <c r="D94">
        <v>10.15</v>
      </c>
      <c r="E94">
        <v>10.175000000000001</v>
      </c>
      <c r="F94">
        <v>404700</v>
      </c>
      <c r="G94" s="29">
        <v>6.1229074553176797E-2</v>
      </c>
      <c r="H94" s="29">
        <v>6.0175994646856799E-3</v>
      </c>
      <c r="I94" s="29">
        <v>4.9140049140048003E-3</v>
      </c>
      <c r="J94" s="29">
        <v>51.736663659016997</v>
      </c>
      <c r="K94" s="29">
        <v>9.4246031746032504E-3</v>
      </c>
      <c r="L94" s="29">
        <v>0.4</v>
      </c>
      <c r="M94" s="29">
        <v>-9.9385084416387603E-2</v>
      </c>
      <c r="N94" s="29">
        <v>1.0723058958053E-2</v>
      </c>
      <c r="O94" s="29">
        <v>-1.2135922330097E-2</v>
      </c>
      <c r="P94" s="29">
        <v>-2.45098039215674E-3</v>
      </c>
      <c r="Q94" s="29">
        <v>0.59893048128342197</v>
      </c>
      <c r="R94" s="30">
        <v>34000</v>
      </c>
      <c r="S94" s="29">
        <v>31</v>
      </c>
      <c r="T94" s="14">
        <v>299.92500000000001</v>
      </c>
      <c r="U94" s="41"/>
      <c r="V94">
        <v>84</v>
      </c>
      <c r="W94" t="b">
        <f>V94&gt;=$C$4</f>
        <v>0</v>
      </c>
      <c r="X94">
        <f>IF(V94&lt;=$C$5,11,ROW()-$C$5+1)</f>
        <v>11</v>
      </c>
      <c r="Y94" s="14">
        <f t="shared" si="32"/>
        <v>84</v>
      </c>
      <c r="Z94" s="10">
        <f t="shared" si="40"/>
        <v>4.9999999999998934E-2</v>
      </c>
      <c r="AA94" s="15">
        <f t="shared" si="41"/>
        <v>4.9140049140048089E-3</v>
      </c>
      <c r="AB94" s="15">
        <f t="shared" si="42"/>
        <v>6.1229074553176881E-2</v>
      </c>
      <c r="AC94" s="10">
        <f t="shared" si="33"/>
        <v>6.0175994646856877E-3</v>
      </c>
      <c r="AD94">
        <f t="shared" si="43"/>
        <v>-2.4999999999998579E-2</v>
      </c>
      <c r="AE94">
        <f t="shared" si="50"/>
        <v>0</v>
      </c>
      <c r="AF94">
        <f t="shared" si="51"/>
        <v>2.4999999999998579E-2</v>
      </c>
      <c r="AG94">
        <f t="shared" ref="AG94:AH109" si="56">(AE94+13*AG93)/14</f>
        <v>2.1932634197496075E-2</v>
      </c>
      <c r="AH94">
        <f t="shared" si="56"/>
        <v>2.0823043300686205E-2</v>
      </c>
      <c r="AI94">
        <f t="shared" si="44"/>
        <v>1.053286682488592</v>
      </c>
      <c r="AJ94">
        <f t="shared" si="52"/>
        <v>51.297594801131424</v>
      </c>
      <c r="AK94" s="14">
        <f t="shared" si="34"/>
        <v>51.297594801131424</v>
      </c>
      <c r="AM94">
        <f t="shared" si="25"/>
        <v>9.4246031746032521E-3</v>
      </c>
      <c r="AN94" s="14">
        <f t="shared" si="45"/>
        <v>-2.450980392156743E-3</v>
      </c>
      <c r="AO94">
        <f t="shared" si="54"/>
        <v>0</v>
      </c>
      <c r="AP94" s="14">
        <f t="shared" si="55"/>
        <v>0.4</v>
      </c>
      <c r="AQ94">
        <f t="shared" si="46"/>
        <v>-3.5681181665055961E-3</v>
      </c>
      <c r="AR94">
        <f t="shared" si="47"/>
        <v>1.1171377743488561E-3</v>
      </c>
      <c r="AS94">
        <f t="shared" si="29"/>
        <v>-1.4254412145978531E-3</v>
      </c>
      <c r="AT94">
        <f t="shared" si="30"/>
        <v>1.434260707196028E-2</v>
      </c>
      <c r="AU94" s="14">
        <f t="shared" si="35"/>
        <v>-9.9385084416387798E-2</v>
      </c>
      <c r="AV94" s="19">
        <f t="shared" si="31"/>
        <v>1.0723058958053058E-2</v>
      </c>
      <c r="AW94" s="19">
        <f t="shared" si="26"/>
        <v>-1.2135922330097082E-2</v>
      </c>
      <c r="AX94">
        <f t="shared" si="36"/>
        <v>0</v>
      </c>
      <c r="AY94">
        <f>IF(W94,SUMPRODUCT(INDEX(AX:AX,X94):INDEX(AX:AX,X94+Y94)),0)</f>
        <v>0</v>
      </c>
      <c r="AZ94">
        <f>IF(V94,COUNT(INDEX(AX:AX,X94):INDEX(AX:AX,ROW())),0)</f>
        <v>84</v>
      </c>
      <c r="BA94" s="14" t="str">
        <f t="shared" si="48"/>
        <v/>
      </c>
      <c r="BB94" s="6">
        <f t="shared" si="37"/>
        <v>4117822.5000000005</v>
      </c>
      <c r="BC94" s="6">
        <f>MEDIAN(INDEX(BB:BB,X94):INDEX(BB:BB,X94+Y94-1))</f>
        <v>31542.5</v>
      </c>
      <c r="BD94" s="25" t="str">
        <f t="shared" si="38"/>
        <v/>
      </c>
      <c r="BE94">
        <f t="shared" si="49"/>
        <v>0</v>
      </c>
      <c r="BF94" s="6">
        <f>SUM(INDEX(BE:BE,X94):INDEX(BE:BE,X94+Y94-1))</f>
        <v>16</v>
      </c>
      <c r="BG94" s="25" t="str">
        <f t="shared" si="39"/>
        <v/>
      </c>
    </row>
    <row r="95" spans="1:59" x14ac:dyDescent="0.3">
      <c r="A95" s="1">
        <v>44043</v>
      </c>
      <c r="B95">
        <v>10.1</v>
      </c>
      <c r="C95">
        <v>10.18</v>
      </c>
      <c r="D95">
        <v>10.1</v>
      </c>
      <c r="E95">
        <v>10.18</v>
      </c>
      <c r="F95">
        <v>158100</v>
      </c>
      <c r="G95" s="29">
        <v>6.2569854942235603E-2</v>
      </c>
      <c r="H95" s="29">
        <v>6.1463511731076302E-3</v>
      </c>
      <c r="I95" s="29">
        <v>7.8585461689587403E-3</v>
      </c>
      <c r="J95" s="29">
        <v>52.168977122954203</v>
      </c>
      <c r="K95" s="29">
        <v>2.95566502463051E-3</v>
      </c>
      <c r="L95" s="29">
        <v>0.6</v>
      </c>
      <c r="M95" s="29">
        <v>-0.14730810166820901</v>
      </c>
      <c r="N95" s="29">
        <v>2.0624514314532199E-2</v>
      </c>
      <c r="O95" s="29">
        <v>-1.1650485436893201E-2</v>
      </c>
      <c r="P95" s="29">
        <v>4.9140049140028398E-4</v>
      </c>
      <c r="Q95" s="29">
        <v>0.59574468085106302</v>
      </c>
      <c r="R95" s="30">
        <v>34694</v>
      </c>
      <c r="S95" s="29">
        <v>31</v>
      </c>
      <c r="T95" s="14">
        <v>302.29500000000002</v>
      </c>
      <c r="U95" s="41"/>
      <c r="V95">
        <v>85</v>
      </c>
      <c r="W95" t="b">
        <f>V95&gt;=$C$4</f>
        <v>0</v>
      </c>
      <c r="X95">
        <f>IF(V95&lt;=$C$5,11,ROW()-$C$5+1)</f>
        <v>11</v>
      </c>
      <c r="Y95" s="14">
        <f t="shared" si="32"/>
        <v>85</v>
      </c>
      <c r="Z95" s="10">
        <f t="shared" si="40"/>
        <v>8.0000000000000071E-2</v>
      </c>
      <c r="AA95" s="15">
        <f t="shared" si="41"/>
        <v>7.858546168958749E-3</v>
      </c>
      <c r="AB95" s="15">
        <f t="shared" si="42"/>
        <v>6.2569854942235686E-2</v>
      </c>
      <c r="AC95" s="10">
        <f t="shared" si="33"/>
        <v>6.1463511731076311E-3</v>
      </c>
      <c r="AD95">
        <f t="shared" si="43"/>
        <v>4.9999999999990052E-3</v>
      </c>
      <c r="AE95">
        <f t="shared" si="50"/>
        <v>4.9999999999990052E-3</v>
      </c>
      <c r="AF95">
        <f t="shared" si="51"/>
        <v>0</v>
      </c>
      <c r="AG95">
        <f t="shared" si="56"/>
        <v>2.0723160326246281E-2</v>
      </c>
      <c r="AH95">
        <f t="shared" si="56"/>
        <v>1.9335683064922903E-2</v>
      </c>
      <c r="AI95">
        <f t="shared" si="44"/>
        <v>1.0717573440082091</v>
      </c>
      <c r="AJ95">
        <f t="shared" si="52"/>
        <v>51.731798953572941</v>
      </c>
      <c r="AK95" s="14">
        <f t="shared" si="34"/>
        <v>51.731798953572941</v>
      </c>
      <c r="AM95">
        <f t="shared" si="25"/>
        <v>2.9556650246305161E-3</v>
      </c>
      <c r="AN95" s="14">
        <f t="shared" si="45"/>
        <v>4.9140049140028452E-4</v>
      </c>
      <c r="AO95">
        <f t="shared" si="54"/>
        <v>1</v>
      </c>
      <c r="AP95" s="14">
        <f t="shared" si="55"/>
        <v>0.6</v>
      </c>
      <c r="AQ95">
        <f t="shared" si="46"/>
        <v>7.9019754938733922E-3</v>
      </c>
      <c r="AR95">
        <f t="shared" si="47"/>
        <v>-7.4105750024731085E-3</v>
      </c>
      <c r="AS95">
        <f t="shared" si="29"/>
        <v>-2.0275880335023947E-3</v>
      </c>
      <c r="AT95">
        <f t="shared" si="30"/>
        <v>1.3764266938075444E-2</v>
      </c>
      <c r="AU95" s="14">
        <f t="shared" si="35"/>
        <v>-0.14730810166820968</v>
      </c>
      <c r="AV95" s="19">
        <f t="shared" si="31"/>
        <v>2.0624514314532338E-2</v>
      </c>
      <c r="AW95" s="19">
        <f t="shared" si="26"/>
        <v>-1.1650485436893288E-2</v>
      </c>
      <c r="AX95">
        <f t="shared" si="36"/>
        <v>0</v>
      </c>
      <c r="AY95">
        <f>IF(W95,SUMPRODUCT(INDEX(AX:AX,X95):INDEX(AX:AX,X95+Y95)),0)</f>
        <v>0</v>
      </c>
      <c r="AZ95">
        <f>IF(V95,COUNT(INDEX(AX:AX,X95):INDEX(AX:AX,ROW())),0)</f>
        <v>85</v>
      </c>
      <c r="BA95" s="14" t="str">
        <f t="shared" si="48"/>
        <v/>
      </c>
      <c r="BB95" s="6">
        <f t="shared" si="37"/>
        <v>1609458</v>
      </c>
      <c r="BC95" s="6">
        <f>MEDIAN(INDEX(BB:BB,X95):INDEX(BB:BB,X95+Y95-1))</f>
        <v>31619.999999999996</v>
      </c>
      <c r="BD95" s="25" t="str">
        <f t="shared" si="38"/>
        <v/>
      </c>
      <c r="BE95">
        <f t="shared" si="49"/>
        <v>0</v>
      </c>
      <c r="BF95" s="6">
        <f>SUM(INDEX(BE:BE,X95):INDEX(BE:BE,X95+Y95-1))</f>
        <v>16</v>
      </c>
      <c r="BG95" s="25" t="str">
        <f t="shared" si="39"/>
        <v/>
      </c>
    </row>
    <row r="96" spans="1:59" x14ac:dyDescent="0.3">
      <c r="A96" s="1">
        <v>44046</v>
      </c>
      <c r="B96">
        <v>10.19</v>
      </c>
      <c r="C96">
        <v>10.19</v>
      </c>
      <c r="D96">
        <v>10.185</v>
      </c>
      <c r="E96">
        <v>10.185</v>
      </c>
      <c r="F96">
        <v>3100</v>
      </c>
      <c r="G96" s="29">
        <v>5.88148653035045E-2</v>
      </c>
      <c r="H96" s="29">
        <v>5.7746554053514504E-3</v>
      </c>
      <c r="I96" s="29">
        <v>9.8183603338240408E-4</v>
      </c>
      <c r="J96" s="29">
        <v>52.625966877616598</v>
      </c>
      <c r="K96" s="29">
        <v>-3.4246575342465799E-3</v>
      </c>
      <c r="L96" s="29">
        <v>0.6</v>
      </c>
      <c r="M96" s="29">
        <v>-0.151457618721271</v>
      </c>
      <c r="N96" s="29">
        <v>2.0625982501495201E-2</v>
      </c>
      <c r="O96" s="29">
        <v>-1.1165048543689301E-2</v>
      </c>
      <c r="P96" s="29">
        <v>4.9115913556008195E-4</v>
      </c>
      <c r="Q96" s="29">
        <v>0.592592592592592</v>
      </c>
      <c r="R96" s="30">
        <v>34000</v>
      </c>
      <c r="S96" s="29">
        <v>31</v>
      </c>
      <c r="T96" s="14">
        <v>304.39699999999999</v>
      </c>
      <c r="U96" s="41"/>
      <c r="V96">
        <v>86</v>
      </c>
      <c r="W96" t="b">
        <f>V96&gt;=$C$4</f>
        <v>0</v>
      </c>
      <c r="X96">
        <f>IF(V96&lt;=$C$5,11,ROW()-$C$5+1)</f>
        <v>11</v>
      </c>
      <c r="Y96" s="14">
        <f t="shared" si="32"/>
        <v>86</v>
      </c>
      <c r="Z96" s="10">
        <f t="shared" si="40"/>
        <v>9.9999999999997868E-3</v>
      </c>
      <c r="AA96" s="15">
        <f t="shared" si="41"/>
        <v>9.8183603338240408E-4</v>
      </c>
      <c r="AB96" s="15">
        <f t="shared" si="42"/>
        <v>5.8814865303504549E-2</v>
      </c>
      <c r="AC96" s="10">
        <f t="shared" si="33"/>
        <v>5.774655405351453E-3</v>
      </c>
      <c r="AD96">
        <f t="shared" si="43"/>
        <v>5.0000000000007816E-3</v>
      </c>
      <c r="AE96">
        <f t="shared" si="50"/>
        <v>5.0000000000007816E-3</v>
      </c>
      <c r="AF96">
        <f t="shared" si="51"/>
        <v>0</v>
      </c>
      <c r="AG96">
        <f t="shared" si="56"/>
        <v>1.9600077445800172E-2</v>
      </c>
      <c r="AH96">
        <f t="shared" si="56"/>
        <v>1.7954562845999836E-2</v>
      </c>
      <c r="AI96">
        <f t="shared" si="44"/>
        <v>1.0916488256447272</v>
      </c>
      <c r="AJ96">
        <f t="shared" si="52"/>
        <v>52.190827267968302</v>
      </c>
      <c r="AK96" s="14">
        <f t="shared" si="34"/>
        <v>52.190827267968302</v>
      </c>
      <c r="AM96">
        <f t="shared" ref="AM96:AM159" si="57">E96/E75-1</f>
        <v>-3.424657534246589E-3</v>
      </c>
      <c r="AN96" s="14">
        <f t="shared" si="45"/>
        <v>4.9115913556008195E-4</v>
      </c>
      <c r="AO96">
        <f t="shared" si="54"/>
        <v>1</v>
      </c>
      <c r="AP96" s="14">
        <f t="shared" si="55"/>
        <v>0.6</v>
      </c>
      <c r="AQ96">
        <f t="shared" si="46"/>
        <v>6.9534726012669967E-3</v>
      </c>
      <c r="AR96">
        <f t="shared" si="47"/>
        <v>-6.4623134657069148E-3</v>
      </c>
      <c r="AS96">
        <f t="shared" si="29"/>
        <v>-2.0863809233883832E-3</v>
      </c>
      <c r="AT96">
        <f t="shared" si="30"/>
        <v>1.3775344819252411E-2</v>
      </c>
      <c r="AU96" s="14">
        <f t="shared" si="35"/>
        <v>-0.15145761872127214</v>
      </c>
      <c r="AV96" s="19">
        <f t="shared" si="31"/>
        <v>2.0625982501495284E-2</v>
      </c>
      <c r="AW96" s="19">
        <f t="shared" ref="AW96:AW159" si="58">(E96/MAX(E76:E96)-1)</f>
        <v>-1.1165048543689382E-2</v>
      </c>
      <c r="AX96">
        <f t="shared" si="36"/>
        <v>0</v>
      </c>
      <c r="AY96">
        <f>IF(W96,SUMPRODUCT(INDEX(AX:AX,X96):INDEX(AX:AX,X96+Y96)),0)</f>
        <v>0</v>
      </c>
      <c r="AZ96">
        <f>IF(V96,COUNT(INDEX(AX:AX,X96):INDEX(AX:AX,ROW())),0)</f>
        <v>86</v>
      </c>
      <c r="BA96" s="14" t="str">
        <f t="shared" si="48"/>
        <v/>
      </c>
      <c r="BB96" s="6">
        <f t="shared" si="37"/>
        <v>31573.5</v>
      </c>
      <c r="BC96" s="6">
        <f>MEDIAN(INDEX(BB:BB,X96):INDEX(BB:BB,X96+Y96-1))</f>
        <v>31596.75</v>
      </c>
      <c r="BD96" s="25" t="str">
        <f t="shared" si="38"/>
        <v/>
      </c>
      <c r="BE96">
        <f t="shared" si="49"/>
        <v>0</v>
      </c>
      <c r="BF96" s="6">
        <f>SUM(INDEX(BE:BE,X96):INDEX(BE:BE,X96+Y96-1))</f>
        <v>16</v>
      </c>
      <c r="BG96" s="25" t="str">
        <f t="shared" si="39"/>
        <v/>
      </c>
    </row>
    <row r="97" spans="1:59" x14ac:dyDescent="0.3">
      <c r="A97" s="1">
        <v>44047</v>
      </c>
      <c r="B97">
        <v>10.220000000000001</v>
      </c>
      <c r="C97">
        <v>10.220000000000001</v>
      </c>
      <c r="D97">
        <v>10.199999999999999</v>
      </c>
      <c r="E97">
        <v>10.199999999999999</v>
      </c>
      <c r="F97">
        <v>161500</v>
      </c>
      <c r="G97" s="29">
        <v>5.7113803496111303E-2</v>
      </c>
      <c r="H97" s="29">
        <v>5.5993924996187603E-3</v>
      </c>
      <c r="I97" s="29">
        <v>3.4313725490196199E-3</v>
      </c>
      <c r="J97" s="29">
        <v>54.044502370034401</v>
      </c>
      <c r="K97" s="29">
        <v>0</v>
      </c>
      <c r="L97" s="29">
        <v>0.6</v>
      </c>
      <c r="M97" s="29">
        <v>-0.143879370114644</v>
      </c>
      <c r="N97" s="29">
        <v>2.10964933560603E-2</v>
      </c>
      <c r="O97" s="29">
        <v>-9.7087378640777697E-3</v>
      </c>
      <c r="P97" s="29">
        <v>1.47275405007341E-3</v>
      </c>
      <c r="Q97" s="29">
        <v>0.58947368421052604</v>
      </c>
      <c r="R97" s="30">
        <v>34694</v>
      </c>
      <c r="S97" s="29">
        <v>31</v>
      </c>
      <c r="T97" s="14">
        <v>305.572</v>
      </c>
      <c r="U97" s="41"/>
      <c r="V97">
        <v>87</v>
      </c>
      <c r="W97" t="b">
        <f>V97&gt;=$C$4</f>
        <v>0</v>
      </c>
      <c r="X97">
        <f>IF(V97&lt;=$C$5,11,ROW()-$C$5+1)</f>
        <v>11</v>
      </c>
      <c r="Y97" s="14">
        <f t="shared" si="32"/>
        <v>87</v>
      </c>
      <c r="Z97" s="10">
        <f t="shared" si="40"/>
        <v>3.5000000000000142E-2</v>
      </c>
      <c r="AA97" s="15">
        <f t="shared" si="41"/>
        <v>3.4313725490196221E-3</v>
      </c>
      <c r="AB97" s="15">
        <f t="shared" si="42"/>
        <v>5.7113803496111379E-2</v>
      </c>
      <c r="AC97" s="10">
        <f t="shared" si="33"/>
        <v>5.5993924996187629E-3</v>
      </c>
      <c r="AD97">
        <f t="shared" si="43"/>
        <v>1.4999999999998792E-2</v>
      </c>
      <c r="AE97">
        <f t="shared" si="50"/>
        <v>1.4999999999998792E-2</v>
      </c>
      <c r="AF97">
        <f t="shared" si="51"/>
        <v>0</v>
      </c>
      <c r="AG97">
        <f t="shared" si="56"/>
        <v>1.9271500485385788E-2</v>
      </c>
      <c r="AH97">
        <f t="shared" si="56"/>
        <v>1.6672094071285563E-2</v>
      </c>
      <c r="AI97">
        <f t="shared" si="44"/>
        <v>1.1559136124703853</v>
      </c>
      <c r="AJ97">
        <f t="shared" si="52"/>
        <v>53.615952224814095</v>
      </c>
      <c r="AK97" s="14">
        <f t="shared" si="34"/>
        <v>53.615952224814095</v>
      </c>
      <c r="AM97">
        <f t="shared" si="57"/>
        <v>0</v>
      </c>
      <c r="AN97" s="14">
        <f t="shared" si="45"/>
        <v>1.4727540500734104E-3</v>
      </c>
      <c r="AO97">
        <f t="shared" si="54"/>
        <v>1</v>
      </c>
      <c r="AP97" s="14">
        <f t="shared" si="55"/>
        <v>0.6</v>
      </c>
      <c r="AQ97">
        <f t="shared" si="46"/>
        <v>3.8600906053607442E-3</v>
      </c>
      <c r="AR97">
        <f t="shared" si="47"/>
        <v>-2.3873365552873342E-3</v>
      </c>
      <c r="AS97">
        <f t="shared" si="29"/>
        <v>-1.9776182308788568E-3</v>
      </c>
      <c r="AT97">
        <f t="shared" si="30"/>
        <v>1.3744974205148879E-2</v>
      </c>
      <c r="AU97" s="14">
        <f t="shared" si="35"/>
        <v>-0.14387937011464447</v>
      </c>
      <c r="AV97" s="19">
        <f t="shared" si="31"/>
        <v>2.1096493356060401E-2</v>
      </c>
      <c r="AW97" s="19">
        <f t="shared" si="58"/>
        <v>-9.7087378640777766E-3</v>
      </c>
      <c r="AX97">
        <f t="shared" si="36"/>
        <v>0</v>
      </c>
      <c r="AY97">
        <f>IF(W97,SUMPRODUCT(INDEX(AX:AX,X97):INDEX(AX:AX,X97+Y97)),0)</f>
        <v>0</v>
      </c>
      <c r="AZ97">
        <f>IF(V97,COUNT(INDEX(AX:AX,X97):INDEX(AX:AX,ROW())),0)</f>
        <v>87</v>
      </c>
      <c r="BA97" s="14" t="str">
        <f t="shared" si="48"/>
        <v/>
      </c>
      <c r="BB97" s="6">
        <f t="shared" si="37"/>
        <v>1647300</v>
      </c>
      <c r="BC97" s="6">
        <f>MEDIAN(INDEX(BB:BB,X97):INDEX(BB:BB,X97+Y97-1))</f>
        <v>31619.999999999996</v>
      </c>
      <c r="BD97" s="25" t="str">
        <f t="shared" si="38"/>
        <v/>
      </c>
      <c r="BE97">
        <f t="shared" si="49"/>
        <v>0</v>
      </c>
      <c r="BF97" s="6">
        <f>SUM(INDEX(BE:BE,X97):INDEX(BE:BE,X97+Y97-1))</f>
        <v>16</v>
      </c>
      <c r="BG97" s="25" t="str">
        <f t="shared" si="39"/>
        <v/>
      </c>
    </row>
    <row r="98" spans="1:59" x14ac:dyDescent="0.3">
      <c r="A98" s="1">
        <v>44048</v>
      </c>
      <c r="B98">
        <v>10.199999999999999</v>
      </c>
      <c r="C98">
        <v>10.199999999999999</v>
      </c>
      <c r="D98">
        <v>10.199999999999999</v>
      </c>
      <c r="E98">
        <v>10.199999999999999</v>
      </c>
      <c r="F98">
        <v>0</v>
      </c>
      <c r="G98" s="29">
        <v>5.3034246103532003E-2</v>
      </c>
      <c r="H98" s="29">
        <v>5.1994358925031301E-3</v>
      </c>
      <c r="I98" s="29">
        <v>0</v>
      </c>
      <c r="J98" s="29">
        <v>54.044502370034401</v>
      </c>
      <c r="K98" s="29">
        <v>1.9646365422396599E-3</v>
      </c>
      <c r="L98" s="29">
        <v>0.6</v>
      </c>
      <c r="M98" s="29">
        <v>-0.15852631322275801</v>
      </c>
      <c r="N98" s="29">
        <v>2.0205472916265899E-2</v>
      </c>
      <c r="O98" s="29">
        <v>-9.7087378640777697E-3</v>
      </c>
      <c r="P98" s="29">
        <v>0</v>
      </c>
      <c r="Q98" s="29">
        <v>0.59162303664921401</v>
      </c>
      <c r="R98" s="30">
        <v>34000</v>
      </c>
      <c r="S98" s="29">
        <v>31</v>
      </c>
      <c r="T98" s="14">
        <v>307.47000000000003</v>
      </c>
      <c r="U98" s="41"/>
      <c r="V98">
        <v>88</v>
      </c>
      <c r="W98" t="b">
        <f>V98&gt;=$C$4</f>
        <v>0</v>
      </c>
      <c r="X98">
        <f>IF(V98&lt;=$C$5,11,ROW()-$C$5+1)</f>
        <v>11</v>
      </c>
      <c r="Y98" s="14">
        <f t="shared" si="32"/>
        <v>88</v>
      </c>
      <c r="Z98" s="10">
        <f t="shared" si="40"/>
        <v>0</v>
      </c>
      <c r="AA98" s="15">
        <f t="shared" si="41"/>
        <v>0</v>
      </c>
      <c r="AB98" s="15">
        <f t="shared" si="42"/>
        <v>5.3034246103531989E-2</v>
      </c>
      <c r="AC98" s="10">
        <f t="shared" si="33"/>
        <v>5.1994358925031361E-3</v>
      </c>
      <c r="AD98">
        <f t="shared" si="43"/>
        <v>0</v>
      </c>
      <c r="AE98">
        <f t="shared" si="50"/>
        <v>0</v>
      </c>
      <c r="AF98">
        <f t="shared" si="51"/>
        <v>0</v>
      </c>
      <c r="AG98">
        <f t="shared" si="56"/>
        <v>1.789496473642966E-2</v>
      </c>
      <c r="AH98">
        <f t="shared" si="56"/>
        <v>1.5481230209050881E-2</v>
      </c>
      <c r="AI98">
        <f t="shared" si="44"/>
        <v>1.155913612470385</v>
      </c>
      <c r="AJ98">
        <f t="shared" si="52"/>
        <v>53.61595222481408</v>
      </c>
      <c r="AK98" s="14">
        <f t="shared" si="34"/>
        <v>53.61595222481408</v>
      </c>
      <c r="AM98">
        <f t="shared" si="57"/>
        <v>1.9646365422396617E-3</v>
      </c>
      <c r="AN98" s="14">
        <f t="shared" si="45"/>
        <v>0</v>
      </c>
      <c r="AO98">
        <f t="shared" si="54"/>
        <v>0</v>
      </c>
      <c r="AP98" s="14">
        <f t="shared" si="55"/>
        <v>0.6</v>
      </c>
      <c r="AQ98">
        <f t="shared" si="46"/>
        <v>6.2113020826515264E-3</v>
      </c>
      <c r="AR98">
        <f t="shared" si="47"/>
        <v>-6.2113020826515264E-3</v>
      </c>
      <c r="AS98">
        <f t="shared" si="29"/>
        <v>-2.1741964557034444E-3</v>
      </c>
      <c r="AT98">
        <f t="shared" si="30"/>
        <v>1.3715050905449992E-2</v>
      </c>
      <c r="AU98" s="14">
        <f t="shared" si="35"/>
        <v>-0.15852631322275859</v>
      </c>
      <c r="AV98" s="19">
        <f t="shared" si="31"/>
        <v>2.0205472916266082E-2</v>
      </c>
      <c r="AW98" s="19">
        <f t="shared" si="58"/>
        <v>-9.7087378640777766E-3</v>
      </c>
      <c r="AX98">
        <f t="shared" si="36"/>
        <v>1</v>
      </c>
      <c r="AY98">
        <f>IF(W98,SUMPRODUCT(INDEX(AX:AX,X98):INDEX(AX:AX,X98+Y98)),0)</f>
        <v>0</v>
      </c>
      <c r="AZ98">
        <f>IF(V98,COUNT(INDEX(AX:AX,X98):INDEX(AX:AX,ROW())),0)</f>
        <v>88</v>
      </c>
      <c r="BA98" s="14" t="str">
        <f t="shared" si="48"/>
        <v/>
      </c>
      <c r="BB98" s="6">
        <f t="shared" si="37"/>
        <v>0</v>
      </c>
      <c r="BC98" s="6">
        <f>MEDIAN(INDEX(BB:BB,X98):INDEX(BB:BB,X98+Y98-1))</f>
        <v>31596.75</v>
      </c>
      <c r="BD98" s="25" t="str">
        <f t="shared" si="38"/>
        <v/>
      </c>
      <c r="BE98">
        <f t="shared" si="49"/>
        <v>0</v>
      </c>
      <c r="BF98" s="6">
        <f>SUM(INDEX(BE:BE,X98):INDEX(BE:BE,X98+Y98-1))</f>
        <v>16</v>
      </c>
      <c r="BG98" s="25" t="str">
        <f t="shared" si="39"/>
        <v/>
      </c>
    </row>
    <row r="99" spans="1:59" x14ac:dyDescent="0.3">
      <c r="A99" s="1">
        <v>44049</v>
      </c>
      <c r="B99">
        <v>10.199999999999999</v>
      </c>
      <c r="C99">
        <v>10.199999999999999</v>
      </c>
      <c r="D99">
        <v>10.199999999999999</v>
      </c>
      <c r="E99">
        <v>10.199999999999999</v>
      </c>
      <c r="F99">
        <v>25200</v>
      </c>
      <c r="G99" s="29">
        <v>4.9246085667565401E-2</v>
      </c>
      <c r="H99" s="29">
        <v>4.8280476144671996E-3</v>
      </c>
      <c r="I99" s="29">
        <v>0</v>
      </c>
      <c r="J99" s="29">
        <v>54.044502370034401</v>
      </c>
      <c r="K99" s="29">
        <v>9.9009900990099098E-3</v>
      </c>
      <c r="L99" s="29">
        <v>0.6</v>
      </c>
      <c r="M99" s="29">
        <v>-0.15280629042918301</v>
      </c>
      <c r="N99" s="29">
        <v>2.0560006712263601E-2</v>
      </c>
      <c r="O99" s="29">
        <v>-9.7087378640777697E-3</v>
      </c>
      <c r="P99" s="29">
        <v>0</v>
      </c>
      <c r="Q99" s="29">
        <v>0.59375</v>
      </c>
      <c r="R99" s="30">
        <v>34694</v>
      </c>
      <c r="S99" s="29">
        <v>31</v>
      </c>
      <c r="T99" s="14">
        <v>309.52499999999998</v>
      </c>
      <c r="U99" s="41"/>
      <c r="V99">
        <v>89</v>
      </c>
      <c r="W99" t="b">
        <f>V99&gt;=$C$4</f>
        <v>0</v>
      </c>
      <c r="X99">
        <f>IF(V99&lt;=$C$5,11,ROW()-$C$5+1)</f>
        <v>11</v>
      </c>
      <c r="Y99" s="14">
        <f t="shared" si="32"/>
        <v>89</v>
      </c>
      <c r="Z99" s="10">
        <f t="shared" si="40"/>
        <v>0</v>
      </c>
      <c r="AA99" s="15">
        <f t="shared" si="41"/>
        <v>0</v>
      </c>
      <c r="AB99" s="15">
        <f t="shared" si="42"/>
        <v>4.9246085667565422E-2</v>
      </c>
      <c r="AC99" s="10">
        <f t="shared" si="33"/>
        <v>4.8280476144671987E-3</v>
      </c>
      <c r="AD99">
        <f t="shared" si="43"/>
        <v>0</v>
      </c>
      <c r="AE99">
        <f t="shared" si="50"/>
        <v>0</v>
      </c>
      <c r="AF99">
        <f t="shared" si="51"/>
        <v>0</v>
      </c>
      <c r="AG99">
        <f t="shared" si="56"/>
        <v>1.6616752969541827E-2</v>
      </c>
      <c r="AH99">
        <f t="shared" si="56"/>
        <v>1.4375428051261532E-2</v>
      </c>
      <c r="AI99">
        <f t="shared" si="44"/>
        <v>1.1559136124703853</v>
      </c>
      <c r="AJ99">
        <f t="shared" si="52"/>
        <v>53.615952224814095</v>
      </c>
      <c r="AK99" s="14">
        <f t="shared" si="34"/>
        <v>53.615952224814095</v>
      </c>
      <c r="AM99">
        <f t="shared" si="57"/>
        <v>9.9009900990099098E-3</v>
      </c>
      <c r="AN99" s="14">
        <f t="shared" si="45"/>
        <v>0</v>
      </c>
      <c r="AO99">
        <f t="shared" si="54"/>
        <v>0</v>
      </c>
      <c r="AP99" s="14">
        <f t="shared" si="55"/>
        <v>0.6</v>
      </c>
      <c r="AQ99">
        <f t="shared" si="46"/>
        <v>6.6835788857448897E-3</v>
      </c>
      <c r="AR99">
        <f t="shared" si="47"/>
        <v>-6.6835788857448897E-3</v>
      </c>
      <c r="AS99">
        <f t="shared" si="29"/>
        <v>-2.0887241556147166E-3</v>
      </c>
      <c r="AT99">
        <f t="shared" si="30"/>
        <v>1.3669097978546286E-2</v>
      </c>
      <c r="AU99" s="14">
        <f t="shared" si="35"/>
        <v>-0.15280629042918406</v>
      </c>
      <c r="AV99" s="19">
        <f t="shared" si="31"/>
        <v>2.0560006712263709E-2</v>
      </c>
      <c r="AW99" s="19">
        <f t="shared" si="58"/>
        <v>-9.7087378640777766E-3</v>
      </c>
      <c r="AX99">
        <f t="shared" si="36"/>
        <v>1</v>
      </c>
      <c r="AY99">
        <f>IF(W99,SUMPRODUCT(INDEX(AX:AX,X99):INDEX(AX:AX,X99+Y99)),0)</f>
        <v>0</v>
      </c>
      <c r="AZ99">
        <f>IF(V99,COUNT(INDEX(AX:AX,X99):INDEX(AX:AX,ROW())),0)</f>
        <v>89</v>
      </c>
      <c r="BA99" s="14" t="str">
        <f t="shared" si="48"/>
        <v/>
      </c>
      <c r="BB99" s="6">
        <f t="shared" si="37"/>
        <v>257039.99999999997</v>
      </c>
      <c r="BC99" s="6">
        <f>MEDIAN(INDEX(BB:BB,X99):INDEX(BB:BB,X99+Y99-1))</f>
        <v>31619.999999999996</v>
      </c>
      <c r="BD99" s="25" t="str">
        <f t="shared" si="38"/>
        <v/>
      </c>
      <c r="BE99">
        <f t="shared" si="49"/>
        <v>0</v>
      </c>
      <c r="BF99" s="6">
        <f>SUM(INDEX(BE:BE,X99):INDEX(BE:BE,X99+Y99-1))</f>
        <v>16</v>
      </c>
      <c r="BG99" s="25" t="str">
        <f t="shared" si="39"/>
        <v/>
      </c>
    </row>
    <row r="100" spans="1:59" x14ac:dyDescent="0.3">
      <c r="A100" s="1">
        <v>44050</v>
      </c>
      <c r="B100">
        <v>10.15</v>
      </c>
      <c r="C100">
        <v>10.19</v>
      </c>
      <c r="D100">
        <v>10.15</v>
      </c>
      <c r="E100">
        <v>10.15</v>
      </c>
      <c r="F100">
        <v>6200</v>
      </c>
      <c r="G100" s="29">
        <v>4.9299936691310602E-2</v>
      </c>
      <c r="H100" s="29">
        <v>4.8571366198335601E-3</v>
      </c>
      <c r="I100" s="29">
        <v>4.9261083743841298E-3</v>
      </c>
      <c r="J100" s="29">
        <v>48.054012972638901</v>
      </c>
      <c r="K100" s="29">
        <v>2.9644268774704401E-3</v>
      </c>
      <c r="L100" s="29">
        <v>0.4</v>
      </c>
      <c r="M100" s="29">
        <v>-0.139951567144176</v>
      </c>
      <c r="N100" s="29">
        <v>2.41394621180917E-2</v>
      </c>
      <c r="O100" s="29">
        <v>-1.45631067961164E-2</v>
      </c>
      <c r="P100" s="29">
        <v>-4.9019607843135901E-3</v>
      </c>
      <c r="Q100" s="29">
        <v>0.590673575129533</v>
      </c>
      <c r="R100" s="30">
        <v>35388</v>
      </c>
      <c r="S100" s="29">
        <v>31</v>
      </c>
      <c r="T100" s="14">
        <v>309.74799999999999</v>
      </c>
      <c r="U100" s="41"/>
      <c r="V100">
        <v>90</v>
      </c>
      <c r="W100" t="b">
        <f>V100&gt;=$C$4</f>
        <v>0</v>
      </c>
      <c r="X100">
        <f>IF(V100&lt;=$C$5,11,ROW()-$C$5+1)</f>
        <v>11</v>
      </c>
      <c r="Y100" s="14">
        <f t="shared" si="32"/>
        <v>90</v>
      </c>
      <c r="Z100" s="10">
        <f t="shared" si="40"/>
        <v>4.9999999999998934E-2</v>
      </c>
      <c r="AA100" s="15">
        <f t="shared" si="41"/>
        <v>4.9261083743841316E-3</v>
      </c>
      <c r="AB100" s="15">
        <f t="shared" si="42"/>
        <v>4.9299936691310671E-2</v>
      </c>
      <c r="AC100" s="10">
        <f t="shared" si="33"/>
        <v>4.8571366198335636E-3</v>
      </c>
      <c r="AD100">
        <f t="shared" si="43"/>
        <v>-4.9999999999998934E-2</v>
      </c>
      <c r="AE100">
        <f t="shared" si="50"/>
        <v>0</v>
      </c>
      <c r="AF100">
        <f t="shared" si="51"/>
        <v>4.9999999999998934E-2</v>
      </c>
      <c r="AG100">
        <f t="shared" si="56"/>
        <v>1.5429842043145982E-2</v>
      </c>
      <c r="AH100">
        <f t="shared" si="56"/>
        <v>1.6920040333314203E-2</v>
      </c>
      <c r="AI100">
        <f t="shared" si="44"/>
        <v>0.91192702494720768</v>
      </c>
      <c r="AJ100">
        <f t="shared" si="52"/>
        <v>47.696748518547039</v>
      </c>
      <c r="AK100" s="14">
        <f t="shared" si="34"/>
        <v>47.696748518547039</v>
      </c>
      <c r="AM100">
        <f t="shared" si="57"/>
        <v>2.9644268774704496E-3</v>
      </c>
      <c r="AN100" s="14">
        <f t="shared" si="45"/>
        <v>-4.9019607843135971E-3</v>
      </c>
      <c r="AO100">
        <f t="shared" si="54"/>
        <v>0</v>
      </c>
      <c r="AP100" s="14">
        <f t="shared" si="55"/>
        <v>0.4</v>
      </c>
      <c r="AQ100">
        <f t="shared" si="46"/>
        <v>7.2045876746629212E-4</v>
      </c>
      <c r="AR100">
        <f t="shared" si="47"/>
        <v>-5.6224195517798822E-3</v>
      </c>
      <c r="AS100">
        <f t="shared" si="29"/>
        <v>-1.8929490973146829E-3</v>
      </c>
      <c r="AT100">
        <f t="shared" si="30"/>
        <v>1.3525744198095241E-2</v>
      </c>
      <c r="AU100" s="14">
        <f t="shared" si="35"/>
        <v>-0.13995156714417659</v>
      </c>
      <c r="AV100" s="19">
        <f t="shared" si="31"/>
        <v>2.4139462118091926E-2</v>
      </c>
      <c r="AW100" s="19">
        <f t="shared" si="58"/>
        <v>-1.4563106796116498E-2</v>
      </c>
      <c r="AX100">
        <f t="shared" si="36"/>
        <v>0</v>
      </c>
      <c r="AY100">
        <f>IF(W100,SUMPRODUCT(INDEX(AX:AX,X100):INDEX(AX:AX,X100+Y100)),0)</f>
        <v>0</v>
      </c>
      <c r="AZ100">
        <f>IF(V100,COUNT(INDEX(AX:AX,X100):INDEX(AX:AX,ROW())),0)</f>
        <v>90</v>
      </c>
      <c r="BA100" s="14" t="str">
        <f t="shared" si="48"/>
        <v/>
      </c>
      <c r="BB100" s="6">
        <f t="shared" si="37"/>
        <v>62930</v>
      </c>
      <c r="BC100" s="6">
        <f>MEDIAN(INDEX(BB:BB,X100):INDEX(BB:BB,X100+Y100-1))</f>
        <v>32475</v>
      </c>
      <c r="BD100" s="25" t="str">
        <f t="shared" si="38"/>
        <v/>
      </c>
      <c r="BE100">
        <f t="shared" si="49"/>
        <v>0</v>
      </c>
      <c r="BF100" s="6">
        <f>SUM(INDEX(BE:BE,X100):INDEX(BE:BE,X100+Y100-1))</f>
        <v>16</v>
      </c>
      <c r="BG100" s="25" t="str">
        <f t="shared" si="39"/>
        <v/>
      </c>
    </row>
    <row r="101" spans="1:59" x14ac:dyDescent="0.3">
      <c r="A101" s="1">
        <v>44053</v>
      </c>
      <c r="B101">
        <v>10.11</v>
      </c>
      <c r="C101">
        <v>10.117000000000001</v>
      </c>
      <c r="D101">
        <v>10.08</v>
      </c>
      <c r="E101">
        <v>10.08</v>
      </c>
      <c r="F101">
        <v>4000</v>
      </c>
      <c r="G101" s="29">
        <v>5.0778512641931298E-2</v>
      </c>
      <c r="H101" s="29">
        <v>5.0375508573344604E-3</v>
      </c>
      <c r="I101" s="29">
        <v>6.9444444444444701E-3</v>
      </c>
      <c r="J101" s="29">
        <v>41.173222140680799</v>
      </c>
      <c r="K101" s="29">
        <v>-1.9801980198019798E-3</v>
      </c>
      <c r="L101" s="29">
        <v>0.2</v>
      </c>
      <c r="M101" s="29">
        <v>-0.15091474721851</v>
      </c>
      <c r="N101" s="29">
        <v>2.3638256750740699E-2</v>
      </c>
      <c r="O101" s="29">
        <v>-2.1359223300970901E-2</v>
      </c>
      <c r="P101" s="29">
        <v>-6.8965517241379396E-3</v>
      </c>
      <c r="Q101" s="29">
        <v>0.58762886597938102</v>
      </c>
      <c r="R101" s="30">
        <v>37854</v>
      </c>
      <c r="S101" s="29">
        <v>31</v>
      </c>
      <c r="T101" s="14">
        <v>310.673</v>
      </c>
      <c r="U101" s="41"/>
      <c r="V101">
        <v>91</v>
      </c>
      <c r="W101" t="b">
        <f>V101&gt;=$C$4</f>
        <v>0</v>
      </c>
      <c r="X101">
        <f>IF(V101&lt;=$C$5,11,ROW()-$C$5+1)</f>
        <v>11</v>
      </c>
      <c r="Y101" s="14">
        <f t="shared" si="32"/>
        <v>91</v>
      </c>
      <c r="Z101" s="10">
        <f t="shared" si="40"/>
        <v>7.0000000000000284E-2</v>
      </c>
      <c r="AA101" s="15">
        <f t="shared" si="41"/>
        <v>6.9444444444444727E-3</v>
      </c>
      <c r="AB101" s="15">
        <f t="shared" si="42"/>
        <v>5.0778512641931353E-2</v>
      </c>
      <c r="AC101" s="10">
        <f t="shared" si="33"/>
        <v>5.0375508573344595E-3</v>
      </c>
      <c r="AD101">
        <f t="shared" si="43"/>
        <v>-7.0000000000000284E-2</v>
      </c>
      <c r="AE101">
        <f t="shared" si="50"/>
        <v>0</v>
      </c>
      <c r="AF101">
        <f t="shared" si="51"/>
        <v>7.0000000000000284E-2</v>
      </c>
      <c r="AG101">
        <f t="shared" si="56"/>
        <v>1.4327710468635554E-2</v>
      </c>
      <c r="AH101">
        <f t="shared" si="56"/>
        <v>2.0711466023791782E-2</v>
      </c>
      <c r="AI101">
        <f t="shared" si="44"/>
        <v>0.69177674106588849</v>
      </c>
      <c r="AJ101">
        <f t="shared" si="52"/>
        <v>40.890545677442105</v>
      </c>
      <c r="AK101" s="14">
        <f t="shared" si="34"/>
        <v>40.890545677442105</v>
      </c>
      <c r="AM101">
        <f t="shared" si="57"/>
        <v>-1.980198019801982E-3</v>
      </c>
      <c r="AN101" s="14">
        <f t="shared" si="45"/>
        <v>-6.8965517241379448E-3</v>
      </c>
      <c r="AO101">
        <f t="shared" si="54"/>
        <v>0</v>
      </c>
      <c r="AP101" s="14">
        <f t="shared" si="55"/>
        <v>0.2</v>
      </c>
      <c r="AQ101">
        <f t="shared" si="46"/>
        <v>2.9862985394579766E-3</v>
      </c>
      <c r="AR101">
        <f t="shared" si="47"/>
        <v>-9.8828502635959162E-3</v>
      </c>
      <c r="AS101">
        <f t="shared" si="29"/>
        <v>-2.0465810304202189E-3</v>
      </c>
      <c r="AT101">
        <f t="shared" si="30"/>
        <v>1.3561173232838225E-2</v>
      </c>
      <c r="AU101" s="14">
        <f t="shared" si="35"/>
        <v>-0.15091474721851103</v>
      </c>
      <c r="AV101" s="19">
        <f t="shared" si="31"/>
        <v>2.3638256750740824E-2</v>
      </c>
      <c r="AW101" s="19">
        <f t="shared" si="58"/>
        <v>-2.1359223300970953E-2</v>
      </c>
      <c r="AX101">
        <f t="shared" si="36"/>
        <v>0</v>
      </c>
      <c r="AY101">
        <f>IF(W101,SUMPRODUCT(INDEX(AX:AX,X101):INDEX(AX:AX,X101+Y101)),0)</f>
        <v>0</v>
      </c>
      <c r="AZ101">
        <f>IF(V101,COUNT(INDEX(AX:AX,X101):INDEX(AX:AX,ROW())),0)</f>
        <v>91</v>
      </c>
      <c r="BA101" s="14" t="str">
        <f t="shared" si="48"/>
        <v/>
      </c>
      <c r="BB101" s="6">
        <f t="shared" si="37"/>
        <v>40320</v>
      </c>
      <c r="BC101" s="6">
        <f>MEDIAN(INDEX(BB:BB,X101):INDEX(BB:BB,X101+Y101-1))</f>
        <v>33330</v>
      </c>
      <c r="BD101" s="25" t="str">
        <f t="shared" si="38"/>
        <v/>
      </c>
      <c r="BE101">
        <f t="shared" si="49"/>
        <v>0</v>
      </c>
      <c r="BF101" s="6">
        <f>SUM(INDEX(BE:BE,X101):INDEX(BE:BE,X101+Y101-1))</f>
        <v>16</v>
      </c>
      <c r="BG101" s="25" t="str">
        <f t="shared" si="39"/>
        <v/>
      </c>
    </row>
    <row r="102" spans="1:59" x14ac:dyDescent="0.3">
      <c r="A102" s="1">
        <v>44054</v>
      </c>
      <c r="B102">
        <v>10.08</v>
      </c>
      <c r="C102">
        <v>10.08</v>
      </c>
      <c r="D102">
        <v>10.06</v>
      </c>
      <c r="E102">
        <v>10.06</v>
      </c>
      <c r="F102">
        <v>6000</v>
      </c>
      <c r="G102" s="29">
        <v>4.8580047453221899E-2</v>
      </c>
      <c r="H102" s="29">
        <v>4.8290305619504903E-3</v>
      </c>
      <c r="I102" s="29">
        <v>1.9880715705764898E-3</v>
      </c>
      <c r="J102" s="29">
        <v>39.435759239194702</v>
      </c>
      <c r="K102" s="29">
        <v>-5.9288537549405601E-3</v>
      </c>
      <c r="L102" s="29">
        <v>0</v>
      </c>
      <c r="M102" s="29">
        <v>-0.17003931715263901</v>
      </c>
      <c r="N102" s="29">
        <v>2.6205692838318102E-2</v>
      </c>
      <c r="O102" s="29">
        <v>-2.3300970873786402E-2</v>
      </c>
      <c r="P102" s="29">
        <v>-1.9841269841269701E-3</v>
      </c>
      <c r="Q102" s="29">
        <v>0.58461538461538398</v>
      </c>
      <c r="R102" s="30">
        <v>40320</v>
      </c>
      <c r="S102" s="29">
        <v>31</v>
      </c>
      <c r="T102" s="14">
        <v>308.10899999999998</v>
      </c>
      <c r="U102" s="41"/>
      <c r="V102">
        <v>92</v>
      </c>
      <c r="W102" t="b">
        <f>V102&gt;=$C$4</f>
        <v>0</v>
      </c>
      <c r="X102">
        <f>IF(V102&lt;=$C$5,11,ROW()-$C$5+1)</f>
        <v>11</v>
      </c>
      <c r="Y102" s="14">
        <f t="shared" si="32"/>
        <v>92</v>
      </c>
      <c r="Z102" s="10">
        <f t="shared" si="40"/>
        <v>1.9999999999999574E-2</v>
      </c>
      <c r="AA102" s="15">
        <f t="shared" si="41"/>
        <v>1.9880715705764985E-3</v>
      </c>
      <c r="AB102" s="15">
        <f t="shared" si="42"/>
        <v>4.858004745322194E-2</v>
      </c>
      <c r="AC102" s="10">
        <f t="shared" si="33"/>
        <v>4.8290305619504911E-3</v>
      </c>
      <c r="AD102">
        <f t="shared" si="43"/>
        <v>-1.9999999999999574E-2</v>
      </c>
      <c r="AE102">
        <f t="shared" si="50"/>
        <v>0</v>
      </c>
      <c r="AF102">
        <f t="shared" si="51"/>
        <v>1.9999999999999574E-2</v>
      </c>
      <c r="AG102">
        <f t="shared" si="56"/>
        <v>1.3304302578018731E-2</v>
      </c>
      <c r="AH102">
        <f t="shared" si="56"/>
        <v>2.0660647022092339E-2</v>
      </c>
      <c r="AI102">
        <f t="shared" si="44"/>
        <v>0.64394413997744104</v>
      </c>
      <c r="AJ102">
        <f t="shared" si="52"/>
        <v>39.170682526127536</v>
      </c>
      <c r="AK102" s="14">
        <f t="shared" si="34"/>
        <v>39.170682526127536</v>
      </c>
      <c r="AM102">
        <f t="shared" si="57"/>
        <v>-5.9288537549405662E-3</v>
      </c>
      <c r="AN102" s="14">
        <f t="shared" si="45"/>
        <v>-1.9841269841269771E-3</v>
      </c>
      <c r="AO102">
        <f t="shared" si="54"/>
        <v>0</v>
      </c>
      <c r="AP102" s="14">
        <f t="shared" si="55"/>
        <v>0</v>
      </c>
      <c r="AQ102">
        <f t="shared" si="46"/>
        <v>-8.2530506352338495E-3</v>
      </c>
      <c r="AR102">
        <f t="shared" si="47"/>
        <v>6.2689236511068794E-3</v>
      </c>
      <c r="AS102">
        <f t="shared" si="29"/>
        <v>-2.2634018961356435E-3</v>
      </c>
      <c r="AT102">
        <f t="shared" si="30"/>
        <v>1.3311050256123088E-2</v>
      </c>
      <c r="AU102" s="14">
        <f t="shared" si="35"/>
        <v>-0.17003931715263998</v>
      </c>
      <c r="AV102" s="19">
        <f t="shared" si="31"/>
        <v>2.6205692838318296E-2</v>
      </c>
      <c r="AW102" s="19">
        <f t="shared" si="58"/>
        <v>-2.3300970873786464E-2</v>
      </c>
      <c r="AX102">
        <f t="shared" si="36"/>
        <v>0</v>
      </c>
      <c r="AY102">
        <f>IF(W102,SUMPRODUCT(INDEX(AX:AX,X102):INDEX(AX:AX,X102+Y102)),0)</f>
        <v>0</v>
      </c>
      <c r="AZ102">
        <f>IF(V102,COUNT(INDEX(AX:AX,X102):INDEX(AX:AX,ROW())),0)</f>
        <v>92</v>
      </c>
      <c r="BA102" s="14" t="str">
        <f t="shared" si="48"/>
        <v/>
      </c>
      <c r="BB102" s="6">
        <f t="shared" si="37"/>
        <v>60360</v>
      </c>
      <c r="BC102" s="6">
        <f>MEDIAN(INDEX(BB:BB,X102):INDEX(BB:BB,X102+Y102-1))</f>
        <v>36825</v>
      </c>
      <c r="BD102" s="25" t="str">
        <f t="shared" si="38"/>
        <v/>
      </c>
      <c r="BE102">
        <f t="shared" si="49"/>
        <v>0</v>
      </c>
      <c r="BF102" s="6">
        <f>SUM(INDEX(BE:BE,X102):INDEX(BE:BE,X102+Y102-1))</f>
        <v>16</v>
      </c>
      <c r="BG102" s="25" t="str">
        <f t="shared" si="39"/>
        <v/>
      </c>
    </row>
    <row r="103" spans="1:59" x14ac:dyDescent="0.3">
      <c r="A103" s="1">
        <v>44055</v>
      </c>
      <c r="B103">
        <v>10.06</v>
      </c>
      <c r="C103">
        <v>10.06</v>
      </c>
      <c r="D103">
        <v>10.06</v>
      </c>
      <c r="E103">
        <v>10.06</v>
      </c>
      <c r="F103">
        <v>8000</v>
      </c>
      <c r="G103" s="29">
        <v>4.5110044063706098E-2</v>
      </c>
      <c r="H103" s="29">
        <v>4.4840998075254502E-3</v>
      </c>
      <c r="I103" s="29">
        <v>0</v>
      </c>
      <c r="J103" s="29">
        <v>39.435759239194702</v>
      </c>
      <c r="K103" s="29">
        <v>-5.9288537549405601E-3</v>
      </c>
      <c r="L103" s="29">
        <v>0</v>
      </c>
      <c r="M103" s="29">
        <v>-0.21043439399772201</v>
      </c>
      <c r="N103" s="29">
        <v>2.6147997536091701E-2</v>
      </c>
      <c r="O103" s="29">
        <v>-2.3300970873786402E-2</v>
      </c>
      <c r="P103" s="29">
        <v>0</v>
      </c>
      <c r="Q103" s="29">
        <v>0.58673469387755095</v>
      </c>
      <c r="R103" s="30">
        <v>40908</v>
      </c>
      <c r="S103" s="29">
        <v>31</v>
      </c>
      <c r="T103" s="14">
        <v>312.40499999999997</v>
      </c>
      <c r="U103" s="41"/>
      <c r="V103">
        <v>93</v>
      </c>
      <c r="W103" t="b">
        <f>V103&gt;=$C$4</f>
        <v>0</v>
      </c>
      <c r="X103">
        <f>IF(V103&lt;=$C$5,11,ROW()-$C$5+1)</f>
        <v>11</v>
      </c>
      <c r="Y103" s="14">
        <f t="shared" si="32"/>
        <v>93</v>
      </c>
      <c r="Z103" s="10">
        <f t="shared" si="40"/>
        <v>0</v>
      </c>
      <c r="AA103" s="15">
        <f t="shared" si="41"/>
        <v>0</v>
      </c>
      <c r="AB103" s="15">
        <f t="shared" si="42"/>
        <v>4.5110044063706091E-2</v>
      </c>
      <c r="AC103" s="10">
        <f t="shared" si="33"/>
        <v>4.4840998075254563E-3</v>
      </c>
      <c r="AD103">
        <f t="shared" si="43"/>
        <v>0</v>
      </c>
      <c r="AE103">
        <f t="shared" si="50"/>
        <v>0</v>
      </c>
      <c r="AF103">
        <f t="shared" si="51"/>
        <v>0</v>
      </c>
      <c r="AG103">
        <f t="shared" si="56"/>
        <v>1.2353995251017392E-2</v>
      </c>
      <c r="AH103">
        <f t="shared" si="56"/>
        <v>1.9184886520514314E-2</v>
      </c>
      <c r="AI103">
        <f t="shared" si="44"/>
        <v>0.64394413997744104</v>
      </c>
      <c r="AJ103">
        <f t="shared" si="52"/>
        <v>39.170682526127536</v>
      </c>
      <c r="AK103" s="14">
        <f t="shared" si="34"/>
        <v>39.170682526127536</v>
      </c>
      <c r="AM103">
        <f t="shared" si="57"/>
        <v>-5.9288537549405662E-3</v>
      </c>
      <c r="AN103" s="14">
        <f t="shared" si="45"/>
        <v>0</v>
      </c>
      <c r="AO103">
        <f t="shared" si="54"/>
        <v>0</v>
      </c>
      <c r="AP103" s="14">
        <f t="shared" si="55"/>
        <v>0</v>
      </c>
      <c r="AQ103">
        <f t="shared" si="46"/>
        <v>1.3943117533080862E-2</v>
      </c>
      <c r="AR103">
        <f t="shared" si="47"/>
        <v>-1.3943117533080862E-2</v>
      </c>
      <c r="AS103">
        <f t="shared" si="29"/>
        <v>-2.7654915708345243E-3</v>
      </c>
      <c r="AT103">
        <f t="shared" si="30"/>
        <v>1.3141823056094407E-2</v>
      </c>
      <c r="AU103" s="14">
        <f t="shared" si="35"/>
        <v>-0.21043439399772251</v>
      </c>
      <c r="AV103" s="19">
        <f t="shared" si="31"/>
        <v>2.6147997536091865E-2</v>
      </c>
      <c r="AW103" s="19">
        <f t="shared" si="58"/>
        <v>-2.3300970873786464E-2</v>
      </c>
      <c r="AX103">
        <f t="shared" si="36"/>
        <v>1</v>
      </c>
      <c r="AY103">
        <f>IF(W103,SUMPRODUCT(INDEX(AX:AX,X103):INDEX(AX:AX,X103+Y103)),0)</f>
        <v>0</v>
      </c>
      <c r="AZ103">
        <f>IF(V103,COUNT(INDEX(AX:AX,X103):INDEX(AX:AX,ROW())),0)</f>
        <v>93</v>
      </c>
      <c r="BA103" s="14" t="str">
        <f t="shared" si="48"/>
        <v/>
      </c>
      <c r="BB103" s="6">
        <f t="shared" si="37"/>
        <v>80480</v>
      </c>
      <c r="BC103" s="6">
        <f>MEDIAN(INDEX(BB:BB,X103):INDEX(BB:BB,X103+Y103-1))</f>
        <v>40320</v>
      </c>
      <c r="BD103" s="25" t="str">
        <f t="shared" si="38"/>
        <v/>
      </c>
      <c r="BE103">
        <f t="shared" si="49"/>
        <v>0</v>
      </c>
      <c r="BF103" s="6">
        <f>SUM(INDEX(BE:BE,X103):INDEX(BE:BE,X103+Y103-1))</f>
        <v>16</v>
      </c>
      <c r="BG103" s="25" t="str">
        <f t="shared" si="39"/>
        <v/>
      </c>
    </row>
    <row r="104" spans="1:59" x14ac:dyDescent="0.3">
      <c r="A104" s="1">
        <v>44056</v>
      </c>
      <c r="B104">
        <v>10.1</v>
      </c>
      <c r="C104">
        <v>10.1</v>
      </c>
      <c r="D104">
        <v>10.1</v>
      </c>
      <c r="E104">
        <v>10.1</v>
      </c>
      <c r="F104">
        <v>400</v>
      </c>
      <c r="G104" s="29">
        <v>4.4745040916298398E-2</v>
      </c>
      <c r="H104" s="29">
        <v>4.4302020709206403E-3</v>
      </c>
      <c r="I104" s="29">
        <v>3.9603960396038702E-3</v>
      </c>
      <c r="J104" s="29">
        <v>44.835350778819603</v>
      </c>
      <c r="K104" s="29">
        <v>-6.8829891838741997E-3</v>
      </c>
      <c r="L104" s="29">
        <v>0.2</v>
      </c>
      <c r="M104" s="29">
        <v>-0.18913666081369401</v>
      </c>
      <c r="N104" s="29">
        <v>2.4854141026323402E-2</v>
      </c>
      <c r="O104" s="29">
        <v>-1.9417475728155401E-2</v>
      </c>
      <c r="P104" s="29">
        <v>3.9761431411529102E-3</v>
      </c>
      <c r="Q104" s="29">
        <v>0.58883248730964399</v>
      </c>
      <c r="R104" s="30">
        <v>40320</v>
      </c>
      <c r="S104" s="29">
        <v>31</v>
      </c>
      <c r="T104" s="14">
        <v>311.83999999999997</v>
      </c>
      <c r="U104" s="41"/>
      <c r="V104">
        <v>94</v>
      </c>
      <c r="W104" t="b">
        <f>V104&gt;=$C$4</f>
        <v>0</v>
      </c>
      <c r="X104">
        <f>IF(V104&lt;=$C$5,11,ROW()-$C$5+1)</f>
        <v>11</v>
      </c>
      <c r="Y104" s="14">
        <f t="shared" si="32"/>
        <v>94</v>
      </c>
      <c r="Z104" s="10">
        <f t="shared" si="40"/>
        <v>3.9999999999999147E-2</v>
      </c>
      <c r="AA104" s="15">
        <f t="shared" si="41"/>
        <v>3.9603960396038763E-3</v>
      </c>
      <c r="AB104" s="15">
        <f t="shared" si="42"/>
        <v>4.4745040916298454E-2</v>
      </c>
      <c r="AC104" s="10">
        <f t="shared" si="33"/>
        <v>4.4302020709206394E-3</v>
      </c>
      <c r="AD104">
        <f t="shared" si="43"/>
        <v>3.9999999999999147E-2</v>
      </c>
      <c r="AE104">
        <f t="shared" si="50"/>
        <v>3.9999999999999147E-2</v>
      </c>
      <c r="AF104">
        <f t="shared" si="51"/>
        <v>0</v>
      </c>
      <c r="AG104">
        <f t="shared" si="56"/>
        <v>1.4328709875944661E-2</v>
      </c>
      <c r="AH104">
        <f t="shared" si="56"/>
        <v>1.7814537483334721E-2</v>
      </c>
      <c r="AI104">
        <f t="shared" si="44"/>
        <v>0.80432679710876531</v>
      </c>
      <c r="AJ104">
        <f t="shared" si="52"/>
        <v>44.577667327094531</v>
      </c>
      <c r="AK104" s="14">
        <f t="shared" si="34"/>
        <v>44.577667327094531</v>
      </c>
      <c r="AM104">
        <f t="shared" si="57"/>
        <v>-6.8829891838741997E-3</v>
      </c>
      <c r="AN104" s="14">
        <f t="shared" si="45"/>
        <v>3.9761431411529102E-3</v>
      </c>
      <c r="AO104">
        <f t="shared" si="54"/>
        <v>1</v>
      </c>
      <c r="AP104" s="14">
        <f t="shared" si="55"/>
        <v>0.2</v>
      </c>
      <c r="AQ104">
        <f t="shared" si="46"/>
        <v>-1.8085497991389143E-3</v>
      </c>
      <c r="AR104">
        <f t="shared" si="47"/>
        <v>5.7846929402918246E-3</v>
      </c>
      <c r="AS104">
        <f t="shared" si="29"/>
        <v>-2.4836706229637508E-3</v>
      </c>
      <c r="AT104">
        <f t="shared" si="30"/>
        <v>1.3131619286703165E-2</v>
      </c>
      <c r="AU104" s="14">
        <f t="shared" si="35"/>
        <v>-0.1891366608136949</v>
      </c>
      <c r="AV104" s="19">
        <f t="shared" si="31"/>
        <v>2.4854141026323641E-2</v>
      </c>
      <c r="AW104" s="19">
        <f t="shared" si="58"/>
        <v>-1.9417475728155442E-2</v>
      </c>
      <c r="AX104">
        <f t="shared" si="36"/>
        <v>1</v>
      </c>
      <c r="AY104">
        <f>IF(W104,SUMPRODUCT(INDEX(AX:AX,X104):INDEX(AX:AX,X104+Y104)),0)</f>
        <v>0</v>
      </c>
      <c r="AZ104">
        <f>IF(V104,COUNT(INDEX(AX:AX,X104):INDEX(AX:AX,ROW())),0)</f>
        <v>94</v>
      </c>
      <c r="BA104" s="14" t="str">
        <f t="shared" si="48"/>
        <v/>
      </c>
      <c r="BB104" s="6">
        <f t="shared" si="37"/>
        <v>4040</v>
      </c>
      <c r="BC104" s="6">
        <f>MEDIAN(INDEX(BB:BB,X104):INDEX(BB:BB,X104+Y104-1))</f>
        <v>36825</v>
      </c>
      <c r="BD104" s="25" t="str">
        <f t="shared" si="38"/>
        <v/>
      </c>
      <c r="BE104">
        <f t="shared" si="49"/>
        <v>0</v>
      </c>
      <c r="BF104" s="6">
        <f>SUM(INDEX(BE:BE,X104):INDEX(BE:BE,X104+Y104-1))</f>
        <v>16</v>
      </c>
      <c r="BG104" s="25" t="str">
        <f t="shared" si="39"/>
        <v/>
      </c>
    </row>
    <row r="105" spans="1:59" x14ac:dyDescent="0.3">
      <c r="A105" s="1">
        <v>44057</v>
      </c>
      <c r="B105">
        <v>10.1</v>
      </c>
      <c r="C105">
        <v>10.1</v>
      </c>
      <c r="D105">
        <v>10.06</v>
      </c>
      <c r="E105">
        <v>10.06</v>
      </c>
      <c r="F105">
        <v>1900</v>
      </c>
      <c r="G105" s="29">
        <v>4.4406109422276997E-2</v>
      </c>
      <c r="H105" s="29">
        <v>4.4141261851169998E-3</v>
      </c>
      <c r="I105" s="29">
        <v>3.97614314115299E-3</v>
      </c>
      <c r="J105" s="29">
        <v>40.9076875361174</v>
      </c>
      <c r="K105" s="29">
        <v>-1.1787819253437999E-2</v>
      </c>
      <c r="L105" s="29">
        <v>0.2</v>
      </c>
      <c r="M105" s="29">
        <v>-0.18842372108571301</v>
      </c>
      <c r="N105" s="29">
        <v>2.6041387266742301E-2</v>
      </c>
      <c r="O105" s="29">
        <v>-2.3300970873786402E-2</v>
      </c>
      <c r="P105" s="29">
        <v>-3.9603960396038503E-3</v>
      </c>
      <c r="Q105" s="29">
        <v>0.58585858585858497</v>
      </c>
      <c r="R105" s="30">
        <v>37854</v>
      </c>
      <c r="S105" s="29">
        <v>31</v>
      </c>
      <c r="T105" s="14">
        <v>311.84899999999999</v>
      </c>
      <c r="U105" s="41"/>
      <c r="V105">
        <v>95</v>
      </c>
      <c r="W105" t="b">
        <f>V105&gt;=$C$4</f>
        <v>0</v>
      </c>
      <c r="X105">
        <f>IF(V105&lt;=$C$5,11,ROW()-$C$5+1)</f>
        <v>11</v>
      </c>
      <c r="Y105" s="14">
        <f t="shared" si="32"/>
        <v>95</v>
      </c>
      <c r="Z105" s="10">
        <f t="shared" si="40"/>
        <v>3.9999999999999147E-2</v>
      </c>
      <c r="AA105" s="15">
        <f t="shared" si="41"/>
        <v>3.976143141152997E-3</v>
      </c>
      <c r="AB105" s="15">
        <f t="shared" si="42"/>
        <v>4.4406109422277074E-2</v>
      </c>
      <c r="AC105" s="10">
        <f t="shared" si="33"/>
        <v>4.414126185117005E-3</v>
      </c>
      <c r="AD105">
        <f t="shared" si="43"/>
        <v>-3.9999999999999147E-2</v>
      </c>
      <c r="AE105">
        <f t="shared" si="50"/>
        <v>0</v>
      </c>
      <c r="AF105">
        <f t="shared" si="51"/>
        <v>3.9999999999999147E-2</v>
      </c>
      <c r="AG105">
        <f t="shared" si="56"/>
        <v>1.330523059909147E-2</v>
      </c>
      <c r="AH105">
        <f t="shared" si="56"/>
        <v>1.939921337738218E-2</v>
      </c>
      <c r="AI105">
        <f t="shared" si="44"/>
        <v>0.68586443894700544</v>
      </c>
      <c r="AJ105">
        <f t="shared" si="52"/>
        <v>40.683249679042866</v>
      </c>
      <c r="AK105" s="14">
        <f t="shared" si="34"/>
        <v>40.683249679042866</v>
      </c>
      <c r="AM105">
        <f t="shared" si="57"/>
        <v>-1.1787819253438081E-2</v>
      </c>
      <c r="AN105" s="14">
        <f t="shared" si="45"/>
        <v>-3.9603960396038529E-3</v>
      </c>
      <c r="AO105">
        <f t="shared" si="54"/>
        <v>0</v>
      </c>
      <c r="AP105" s="14">
        <f t="shared" si="55"/>
        <v>0.2</v>
      </c>
      <c r="AQ105">
        <f t="shared" si="46"/>
        <v>2.886095433551894E-5</v>
      </c>
      <c r="AR105">
        <f t="shared" si="47"/>
        <v>-3.9892569939393692E-3</v>
      </c>
      <c r="AS105">
        <f t="shared" si="29"/>
        <v>-2.4740543155061341E-3</v>
      </c>
      <c r="AT105">
        <f t="shared" si="30"/>
        <v>1.3130269911083478E-2</v>
      </c>
      <c r="AU105" s="14">
        <f t="shared" si="35"/>
        <v>-0.18842372108571387</v>
      </c>
      <c r="AV105" s="19">
        <f t="shared" si="31"/>
        <v>2.6041387266742506E-2</v>
      </c>
      <c r="AW105" s="19">
        <f t="shared" si="58"/>
        <v>-2.3300970873786464E-2</v>
      </c>
      <c r="AX105">
        <f t="shared" si="36"/>
        <v>0</v>
      </c>
      <c r="AY105">
        <f>IF(W105,SUMPRODUCT(INDEX(AX:AX,X105):INDEX(AX:AX,X105+Y105)),0)</f>
        <v>0</v>
      </c>
      <c r="AZ105">
        <f>IF(V105,COUNT(INDEX(AX:AX,X105):INDEX(AX:AX,ROW())),0)</f>
        <v>95</v>
      </c>
      <c r="BA105" s="14" t="str">
        <f t="shared" si="48"/>
        <v/>
      </c>
      <c r="BB105" s="6">
        <f t="shared" si="37"/>
        <v>19114</v>
      </c>
      <c r="BC105" s="6">
        <f>MEDIAN(INDEX(BB:BB,X105):INDEX(BB:BB,X105+Y105-1))</f>
        <v>33330</v>
      </c>
      <c r="BD105" s="25" t="str">
        <f t="shared" si="38"/>
        <v/>
      </c>
      <c r="BE105">
        <f t="shared" si="49"/>
        <v>0</v>
      </c>
      <c r="BF105" s="6">
        <f>SUM(INDEX(BE:BE,X105):INDEX(BE:BE,X105+Y105-1))</f>
        <v>16</v>
      </c>
      <c r="BG105" s="25" t="str">
        <f t="shared" si="39"/>
        <v/>
      </c>
    </row>
    <row r="106" spans="1:59" x14ac:dyDescent="0.3">
      <c r="A106" s="1">
        <v>44060</v>
      </c>
      <c r="B106">
        <v>10.06</v>
      </c>
      <c r="C106">
        <v>10.08</v>
      </c>
      <c r="D106">
        <v>10.039999999999999</v>
      </c>
      <c r="E106">
        <v>10.039999999999999</v>
      </c>
      <c r="F106">
        <v>811700</v>
      </c>
      <c r="G106" s="29">
        <v>4.4091387320685897E-2</v>
      </c>
      <c r="H106" s="29">
        <v>4.3915724422993897E-3</v>
      </c>
      <c r="I106" s="29">
        <v>3.9840637450200096E-3</v>
      </c>
      <c r="J106" s="29">
        <v>39.064981805150502</v>
      </c>
      <c r="K106" s="29">
        <v>-8.8845014807503696E-3</v>
      </c>
      <c r="L106" s="29">
        <v>0.2</v>
      </c>
      <c r="M106" s="29">
        <v>-0.16399076556266501</v>
      </c>
      <c r="N106" s="29">
        <v>2.8775650731299899E-2</v>
      </c>
      <c r="O106" s="29">
        <v>-2.5242718446601999E-2</v>
      </c>
      <c r="P106" s="29">
        <v>-1.9880715705766698E-3</v>
      </c>
      <c r="Q106" s="29">
        <v>0.58291457286432102</v>
      </c>
      <c r="R106" s="30">
        <v>40320</v>
      </c>
      <c r="S106" s="29">
        <v>31</v>
      </c>
      <c r="T106" s="14">
        <v>312.83999999999997</v>
      </c>
      <c r="U106" s="41"/>
      <c r="V106">
        <v>96</v>
      </c>
      <c r="W106" t="b">
        <f>V106&gt;=$C$4</f>
        <v>0</v>
      </c>
      <c r="X106">
        <f>IF(V106&lt;=$C$5,11,ROW()-$C$5+1)</f>
        <v>11</v>
      </c>
      <c r="Y106" s="14">
        <f t="shared" si="32"/>
        <v>96</v>
      </c>
      <c r="Z106" s="10">
        <f t="shared" si="40"/>
        <v>4.0000000000000924E-2</v>
      </c>
      <c r="AA106" s="15">
        <f t="shared" si="41"/>
        <v>3.9840637450200131E-3</v>
      </c>
      <c r="AB106" s="15">
        <f t="shared" si="42"/>
        <v>4.4091387320685918E-2</v>
      </c>
      <c r="AC106" s="10">
        <f t="shared" si="33"/>
        <v>4.3915724422993949E-3</v>
      </c>
      <c r="AD106">
        <f t="shared" si="43"/>
        <v>-2.000000000000135E-2</v>
      </c>
      <c r="AE106">
        <f t="shared" si="50"/>
        <v>0</v>
      </c>
      <c r="AF106">
        <f t="shared" si="51"/>
        <v>2.000000000000135E-2</v>
      </c>
      <c r="AG106">
        <f t="shared" si="56"/>
        <v>1.2354856984870651E-2</v>
      </c>
      <c r="AH106">
        <f t="shared" si="56"/>
        <v>1.9442126707569261E-2</v>
      </c>
      <c r="AI106">
        <f t="shared" si="44"/>
        <v>0.63546839143171641</v>
      </c>
      <c r="AJ106">
        <f t="shared" si="52"/>
        <v>38.85543705772367</v>
      </c>
      <c r="AK106" s="14">
        <f t="shared" si="34"/>
        <v>38.85543705772367</v>
      </c>
      <c r="AM106">
        <f t="shared" si="57"/>
        <v>-8.884501480750373E-3</v>
      </c>
      <c r="AN106" s="14">
        <f t="shared" si="45"/>
        <v>-1.9880715705766772E-3</v>
      </c>
      <c r="AO106">
        <f t="shared" si="54"/>
        <v>0</v>
      </c>
      <c r="AP106" s="14">
        <f t="shared" si="55"/>
        <v>0.2</v>
      </c>
      <c r="AQ106">
        <f t="shared" si="46"/>
        <v>3.1778200346961327E-3</v>
      </c>
      <c r="AR106">
        <f t="shared" si="47"/>
        <v>-5.1658916052728029E-3</v>
      </c>
      <c r="AS106">
        <f t="shared" si="29"/>
        <v>-2.0725457543677435E-3</v>
      </c>
      <c r="AT106">
        <f t="shared" si="30"/>
        <v>1.2638185737207026E-2</v>
      </c>
      <c r="AU106" s="14">
        <f t="shared" si="35"/>
        <v>-0.16399076556266576</v>
      </c>
      <c r="AV106" s="19">
        <f t="shared" si="31"/>
        <v>2.8775650731300163E-2</v>
      </c>
      <c r="AW106" s="19">
        <f t="shared" si="58"/>
        <v>-2.5242718446602086E-2</v>
      </c>
      <c r="AX106">
        <f t="shared" si="36"/>
        <v>0</v>
      </c>
      <c r="AY106">
        <f>IF(W106,SUMPRODUCT(INDEX(AX:AX,X106):INDEX(AX:AX,X106+Y106)),0)</f>
        <v>0</v>
      </c>
      <c r="AZ106">
        <f>IF(V106,COUNT(INDEX(AX:AX,X106):INDEX(AX:AX,ROW())),0)</f>
        <v>96</v>
      </c>
      <c r="BA106" s="14" t="str">
        <f t="shared" si="48"/>
        <v/>
      </c>
      <c r="BB106" s="6">
        <f t="shared" si="37"/>
        <v>8149467.9999999991</v>
      </c>
      <c r="BC106" s="6">
        <f>MEDIAN(INDEX(BB:BB,X106):INDEX(BB:BB,X106+Y106-1))</f>
        <v>36825</v>
      </c>
      <c r="BD106" s="25" t="str">
        <f t="shared" si="38"/>
        <v/>
      </c>
      <c r="BE106">
        <f t="shared" si="49"/>
        <v>0</v>
      </c>
      <c r="BF106" s="6">
        <f>SUM(INDEX(BE:BE,X106):INDEX(BE:BE,X106+Y106-1))</f>
        <v>16</v>
      </c>
      <c r="BG106" s="25" t="str">
        <f t="shared" si="39"/>
        <v/>
      </c>
    </row>
    <row r="107" spans="1:59" x14ac:dyDescent="0.3">
      <c r="A107" s="1">
        <v>44061</v>
      </c>
      <c r="B107">
        <v>10.039999999999999</v>
      </c>
      <c r="C107">
        <v>10.050000000000001</v>
      </c>
      <c r="D107">
        <v>10.029999999999999</v>
      </c>
      <c r="E107">
        <v>10.029999999999999</v>
      </c>
      <c r="F107">
        <v>272100</v>
      </c>
      <c r="G107" s="29">
        <v>4.2370573940637E-2</v>
      </c>
      <c r="H107" s="29">
        <v>4.2243842413396803E-3</v>
      </c>
      <c r="I107" s="29">
        <v>1.9940179461616502E-3</v>
      </c>
      <c r="J107" s="29">
        <v>38.139889279280901</v>
      </c>
      <c r="K107" s="29">
        <v>-1.6666666666666601E-2</v>
      </c>
      <c r="L107" s="29">
        <v>0.2</v>
      </c>
      <c r="M107" s="29">
        <v>-0.182279685131821</v>
      </c>
      <c r="N107" s="29">
        <v>2.900105815456E-2</v>
      </c>
      <c r="O107" s="29">
        <v>-2.6213592233009699E-2</v>
      </c>
      <c r="P107" s="29">
        <v>-9.9601593625497898E-4</v>
      </c>
      <c r="Q107" s="29">
        <v>0.57999999999999996</v>
      </c>
      <c r="R107" s="30">
        <v>40908</v>
      </c>
      <c r="S107" s="29">
        <v>31</v>
      </c>
      <c r="T107" s="14">
        <v>313.51600000000002</v>
      </c>
      <c r="U107" s="41"/>
      <c r="V107">
        <v>97</v>
      </c>
      <c r="W107" t="b">
        <f>V107&gt;=$C$4</f>
        <v>0</v>
      </c>
      <c r="X107">
        <f>IF(V107&lt;=$C$5,11,ROW()-$C$5+1)</f>
        <v>11</v>
      </c>
      <c r="Y107" s="14">
        <f t="shared" si="32"/>
        <v>97</v>
      </c>
      <c r="Z107" s="10">
        <f t="shared" si="40"/>
        <v>2.000000000000135E-2</v>
      </c>
      <c r="AA107" s="15">
        <f t="shared" si="41"/>
        <v>1.9940179461616502E-3</v>
      </c>
      <c r="AB107" s="15">
        <f t="shared" si="42"/>
        <v>4.2370573940637021E-2</v>
      </c>
      <c r="AC107" s="10">
        <f t="shared" si="33"/>
        <v>4.2243842413396838E-3</v>
      </c>
      <c r="AD107">
        <f t="shared" si="43"/>
        <v>-9.9999999999997868E-3</v>
      </c>
      <c r="AE107">
        <f t="shared" si="50"/>
        <v>0</v>
      </c>
      <c r="AF107">
        <f t="shared" si="51"/>
        <v>9.9999999999997868E-3</v>
      </c>
      <c r="AG107">
        <f t="shared" si="56"/>
        <v>1.1472367200237032E-2</v>
      </c>
      <c r="AH107">
        <f t="shared" si="56"/>
        <v>1.876768908560001E-2</v>
      </c>
      <c r="AI107">
        <f t="shared" si="44"/>
        <v>0.61128288879420423</v>
      </c>
      <c r="AJ107">
        <f t="shared" si="52"/>
        <v>37.937651609498239</v>
      </c>
      <c r="AK107" s="14">
        <f t="shared" si="34"/>
        <v>37.937651609498239</v>
      </c>
      <c r="AM107">
        <f t="shared" si="57"/>
        <v>-1.6666666666666607E-2</v>
      </c>
      <c r="AN107" s="14">
        <f t="shared" si="45"/>
        <v>-9.960159362549792E-4</v>
      </c>
      <c r="AO107">
        <f t="shared" si="54"/>
        <v>0</v>
      </c>
      <c r="AP107" s="14">
        <f t="shared" si="55"/>
        <v>0.2</v>
      </c>
      <c r="AQ107">
        <f t="shared" si="46"/>
        <v>2.1608489962920974E-3</v>
      </c>
      <c r="AR107">
        <f t="shared" si="47"/>
        <v>-3.1568649325470766E-3</v>
      </c>
      <c r="AS107">
        <f t="shared" si="29"/>
        <v>-2.2856946687898291E-3</v>
      </c>
      <c r="AT107">
        <f t="shared" si="30"/>
        <v>1.253949208402926E-2</v>
      </c>
      <c r="AU107" s="14">
        <f t="shared" si="35"/>
        <v>-0.18227968513182208</v>
      </c>
      <c r="AV107" s="19">
        <f t="shared" si="31"/>
        <v>2.9001058154560243E-2</v>
      </c>
      <c r="AW107" s="19">
        <f t="shared" si="58"/>
        <v>-2.6213592233009786E-2</v>
      </c>
      <c r="AX107">
        <f t="shared" si="36"/>
        <v>0</v>
      </c>
      <c r="AY107">
        <f>IF(W107,SUMPRODUCT(INDEX(AX:AX,X107):INDEX(AX:AX,X107+Y107)),0)</f>
        <v>0</v>
      </c>
      <c r="AZ107">
        <f>IF(V107,COUNT(INDEX(AX:AX,X107):INDEX(AX:AX,ROW())),0)</f>
        <v>97</v>
      </c>
      <c r="BA107" s="14" t="str">
        <f t="shared" si="48"/>
        <v/>
      </c>
      <c r="BB107" s="6">
        <f t="shared" si="37"/>
        <v>2729163</v>
      </c>
      <c r="BC107" s="6">
        <f>MEDIAN(INDEX(BB:BB,X107):INDEX(BB:BB,X107+Y107-1))</f>
        <v>40320</v>
      </c>
      <c r="BD107" s="25" t="str">
        <f t="shared" si="38"/>
        <v/>
      </c>
      <c r="BE107">
        <f t="shared" si="49"/>
        <v>0</v>
      </c>
      <c r="BF107" s="6">
        <f>SUM(INDEX(BE:BE,X107):INDEX(BE:BE,X107+Y107-1))</f>
        <v>16</v>
      </c>
      <c r="BG107" s="25" t="str">
        <f t="shared" si="39"/>
        <v/>
      </c>
    </row>
    <row r="108" spans="1:59" x14ac:dyDescent="0.3">
      <c r="A108" s="1">
        <v>44062</v>
      </c>
      <c r="B108">
        <v>10.09</v>
      </c>
      <c r="C108">
        <v>10.1</v>
      </c>
      <c r="D108">
        <v>10.050000000000001</v>
      </c>
      <c r="E108">
        <v>10.06</v>
      </c>
      <c r="F108">
        <v>116800</v>
      </c>
      <c r="G108" s="29">
        <v>4.4344104373448698E-2</v>
      </c>
      <c r="H108" s="29">
        <v>4.4079626613766102E-3</v>
      </c>
      <c r="I108" s="29">
        <v>6.9582504970179199E-3</v>
      </c>
      <c r="J108" s="29">
        <v>42.536288826281599</v>
      </c>
      <c r="K108" s="29">
        <v>-1.9493177387914101E-2</v>
      </c>
      <c r="L108" s="29">
        <v>0.4</v>
      </c>
      <c r="M108" s="29">
        <v>-0.15278732739769799</v>
      </c>
      <c r="N108" s="29">
        <v>2.7968616650499201E-2</v>
      </c>
      <c r="O108" s="29">
        <v>-2.3300970873786402E-2</v>
      </c>
      <c r="P108" s="29">
        <v>2.9910269192423501E-3</v>
      </c>
      <c r="Q108" s="29">
        <v>0.577114427860696</v>
      </c>
      <c r="R108" s="30">
        <v>41496</v>
      </c>
      <c r="S108" s="29">
        <v>31</v>
      </c>
      <c r="T108" s="14">
        <v>312.20999999999998</v>
      </c>
      <c r="U108" s="41"/>
      <c r="V108">
        <v>98</v>
      </c>
      <c r="W108" t="b">
        <f>V108&gt;=$C$4</f>
        <v>0</v>
      </c>
      <c r="X108">
        <f>IF(V108&lt;=$C$5,11,ROW()-$C$5+1)</f>
        <v>11</v>
      </c>
      <c r="Y108" s="14">
        <f t="shared" si="32"/>
        <v>98</v>
      </c>
      <c r="Z108" s="10">
        <f t="shared" si="40"/>
        <v>7.0000000000000284E-2</v>
      </c>
      <c r="AA108" s="15">
        <f t="shared" si="41"/>
        <v>6.9582504970179208E-3</v>
      </c>
      <c r="AB108" s="15">
        <f t="shared" si="42"/>
        <v>4.4344104373448677E-2</v>
      </c>
      <c r="AC108" s="10">
        <f t="shared" si="33"/>
        <v>4.4079626613766076E-3</v>
      </c>
      <c r="AD108">
        <f t="shared" si="43"/>
        <v>3.0000000000001137E-2</v>
      </c>
      <c r="AE108">
        <f t="shared" si="50"/>
        <v>3.0000000000001137E-2</v>
      </c>
      <c r="AF108">
        <f t="shared" si="51"/>
        <v>0</v>
      </c>
      <c r="AG108">
        <f t="shared" si="56"/>
        <v>1.2795769543077326E-2</v>
      </c>
      <c r="AH108">
        <f t="shared" si="56"/>
        <v>1.742713986520001E-2</v>
      </c>
      <c r="AI108">
        <f t="shared" si="44"/>
        <v>0.7342438083387971</v>
      </c>
      <c r="AJ108">
        <f t="shared" si="52"/>
        <v>42.337980669633573</v>
      </c>
      <c r="AK108" s="14">
        <f t="shared" si="34"/>
        <v>42.337980669633573</v>
      </c>
      <c r="AM108">
        <f t="shared" si="57"/>
        <v>-1.9493177387914118E-2</v>
      </c>
      <c r="AN108" s="14">
        <f t="shared" si="45"/>
        <v>2.9910269192423566E-3</v>
      </c>
      <c r="AO108">
        <f t="shared" si="54"/>
        <v>1</v>
      </c>
      <c r="AP108" s="14">
        <f t="shared" si="55"/>
        <v>0.4</v>
      </c>
      <c r="AQ108">
        <f t="shared" si="46"/>
        <v>-4.1656566172062481E-3</v>
      </c>
      <c r="AR108">
        <f t="shared" si="47"/>
        <v>7.1566835364485978E-3</v>
      </c>
      <c r="AS108">
        <f t="shared" si="29"/>
        <v>-1.9024385583674185E-3</v>
      </c>
      <c r="AT108">
        <f t="shared" si="30"/>
        <v>1.2451546805419605E-2</v>
      </c>
      <c r="AU108" s="14">
        <f t="shared" si="35"/>
        <v>-0.15278732739769901</v>
      </c>
      <c r="AV108" s="19">
        <f t="shared" si="31"/>
        <v>2.7968616650499479E-2</v>
      </c>
      <c r="AW108" s="19">
        <f t="shared" si="58"/>
        <v>-2.3300970873786464E-2</v>
      </c>
      <c r="AX108">
        <f t="shared" si="36"/>
        <v>0</v>
      </c>
      <c r="AY108">
        <f>IF(W108,SUMPRODUCT(INDEX(AX:AX,X108):INDEX(AX:AX,X108+Y108)),0)</f>
        <v>0</v>
      </c>
      <c r="AZ108">
        <f>IF(V108,COUNT(INDEX(AX:AX,X108):INDEX(AX:AX,ROW())),0)</f>
        <v>98</v>
      </c>
      <c r="BA108" s="14" t="str">
        <f t="shared" si="48"/>
        <v/>
      </c>
      <c r="BB108" s="6">
        <f t="shared" si="37"/>
        <v>1175008</v>
      </c>
      <c r="BC108" s="6">
        <f>MEDIAN(INDEX(BB:BB,X108):INDEX(BB:BB,X108+Y108-1))</f>
        <v>40908</v>
      </c>
      <c r="BD108" s="25" t="str">
        <f t="shared" si="38"/>
        <v/>
      </c>
      <c r="BE108">
        <f t="shared" si="49"/>
        <v>0</v>
      </c>
      <c r="BF108" s="6">
        <f>SUM(INDEX(BE:BE,X108):INDEX(BE:BE,X108+Y108-1))</f>
        <v>16</v>
      </c>
      <c r="BG108" s="25" t="str">
        <f t="shared" si="39"/>
        <v/>
      </c>
    </row>
    <row r="109" spans="1:59" x14ac:dyDescent="0.3">
      <c r="A109" s="1">
        <v>44063</v>
      </c>
      <c r="B109">
        <v>10.050000000000001</v>
      </c>
      <c r="C109">
        <v>10.06</v>
      </c>
      <c r="D109">
        <v>10.039999999999999</v>
      </c>
      <c r="E109">
        <v>10.039999999999999</v>
      </c>
      <c r="F109">
        <v>6100</v>
      </c>
      <c r="G109" s="29">
        <v>4.2605239775345298E-2</v>
      </c>
      <c r="H109" s="29">
        <v>4.24354977842084E-3</v>
      </c>
      <c r="I109" s="29">
        <v>1.9920318725100898E-3</v>
      </c>
      <c r="J109" s="29">
        <v>40.471257770159497</v>
      </c>
      <c r="K109" s="29">
        <v>-2.5242718446601999E-2</v>
      </c>
      <c r="L109" s="29">
        <v>0.2</v>
      </c>
      <c r="M109" s="29">
        <v>-0.168705602373834</v>
      </c>
      <c r="N109" s="29">
        <v>2.7759669754186301E-2</v>
      </c>
      <c r="O109" s="29">
        <v>-2.5242718446601999E-2</v>
      </c>
      <c r="P109" s="29">
        <v>-1.9880715705766698E-3</v>
      </c>
      <c r="Q109" s="29">
        <v>0.57425742574257399</v>
      </c>
      <c r="R109" s="30">
        <v>42418</v>
      </c>
      <c r="S109" s="29">
        <v>31</v>
      </c>
      <c r="T109" s="14">
        <v>313.18200000000002</v>
      </c>
      <c r="U109" s="41"/>
      <c r="V109">
        <v>99</v>
      </c>
      <c r="W109" t="b">
        <f>V109&gt;=$C$4</f>
        <v>0</v>
      </c>
      <c r="X109">
        <f>IF(V109&lt;=$C$5,11,ROW()-$C$5+1)</f>
        <v>11</v>
      </c>
      <c r="Y109" s="14">
        <f t="shared" si="32"/>
        <v>99</v>
      </c>
      <c r="Z109" s="10">
        <f t="shared" si="40"/>
        <v>2.000000000000135E-2</v>
      </c>
      <c r="AA109" s="15">
        <f t="shared" si="41"/>
        <v>1.992031872510095E-3</v>
      </c>
      <c r="AB109" s="15">
        <f t="shared" si="42"/>
        <v>4.2605239775345298E-2</v>
      </c>
      <c r="AC109" s="10">
        <f t="shared" si="33"/>
        <v>4.243549778420847E-3</v>
      </c>
      <c r="AD109">
        <f t="shared" si="43"/>
        <v>-2.000000000000135E-2</v>
      </c>
      <c r="AE109">
        <f t="shared" si="50"/>
        <v>0</v>
      </c>
      <c r="AF109">
        <f t="shared" si="51"/>
        <v>2.000000000000135E-2</v>
      </c>
      <c r="AG109">
        <f t="shared" si="56"/>
        <v>1.1881786004286089E-2</v>
      </c>
      <c r="AH109">
        <f t="shared" si="56"/>
        <v>1.7610915589114391E-2</v>
      </c>
      <c r="AI109">
        <f t="shared" si="44"/>
        <v>0.67468303644760097</v>
      </c>
      <c r="AJ109">
        <f t="shared" si="52"/>
        <v>40.287207893307574</v>
      </c>
      <c r="AK109" s="14">
        <f t="shared" si="34"/>
        <v>40.287207893307574</v>
      </c>
      <c r="AM109">
        <f t="shared" si="57"/>
        <v>-2.5242718446602086E-2</v>
      </c>
      <c r="AN109" s="14">
        <f t="shared" si="45"/>
        <v>-1.9880715705766772E-3</v>
      </c>
      <c r="AO109">
        <f t="shared" si="54"/>
        <v>0</v>
      </c>
      <c r="AP109" s="14">
        <f t="shared" si="55"/>
        <v>0.2</v>
      </c>
      <c r="AQ109">
        <f t="shared" si="46"/>
        <v>3.1132891323149003E-3</v>
      </c>
      <c r="AR109">
        <f t="shared" si="47"/>
        <v>-5.1013607028915706E-3</v>
      </c>
      <c r="AS109">
        <f t="shared" si="29"/>
        <v>-2.093023200703687E-3</v>
      </c>
      <c r="AT109">
        <f t="shared" si="30"/>
        <v>1.2406364526447422E-2</v>
      </c>
      <c r="AU109" s="14">
        <f t="shared" si="35"/>
        <v>-0.16870560237383472</v>
      </c>
      <c r="AV109" s="19">
        <f t="shared" si="31"/>
        <v>2.7759669754186488E-2</v>
      </c>
      <c r="AW109" s="19">
        <f t="shared" si="58"/>
        <v>-2.5242718446602086E-2</v>
      </c>
      <c r="AX109">
        <f t="shared" si="36"/>
        <v>0</v>
      </c>
      <c r="AY109">
        <f>IF(W109,SUMPRODUCT(INDEX(AX:AX,X109):INDEX(AX:AX,X109+Y109)),0)</f>
        <v>0</v>
      </c>
      <c r="AZ109">
        <f>IF(V109,COUNT(INDEX(AX:AX,X109):INDEX(AX:AX,ROW())),0)</f>
        <v>99</v>
      </c>
      <c r="BA109" s="14" t="str">
        <f t="shared" si="48"/>
        <v/>
      </c>
      <c r="BB109" s="6">
        <f t="shared" si="37"/>
        <v>61243.999999999993</v>
      </c>
      <c r="BC109" s="6">
        <f>MEDIAN(INDEX(BB:BB,X109):INDEX(BB:BB,X109+Y109-1))</f>
        <v>41496</v>
      </c>
      <c r="BD109" s="25" t="str">
        <f t="shared" si="38"/>
        <v/>
      </c>
      <c r="BE109">
        <f t="shared" si="49"/>
        <v>0</v>
      </c>
      <c r="BF109" s="6">
        <f>SUM(INDEX(BE:BE,X109):INDEX(BE:BE,X109+Y109-1))</f>
        <v>16</v>
      </c>
      <c r="BG109" s="25" t="str">
        <f t="shared" si="39"/>
        <v/>
      </c>
    </row>
    <row r="110" spans="1:59" x14ac:dyDescent="0.3">
      <c r="A110" s="1">
        <v>44064</v>
      </c>
      <c r="B110">
        <v>10.1</v>
      </c>
      <c r="C110">
        <v>10.1</v>
      </c>
      <c r="D110">
        <v>9.99</v>
      </c>
      <c r="E110">
        <v>10.015000000000001</v>
      </c>
      <c r="F110">
        <v>12100</v>
      </c>
      <c r="G110" s="29">
        <v>4.7419151219963401E-2</v>
      </c>
      <c r="H110" s="29">
        <v>4.7348129026423798E-3</v>
      </c>
      <c r="I110" s="29">
        <v>1.0983524712930501E-2</v>
      </c>
      <c r="J110" s="29">
        <v>37.988610091434303</v>
      </c>
      <c r="K110" s="29">
        <v>-2.7669902912621301E-2</v>
      </c>
      <c r="L110" s="29">
        <v>0.2</v>
      </c>
      <c r="M110" s="29">
        <v>-0.17386239614621901</v>
      </c>
      <c r="N110" s="29">
        <v>2.7382252687792898E-2</v>
      </c>
      <c r="O110" s="29">
        <v>-2.7669902912621301E-2</v>
      </c>
      <c r="P110" s="29">
        <v>-2.49003984063733E-3</v>
      </c>
      <c r="Q110" s="29">
        <v>0.57142857142857095</v>
      </c>
      <c r="R110" s="30">
        <v>43340</v>
      </c>
      <c r="S110" s="29">
        <v>31</v>
      </c>
      <c r="T110" s="14">
        <v>314.29300000000001</v>
      </c>
      <c r="U110" s="41"/>
      <c r="V110">
        <v>100</v>
      </c>
      <c r="W110" t="b">
        <f>V110&gt;=$C$4</f>
        <v>0</v>
      </c>
      <c r="X110">
        <f>IF(V110&lt;=$C$5,11,ROW()-$C$5+1)</f>
        <v>11</v>
      </c>
      <c r="Y110" s="14">
        <f t="shared" si="32"/>
        <v>100</v>
      </c>
      <c r="Z110" s="10">
        <f t="shared" si="40"/>
        <v>0.10999999999999943</v>
      </c>
      <c r="AA110" s="15">
        <f t="shared" si="41"/>
        <v>1.0983524712930546E-2</v>
      </c>
      <c r="AB110" s="15">
        <f t="shared" si="42"/>
        <v>4.741915121996345E-2</v>
      </c>
      <c r="AC110" s="10">
        <f t="shared" si="33"/>
        <v>4.7348129026423815E-3</v>
      </c>
      <c r="AD110">
        <f t="shared" si="43"/>
        <v>-2.4999999999998579E-2</v>
      </c>
      <c r="AE110">
        <f t="shared" si="50"/>
        <v>0</v>
      </c>
      <c r="AF110">
        <f t="shared" si="51"/>
        <v>2.4999999999998579E-2</v>
      </c>
      <c r="AG110">
        <f t="shared" ref="AG110:AH125" si="59">(AE110+13*AG109)/14</f>
        <v>1.103308700397994E-2</v>
      </c>
      <c r="AH110">
        <f t="shared" si="59"/>
        <v>1.8138707332748975E-2</v>
      </c>
      <c r="AI110">
        <f t="shared" si="44"/>
        <v>0.60826203331810658</v>
      </c>
      <c r="AJ110">
        <f t="shared" si="52"/>
        <v>37.821077704804289</v>
      </c>
      <c r="AK110" s="14">
        <f t="shared" si="34"/>
        <v>37.821077704804289</v>
      </c>
      <c r="AM110">
        <f t="shared" si="57"/>
        <v>-2.7669902912621391E-2</v>
      </c>
      <c r="AN110" s="14">
        <f t="shared" si="45"/>
        <v>-2.490039840637337E-3</v>
      </c>
      <c r="AO110">
        <f t="shared" si="54"/>
        <v>0</v>
      </c>
      <c r="AP110" s="14">
        <f t="shared" si="55"/>
        <v>0.2</v>
      </c>
      <c r="AQ110">
        <f t="shared" si="46"/>
        <v>3.5474580276004808E-3</v>
      </c>
      <c r="AR110">
        <f t="shared" si="47"/>
        <v>-6.0374978682378108E-3</v>
      </c>
      <c r="AS110">
        <f t="shared" si="29"/>
        <v>-2.1587229630793854E-3</v>
      </c>
      <c r="AT110">
        <f t="shared" si="30"/>
        <v>1.2416272931519262E-2</v>
      </c>
      <c r="AU110" s="14">
        <f t="shared" si="35"/>
        <v>-0.17386239614621962</v>
      </c>
      <c r="AV110" s="19">
        <f t="shared" si="31"/>
        <v>2.7382252687793169E-2</v>
      </c>
      <c r="AW110" s="19">
        <f t="shared" si="58"/>
        <v>-2.7669902912621391E-2</v>
      </c>
      <c r="AX110">
        <f t="shared" si="36"/>
        <v>0</v>
      </c>
      <c r="AY110">
        <f>IF(W110,SUMPRODUCT(INDEX(AX:AX,X110):INDEX(AX:AX,X110+Y110)),0)</f>
        <v>0</v>
      </c>
      <c r="AZ110">
        <f>IF(V110,COUNT(INDEX(AX:AX,X110):INDEX(AX:AX,ROW())),0)</f>
        <v>100</v>
      </c>
      <c r="BA110" s="14" t="str">
        <f t="shared" si="48"/>
        <v/>
      </c>
      <c r="BB110" s="6">
        <f t="shared" si="37"/>
        <v>121181.5</v>
      </c>
      <c r="BC110" s="6">
        <f>MEDIAN(INDEX(BB:BB,X110):INDEX(BB:BB,X110+Y110-1))</f>
        <v>44988</v>
      </c>
      <c r="BD110" s="25" t="str">
        <f t="shared" si="38"/>
        <v/>
      </c>
      <c r="BE110">
        <f t="shared" si="49"/>
        <v>0</v>
      </c>
      <c r="BF110" s="6">
        <f>SUM(INDEX(BE:BE,X110):INDEX(BE:BE,X110+Y110-1))</f>
        <v>16</v>
      </c>
      <c r="BG110" s="25" t="str">
        <f t="shared" si="39"/>
        <v/>
      </c>
    </row>
    <row r="111" spans="1:59" x14ac:dyDescent="0.3">
      <c r="A111" s="1">
        <v>44067</v>
      </c>
      <c r="B111">
        <v>10.039999999999999</v>
      </c>
      <c r="C111">
        <v>10.055</v>
      </c>
      <c r="D111">
        <v>10.037000000000001</v>
      </c>
      <c r="E111">
        <v>10.055</v>
      </c>
      <c r="F111">
        <v>2600</v>
      </c>
      <c r="G111" s="29">
        <v>4.68892118471088E-2</v>
      </c>
      <c r="H111" s="29">
        <v>4.6632731822087298E-3</v>
      </c>
      <c r="I111" s="29">
        <v>3.9781203381401399E-3</v>
      </c>
      <c r="J111" s="29">
        <v>43.916599195256602</v>
      </c>
      <c r="K111" s="29">
        <v>-1.42156862745097E-2</v>
      </c>
      <c r="L111" s="29">
        <v>0.4</v>
      </c>
      <c r="M111" s="29">
        <v>-0.16673106913446201</v>
      </c>
      <c r="N111" s="29">
        <v>3.10318385052623E-2</v>
      </c>
      <c r="O111" s="29">
        <v>-2.37864077669903E-2</v>
      </c>
      <c r="P111" s="29">
        <v>3.9940089865200196E-3</v>
      </c>
      <c r="Q111" s="29">
        <v>0.56862745098039202</v>
      </c>
      <c r="R111" s="30">
        <v>42418</v>
      </c>
      <c r="S111" s="29">
        <v>31</v>
      </c>
      <c r="T111" s="14">
        <v>317.47800000000001</v>
      </c>
      <c r="U111" s="41"/>
      <c r="V111">
        <v>101</v>
      </c>
      <c r="W111" t="b">
        <f>V111&gt;=$C$4</f>
        <v>0</v>
      </c>
      <c r="X111">
        <f>IF(V111&lt;=$C$5,11,ROW()-$C$5+1)</f>
        <v>11</v>
      </c>
      <c r="Y111" s="14">
        <f t="shared" si="32"/>
        <v>101</v>
      </c>
      <c r="Z111" s="10">
        <f t="shared" si="40"/>
        <v>3.9999999999999147E-2</v>
      </c>
      <c r="AA111" s="15">
        <f t="shared" si="41"/>
        <v>3.9781203381401443E-3</v>
      </c>
      <c r="AB111" s="15">
        <f t="shared" si="42"/>
        <v>4.6889211847108855E-2</v>
      </c>
      <c r="AC111" s="10">
        <f t="shared" si="33"/>
        <v>4.6632731822087376E-3</v>
      </c>
      <c r="AD111">
        <f t="shared" si="43"/>
        <v>3.9999999999999147E-2</v>
      </c>
      <c r="AE111">
        <f t="shared" si="50"/>
        <v>3.9999999999999147E-2</v>
      </c>
      <c r="AF111">
        <f t="shared" si="51"/>
        <v>0</v>
      </c>
      <c r="AG111">
        <f t="shared" si="59"/>
        <v>1.3102152217981311E-2</v>
      </c>
      <c r="AH111">
        <f t="shared" si="59"/>
        <v>1.6843085380409763E-2</v>
      </c>
      <c r="AI111">
        <f t="shared" si="44"/>
        <v>0.77789501876066358</v>
      </c>
      <c r="AJ111">
        <f t="shared" si="52"/>
        <v>43.753709333350812</v>
      </c>
      <c r="AK111" s="14">
        <f t="shared" si="34"/>
        <v>43.753709333350812</v>
      </c>
      <c r="AM111">
        <f t="shared" si="57"/>
        <v>-1.4215686274509753E-2</v>
      </c>
      <c r="AN111" s="14">
        <f t="shared" si="45"/>
        <v>3.9940089865200257E-3</v>
      </c>
      <c r="AO111">
        <f t="shared" si="54"/>
        <v>1</v>
      </c>
      <c r="AP111" s="14">
        <f t="shared" si="55"/>
        <v>0.4</v>
      </c>
      <c r="AQ111">
        <f t="shared" si="46"/>
        <v>1.0133855987883855E-2</v>
      </c>
      <c r="AR111">
        <f t="shared" si="47"/>
        <v>-6.1398470013638356E-3</v>
      </c>
      <c r="AS111">
        <f t="shared" si="29"/>
        <v>-2.0606257067795862E-3</v>
      </c>
      <c r="AT111">
        <f t="shared" si="30"/>
        <v>1.2358978548369776E-2</v>
      </c>
      <c r="AU111" s="14">
        <f t="shared" si="35"/>
        <v>-0.16673106913446298</v>
      </c>
      <c r="AV111" s="19">
        <f t="shared" si="31"/>
        <v>3.1031838505262574E-2</v>
      </c>
      <c r="AW111" s="19">
        <f t="shared" si="58"/>
        <v>-2.378640776699037E-2</v>
      </c>
      <c r="AX111">
        <f t="shared" si="36"/>
        <v>0</v>
      </c>
      <c r="AY111">
        <f>IF(W111,SUMPRODUCT(INDEX(AX:AX,X111):INDEX(AX:AX,X111+Y111)),0)</f>
        <v>0</v>
      </c>
      <c r="AZ111">
        <f>IF(V111,COUNT(INDEX(AX:AX,X111):INDEX(AX:AX,ROW())),0)</f>
        <v>101</v>
      </c>
      <c r="BA111" s="14" t="str">
        <f t="shared" si="48"/>
        <v/>
      </c>
      <c r="BB111" s="6">
        <f t="shared" si="37"/>
        <v>26143</v>
      </c>
      <c r="BC111" s="6">
        <f>MEDIAN(INDEX(BB:BB,X111):INDEX(BB:BB,X111+Y111-1))</f>
        <v>41496</v>
      </c>
      <c r="BD111" s="25" t="str">
        <f t="shared" si="38"/>
        <v/>
      </c>
      <c r="BE111">
        <f t="shared" si="49"/>
        <v>0</v>
      </c>
      <c r="BF111" s="6">
        <f>SUM(INDEX(BE:BE,X111):INDEX(BE:BE,X111+Y111-1))</f>
        <v>16</v>
      </c>
      <c r="BG111" s="25" t="str">
        <f t="shared" si="39"/>
        <v/>
      </c>
    </row>
    <row r="112" spans="1:59" x14ac:dyDescent="0.3">
      <c r="A112" s="1">
        <v>44068</v>
      </c>
      <c r="B112">
        <v>10.039999999999999</v>
      </c>
      <c r="C112">
        <v>10.050000000000001</v>
      </c>
      <c r="D112">
        <v>10.039999999999999</v>
      </c>
      <c r="E112">
        <v>10.039999999999999</v>
      </c>
      <c r="F112">
        <v>101800</v>
      </c>
      <c r="G112" s="29">
        <v>4.4611411000886801E-2</v>
      </c>
      <c r="H112" s="29">
        <v>4.4433676295704003E-3</v>
      </c>
      <c r="I112" s="29">
        <v>1.49402390438252E-3</v>
      </c>
      <c r="J112" s="29">
        <v>42.284186868334203</v>
      </c>
      <c r="K112" s="29">
        <v>-1.6650342801175499E-2</v>
      </c>
      <c r="L112" s="29">
        <v>0.4</v>
      </c>
      <c r="M112" s="29">
        <v>-0.155326323430726</v>
      </c>
      <c r="N112" s="29">
        <v>3.1689051145652999E-2</v>
      </c>
      <c r="O112" s="29">
        <v>-2.5242718446601999E-2</v>
      </c>
      <c r="P112" s="29">
        <v>-1.49179512680264E-3</v>
      </c>
      <c r="Q112" s="29">
        <v>0.56585365853658498</v>
      </c>
      <c r="R112" s="30">
        <v>43340</v>
      </c>
      <c r="S112" s="29">
        <v>31</v>
      </c>
      <c r="T112" s="14">
        <v>318.589</v>
      </c>
      <c r="U112" s="41"/>
      <c r="V112">
        <v>102</v>
      </c>
      <c r="W112" t="b">
        <f>V112&gt;=$C$4</f>
        <v>0</v>
      </c>
      <c r="X112">
        <f>IF(V112&lt;=$C$5,11,ROW()-$C$5+1)</f>
        <v>11</v>
      </c>
      <c r="Y112" s="14">
        <f t="shared" si="32"/>
        <v>102</v>
      </c>
      <c r="Z112" s="10">
        <f t="shared" si="40"/>
        <v>1.5000000000000568E-2</v>
      </c>
      <c r="AA112" s="15">
        <f t="shared" si="41"/>
        <v>1.4940239043825269E-3</v>
      </c>
      <c r="AB112" s="15">
        <f t="shared" si="42"/>
        <v>4.4611411000886836E-2</v>
      </c>
      <c r="AC112" s="10">
        <f t="shared" si="33"/>
        <v>4.443367629570402E-3</v>
      </c>
      <c r="AD112">
        <f t="shared" si="43"/>
        <v>-1.5000000000000568E-2</v>
      </c>
      <c r="AE112">
        <f t="shared" si="50"/>
        <v>0</v>
      </c>
      <c r="AF112">
        <f t="shared" si="51"/>
        <v>1.5000000000000568E-2</v>
      </c>
      <c r="AG112">
        <f t="shared" si="59"/>
        <v>1.2166284202411216E-2</v>
      </c>
      <c r="AH112">
        <f t="shared" si="59"/>
        <v>1.671143642466625E-2</v>
      </c>
      <c r="AI112">
        <f t="shared" si="44"/>
        <v>0.72802145149256325</v>
      </c>
      <c r="AJ112">
        <f t="shared" si="52"/>
        <v>42.130348026857028</v>
      </c>
      <c r="AK112" s="14">
        <f t="shared" si="34"/>
        <v>42.130348026857028</v>
      </c>
      <c r="AM112">
        <f t="shared" si="57"/>
        <v>-1.6650342801175499E-2</v>
      </c>
      <c r="AN112" s="14">
        <f t="shared" si="45"/>
        <v>-1.4917951268026419E-3</v>
      </c>
      <c r="AO112">
        <f t="shared" si="54"/>
        <v>0</v>
      </c>
      <c r="AP112" s="14">
        <f t="shared" si="55"/>
        <v>0.4</v>
      </c>
      <c r="AQ112">
        <f t="shared" si="46"/>
        <v>3.4994550803519875E-3</v>
      </c>
      <c r="AR112">
        <f t="shared" si="47"/>
        <v>-4.9912502071546277E-3</v>
      </c>
      <c r="AS112">
        <f t="shared" si="29"/>
        <v>-1.9036656713296437E-3</v>
      </c>
      <c r="AT112">
        <f t="shared" si="30"/>
        <v>1.2255911485464652E-2</v>
      </c>
      <c r="AU112" s="14">
        <f t="shared" si="35"/>
        <v>-0.15532632343072694</v>
      </c>
      <c r="AV112" s="19">
        <f t="shared" si="31"/>
        <v>3.1689051145653256E-2</v>
      </c>
      <c r="AW112" s="19">
        <f t="shared" si="58"/>
        <v>-2.5242718446602086E-2</v>
      </c>
      <c r="AX112">
        <f t="shared" si="36"/>
        <v>0</v>
      </c>
      <c r="AY112">
        <f>IF(W112,SUMPRODUCT(INDEX(AX:AX,X112):INDEX(AX:AX,X112+Y112)),0)</f>
        <v>0</v>
      </c>
      <c r="AZ112">
        <f>IF(V112,COUNT(INDEX(AX:AX,X112):INDEX(AX:AX,ROW())),0)</f>
        <v>102</v>
      </c>
      <c r="BA112" s="14" t="str">
        <f t="shared" si="48"/>
        <v/>
      </c>
      <c r="BB112" s="6">
        <f t="shared" si="37"/>
        <v>1022071.9999999999</v>
      </c>
      <c r="BC112" s="6">
        <f>MEDIAN(INDEX(BB:BB,X112):INDEX(BB:BB,X112+Y112-1))</f>
        <v>44988</v>
      </c>
      <c r="BD112" s="25" t="str">
        <f t="shared" si="38"/>
        <v/>
      </c>
      <c r="BE112">
        <f t="shared" si="49"/>
        <v>0</v>
      </c>
      <c r="BF112" s="6">
        <f>SUM(INDEX(BE:BE,X112):INDEX(BE:BE,X112+Y112-1))</f>
        <v>16</v>
      </c>
      <c r="BG112" s="25" t="str">
        <f t="shared" si="39"/>
        <v/>
      </c>
    </row>
    <row r="113" spans="1:59" x14ac:dyDescent="0.3">
      <c r="A113" s="1">
        <v>44069</v>
      </c>
      <c r="B113">
        <v>10.06</v>
      </c>
      <c r="C113">
        <v>10.06</v>
      </c>
      <c r="D113">
        <v>10.050000000000001</v>
      </c>
      <c r="E113">
        <v>10.050000000000001</v>
      </c>
      <c r="F113">
        <v>321000</v>
      </c>
      <c r="G113" s="29">
        <v>4.28534530722521E-2</v>
      </c>
      <c r="H113" s="29">
        <v>4.2640251813186201E-3</v>
      </c>
      <c r="I113" s="29">
        <v>1.9900497512439102E-3</v>
      </c>
      <c r="J113" s="29">
        <v>43.7843948714793</v>
      </c>
      <c r="K113" s="29">
        <v>-2.4271844660194102E-2</v>
      </c>
      <c r="L113" s="29">
        <v>0.4</v>
      </c>
      <c r="M113" s="29">
        <v>-0.169093149940726</v>
      </c>
      <c r="N113" s="29">
        <v>3.2087389356067697E-2</v>
      </c>
      <c r="O113" s="29">
        <v>-1.4705882352940999E-2</v>
      </c>
      <c r="P113" s="29">
        <v>9.9601593625520102E-4</v>
      </c>
      <c r="Q113" s="29">
        <v>0.56310679611650405</v>
      </c>
      <c r="R113" s="30">
        <v>45910</v>
      </c>
      <c r="S113" s="29">
        <v>31</v>
      </c>
      <c r="T113" s="14">
        <v>321.78300000000002</v>
      </c>
      <c r="U113" s="41"/>
      <c r="V113">
        <v>103</v>
      </c>
      <c r="W113" t="b">
        <f>V113&gt;=$C$4</f>
        <v>0</v>
      </c>
      <c r="X113">
        <f>IF(V113&lt;=$C$5,11,ROW()-$C$5+1)</f>
        <v>11</v>
      </c>
      <c r="Y113" s="14">
        <f t="shared" si="32"/>
        <v>103</v>
      </c>
      <c r="Z113" s="10">
        <f t="shared" si="40"/>
        <v>2.000000000000135E-2</v>
      </c>
      <c r="AA113" s="15">
        <f t="shared" si="41"/>
        <v>1.9900497512439154E-3</v>
      </c>
      <c r="AB113" s="15">
        <f t="shared" si="42"/>
        <v>4.2853453072252155E-2</v>
      </c>
      <c r="AC113" s="10">
        <f t="shared" si="33"/>
        <v>4.2640251813186219E-3</v>
      </c>
      <c r="AD113">
        <f t="shared" si="43"/>
        <v>1.0000000000001563E-2</v>
      </c>
      <c r="AE113">
        <f t="shared" si="50"/>
        <v>1.0000000000001563E-2</v>
      </c>
      <c r="AF113">
        <f t="shared" si="51"/>
        <v>0</v>
      </c>
      <c r="AG113">
        <f t="shared" si="59"/>
        <v>1.2011549616524812E-2</v>
      </c>
      <c r="AH113">
        <f t="shared" si="59"/>
        <v>1.5517762394332946E-2</v>
      </c>
      <c r="AI113">
        <f t="shared" si="44"/>
        <v>0.77405165199019965</v>
      </c>
      <c r="AJ113">
        <f t="shared" si="52"/>
        <v>43.631855426635333</v>
      </c>
      <c r="AK113" s="14">
        <f t="shared" si="34"/>
        <v>43.631855426635333</v>
      </c>
      <c r="AM113">
        <f t="shared" si="57"/>
        <v>-2.4271844660194164E-2</v>
      </c>
      <c r="AN113" s="14">
        <f t="shared" si="45"/>
        <v>9.9601593625520124E-4</v>
      </c>
      <c r="AO113">
        <f t="shared" si="54"/>
        <v>1</v>
      </c>
      <c r="AP113" s="14">
        <f t="shared" si="55"/>
        <v>0.4</v>
      </c>
      <c r="AQ113">
        <f t="shared" si="46"/>
        <v>1.0025455995028132E-2</v>
      </c>
      <c r="AR113">
        <f t="shared" si="47"/>
        <v>-9.0294400587729307E-3</v>
      </c>
      <c r="AS113">
        <f t="shared" si="29"/>
        <v>-2.076264923574113E-3</v>
      </c>
      <c r="AT113">
        <f t="shared" si="30"/>
        <v>1.2278823384045562E-2</v>
      </c>
      <c r="AU113" s="14">
        <f t="shared" si="35"/>
        <v>-0.16909314994072633</v>
      </c>
      <c r="AV113" s="19">
        <f t="shared" si="31"/>
        <v>3.2087389356068023E-2</v>
      </c>
      <c r="AW113" s="19">
        <f t="shared" si="58"/>
        <v>-1.4705882352941013E-2</v>
      </c>
      <c r="AX113">
        <f t="shared" si="36"/>
        <v>0</v>
      </c>
      <c r="AY113">
        <f>IF(W113,SUMPRODUCT(INDEX(AX:AX,X113):INDEX(AX:AX,X113+Y113)),0)</f>
        <v>0</v>
      </c>
      <c r="AZ113">
        <f>IF(V113,COUNT(INDEX(AX:AX,X113):INDEX(AX:AX,ROW())),0)</f>
        <v>103</v>
      </c>
      <c r="BA113" s="14" t="str">
        <f t="shared" si="48"/>
        <v/>
      </c>
      <c r="BB113" s="6">
        <f t="shared" si="37"/>
        <v>3226050</v>
      </c>
      <c r="BC113" s="6">
        <f>MEDIAN(INDEX(BB:BB,X113):INDEX(BB:BB,X113+Y113-1))</f>
        <v>48480</v>
      </c>
      <c r="BD113" s="25" t="str">
        <f t="shared" si="38"/>
        <v/>
      </c>
      <c r="BE113">
        <f t="shared" si="49"/>
        <v>0</v>
      </c>
      <c r="BF113" s="6">
        <f>SUM(INDEX(BE:BE,X113):INDEX(BE:BE,X113+Y113-1))</f>
        <v>16</v>
      </c>
      <c r="BG113" s="25" t="str">
        <f t="shared" si="39"/>
        <v/>
      </c>
    </row>
    <row r="114" spans="1:59" x14ac:dyDescent="0.3">
      <c r="A114" s="1">
        <v>44070</v>
      </c>
      <c r="B114">
        <v>10.06</v>
      </c>
      <c r="C114">
        <v>10.08</v>
      </c>
      <c r="D114">
        <v>10.050000000000001</v>
      </c>
      <c r="E114">
        <v>10.06</v>
      </c>
      <c r="F114">
        <v>63000</v>
      </c>
      <c r="G114" s="29">
        <v>4.1935349281376898E-2</v>
      </c>
      <c r="H114" s="29">
        <v>4.1685237854251402E-3</v>
      </c>
      <c r="I114" s="29">
        <v>2.9821073558647399E-3</v>
      </c>
      <c r="J114" s="29">
        <v>45.315159068182702</v>
      </c>
      <c r="K114" s="29">
        <v>-1.37254901960782E-2</v>
      </c>
      <c r="L114" s="29">
        <v>0.6</v>
      </c>
      <c r="M114" s="29">
        <v>-0.161206097950093</v>
      </c>
      <c r="N114" s="29">
        <v>3.29002200309748E-2</v>
      </c>
      <c r="O114" s="29">
        <v>-1.37254901960782E-2</v>
      </c>
      <c r="P114" s="29">
        <v>9.9502487562186295E-4</v>
      </c>
      <c r="Q114" s="29">
        <v>0.56038647342995096</v>
      </c>
      <c r="R114" s="30">
        <v>48480</v>
      </c>
      <c r="S114" s="29">
        <v>31</v>
      </c>
      <c r="T114" s="14">
        <v>322.48700000000002</v>
      </c>
      <c r="U114" s="41"/>
      <c r="V114">
        <v>104</v>
      </c>
      <c r="W114" t="b">
        <f>V114&gt;=$C$4</f>
        <v>0</v>
      </c>
      <c r="X114">
        <f>IF(V114&lt;=$C$5,11,ROW()-$C$5+1)</f>
        <v>11</v>
      </c>
      <c r="Y114" s="14">
        <f t="shared" si="32"/>
        <v>104</v>
      </c>
      <c r="Z114" s="10">
        <f t="shared" si="40"/>
        <v>2.9999999999999361E-2</v>
      </c>
      <c r="AA114" s="15">
        <f t="shared" si="41"/>
        <v>2.9821073558647473E-3</v>
      </c>
      <c r="AB114" s="15">
        <f t="shared" si="42"/>
        <v>4.1935349281376953E-2</v>
      </c>
      <c r="AC114" s="10">
        <f t="shared" si="33"/>
        <v>4.1685237854251446E-3</v>
      </c>
      <c r="AD114">
        <f t="shared" si="43"/>
        <v>9.9999999999997868E-3</v>
      </c>
      <c r="AE114">
        <f t="shared" si="50"/>
        <v>9.9999999999997868E-3</v>
      </c>
      <c r="AF114">
        <f t="shared" si="51"/>
        <v>0</v>
      </c>
      <c r="AG114">
        <f t="shared" si="59"/>
        <v>1.1867867501058739E-2</v>
      </c>
      <c r="AH114">
        <f t="shared" si="59"/>
        <v>1.4409350794737735E-2</v>
      </c>
      <c r="AI114">
        <f t="shared" si="44"/>
        <v>0.82362263714149142</v>
      </c>
      <c r="AJ114">
        <f t="shared" si="52"/>
        <v>45.164093731174063</v>
      </c>
      <c r="AK114" s="14">
        <f t="shared" si="34"/>
        <v>45.164093731174063</v>
      </c>
      <c r="AM114">
        <f t="shared" si="57"/>
        <v>-1.3725490196078272E-2</v>
      </c>
      <c r="AN114" s="14">
        <f t="shared" si="45"/>
        <v>9.9502487562186381E-4</v>
      </c>
      <c r="AO114">
        <f t="shared" si="54"/>
        <v>1</v>
      </c>
      <c r="AP114" s="14">
        <f t="shared" si="55"/>
        <v>0.6</v>
      </c>
      <c r="AQ114">
        <f t="shared" si="46"/>
        <v>2.1878097972858335E-3</v>
      </c>
      <c r="AR114">
        <f t="shared" si="47"/>
        <v>-1.1927849216639705E-3</v>
      </c>
      <c r="AS114">
        <f t="shared" si="29"/>
        <v>-1.9763334759199769E-3</v>
      </c>
      <c r="AT114">
        <f t="shared" si="30"/>
        <v>1.2259669460716114E-2</v>
      </c>
      <c r="AU114" s="14">
        <f t="shared" si="35"/>
        <v>-0.16120609795009391</v>
      </c>
      <c r="AV114" s="19">
        <f t="shared" si="31"/>
        <v>3.2900220030975126E-2</v>
      </c>
      <c r="AW114" s="19">
        <f t="shared" si="58"/>
        <v>-1.3725490196078272E-2</v>
      </c>
      <c r="AX114">
        <f t="shared" si="36"/>
        <v>0</v>
      </c>
      <c r="AY114">
        <f>IF(W114,SUMPRODUCT(INDEX(AX:AX,X114):INDEX(AX:AX,X114+Y114)),0)</f>
        <v>0</v>
      </c>
      <c r="AZ114">
        <f>IF(V114,COUNT(INDEX(AX:AX,X114):INDEX(AX:AX,ROW())),0)</f>
        <v>104</v>
      </c>
      <c r="BA114" s="14" t="str">
        <f t="shared" si="48"/>
        <v/>
      </c>
      <c r="BB114" s="6">
        <f t="shared" si="37"/>
        <v>633780</v>
      </c>
      <c r="BC114" s="6">
        <f>MEDIAN(INDEX(BB:BB,X114):INDEX(BB:BB,X114+Y114-1))</f>
        <v>48528</v>
      </c>
      <c r="BD114" s="25" t="str">
        <f t="shared" si="38"/>
        <v/>
      </c>
      <c r="BE114">
        <f t="shared" si="49"/>
        <v>0</v>
      </c>
      <c r="BF114" s="6">
        <f>SUM(INDEX(BE:BE,X114):INDEX(BE:BE,X114+Y114-1))</f>
        <v>16</v>
      </c>
      <c r="BG114" s="25" t="str">
        <f t="shared" si="39"/>
        <v/>
      </c>
    </row>
    <row r="115" spans="1:59" x14ac:dyDescent="0.3">
      <c r="A115" s="1">
        <v>44071</v>
      </c>
      <c r="B115">
        <v>10.050000000000001</v>
      </c>
      <c r="C115">
        <v>10.14</v>
      </c>
      <c r="D115">
        <v>10.029999999999999</v>
      </c>
      <c r="E115">
        <v>10.09</v>
      </c>
      <c r="F115">
        <v>380000</v>
      </c>
      <c r="G115" s="29">
        <v>4.6797110046993003E-2</v>
      </c>
      <c r="H115" s="29">
        <v>4.6379692811687797E-3</v>
      </c>
      <c r="I115" s="29">
        <v>1.09018830525273E-2</v>
      </c>
      <c r="J115" s="29">
        <v>49.737024658010299</v>
      </c>
      <c r="K115" s="29">
        <v>-8.3538083538083896E-3</v>
      </c>
      <c r="L115" s="29">
        <v>0.8</v>
      </c>
      <c r="M115" s="29">
        <v>-0.16847901613077901</v>
      </c>
      <c r="N115" s="29">
        <v>3.2978077535711199E-2</v>
      </c>
      <c r="O115" s="29">
        <v>-1.0784313725490101E-2</v>
      </c>
      <c r="P115" s="29">
        <v>2.9821073558646801E-3</v>
      </c>
      <c r="Q115" s="29">
        <v>0.55769230769230704</v>
      </c>
      <c r="R115" s="30">
        <v>48528</v>
      </c>
      <c r="S115" s="29">
        <v>31</v>
      </c>
      <c r="T115" s="14">
        <v>324.57</v>
      </c>
      <c r="U115" s="41"/>
      <c r="V115">
        <v>105</v>
      </c>
      <c r="W115" t="b">
        <f>V115&gt;=$C$4</f>
        <v>0</v>
      </c>
      <c r="X115">
        <f>IF(V115&lt;=$C$5,11,ROW()-$C$5+1)</f>
        <v>11</v>
      </c>
      <c r="Y115" s="14">
        <f t="shared" si="32"/>
        <v>105</v>
      </c>
      <c r="Z115" s="10">
        <f t="shared" si="40"/>
        <v>0.11000000000000121</v>
      </c>
      <c r="AA115" s="15">
        <f t="shared" si="41"/>
        <v>1.0901883052527374E-2</v>
      </c>
      <c r="AB115" s="15">
        <f t="shared" si="42"/>
        <v>4.6797110046992975E-2</v>
      </c>
      <c r="AC115" s="10">
        <f t="shared" si="33"/>
        <v>4.6379692811687788E-3</v>
      </c>
      <c r="AD115">
        <f t="shared" si="43"/>
        <v>2.9999999999999361E-2</v>
      </c>
      <c r="AE115">
        <f t="shared" si="50"/>
        <v>2.9999999999999361E-2</v>
      </c>
      <c r="AF115">
        <f t="shared" si="51"/>
        <v>0</v>
      </c>
      <c r="AG115">
        <f t="shared" si="59"/>
        <v>1.316301982241164E-2</v>
      </c>
      <c r="AH115">
        <f t="shared" si="59"/>
        <v>1.3380111452256468E-2</v>
      </c>
      <c r="AI115">
        <f t="shared" si="44"/>
        <v>0.98377505070720339</v>
      </c>
      <c r="AJ115">
        <f t="shared" si="52"/>
        <v>49.591058742093452</v>
      </c>
      <c r="AK115" s="14">
        <f t="shared" si="34"/>
        <v>49.591058742093452</v>
      </c>
      <c r="AM115">
        <f t="shared" si="57"/>
        <v>-8.3538083538083896E-3</v>
      </c>
      <c r="AN115" s="14">
        <f t="shared" si="45"/>
        <v>2.9821073558646827E-3</v>
      </c>
      <c r="AO115">
        <f t="shared" si="54"/>
        <v>1</v>
      </c>
      <c r="AP115" s="14">
        <f t="shared" si="55"/>
        <v>0.8</v>
      </c>
      <c r="AQ115">
        <f t="shared" si="46"/>
        <v>6.4591750985310004E-3</v>
      </c>
      <c r="AR115">
        <f t="shared" si="47"/>
        <v>-3.4770677426663203E-3</v>
      </c>
      <c r="AS115">
        <f t="shared" si="29"/>
        <v>-2.0639048189227808E-3</v>
      </c>
      <c r="AT115">
        <f t="shared" si="30"/>
        <v>1.2250218848148409E-2</v>
      </c>
      <c r="AU115" s="14">
        <f t="shared" si="35"/>
        <v>-0.16847901613077998</v>
      </c>
      <c r="AV115" s="19">
        <f t="shared" si="31"/>
        <v>3.2978077535711511E-2</v>
      </c>
      <c r="AW115" s="19">
        <f t="shared" si="58"/>
        <v>-1.0784313725490158E-2</v>
      </c>
      <c r="AX115">
        <f t="shared" si="36"/>
        <v>0</v>
      </c>
      <c r="AY115">
        <f>IF(W115,SUMPRODUCT(INDEX(AX:AX,X115):INDEX(AX:AX,X115+Y115)),0)</f>
        <v>0</v>
      </c>
      <c r="AZ115">
        <f>IF(V115,COUNT(INDEX(AX:AX,X115):INDEX(AX:AX,ROW())),0)</f>
        <v>105</v>
      </c>
      <c r="BA115" s="14" t="str">
        <f t="shared" si="48"/>
        <v/>
      </c>
      <c r="BB115" s="6">
        <f t="shared" si="37"/>
        <v>3834200</v>
      </c>
      <c r="BC115" s="6">
        <f>MEDIAN(INDEX(BB:BB,X115):INDEX(BB:BB,X115+Y115-1))</f>
        <v>48575.999999999993</v>
      </c>
      <c r="BD115" s="25" t="str">
        <f t="shared" si="38"/>
        <v/>
      </c>
      <c r="BE115">
        <f t="shared" si="49"/>
        <v>0</v>
      </c>
      <c r="BF115" s="6">
        <f>SUM(INDEX(BE:BE,X115):INDEX(BE:BE,X115+Y115-1))</f>
        <v>16</v>
      </c>
      <c r="BG115" s="25" t="str">
        <f t="shared" si="39"/>
        <v/>
      </c>
    </row>
    <row r="116" spans="1:59" x14ac:dyDescent="0.3">
      <c r="A116" s="1">
        <v>44074</v>
      </c>
      <c r="B116">
        <v>10.1</v>
      </c>
      <c r="C116">
        <v>10.14</v>
      </c>
      <c r="D116">
        <v>10.050000000000001</v>
      </c>
      <c r="E116">
        <v>10.1</v>
      </c>
      <c r="F116">
        <v>123000</v>
      </c>
      <c r="G116" s="29">
        <v>4.9883030757921998E-2</v>
      </c>
      <c r="H116" s="29">
        <v>4.9389139364279201E-3</v>
      </c>
      <c r="I116" s="29">
        <v>8.9108910891088893E-3</v>
      </c>
      <c r="J116" s="29">
        <v>51.154852302760801</v>
      </c>
      <c r="K116" s="29">
        <v>-7.8585461689587507E-3</v>
      </c>
      <c r="L116" s="29">
        <v>0.8</v>
      </c>
      <c r="M116" s="29">
        <v>-0.151744273296649</v>
      </c>
      <c r="N116" s="29">
        <v>3.2694103120822902E-2</v>
      </c>
      <c r="O116" s="29">
        <v>-9.8039215686274092E-3</v>
      </c>
      <c r="P116" s="29">
        <v>9.9108027750238704E-4</v>
      </c>
      <c r="Q116" s="29">
        <v>0.55502392344497598</v>
      </c>
      <c r="R116" s="30">
        <v>48575.999999999898</v>
      </c>
      <c r="S116" s="29">
        <v>31</v>
      </c>
      <c r="T116" s="14">
        <v>323.39400000000001</v>
      </c>
      <c r="U116" s="41"/>
      <c r="V116">
        <v>106</v>
      </c>
      <c r="W116" t="b">
        <f>V116&gt;=$C$4</f>
        <v>0</v>
      </c>
      <c r="X116">
        <f>IF(V116&lt;=$C$5,11,ROW()-$C$5+1)</f>
        <v>11</v>
      </c>
      <c r="Y116" s="14">
        <f t="shared" si="32"/>
        <v>106</v>
      </c>
      <c r="Z116" s="10">
        <f t="shared" si="40"/>
        <v>8.9999999999999858E-2</v>
      </c>
      <c r="AA116" s="15">
        <f t="shared" si="41"/>
        <v>8.910891089108898E-3</v>
      </c>
      <c r="AB116" s="15">
        <f t="shared" si="42"/>
        <v>4.9883030757922039E-2</v>
      </c>
      <c r="AC116" s="10">
        <f t="shared" si="33"/>
        <v>4.9389139364279253E-3</v>
      </c>
      <c r="AD116">
        <f t="shared" si="43"/>
        <v>9.9999999999997868E-3</v>
      </c>
      <c r="AE116">
        <f t="shared" si="50"/>
        <v>9.9999999999997868E-3</v>
      </c>
      <c r="AF116">
        <f t="shared" si="51"/>
        <v>0</v>
      </c>
      <c r="AG116">
        <f t="shared" si="59"/>
        <v>1.2937089835096508E-2</v>
      </c>
      <c r="AH116">
        <f t="shared" si="59"/>
        <v>1.2424389205666722E-2</v>
      </c>
      <c r="AI116">
        <f t="shared" si="44"/>
        <v>1.0412656607051511</v>
      </c>
      <c r="AJ116">
        <f t="shared" si="52"/>
        <v>51.010786138706123</v>
      </c>
      <c r="AK116" s="14">
        <f t="shared" si="34"/>
        <v>51.010786138706123</v>
      </c>
      <c r="AM116">
        <f t="shared" si="57"/>
        <v>-7.8585461689587577E-3</v>
      </c>
      <c r="AN116" s="14">
        <f t="shared" si="45"/>
        <v>9.9108027750238747E-4</v>
      </c>
      <c r="AO116">
        <f t="shared" si="54"/>
        <v>1</v>
      </c>
      <c r="AP116" s="14">
        <f t="shared" si="55"/>
        <v>0.8</v>
      </c>
      <c r="AQ116">
        <f t="shared" si="46"/>
        <v>-3.6232553840465087E-3</v>
      </c>
      <c r="AR116">
        <f t="shared" si="47"/>
        <v>4.6143356615488962E-3</v>
      </c>
      <c r="AS116">
        <f t="shared" si="29"/>
        <v>-1.8592321186798625E-3</v>
      </c>
      <c r="AT116">
        <f t="shared" si="30"/>
        <v>1.2252403852138709E-2</v>
      </c>
      <c r="AU116" s="14">
        <f t="shared" si="35"/>
        <v>-0.15174427329664991</v>
      </c>
      <c r="AV116" s="19">
        <f t="shared" si="31"/>
        <v>3.2694103120823194E-2</v>
      </c>
      <c r="AW116" s="19">
        <f t="shared" si="58"/>
        <v>-9.8039215686274161E-3</v>
      </c>
      <c r="AX116">
        <f t="shared" si="36"/>
        <v>0</v>
      </c>
      <c r="AY116">
        <f>IF(W116,SUMPRODUCT(INDEX(AX:AX,X116):INDEX(AX:AX,X116+Y116)),0)</f>
        <v>0</v>
      </c>
      <c r="AZ116">
        <f>IF(V116,COUNT(INDEX(AX:AX,X116):INDEX(AX:AX,ROW())),0)</f>
        <v>106</v>
      </c>
      <c r="BA116" s="14" t="str">
        <f t="shared" si="48"/>
        <v/>
      </c>
      <c r="BB116" s="6">
        <f t="shared" si="37"/>
        <v>1242300</v>
      </c>
      <c r="BC116" s="6">
        <f>MEDIAN(INDEX(BB:BB,X116):INDEX(BB:BB,X116+Y116-1))</f>
        <v>54468</v>
      </c>
      <c r="BD116" s="25" t="str">
        <f t="shared" si="38"/>
        <v/>
      </c>
      <c r="BE116">
        <f t="shared" si="49"/>
        <v>0</v>
      </c>
      <c r="BF116" s="6">
        <f>SUM(INDEX(BE:BE,X116):INDEX(BE:BE,X116+Y116-1))</f>
        <v>16</v>
      </c>
      <c r="BG116" s="25" t="str">
        <f t="shared" si="39"/>
        <v/>
      </c>
    </row>
    <row r="117" spans="1:59" x14ac:dyDescent="0.3">
      <c r="A117" s="1">
        <v>44075</v>
      </c>
      <c r="B117">
        <v>10.1</v>
      </c>
      <c r="C117">
        <v>10.11</v>
      </c>
      <c r="D117">
        <v>10.08</v>
      </c>
      <c r="E117">
        <v>10.1</v>
      </c>
      <c r="F117">
        <v>60400</v>
      </c>
      <c r="G117" s="29">
        <v>4.8462814275213199E-2</v>
      </c>
      <c r="H117" s="29">
        <v>4.7982984430904197E-3</v>
      </c>
      <c r="I117" s="29">
        <v>2.9702970297029001E-3</v>
      </c>
      <c r="J117" s="29">
        <v>51.154852302760801</v>
      </c>
      <c r="K117" s="29">
        <v>-8.3456062837506898E-3</v>
      </c>
      <c r="L117" s="29">
        <v>0.8</v>
      </c>
      <c r="M117" s="29">
        <v>-0.147290407834792</v>
      </c>
      <c r="N117" s="29">
        <v>3.3085432704248303E-2</v>
      </c>
      <c r="O117" s="29">
        <v>-9.8039215686274092E-3</v>
      </c>
      <c r="P117" s="29">
        <v>0</v>
      </c>
      <c r="Q117" s="29">
        <v>0.55238095238095197</v>
      </c>
      <c r="R117" s="30">
        <v>54468</v>
      </c>
      <c r="S117" s="29">
        <v>31</v>
      </c>
      <c r="T117" s="14">
        <v>326.44</v>
      </c>
      <c r="U117" s="41"/>
      <c r="V117">
        <v>107</v>
      </c>
      <c r="W117" t="b">
        <f>V117&gt;=$C$4</f>
        <v>0</v>
      </c>
      <c r="X117">
        <f>IF(V117&lt;=$C$5,11,ROW()-$C$5+1)</f>
        <v>11</v>
      </c>
      <c r="Y117" s="14">
        <f t="shared" si="32"/>
        <v>107</v>
      </c>
      <c r="Z117" s="10">
        <f t="shared" si="40"/>
        <v>2.9999999999999361E-2</v>
      </c>
      <c r="AA117" s="15">
        <f t="shared" si="41"/>
        <v>2.970297029702907E-3</v>
      </c>
      <c r="AB117" s="15">
        <f t="shared" si="42"/>
        <v>4.8462814275213276E-2</v>
      </c>
      <c r="AC117" s="10">
        <f t="shared" si="33"/>
        <v>4.7982984430904232E-3</v>
      </c>
      <c r="AD117">
        <f t="shared" si="43"/>
        <v>0</v>
      </c>
      <c r="AE117">
        <f t="shared" si="50"/>
        <v>0</v>
      </c>
      <c r="AF117">
        <f t="shared" si="51"/>
        <v>0</v>
      </c>
      <c r="AG117">
        <f t="shared" si="59"/>
        <v>1.2013011989732472E-2</v>
      </c>
      <c r="AH117">
        <f t="shared" si="59"/>
        <v>1.1536932833833386E-2</v>
      </c>
      <c r="AI117">
        <f t="shared" si="44"/>
        <v>1.0412656607051511</v>
      </c>
      <c r="AJ117">
        <f t="shared" si="52"/>
        <v>51.010786138706123</v>
      </c>
      <c r="AK117" s="14">
        <f t="shared" si="34"/>
        <v>51.010786138706123</v>
      </c>
      <c r="AM117">
        <f t="shared" si="57"/>
        <v>-8.345606283750695E-3</v>
      </c>
      <c r="AN117" s="14">
        <f t="shared" si="45"/>
        <v>0</v>
      </c>
      <c r="AO117">
        <f t="shared" si="54"/>
        <v>0</v>
      </c>
      <c r="AP117" s="14">
        <f t="shared" si="55"/>
        <v>0.8</v>
      </c>
      <c r="AQ117">
        <f t="shared" si="46"/>
        <v>9.4188513083111047E-3</v>
      </c>
      <c r="AR117">
        <f t="shared" si="47"/>
        <v>-9.4188513083111047E-3</v>
      </c>
      <c r="AS117">
        <f t="shared" si="29"/>
        <v>-1.7974500021582232E-3</v>
      </c>
      <c r="AT117">
        <f t="shared" si="30"/>
        <v>1.2203442359765372E-2</v>
      </c>
      <c r="AU117" s="14">
        <f t="shared" si="35"/>
        <v>-0.14729040783479241</v>
      </c>
      <c r="AV117" s="19">
        <f t="shared" si="31"/>
        <v>3.3085432704248616E-2</v>
      </c>
      <c r="AW117" s="19">
        <f t="shared" si="58"/>
        <v>-9.8039215686274161E-3</v>
      </c>
      <c r="AX117">
        <f t="shared" si="36"/>
        <v>0</v>
      </c>
      <c r="AY117">
        <f>IF(W117,SUMPRODUCT(INDEX(AX:AX,X117):INDEX(AX:AX,X117+Y117)),0)</f>
        <v>0</v>
      </c>
      <c r="AZ117">
        <f>IF(V117,COUNT(INDEX(AX:AX,X117):INDEX(AX:AX,ROW())),0)</f>
        <v>107</v>
      </c>
      <c r="BA117" s="14" t="str">
        <f t="shared" si="48"/>
        <v/>
      </c>
      <c r="BB117" s="6">
        <f t="shared" si="37"/>
        <v>610040</v>
      </c>
      <c r="BC117" s="6">
        <f>MEDIAN(INDEX(BB:BB,X117):INDEX(BB:BB,X117+Y117-1))</f>
        <v>60360</v>
      </c>
      <c r="BD117" s="25" t="str">
        <f t="shared" si="38"/>
        <v/>
      </c>
      <c r="BE117">
        <f t="shared" si="49"/>
        <v>0</v>
      </c>
      <c r="BF117" s="6">
        <f>SUM(INDEX(BE:BE,X117):INDEX(BE:BE,X117+Y117-1))</f>
        <v>16</v>
      </c>
      <c r="BG117" s="25" t="str">
        <f t="shared" si="39"/>
        <v/>
      </c>
    </row>
    <row r="118" spans="1:59" x14ac:dyDescent="0.3">
      <c r="A118" s="1">
        <v>44076</v>
      </c>
      <c r="B118">
        <v>10.125</v>
      </c>
      <c r="C118">
        <v>10.15</v>
      </c>
      <c r="D118">
        <v>10.09</v>
      </c>
      <c r="E118">
        <v>10.15</v>
      </c>
      <c r="F118">
        <v>89100</v>
      </c>
      <c r="G118" s="29">
        <v>4.9286898969840898E-2</v>
      </c>
      <c r="H118" s="29">
        <v>4.8558521152552601E-3</v>
      </c>
      <c r="I118" s="29">
        <v>5.9113300492611301E-3</v>
      </c>
      <c r="J118" s="29">
        <v>58.0214560813967</v>
      </c>
      <c r="K118" s="29">
        <v>-4.9019607843135901E-3</v>
      </c>
      <c r="L118" s="29">
        <v>0.8</v>
      </c>
      <c r="M118" s="29">
        <v>-0.16275200215660601</v>
      </c>
      <c r="N118" s="29">
        <v>3.88152182182563E-2</v>
      </c>
      <c r="O118" s="29">
        <v>-4.9019607843135901E-3</v>
      </c>
      <c r="P118" s="29">
        <v>4.9504950495049497E-3</v>
      </c>
      <c r="Q118" s="29">
        <v>0.54976303317535502</v>
      </c>
      <c r="R118" s="30">
        <v>60360</v>
      </c>
      <c r="S118" s="29">
        <v>31</v>
      </c>
      <c r="T118" s="14">
        <v>331.16199999999998</v>
      </c>
      <c r="U118" s="41"/>
      <c r="V118">
        <v>108</v>
      </c>
      <c r="W118" t="b">
        <f>V118&gt;=$C$4</f>
        <v>0</v>
      </c>
      <c r="X118">
        <f>IF(V118&lt;=$C$5,11,ROW()-$C$5+1)</f>
        <v>11</v>
      </c>
      <c r="Y118" s="14">
        <f t="shared" si="32"/>
        <v>108</v>
      </c>
      <c r="Z118" s="10">
        <f t="shared" si="40"/>
        <v>6.0000000000000497E-2</v>
      </c>
      <c r="AA118" s="15">
        <f t="shared" si="41"/>
        <v>5.9113300492611327E-3</v>
      </c>
      <c r="AB118" s="15">
        <f t="shared" si="42"/>
        <v>4.9286898969840939E-2</v>
      </c>
      <c r="AC118" s="10">
        <f t="shared" si="33"/>
        <v>4.8558521152552644E-3</v>
      </c>
      <c r="AD118">
        <f t="shared" si="43"/>
        <v>5.0000000000000711E-2</v>
      </c>
      <c r="AE118">
        <f t="shared" si="50"/>
        <v>5.0000000000000711E-2</v>
      </c>
      <c r="AF118">
        <f t="shared" si="51"/>
        <v>0</v>
      </c>
      <c r="AG118">
        <f t="shared" si="59"/>
        <v>1.4726368276180204E-2</v>
      </c>
      <c r="AH118">
        <f t="shared" si="59"/>
        <v>1.0712866202845287E-2</v>
      </c>
      <c r="AI118">
        <f t="shared" si="44"/>
        <v>1.374643162468411</v>
      </c>
      <c r="AJ118">
        <f t="shared" si="52"/>
        <v>57.888409685920436</v>
      </c>
      <c r="AK118" s="14">
        <f t="shared" si="34"/>
        <v>57.888409685920436</v>
      </c>
      <c r="AM118">
        <f t="shared" si="57"/>
        <v>-4.9019607843135971E-3</v>
      </c>
      <c r="AN118" s="14">
        <f t="shared" si="45"/>
        <v>4.9504950495049549E-3</v>
      </c>
      <c r="AO118">
        <f t="shared" si="54"/>
        <v>1</v>
      </c>
      <c r="AP118" s="14">
        <f t="shared" si="55"/>
        <v>0.8</v>
      </c>
      <c r="AQ118">
        <f t="shared" si="46"/>
        <v>1.4465139076093481E-2</v>
      </c>
      <c r="AR118">
        <f t="shared" si="47"/>
        <v>-9.5146440265885309E-3</v>
      </c>
      <c r="AS118">
        <f t="shared" si="29"/>
        <v>-1.9901785301127206E-3</v>
      </c>
      <c r="AT118">
        <f t="shared" si="30"/>
        <v>1.2228289076270117E-2</v>
      </c>
      <c r="AU118" s="14">
        <f t="shared" si="35"/>
        <v>-0.1627520021566064</v>
      </c>
      <c r="AV118" s="19">
        <f t="shared" si="31"/>
        <v>3.8815218218256634E-2</v>
      </c>
      <c r="AW118" s="19">
        <f t="shared" si="58"/>
        <v>-4.9019607843135971E-3</v>
      </c>
      <c r="AX118">
        <f t="shared" si="36"/>
        <v>0</v>
      </c>
      <c r="AY118">
        <f>IF(W118,SUMPRODUCT(INDEX(AX:AX,X118):INDEX(AX:AX,X118+Y118)),0)</f>
        <v>0</v>
      </c>
      <c r="AZ118">
        <f>IF(V118,COUNT(INDEX(AX:AX,X118):INDEX(AX:AX,ROW())),0)</f>
        <v>108</v>
      </c>
      <c r="BA118" s="14" t="str">
        <f t="shared" si="48"/>
        <v/>
      </c>
      <c r="BB118" s="6">
        <f t="shared" si="37"/>
        <v>904365</v>
      </c>
      <c r="BC118" s="6">
        <f>MEDIAN(INDEX(BB:BB,X118):INDEX(BB:BB,X118+Y118-1))</f>
        <v>60802</v>
      </c>
      <c r="BD118" s="25" t="str">
        <f t="shared" si="38"/>
        <v/>
      </c>
      <c r="BE118">
        <f t="shared" si="49"/>
        <v>0</v>
      </c>
      <c r="BF118" s="6">
        <f>SUM(INDEX(BE:BE,X118):INDEX(BE:BE,X118+Y118-1))</f>
        <v>16</v>
      </c>
      <c r="BG118" s="25" t="str">
        <f t="shared" si="39"/>
        <v/>
      </c>
    </row>
    <row r="119" spans="1:59" x14ac:dyDescent="0.3">
      <c r="A119" s="1">
        <v>44077</v>
      </c>
      <c r="B119">
        <v>10.15</v>
      </c>
      <c r="C119">
        <v>10.15</v>
      </c>
      <c r="D119">
        <v>10.050000000000001</v>
      </c>
      <c r="E119">
        <v>10.050000000000001</v>
      </c>
      <c r="F119">
        <v>11700</v>
      </c>
      <c r="G119" s="29">
        <v>5.2909263329138E-2</v>
      </c>
      <c r="H119" s="29">
        <v>5.2646033163321398E-3</v>
      </c>
      <c r="I119" s="29">
        <v>9.9502487562188602E-3</v>
      </c>
      <c r="J119" s="29">
        <v>44.536457391552297</v>
      </c>
      <c r="K119" s="29">
        <v>-1.4705882352940999E-2</v>
      </c>
      <c r="L119" s="29">
        <v>0.6</v>
      </c>
      <c r="M119" s="29">
        <v>-9.6004643236064696E-2</v>
      </c>
      <c r="N119" s="29">
        <v>7.7044978374532697E-2</v>
      </c>
      <c r="O119" s="29">
        <v>-1.4705882352940999E-2</v>
      </c>
      <c r="P119" s="29">
        <v>-9.8522167487684591E-3</v>
      </c>
      <c r="Q119" s="29">
        <v>0.54716981132075404</v>
      </c>
      <c r="R119" s="30">
        <v>60802</v>
      </c>
      <c r="S119" s="29">
        <v>31</v>
      </c>
      <c r="T119" s="14">
        <v>319.76499999999999</v>
      </c>
      <c r="U119" s="41"/>
      <c r="V119">
        <v>109</v>
      </c>
      <c r="W119" t="b">
        <f>V119&gt;=$C$4</f>
        <v>0</v>
      </c>
      <c r="X119">
        <f>IF(V119&lt;=$C$5,11,ROW()-$C$5+1)</f>
        <v>11</v>
      </c>
      <c r="Y119" s="14">
        <f t="shared" si="32"/>
        <v>109</v>
      </c>
      <c r="Z119" s="10">
        <f t="shared" si="40"/>
        <v>9.9999999999999645E-2</v>
      </c>
      <c r="AA119" s="15">
        <f t="shared" si="41"/>
        <v>9.9502487562188689E-3</v>
      </c>
      <c r="AB119" s="15">
        <f t="shared" si="42"/>
        <v>5.2909263329137986E-2</v>
      </c>
      <c r="AC119" s="10">
        <f t="shared" si="33"/>
        <v>5.2646033163321372E-3</v>
      </c>
      <c r="AD119">
        <f t="shared" si="43"/>
        <v>-9.9999999999999645E-2</v>
      </c>
      <c r="AE119">
        <f t="shared" si="50"/>
        <v>0</v>
      </c>
      <c r="AF119">
        <f t="shared" si="51"/>
        <v>9.9999999999999645E-2</v>
      </c>
      <c r="AG119">
        <f t="shared" si="59"/>
        <v>1.3674484827881616E-2</v>
      </c>
      <c r="AH119">
        <f t="shared" si="59"/>
        <v>1.7090518616927741E-2</v>
      </c>
      <c r="AI119">
        <f t="shared" si="44"/>
        <v>0.80012111594655611</v>
      </c>
      <c r="AJ119">
        <f t="shared" si="52"/>
        <v>44.448182339432712</v>
      </c>
      <c r="AK119" s="14">
        <f t="shared" si="34"/>
        <v>44.448182339432712</v>
      </c>
      <c r="AM119">
        <f t="shared" si="57"/>
        <v>-1.4705882352941013E-2</v>
      </c>
      <c r="AN119" s="14">
        <f t="shared" si="45"/>
        <v>-9.8522167487684609E-3</v>
      </c>
      <c r="AO119">
        <f t="shared" si="54"/>
        <v>0</v>
      </c>
      <c r="AP119" s="14">
        <f t="shared" si="55"/>
        <v>0.6</v>
      </c>
      <c r="AQ119">
        <f t="shared" si="46"/>
        <v>-3.4415180485683705E-2</v>
      </c>
      <c r="AR119">
        <f t="shared" si="47"/>
        <v>2.4562963736915244E-2</v>
      </c>
      <c r="AS119">
        <f t="shared" si="29"/>
        <v>-1.1775204560589435E-3</v>
      </c>
      <c r="AT119">
        <f t="shared" si="30"/>
        <v>1.2265244850330315E-2</v>
      </c>
      <c r="AU119" s="14">
        <f t="shared" si="35"/>
        <v>-9.6004643236064849E-2</v>
      </c>
      <c r="AV119" s="19">
        <f t="shared" si="31"/>
        <v>7.7044978374533488E-2</v>
      </c>
      <c r="AW119" s="19">
        <f t="shared" si="58"/>
        <v>-1.4705882352941013E-2</v>
      </c>
      <c r="AX119">
        <f t="shared" si="36"/>
        <v>0</v>
      </c>
      <c r="AY119">
        <f>IF(W119,SUMPRODUCT(INDEX(AX:AX,X119):INDEX(AX:AX,X119+Y119)),0)</f>
        <v>0</v>
      </c>
      <c r="AZ119">
        <f>IF(V119,COUNT(INDEX(AX:AX,X119):INDEX(AX:AX,ROW())),0)</f>
        <v>109</v>
      </c>
      <c r="BA119" s="14" t="str">
        <f t="shared" si="48"/>
        <v/>
      </c>
      <c r="BB119" s="6">
        <f t="shared" si="37"/>
        <v>117585.00000000001</v>
      </c>
      <c r="BC119" s="6">
        <f>MEDIAN(INDEX(BB:BB,X119):INDEX(BB:BB,X119+Y119-1))</f>
        <v>61243.999999999993</v>
      </c>
      <c r="BD119" s="25" t="str">
        <f t="shared" si="38"/>
        <v/>
      </c>
      <c r="BE119">
        <f t="shared" si="49"/>
        <v>0</v>
      </c>
      <c r="BF119" s="6">
        <f>SUM(INDEX(BE:BE,X119):INDEX(BE:BE,X119+Y119-1))</f>
        <v>16</v>
      </c>
      <c r="BG119" s="25" t="str">
        <f t="shared" si="39"/>
        <v/>
      </c>
    </row>
    <row r="120" spans="1:59" x14ac:dyDescent="0.3">
      <c r="A120" s="1">
        <v>44078</v>
      </c>
      <c r="B120">
        <v>10.050000000000001</v>
      </c>
      <c r="C120">
        <v>10.050000000000001</v>
      </c>
      <c r="D120">
        <v>10.050000000000001</v>
      </c>
      <c r="E120">
        <v>10.050000000000001</v>
      </c>
      <c r="F120">
        <v>0</v>
      </c>
      <c r="G120" s="29">
        <v>4.9130030234199498E-2</v>
      </c>
      <c r="H120" s="29">
        <v>4.8885602223084097E-3</v>
      </c>
      <c r="I120" s="29">
        <v>0</v>
      </c>
      <c r="J120" s="29">
        <v>44.536457391552297</v>
      </c>
      <c r="K120" s="29">
        <v>-1.4705882352940999E-2</v>
      </c>
      <c r="L120" s="29">
        <v>0.4</v>
      </c>
      <c r="M120" s="29">
        <v>-7.4247636138421794E-2</v>
      </c>
      <c r="N120" s="29">
        <v>7.3700094640125502E-2</v>
      </c>
      <c r="O120" s="29">
        <v>-9.8522167487684591E-3</v>
      </c>
      <c r="P120" s="29">
        <v>0</v>
      </c>
      <c r="Q120" s="29">
        <v>0.54929577464788704</v>
      </c>
      <c r="R120" s="30">
        <v>60360</v>
      </c>
      <c r="S120" s="29">
        <v>31</v>
      </c>
      <c r="T120" s="14">
        <v>317.154</v>
      </c>
      <c r="U120" s="41"/>
      <c r="V120">
        <v>110</v>
      </c>
      <c r="W120" t="b">
        <f>V120&gt;=$C$4</f>
        <v>0</v>
      </c>
      <c r="X120">
        <f>IF(V120&lt;=$C$5,11,ROW()-$C$5+1)</f>
        <v>11</v>
      </c>
      <c r="Y120" s="14">
        <f t="shared" si="32"/>
        <v>110</v>
      </c>
      <c r="Z120" s="10">
        <f t="shared" si="40"/>
        <v>0</v>
      </c>
      <c r="AA120" s="15">
        <f t="shared" si="41"/>
        <v>0</v>
      </c>
      <c r="AB120" s="15">
        <f t="shared" si="42"/>
        <v>4.9130030234199554E-2</v>
      </c>
      <c r="AC120" s="10">
        <f t="shared" si="33"/>
        <v>4.8885602223084131E-3</v>
      </c>
      <c r="AD120">
        <f t="shared" si="43"/>
        <v>0</v>
      </c>
      <c r="AE120">
        <f t="shared" si="50"/>
        <v>0</v>
      </c>
      <c r="AF120">
        <f t="shared" si="51"/>
        <v>0</v>
      </c>
      <c r="AG120">
        <f t="shared" si="59"/>
        <v>1.2697735911604358E-2</v>
      </c>
      <c r="AH120">
        <f t="shared" si="59"/>
        <v>1.5869767287147188E-2</v>
      </c>
      <c r="AI120">
        <f t="shared" si="44"/>
        <v>0.80012111594655611</v>
      </c>
      <c r="AJ120">
        <f t="shared" si="52"/>
        <v>44.448182339432712</v>
      </c>
      <c r="AK120" s="14">
        <f t="shared" si="34"/>
        <v>44.448182339432712</v>
      </c>
      <c r="AM120">
        <f t="shared" si="57"/>
        <v>-1.4705882352941013E-2</v>
      </c>
      <c r="AN120" s="14">
        <f t="shared" si="45"/>
        <v>0</v>
      </c>
      <c r="AO120">
        <f t="shared" si="54"/>
        <v>0</v>
      </c>
      <c r="AP120" s="14">
        <f t="shared" si="55"/>
        <v>0.4</v>
      </c>
      <c r="AQ120">
        <f t="shared" si="46"/>
        <v>-8.1653714446546788E-3</v>
      </c>
      <c r="AR120">
        <f t="shared" si="47"/>
        <v>8.1653714446546788E-3</v>
      </c>
      <c r="AS120">
        <f t="shared" si="29"/>
        <v>-9.1204880108239773E-4</v>
      </c>
      <c r="AT120">
        <f t="shared" si="30"/>
        <v>1.2283876612341425E-2</v>
      </c>
      <c r="AU120" s="14">
        <f t="shared" si="35"/>
        <v>-7.4247636138421974E-2</v>
      </c>
      <c r="AV120" s="19">
        <f t="shared" si="31"/>
        <v>7.370009464012621E-2</v>
      </c>
      <c r="AW120" s="19">
        <f t="shared" si="58"/>
        <v>-9.8522167487684609E-3</v>
      </c>
      <c r="AX120">
        <f t="shared" si="36"/>
        <v>1</v>
      </c>
      <c r="AY120">
        <f>IF(W120,SUMPRODUCT(INDEX(AX:AX,X120):INDEX(AX:AX,X120+Y120)),0)</f>
        <v>0</v>
      </c>
      <c r="AZ120">
        <f>IF(V120,COUNT(INDEX(AX:AX,X120):INDEX(AX:AX,ROW())),0)</f>
        <v>110</v>
      </c>
      <c r="BA120" s="14" t="str">
        <f t="shared" si="48"/>
        <v/>
      </c>
      <c r="BB120" s="6">
        <f t="shared" si="37"/>
        <v>0</v>
      </c>
      <c r="BC120" s="6">
        <f>MEDIAN(INDEX(BB:BB,X120):INDEX(BB:BB,X120+Y120-1))</f>
        <v>60802</v>
      </c>
      <c r="BD120" s="25" t="str">
        <f t="shared" si="38"/>
        <v/>
      </c>
      <c r="BE120">
        <f t="shared" si="49"/>
        <v>0</v>
      </c>
      <c r="BF120" s="6">
        <f>SUM(INDEX(BE:BE,X120):INDEX(BE:BE,X120+Y120-1))</f>
        <v>16</v>
      </c>
      <c r="BG120" s="25" t="str">
        <f t="shared" si="39"/>
        <v/>
      </c>
    </row>
    <row r="121" spans="1:59" x14ac:dyDescent="0.3">
      <c r="A121" s="1">
        <v>44082</v>
      </c>
      <c r="B121">
        <v>10.08</v>
      </c>
      <c r="C121">
        <v>10.1</v>
      </c>
      <c r="D121">
        <v>10.08</v>
      </c>
      <c r="E121">
        <v>10.1</v>
      </c>
      <c r="F121">
        <v>29100</v>
      </c>
      <c r="G121" s="29">
        <v>4.9192170931756603E-2</v>
      </c>
      <c r="H121" s="29">
        <v>4.8705119734412496E-3</v>
      </c>
      <c r="I121" s="29">
        <v>4.9504950495048404E-3</v>
      </c>
      <c r="J121" s="29">
        <v>51.123650801589498</v>
      </c>
      <c r="K121" s="29">
        <v>-4.9261083743843397E-3</v>
      </c>
      <c r="L121" s="29">
        <v>0.4</v>
      </c>
      <c r="M121" s="29">
        <v>-3.5625235592342999E-2</v>
      </c>
      <c r="N121" s="29">
        <v>5.2560946943302198E-2</v>
      </c>
      <c r="O121" s="29">
        <v>-4.9261083743843397E-3</v>
      </c>
      <c r="P121" s="29">
        <v>4.9751243781093104E-3</v>
      </c>
      <c r="Q121" s="29">
        <v>0.54672897196261605</v>
      </c>
      <c r="R121" s="30">
        <v>60802</v>
      </c>
      <c r="S121" s="29">
        <v>31</v>
      </c>
      <c r="T121" s="14">
        <v>308.488</v>
      </c>
      <c r="U121" s="41"/>
      <c r="V121">
        <v>111</v>
      </c>
      <c r="W121" t="b">
        <f>V121&gt;=$C$4</f>
        <v>0</v>
      </c>
      <c r="X121">
        <f>IF(V121&lt;=$C$5,11,ROW()-$C$5+1)</f>
        <v>11</v>
      </c>
      <c r="Y121" s="14">
        <f t="shared" si="32"/>
        <v>111</v>
      </c>
      <c r="Z121" s="10">
        <f t="shared" si="40"/>
        <v>4.9999999999998934E-2</v>
      </c>
      <c r="AA121" s="15">
        <f t="shared" si="41"/>
        <v>4.9504950495048447E-3</v>
      </c>
      <c r="AB121" s="15">
        <f t="shared" si="42"/>
        <v>4.9192170931756651E-2</v>
      </c>
      <c r="AC121" s="10">
        <f t="shared" si="33"/>
        <v>4.8705119734412531E-3</v>
      </c>
      <c r="AD121">
        <f t="shared" si="43"/>
        <v>4.9999999999998934E-2</v>
      </c>
      <c r="AE121">
        <f t="shared" si="50"/>
        <v>4.9999999999998934E-2</v>
      </c>
      <c r="AF121">
        <f t="shared" si="51"/>
        <v>0</v>
      </c>
      <c r="AG121">
        <f t="shared" si="59"/>
        <v>1.5362183346489686E-2</v>
      </c>
      <c r="AH121">
        <f t="shared" si="59"/>
        <v>1.4736212480922387E-2</v>
      </c>
      <c r="AI121">
        <f t="shared" si="44"/>
        <v>1.0424784093183839</v>
      </c>
      <c r="AJ121">
        <f t="shared" si="52"/>
        <v>51.039874133420085</v>
      </c>
      <c r="AK121" s="14">
        <f t="shared" si="34"/>
        <v>51.039874133420085</v>
      </c>
      <c r="AM121">
        <f t="shared" si="57"/>
        <v>-4.9261083743843415E-3</v>
      </c>
      <c r="AN121" s="14">
        <f t="shared" si="45"/>
        <v>4.9751243781093191E-3</v>
      </c>
      <c r="AO121">
        <f t="shared" si="54"/>
        <v>1</v>
      </c>
      <c r="AP121" s="14">
        <f t="shared" si="55"/>
        <v>0.4</v>
      </c>
      <c r="AQ121">
        <f t="shared" si="46"/>
        <v>-2.7324265183475527E-2</v>
      </c>
      <c r="AR121">
        <f t="shared" si="47"/>
        <v>3.2299389561584839E-2</v>
      </c>
      <c r="AS121">
        <f t="shared" si="29"/>
        <v>-4.6189103869186219E-4</v>
      </c>
      <c r="AT121">
        <f t="shared" si="30"/>
        <v>1.2965276748685847E-2</v>
      </c>
      <c r="AU121" s="14">
        <f t="shared" si="35"/>
        <v>-3.5625235592343152E-2</v>
      </c>
      <c r="AV121" s="19">
        <f t="shared" si="31"/>
        <v>5.2560946943302642E-2</v>
      </c>
      <c r="AW121" s="19">
        <f t="shared" si="58"/>
        <v>-4.9261083743843415E-3</v>
      </c>
      <c r="AX121">
        <f t="shared" si="36"/>
        <v>0</v>
      </c>
      <c r="AY121">
        <f>IF(W121,SUMPRODUCT(INDEX(AX:AX,X121):INDEX(AX:AX,X121+Y121)),0)</f>
        <v>0</v>
      </c>
      <c r="AZ121">
        <f>IF(V121,COUNT(INDEX(AX:AX,X121):INDEX(AX:AX,ROW())),0)</f>
        <v>111</v>
      </c>
      <c r="BA121" s="14" t="str">
        <f t="shared" si="48"/>
        <v/>
      </c>
      <c r="BB121" s="6">
        <f t="shared" si="37"/>
        <v>293910</v>
      </c>
      <c r="BC121" s="6">
        <f>MEDIAN(INDEX(BB:BB,X121):INDEX(BB:BB,X121+Y121-1))</f>
        <v>61243.999999999993</v>
      </c>
      <c r="BD121" s="25" t="str">
        <f t="shared" si="38"/>
        <v/>
      </c>
      <c r="BE121">
        <f t="shared" si="49"/>
        <v>0</v>
      </c>
      <c r="BF121" s="6">
        <f>SUM(INDEX(BE:BE,X121):INDEX(BE:BE,X121+Y121-1))</f>
        <v>16</v>
      </c>
      <c r="BG121" s="25" t="str">
        <f t="shared" si="39"/>
        <v/>
      </c>
    </row>
    <row r="122" spans="1:59" x14ac:dyDescent="0.3">
      <c r="A122" s="1">
        <v>44083</v>
      </c>
      <c r="B122">
        <v>10.1</v>
      </c>
      <c r="C122">
        <v>10.15</v>
      </c>
      <c r="D122">
        <v>10.1</v>
      </c>
      <c r="E122">
        <v>10.15</v>
      </c>
      <c r="F122">
        <v>5500</v>
      </c>
      <c r="G122" s="29">
        <v>4.9249873008059802E-2</v>
      </c>
      <c r="H122" s="29">
        <v>4.8522042372472702E-3</v>
      </c>
      <c r="I122" s="29">
        <v>4.9261083743842998E-3</v>
      </c>
      <c r="J122" s="29">
        <v>56.666140150951797</v>
      </c>
      <c r="K122" s="29">
        <v>6.9444444444444198E-3</v>
      </c>
      <c r="L122" s="29">
        <v>0.6</v>
      </c>
      <c r="M122" s="29">
        <v>-6.0106459605474803E-2</v>
      </c>
      <c r="N122" s="29">
        <v>5.8957298610142497E-2</v>
      </c>
      <c r="O122" s="29">
        <v>0</v>
      </c>
      <c r="P122" s="29">
        <v>4.9504950495049497E-3</v>
      </c>
      <c r="Q122" s="29">
        <v>0.54418604651162705</v>
      </c>
      <c r="R122" s="30">
        <v>60360</v>
      </c>
      <c r="S122" s="29">
        <v>31</v>
      </c>
      <c r="T122" s="14">
        <v>314.58</v>
      </c>
      <c r="U122" s="41"/>
      <c r="V122">
        <v>112</v>
      </c>
      <c r="W122" t="b">
        <f>V122&gt;=$C$4</f>
        <v>0</v>
      </c>
      <c r="X122">
        <f>IF(V122&lt;=$C$5,11,ROW()-$C$5+1)</f>
        <v>11</v>
      </c>
      <c r="Y122" s="14">
        <f t="shared" si="32"/>
        <v>112</v>
      </c>
      <c r="Z122" s="10">
        <f t="shared" si="40"/>
        <v>5.0000000000000711E-2</v>
      </c>
      <c r="AA122" s="15">
        <f t="shared" si="41"/>
        <v>4.9261083743843059E-3</v>
      </c>
      <c r="AB122" s="15">
        <f t="shared" si="42"/>
        <v>4.9249873008059795E-2</v>
      </c>
      <c r="AC122" s="10">
        <f t="shared" si="33"/>
        <v>4.8522042372472702E-3</v>
      </c>
      <c r="AD122">
        <f t="shared" si="43"/>
        <v>5.0000000000000711E-2</v>
      </c>
      <c r="AE122">
        <f t="shared" si="50"/>
        <v>5.0000000000000711E-2</v>
      </c>
      <c r="AF122">
        <f t="shared" si="51"/>
        <v>0</v>
      </c>
      <c r="AG122">
        <f t="shared" si="59"/>
        <v>1.783631310745476E-2</v>
      </c>
      <c r="AH122">
        <f t="shared" si="59"/>
        <v>1.3683625875142217E-2</v>
      </c>
      <c r="AI122">
        <f t="shared" si="44"/>
        <v>1.3034785714111308</v>
      </c>
      <c r="AJ122">
        <f t="shared" si="52"/>
        <v>56.58739732111372</v>
      </c>
      <c r="AK122" s="14">
        <f t="shared" si="34"/>
        <v>56.58739732111372</v>
      </c>
      <c r="AM122">
        <f t="shared" si="57"/>
        <v>6.9444444444444198E-3</v>
      </c>
      <c r="AN122" s="14">
        <f t="shared" si="45"/>
        <v>4.9504950495049549E-3</v>
      </c>
      <c r="AO122">
        <f t="shared" si="54"/>
        <v>1</v>
      </c>
      <c r="AP122" s="14">
        <f t="shared" si="55"/>
        <v>0.6</v>
      </c>
      <c r="AQ122">
        <f t="shared" si="46"/>
        <v>1.9747931848240308E-2</v>
      </c>
      <c r="AR122">
        <f t="shared" si="47"/>
        <v>-1.4797436798735358E-2</v>
      </c>
      <c r="AS122">
        <f t="shared" si="29"/>
        <v>-7.8534538932856972E-4</v>
      </c>
      <c r="AT122">
        <f t="shared" si="30"/>
        <v>1.3065906634384996E-2</v>
      </c>
      <c r="AU122" s="14">
        <f t="shared" si="35"/>
        <v>-6.0106459605475011E-2</v>
      </c>
      <c r="AV122" s="19">
        <f t="shared" si="31"/>
        <v>5.8957298610143032E-2</v>
      </c>
      <c r="AW122" s="19">
        <f t="shared" si="58"/>
        <v>0</v>
      </c>
      <c r="AX122">
        <f t="shared" si="36"/>
        <v>0</v>
      </c>
      <c r="AY122">
        <f>IF(W122,SUMPRODUCT(INDEX(AX:AX,X122):INDEX(AX:AX,X122+Y122)),0)</f>
        <v>0</v>
      </c>
      <c r="AZ122">
        <f>IF(V122,COUNT(INDEX(AX:AX,X122):INDEX(AX:AX,ROW())),0)</f>
        <v>112</v>
      </c>
      <c r="BA122" s="14" t="str">
        <f t="shared" si="48"/>
        <v/>
      </c>
      <c r="BB122" s="6">
        <f t="shared" si="37"/>
        <v>55825</v>
      </c>
      <c r="BC122" s="6">
        <f>MEDIAN(INDEX(BB:BB,X122):INDEX(BB:BB,X122+Y122-1))</f>
        <v>60802</v>
      </c>
      <c r="BD122" s="25" t="str">
        <f t="shared" si="38"/>
        <v/>
      </c>
      <c r="BE122">
        <f t="shared" si="49"/>
        <v>0</v>
      </c>
      <c r="BF122" s="6">
        <f>SUM(INDEX(BE:BE,X122):INDEX(BE:BE,X122+Y122-1))</f>
        <v>16</v>
      </c>
      <c r="BG122" s="25" t="str">
        <f t="shared" si="39"/>
        <v/>
      </c>
    </row>
    <row r="123" spans="1:59" x14ac:dyDescent="0.3">
      <c r="A123" s="1">
        <v>44084</v>
      </c>
      <c r="B123">
        <v>10.199999999999999</v>
      </c>
      <c r="C123">
        <v>10.199999999999999</v>
      </c>
      <c r="D123">
        <v>10.1</v>
      </c>
      <c r="E123">
        <v>10.18</v>
      </c>
      <c r="F123">
        <v>342400</v>
      </c>
      <c r="G123" s="29">
        <v>5.2874882078912597E-2</v>
      </c>
      <c r="H123" s="29">
        <v>5.1939962749423E-3</v>
      </c>
      <c r="I123" s="29">
        <v>9.8231827111983899E-3</v>
      </c>
      <c r="J123" s="29">
        <v>59.624556842651799</v>
      </c>
      <c r="K123" s="29">
        <v>1.19284294234591E-2</v>
      </c>
      <c r="L123" s="29">
        <v>0.6</v>
      </c>
      <c r="M123" s="29">
        <v>-0.124508116858683</v>
      </c>
      <c r="N123" s="29">
        <v>7.4033668364542907E-2</v>
      </c>
      <c r="O123" s="29">
        <v>0</v>
      </c>
      <c r="P123" s="29">
        <v>2.95566502463051E-3</v>
      </c>
      <c r="Q123" s="29">
        <v>0.54166666666666596</v>
      </c>
      <c r="R123" s="30">
        <v>60802</v>
      </c>
      <c r="S123" s="29">
        <v>31</v>
      </c>
      <c r="T123" s="14">
        <v>309.11799999999999</v>
      </c>
      <c r="U123" s="41"/>
      <c r="V123">
        <v>113</v>
      </c>
      <c r="W123" t="b">
        <f>V123&gt;=$C$4</f>
        <v>0</v>
      </c>
      <c r="X123">
        <f>IF(V123&lt;=$C$5,11,ROW()-$C$5+1)</f>
        <v>11</v>
      </c>
      <c r="Y123" s="14">
        <f t="shared" si="32"/>
        <v>113</v>
      </c>
      <c r="Z123" s="10">
        <f t="shared" si="40"/>
        <v>9.9999999999999645E-2</v>
      </c>
      <c r="AA123" s="15">
        <f t="shared" si="41"/>
        <v>9.8231827111983933E-3</v>
      </c>
      <c r="AB123" s="15">
        <f t="shared" si="42"/>
        <v>5.2874882078912645E-2</v>
      </c>
      <c r="AC123" s="10">
        <f t="shared" si="33"/>
        <v>5.1939962749423035E-3</v>
      </c>
      <c r="AD123">
        <f t="shared" si="43"/>
        <v>2.9999999999999361E-2</v>
      </c>
      <c r="AE123">
        <f t="shared" si="50"/>
        <v>2.9999999999999361E-2</v>
      </c>
      <c r="AF123">
        <f t="shared" si="51"/>
        <v>0</v>
      </c>
      <c r="AG123">
        <f t="shared" si="59"/>
        <v>1.8705147885493659E-2</v>
      </c>
      <c r="AH123">
        <f t="shared" si="59"/>
        <v>1.2706224026917774E-2</v>
      </c>
      <c r="AI123">
        <f t="shared" si="44"/>
        <v>1.4721248299941301</v>
      </c>
      <c r="AJ123">
        <f t="shared" si="52"/>
        <v>59.548968245168496</v>
      </c>
      <c r="AK123" s="14">
        <f t="shared" si="34"/>
        <v>59.548968245168496</v>
      </c>
      <c r="AM123">
        <f t="shared" si="57"/>
        <v>1.1928429423459175E-2</v>
      </c>
      <c r="AN123" s="14">
        <f t="shared" si="45"/>
        <v>2.9556650246305161E-3</v>
      </c>
      <c r="AO123">
        <f t="shared" si="54"/>
        <v>1</v>
      </c>
      <c r="AP123" s="14">
        <f t="shared" si="55"/>
        <v>0.6</v>
      </c>
      <c r="AQ123">
        <f t="shared" si="46"/>
        <v>-1.7362832983660703E-2</v>
      </c>
      <c r="AR123">
        <f t="shared" si="47"/>
        <v>2.0318498008291212E-2</v>
      </c>
      <c r="AS123">
        <f t="shared" si="29"/>
        <v>-1.3778901081367935E-3</v>
      </c>
      <c r="AT123">
        <f t="shared" si="30"/>
        <v>1.1066668928104435E-2</v>
      </c>
      <c r="AU123" s="14">
        <f t="shared" si="35"/>
        <v>-0.12450811685868393</v>
      </c>
      <c r="AV123" s="19">
        <f t="shared" si="31"/>
        <v>7.4033668364543878E-2</v>
      </c>
      <c r="AW123" s="19">
        <f t="shared" si="58"/>
        <v>0</v>
      </c>
      <c r="AX123">
        <f t="shared" si="36"/>
        <v>0</v>
      </c>
      <c r="AY123">
        <f>IF(W123,SUMPRODUCT(INDEX(AX:AX,X123):INDEX(AX:AX,X123+Y123)),0)</f>
        <v>0</v>
      </c>
      <c r="AZ123">
        <f>IF(V123,COUNT(INDEX(AX:AX,X123):INDEX(AX:AX,ROW())),0)</f>
        <v>113</v>
      </c>
      <c r="BA123" s="14" t="str">
        <f t="shared" si="48"/>
        <v/>
      </c>
      <c r="BB123" s="6">
        <f t="shared" si="37"/>
        <v>3485632</v>
      </c>
      <c r="BC123" s="6">
        <f>MEDIAN(INDEX(BB:BB,X123):INDEX(BB:BB,X123+Y123-1))</f>
        <v>61243.999999999993</v>
      </c>
      <c r="BD123" s="25" t="str">
        <f t="shared" si="38"/>
        <v/>
      </c>
      <c r="BE123">
        <f t="shared" si="49"/>
        <v>0</v>
      </c>
      <c r="BF123" s="6">
        <f>SUM(INDEX(BE:BE,X123):INDEX(BE:BE,X123+Y123-1))</f>
        <v>16</v>
      </c>
      <c r="BG123" s="25" t="str">
        <f t="shared" si="39"/>
        <v/>
      </c>
    </row>
    <row r="124" spans="1:59" x14ac:dyDescent="0.3">
      <c r="A124" s="1">
        <v>44085</v>
      </c>
      <c r="B124">
        <v>10.15</v>
      </c>
      <c r="C124">
        <v>10.15</v>
      </c>
      <c r="D124">
        <v>10.1</v>
      </c>
      <c r="E124">
        <v>10.1</v>
      </c>
      <c r="F124">
        <v>5700</v>
      </c>
      <c r="G124" s="29">
        <v>5.4812390501847399E-2</v>
      </c>
      <c r="H124" s="29">
        <v>5.4269693566185596E-3</v>
      </c>
      <c r="I124" s="29">
        <v>7.9207920792079192E-3</v>
      </c>
      <c r="J124" s="29">
        <v>49.8508754996787</v>
      </c>
      <c r="K124" s="29">
        <v>3.9761431411529102E-3</v>
      </c>
      <c r="L124" s="29">
        <v>0.6</v>
      </c>
      <c r="M124" s="29">
        <v>-0.11983636502111999</v>
      </c>
      <c r="N124" s="29">
        <v>7.6891836248389106E-2</v>
      </c>
      <c r="O124" s="29">
        <v>-7.8585461689587507E-3</v>
      </c>
      <c r="P124" s="29">
        <v>-7.8585461689587507E-3</v>
      </c>
      <c r="Q124" s="29">
        <v>0.53917050691244195</v>
      </c>
      <c r="R124" s="30">
        <v>60360</v>
      </c>
      <c r="S124" s="29">
        <v>31</v>
      </c>
      <c r="T124" s="14">
        <v>309.27499999999998</v>
      </c>
      <c r="U124" s="41"/>
      <c r="V124">
        <v>114</v>
      </c>
      <c r="W124" t="b">
        <f>V124&gt;=$C$4</f>
        <v>0</v>
      </c>
      <c r="X124">
        <f>IF(V124&lt;=$C$5,11,ROW()-$C$5+1)</f>
        <v>11</v>
      </c>
      <c r="Y124" s="14">
        <f t="shared" si="32"/>
        <v>114</v>
      </c>
      <c r="Z124" s="10">
        <f t="shared" si="40"/>
        <v>8.0000000000000071E-2</v>
      </c>
      <c r="AA124" s="15">
        <f t="shared" si="41"/>
        <v>7.9207920792079278E-3</v>
      </c>
      <c r="AB124" s="15">
        <f t="shared" si="42"/>
        <v>5.4812390501847462E-2</v>
      </c>
      <c r="AC124" s="10">
        <f t="shared" si="33"/>
        <v>5.4269693566185604E-3</v>
      </c>
      <c r="AD124">
        <f t="shared" si="43"/>
        <v>-8.0000000000000071E-2</v>
      </c>
      <c r="AE124">
        <f t="shared" si="50"/>
        <v>0</v>
      </c>
      <c r="AF124">
        <f t="shared" si="51"/>
        <v>8.0000000000000071E-2</v>
      </c>
      <c r="AG124">
        <f t="shared" si="59"/>
        <v>1.7369065893672684E-2</v>
      </c>
      <c r="AH124">
        <f t="shared" si="59"/>
        <v>1.7512922310709368E-2</v>
      </c>
      <c r="AI124">
        <f t="shared" si="44"/>
        <v>0.99178569889796664</v>
      </c>
      <c r="AJ124">
        <f t="shared" si="52"/>
        <v>49.793795559768853</v>
      </c>
      <c r="AK124" s="14">
        <f t="shared" si="34"/>
        <v>49.793795559768853</v>
      </c>
      <c r="AM124">
        <f t="shared" si="57"/>
        <v>3.9761431411529102E-3</v>
      </c>
      <c r="AN124" s="14">
        <f t="shared" si="45"/>
        <v>-7.8585461689587577E-3</v>
      </c>
      <c r="AO124">
        <f t="shared" si="54"/>
        <v>0</v>
      </c>
      <c r="AP124" s="14">
        <f t="shared" si="55"/>
        <v>0.6</v>
      </c>
      <c r="AQ124">
        <f t="shared" si="46"/>
        <v>5.0789666082207141E-4</v>
      </c>
      <c r="AR124">
        <f t="shared" si="47"/>
        <v>-8.3664428297808222E-3</v>
      </c>
      <c r="AS124">
        <f t="shared" si="29"/>
        <v>-1.3206188012170694E-3</v>
      </c>
      <c r="AT124">
        <f t="shared" si="30"/>
        <v>1.1020184073376328E-2</v>
      </c>
      <c r="AU124" s="14">
        <f t="shared" si="35"/>
        <v>-0.11983636502112097</v>
      </c>
      <c r="AV124" s="19">
        <f t="shared" si="31"/>
        <v>7.6891836248390133E-2</v>
      </c>
      <c r="AW124" s="19">
        <f t="shared" si="58"/>
        <v>-7.8585461689587577E-3</v>
      </c>
      <c r="AX124">
        <f t="shared" si="36"/>
        <v>0</v>
      </c>
      <c r="AY124">
        <f>IF(W124,SUMPRODUCT(INDEX(AX:AX,X124):INDEX(AX:AX,X124+Y124)),0)</f>
        <v>0</v>
      </c>
      <c r="AZ124">
        <f>IF(V124,COUNT(INDEX(AX:AX,X124):INDEX(AX:AX,ROW())),0)</f>
        <v>114</v>
      </c>
      <c r="BA124" s="14" t="str">
        <f t="shared" si="48"/>
        <v/>
      </c>
      <c r="BB124" s="6">
        <f t="shared" si="37"/>
        <v>57570</v>
      </c>
      <c r="BC124" s="6">
        <f>MEDIAN(INDEX(BB:BB,X124):INDEX(BB:BB,X124+Y124-1))</f>
        <v>60802</v>
      </c>
      <c r="BD124" s="25" t="str">
        <f t="shared" si="38"/>
        <v/>
      </c>
      <c r="BE124">
        <f t="shared" si="49"/>
        <v>0</v>
      </c>
      <c r="BF124" s="6">
        <f>SUM(INDEX(BE:BE,X124):INDEX(BE:BE,X124+Y124-1))</f>
        <v>16</v>
      </c>
      <c r="BG124" s="25" t="str">
        <f t="shared" si="39"/>
        <v/>
      </c>
    </row>
    <row r="125" spans="1:59" x14ac:dyDescent="0.3">
      <c r="A125" s="1">
        <v>44088</v>
      </c>
      <c r="B125">
        <v>10.1</v>
      </c>
      <c r="C125">
        <v>10.1</v>
      </c>
      <c r="D125">
        <v>10.06</v>
      </c>
      <c r="E125">
        <v>10.08</v>
      </c>
      <c r="F125">
        <v>18600</v>
      </c>
      <c r="G125" s="29">
        <v>5.3754362608858297E-2</v>
      </c>
      <c r="H125" s="29">
        <v>5.3327740683391097E-3</v>
      </c>
      <c r="I125" s="29">
        <v>3.9682539682538804E-3</v>
      </c>
      <c r="J125" s="29">
        <v>47.743825147027401</v>
      </c>
      <c r="K125" s="29">
        <v>-1.9801980198019798E-3</v>
      </c>
      <c r="L125" s="29">
        <v>0.6</v>
      </c>
      <c r="M125" s="29">
        <v>-0.127150182705658</v>
      </c>
      <c r="N125" s="29">
        <v>7.2949397389858506E-2</v>
      </c>
      <c r="O125" s="29">
        <v>-9.8231827111984193E-3</v>
      </c>
      <c r="P125" s="29">
        <v>-1.9801980198019798E-3</v>
      </c>
      <c r="Q125" s="29">
        <v>0.53669724770642202</v>
      </c>
      <c r="R125" s="30">
        <v>60802</v>
      </c>
      <c r="S125" s="29">
        <v>31</v>
      </c>
      <c r="T125" s="14">
        <v>313.34899999999999</v>
      </c>
      <c r="U125" s="41"/>
      <c r="V125">
        <v>115</v>
      </c>
      <c r="W125" t="b">
        <f>V125&gt;=$C$4</f>
        <v>0</v>
      </c>
      <c r="X125">
        <f>IF(V125&lt;=$C$5,11,ROW()-$C$5+1)</f>
        <v>11</v>
      </c>
      <c r="Y125" s="14">
        <f t="shared" si="32"/>
        <v>115</v>
      </c>
      <c r="Z125" s="10">
        <f t="shared" si="40"/>
        <v>3.9999999999999147E-2</v>
      </c>
      <c r="AA125" s="15">
        <f t="shared" si="41"/>
        <v>3.9682539682538839E-3</v>
      </c>
      <c r="AB125" s="15">
        <f t="shared" si="42"/>
        <v>5.3754362608858297E-2</v>
      </c>
      <c r="AC125" s="10">
        <f t="shared" si="33"/>
        <v>5.3327740683391167E-3</v>
      </c>
      <c r="AD125">
        <f t="shared" si="43"/>
        <v>-1.9999999999999574E-2</v>
      </c>
      <c r="AE125">
        <f t="shared" si="50"/>
        <v>0</v>
      </c>
      <c r="AF125">
        <f t="shared" si="51"/>
        <v>1.9999999999999574E-2</v>
      </c>
      <c r="AG125">
        <f t="shared" si="59"/>
        <v>1.6128418329838922E-2</v>
      </c>
      <c r="AH125">
        <f t="shared" si="59"/>
        <v>1.7690570717087239E-2</v>
      </c>
      <c r="AI125">
        <f t="shared" si="44"/>
        <v>0.91169576085301518</v>
      </c>
      <c r="AJ125">
        <f t="shared" si="52"/>
        <v>47.690421222998822</v>
      </c>
      <c r="AK125" s="14">
        <f t="shared" si="34"/>
        <v>47.690421222998822</v>
      </c>
      <c r="AM125">
        <f t="shared" si="57"/>
        <v>-1.980198019801982E-3</v>
      </c>
      <c r="AN125" s="14">
        <f t="shared" si="45"/>
        <v>-1.980198019801982E-3</v>
      </c>
      <c r="AO125">
        <f t="shared" si="54"/>
        <v>0</v>
      </c>
      <c r="AP125" s="14">
        <f t="shared" si="55"/>
        <v>0.6</v>
      </c>
      <c r="AQ125">
        <f t="shared" si="46"/>
        <v>1.3172742704712581E-2</v>
      </c>
      <c r="AR125">
        <f t="shared" si="47"/>
        <v>-1.5152940724514561E-2</v>
      </c>
      <c r="AS125">
        <f t="shared" si="29"/>
        <v>-1.4129438582742579E-3</v>
      </c>
      <c r="AT125">
        <f t="shared" si="30"/>
        <v>1.1112401321082583E-2</v>
      </c>
      <c r="AU125" s="14">
        <f t="shared" si="35"/>
        <v>-0.12715018270565909</v>
      </c>
      <c r="AV125" s="19">
        <f t="shared" si="31"/>
        <v>7.2949397389859449E-2</v>
      </c>
      <c r="AW125" s="19">
        <f t="shared" si="58"/>
        <v>-9.8231827111984193E-3</v>
      </c>
      <c r="AX125">
        <f t="shared" si="36"/>
        <v>0</v>
      </c>
      <c r="AY125">
        <f>IF(W125,SUMPRODUCT(INDEX(AX:AX,X125):INDEX(AX:AX,X125+Y125)),0)</f>
        <v>0</v>
      </c>
      <c r="AZ125">
        <f>IF(V125,COUNT(INDEX(AX:AX,X125):INDEX(AX:AX,ROW())),0)</f>
        <v>115</v>
      </c>
      <c r="BA125" s="14" t="str">
        <f t="shared" si="48"/>
        <v/>
      </c>
      <c r="BB125" s="6">
        <f t="shared" si="37"/>
        <v>187488</v>
      </c>
      <c r="BC125" s="6">
        <f>MEDIAN(INDEX(BB:BB,X125):INDEX(BB:BB,X125+Y125-1))</f>
        <v>61243.999999999993</v>
      </c>
      <c r="BD125" s="25" t="str">
        <f t="shared" si="38"/>
        <v/>
      </c>
      <c r="BE125">
        <f t="shared" si="49"/>
        <v>0</v>
      </c>
      <c r="BF125" s="6">
        <f>SUM(INDEX(BE:BE,X125):INDEX(BE:BE,X125+Y125-1))</f>
        <v>16</v>
      </c>
      <c r="BG125" s="25" t="str">
        <f t="shared" si="39"/>
        <v/>
      </c>
    </row>
    <row r="126" spans="1:59" x14ac:dyDescent="0.3">
      <c r="A126" s="1">
        <v>44089</v>
      </c>
      <c r="B126">
        <v>10.029999999999999</v>
      </c>
      <c r="C126">
        <v>10.09</v>
      </c>
      <c r="D126">
        <v>10.029999999999999</v>
      </c>
      <c r="E126">
        <v>10.09</v>
      </c>
      <c r="F126">
        <v>1100</v>
      </c>
      <c r="G126" s="29">
        <v>5.4200479565368401E-2</v>
      </c>
      <c r="H126" s="29">
        <v>5.3717026328412697E-3</v>
      </c>
      <c r="I126" s="29">
        <v>5.9464816650149103E-3</v>
      </c>
      <c r="J126" s="29">
        <v>48.906668025197398</v>
      </c>
      <c r="K126" s="29">
        <v>2.9821073558646801E-3</v>
      </c>
      <c r="L126" s="29">
        <v>0.6</v>
      </c>
      <c r="M126" s="29">
        <v>-0.113836634665914</v>
      </c>
      <c r="N126" s="29">
        <v>6.4550843351476803E-2</v>
      </c>
      <c r="O126" s="29">
        <v>-8.8408644400785798E-3</v>
      </c>
      <c r="P126" s="29">
        <v>9.9206349206348811E-4</v>
      </c>
      <c r="Q126" s="29">
        <v>0.534246575342465</v>
      </c>
      <c r="R126" s="30">
        <v>60360</v>
      </c>
      <c r="S126" s="29">
        <v>31</v>
      </c>
      <c r="T126" s="14">
        <v>314.93200000000002</v>
      </c>
      <c r="U126" s="41"/>
      <c r="V126">
        <v>116</v>
      </c>
      <c r="W126" t="b">
        <f>V126&gt;=$C$4</f>
        <v>0</v>
      </c>
      <c r="X126">
        <f>IF(V126&lt;=$C$5,11,ROW()-$C$5+1)</f>
        <v>11</v>
      </c>
      <c r="Y126" s="14">
        <f t="shared" si="32"/>
        <v>116</v>
      </c>
      <c r="Z126" s="10">
        <f t="shared" si="40"/>
        <v>6.0000000000000497E-2</v>
      </c>
      <c r="AA126" s="15">
        <f t="shared" si="41"/>
        <v>5.9464816650149155E-3</v>
      </c>
      <c r="AB126" s="15">
        <f t="shared" si="42"/>
        <v>5.4200479565368456E-2</v>
      </c>
      <c r="AC126" s="10">
        <f t="shared" si="33"/>
        <v>5.3717026328412741E-3</v>
      </c>
      <c r="AD126">
        <f t="shared" si="43"/>
        <v>9.9999999999997868E-3</v>
      </c>
      <c r="AE126">
        <f t="shared" si="50"/>
        <v>9.9999999999997868E-3</v>
      </c>
      <c r="AF126">
        <f t="shared" si="51"/>
        <v>0</v>
      </c>
      <c r="AG126">
        <f t="shared" ref="AG126:AH141" si="60">(AE126+13*AG125)/14</f>
        <v>1.569067416342184E-2</v>
      </c>
      <c r="AH126">
        <f t="shared" si="60"/>
        <v>1.6426958523009579E-2</v>
      </c>
      <c r="AI126">
        <f t="shared" si="44"/>
        <v>0.95517829070083726</v>
      </c>
      <c r="AJ126">
        <f t="shared" si="52"/>
        <v>48.853769256943409</v>
      </c>
      <c r="AK126" s="14">
        <f t="shared" si="34"/>
        <v>48.853769256943409</v>
      </c>
      <c r="AM126">
        <f t="shared" si="57"/>
        <v>2.9821073558646827E-3</v>
      </c>
      <c r="AN126" s="14">
        <f t="shared" si="45"/>
        <v>9.9206349206348854E-4</v>
      </c>
      <c r="AO126">
        <f t="shared" si="54"/>
        <v>1</v>
      </c>
      <c r="AP126" s="14">
        <f t="shared" si="55"/>
        <v>0.6</v>
      </c>
      <c r="AQ126">
        <f t="shared" si="46"/>
        <v>5.0518750658212763E-3</v>
      </c>
      <c r="AR126">
        <f t="shared" si="47"/>
        <v>-4.0598115737577878E-3</v>
      </c>
      <c r="AS126">
        <f t="shared" si="29"/>
        <v>-1.2518467663296081E-3</v>
      </c>
      <c r="AT126">
        <f t="shared" si="30"/>
        <v>1.0996870822855059E-2</v>
      </c>
      <c r="AU126" s="14">
        <f t="shared" si="35"/>
        <v>-0.1138366346659147</v>
      </c>
      <c r="AV126" s="19">
        <f t="shared" si="31"/>
        <v>6.4550843351477705E-2</v>
      </c>
      <c r="AW126" s="19">
        <f t="shared" si="58"/>
        <v>-8.8408644400785885E-3</v>
      </c>
      <c r="AX126">
        <f t="shared" si="36"/>
        <v>0</v>
      </c>
      <c r="AY126">
        <f>IF(W126,SUMPRODUCT(INDEX(AX:AX,X126):INDEX(AX:AX,X126+Y126)),0)</f>
        <v>0</v>
      </c>
      <c r="AZ126">
        <f>IF(V126,COUNT(INDEX(AX:AX,X126):INDEX(AX:AX,ROW())),0)</f>
        <v>116</v>
      </c>
      <c r="BA126" s="14" t="str">
        <f t="shared" si="48"/>
        <v/>
      </c>
      <c r="BB126" s="6">
        <f t="shared" si="37"/>
        <v>11099</v>
      </c>
      <c r="BC126" s="6">
        <f>MEDIAN(INDEX(BB:BB,X126):INDEX(BB:BB,X126+Y126-1))</f>
        <v>60802</v>
      </c>
      <c r="BD126" s="25" t="str">
        <f t="shared" si="38"/>
        <v/>
      </c>
      <c r="BE126">
        <f t="shared" si="49"/>
        <v>0</v>
      </c>
      <c r="BF126" s="6">
        <f>SUM(INDEX(BE:BE,X126):INDEX(BE:BE,X126+Y126-1))</f>
        <v>16</v>
      </c>
      <c r="BG126" s="25" t="str">
        <f t="shared" si="39"/>
        <v/>
      </c>
    </row>
    <row r="127" spans="1:59" x14ac:dyDescent="0.3">
      <c r="A127" s="1">
        <v>44090</v>
      </c>
      <c r="B127">
        <v>10.1</v>
      </c>
      <c r="C127">
        <v>10.199999999999999</v>
      </c>
      <c r="D127">
        <v>10.08</v>
      </c>
      <c r="E127">
        <v>10.199999999999999</v>
      </c>
      <c r="F127">
        <v>64100</v>
      </c>
      <c r="G127" s="29">
        <v>5.8900445310699198E-2</v>
      </c>
      <c r="H127" s="29">
        <v>5.77455346183326E-3</v>
      </c>
      <c r="I127" s="29">
        <v>1.1764705882352801E-2</v>
      </c>
      <c r="J127" s="29">
        <v>59.565563138718602</v>
      </c>
      <c r="K127" s="29">
        <v>1.5936254980079601E-2</v>
      </c>
      <c r="L127" s="29">
        <v>0.6</v>
      </c>
      <c r="M127" s="29">
        <v>-9.6903127786222801E-2</v>
      </c>
      <c r="N127" s="29">
        <v>5.6348199262669603E-2</v>
      </c>
      <c r="O127" s="29">
        <v>0</v>
      </c>
      <c r="P127" s="29">
        <v>1.09018830525271E-2</v>
      </c>
      <c r="Q127" s="29">
        <v>0.53181818181818097</v>
      </c>
      <c r="R127" s="30">
        <v>60802</v>
      </c>
      <c r="S127" s="29">
        <v>31</v>
      </c>
      <c r="T127" s="14">
        <v>313.68200000000002</v>
      </c>
      <c r="U127" s="41"/>
      <c r="V127">
        <v>117</v>
      </c>
      <c r="W127" t="b">
        <f>V127&gt;=$C$4</f>
        <v>0</v>
      </c>
      <c r="X127">
        <f>IF(V127&lt;=$C$5,11,ROW()-$C$5+1)</f>
        <v>11</v>
      </c>
      <c r="Y127" s="14">
        <f t="shared" si="32"/>
        <v>117</v>
      </c>
      <c r="Z127" s="10">
        <f t="shared" si="40"/>
        <v>0.11999999999999922</v>
      </c>
      <c r="AA127" s="15">
        <f t="shared" si="41"/>
        <v>1.1764705882352865E-2</v>
      </c>
      <c r="AB127" s="15">
        <f t="shared" si="42"/>
        <v>5.8900445310699226E-2</v>
      </c>
      <c r="AC127" s="10">
        <f t="shared" si="33"/>
        <v>5.7745534618332582E-3</v>
      </c>
      <c r="AD127">
        <f t="shared" si="43"/>
        <v>0.10999999999999943</v>
      </c>
      <c r="AE127">
        <f t="shared" si="50"/>
        <v>0.10999999999999943</v>
      </c>
      <c r="AF127">
        <f t="shared" si="51"/>
        <v>0</v>
      </c>
      <c r="AG127">
        <f t="shared" si="60"/>
        <v>2.2427054580320238E-2</v>
      </c>
      <c r="AH127">
        <f t="shared" si="60"/>
        <v>1.5253604342794607E-2</v>
      </c>
      <c r="AI127">
        <f t="shared" si="44"/>
        <v>1.4702790288981225</v>
      </c>
      <c r="AJ127">
        <f t="shared" si="52"/>
        <v>59.5187430933236</v>
      </c>
      <c r="AK127" s="14">
        <f t="shared" si="34"/>
        <v>59.5187430933236</v>
      </c>
      <c r="AM127">
        <f t="shared" si="57"/>
        <v>1.5936254980079667E-2</v>
      </c>
      <c r="AN127" s="14">
        <f t="shared" si="45"/>
        <v>1.090188305252715E-2</v>
      </c>
      <c r="AO127">
        <f t="shared" si="54"/>
        <v>1</v>
      </c>
      <c r="AP127" s="14">
        <f t="shared" si="55"/>
        <v>0.6</v>
      </c>
      <c r="AQ127">
        <f t="shared" si="46"/>
        <v>-3.9691107921709934E-3</v>
      </c>
      <c r="AR127">
        <f t="shared" si="47"/>
        <v>1.4870993844698093E-2</v>
      </c>
      <c r="AS127">
        <f t="shared" si="29"/>
        <v>-1.0817735718929879E-3</v>
      </c>
      <c r="AT127">
        <f t="shared" si="30"/>
        <v>1.1163453611935787E-2</v>
      </c>
      <c r="AU127" s="14">
        <f t="shared" si="35"/>
        <v>-9.6903127786223148E-2</v>
      </c>
      <c r="AV127" s="19">
        <f t="shared" si="31"/>
        <v>5.6348199262670401E-2</v>
      </c>
      <c r="AW127" s="19">
        <f t="shared" si="58"/>
        <v>0</v>
      </c>
      <c r="AX127">
        <f t="shared" si="36"/>
        <v>0</v>
      </c>
      <c r="AY127">
        <f>IF(W127,SUMPRODUCT(INDEX(AX:AX,X127):INDEX(AX:AX,X127+Y127)),0)</f>
        <v>0</v>
      </c>
      <c r="AZ127">
        <f>IF(V127,COUNT(INDEX(AX:AX,X127):INDEX(AX:AX,ROW())),0)</f>
        <v>117</v>
      </c>
      <c r="BA127" s="14" t="str">
        <f t="shared" si="48"/>
        <v/>
      </c>
      <c r="BB127" s="6">
        <f t="shared" si="37"/>
        <v>653820</v>
      </c>
      <c r="BC127" s="6">
        <f>MEDIAN(INDEX(BB:BB,X127):INDEX(BB:BB,X127+Y127-1))</f>
        <v>61243.999999999993</v>
      </c>
      <c r="BD127" s="25" t="str">
        <f t="shared" si="38"/>
        <v/>
      </c>
      <c r="BE127">
        <f t="shared" si="49"/>
        <v>0</v>
      </c>
      <c r="BF127" s="6">
        <f>SUM(INDEX(BE:BE,X127):INDEX(BE:BE,X127+Y127-1))</f>
        <v>16</v>
      </c>
      <c r="BG127" s="25" t="str">
        <f t="shared" si="39"/>
        <v/>
      </c>
    </row>
    <row r="128" spans="1:59" x14ac:dyDescent="0.3">
      <c r="A128" s="1">
        <v>44091</v>
      </c>
      <c r="B128">
        <v>10.19</v>
      </c>
      <c r="C128">
        <v>10.19</v>
      </c>
      <c r="D128">
        <v>10.1</v>
      </c>
      <c r="E128">
        <v>10.16</v>
      </c>
      <c r="F128">
        <v>17900</v>
      </c>
      <c r="G128" s="29">
        <v>6.1836127788506397E-2</v>
      </c>
      <c r="H128" s="29">
        <v>6.0862330500498401E-3</v>
      </c>
      <c r="I128" s="29">
        <v>9.84251968503933E-3</v>
      </c>
      <c r="J128" s="29">
        <v>55.066831941848299</v>
      </c>
      <c r="K128" s="29">
        <v>1.29611166500498E-2</v>
      </c>
      <c r="L128" s="29">
        <v>0.4</v>
      </c>
      <c r="M128" s="29">
        <v>-8.9224317461179398E-2</v>
      </c>
      <c r="N128" s="29">
        <v>6.1453741191846697E-2</v>
      </c>
      <c r="O128" s="29">
        <v>-3.9215686274508502E-3</v>
      </c>
      <c r="P128" s="29">
        <v>-3.9215686274508502E-3</v>
      </c>
      <c r="Q128" s="29">
        <v>0.52941176470588203</v>
      </c>
      <c r="R128" s="30">
        <v>61243.999999999898</v>
      </c>
      <c r="S128" s="29">
        <v>31</v>
      </c>
      <c r="T128" s="14">
        <v>310.923</v>
      </c>
      <c r="U128" s="41"/>
      <c r="V128">
        <v>118</v>
      </c>
      <c r="W128" t="b">
        <f>V128&gt;=$C$4</f>
        <v>0</v>
      </c>
      <c r="X128">
        <f>IF(V128&lt;=$C$5,11,ROW()-$C$5+1)</f>
        <v>11</v>
      </c>
      <c r="Y128" s="14">
        <f t="shared" si="32"/>
        <v>118</v>
      </c>
      <c r="Z128" s="10">
        <f t="shared" si="40"/>
        <v>9.9999999999999645E-2</v>
      </c>
      <c r="AA128" s="15">
        <f t="shared" si="41"/>
        <v>9.8425196850393352E-3</v>
      </c>
      <c r="AB128" s="15">
        <f t="shared" si="42"/>
        <v>6.1836127788506397E-2</v>
      </c>
      <c r="AC128" s="10">
        <f t="shared" si="33"/>
        <v>6.0862330500498418E-3</v>
      </c>
      <c r="AD128">
        <f t="shared" si="43"/>
        <v>-3.9999999999999147E-2</v>
      </c>
      <c r="AE128">
        <f t="shared" si="50"/>
        <v>0</v>
      </c>
      <c r="AF128">
        <f t="shared" si="51"/>
        <v>3.9999999999999147E-2</v>
      </c>
      <c r="AG128">
        <f t="shared" si="60"/>
        <v>2.0825122110297363E-2</v>
      </c>
      <c r="AH128">
        <f t="shared" si="60"/>
        <v>1.7021204032594932E-2</v>
      </c>
      <c r="AI128">
        <f t="shared" si="44"/>
        <v>1.2234811397841232</v>
      </c>
      <c r="AJ128">
        <f t="shared" si="52"/>
        <v>55.025478646646427</v>
      </c>
      <c r="AK128" s="14">
        <f t="shared" si="34"/>
        <v>55.025478646646427</v>
      </c>
      <c r="AM128">
        <f t="shared" si="57"/>
        <v>1.2961116650049842E-2</v>
      </c>
      <c r="AN128" s="14">
        <f t="shared" si="45"/>
        <v>-3.9215686274508554E-3</v>
      </c>
      <c r="AO128">
        <f t="shared" si="54"/>
        <v>0</v>
      </c>
      <c r="AP128" s="14">
        <f t="shared" si="55"/>
        <v>0.4</v>
      </c>
      <c r="AQ128">
        <f t="shared" si="46"/>
        <v>-8.7955317805931132E-3</v>
      </c>
      <c r="AR128">
        <f t="shared" si="47"/>
        <v>4.873963153142263E-3</v>
      </c>
      <c r="AS128">
        <f t="shared" si="29"/>
        <v>-9.9827587044254841E-4</v>
      </c>
      <c r="AT128">
        <f t="shared" si="30"/>
        <v>1.1188383378521054E-2</v>
      </c>
      <c r="AU128" s="14">
        <f t="shared" si="35"/>
        <v>-8.9224317461179661E-2</v>
      </c>
      <c r="AV128" s="19">
        <f t="shared" si="31"/>
        <v>6.1453741191847613E-2</v>
      </c>
      <c r="AW128" s="19">
        <f t="shared" si="58"/>
        <v>-3.9215686274508554E-3</v>
      </c>
      <c r="AX128">
        <f t="shared" si="36"/>
        <v>0</v>
      </c>
      <c r="AY128">
        <f>IF(W128,SUMPRODUCT(INDEX(AX:AX,X128):INDEX(AX:AX,X128+Y128)),0)</f>
        <v>0</v>
      </c>
      <c r="AZ128">
        <f>IF(V128,COUNT(INDEX(AX:AX,X128):INDEX(AX:AX,ROW())),0)</f>
        <v>118</v>
      </c>
      <c r="BA128" s="14" t="str">
        <f t="shared" si="48"/>
        <v/>
      </c>
      <c r="BB128" s="6">
        <f t="shared" si="37"/>
        <v>181864</v>
      </c>
      <c r="BC128" s="6">
        <f>MEDIAN(INDEX(BB:BB,X128):INDEX(BB:BB,X128+Y128-1))</f>
        <v>62087</v>
      </c>
      <c r="BD128" s="25" t="str">
        <f t="shared" si="38"/>
        <v/>
      </c>
      <c r="BE128">
        <f t="shared" si="49"/>
        <v>0</v>
      </c>
      <c r="BF128" s="6">
        <f>SUM(INDEX(BE:BE,X128):INDEX(BE:BE,X128+Y128-1))</f>
        <v>16</v>
      </c>
      <c r="BG128" s="25" t="str">
        <f t="shared" si="39"/>
        <v/>
      </c>
    </row>
    <row r="129" spans="1:59" x14ac:dyDescent="0.3">
      <c r="A129" s="1">
        <v>44092</v>
      </c>
      <c r="B129">
        <v>10.16</v>
      </c>
      <c r="C129">
        <v>10.199999999999999</v>
      </c>
      <c r="D129">
        <v>10.16</v>
      </c>
      <c r="E129">
        <v>10.16</v>
      </c>
      <c r="F129">
        <v>112300</v>
      </c>
      <c r="G129" s="29">
        <v>6.0276404375041601E-2</v>
      </c>
      <c r="H129" s="29">
        <v>5.9327169660474003E-3</v>
      </c>
      <c r="I129" s="29">
        <v>3.9370078740156604E-3</v>
      </c>
      <c r="J129" s="29">
        <v>55.066831941848299</v>
      </c>
      <c r="K129" s="29">
        <v>9.9403578528827197E-3</v>
      </c>
      <c r="L129" s="29">
        <v>0.4</v>
      </c>
      <c r="M129" s="29">
        <v>-8.8012582614744206E-2</v>
      </c>
      <c r="N129" s="29">
        <v>6.5438171381798499E-2</v>
      </c>
      <c r="O129" s="29">
        <v>-3.9215686274508502E-3</v>
      </c>
      <c r="P129" s="29">
        <v>0</v>
      </c>
      <c r="Q129" s="29">
        <v>0.52702702702702697</v>
      </c>
      <c r="R129" s="30">
        <v>62087</v>
      </c>
      <c r="S129" s="29">
        <v>31</v>
      </c>
      <c r="T129" s="14">
        <v>307.34399999999999</v>
      </c>
      <c r="U129" s="41"/>
      <c r="V129">
        <v>119</v>
      </c>
      <c r="W129" t="b">
        <f>V129&gt;=$C$4</f>
        <v>0</v>
      </c>
      <c r="X129">
        <f>IF(V129&lt;=$C$5,11,ROW()-$C$5+1)</f>
        <v>11</v>
      </c>
      <c r="Y129" s="14">
        <f t="shared" si="32"/>
        <v>119</v>
      </c>
      <c r="Z129" s="10">
        <f t="shared" si="40"/>
        <v>3.9999999999999147E-2</v>
      </c>
      <c r="AA129" s="15">
        <f t="shared" si="41"/>
        <v>3.9370078740156638E-3</v>
      </c>
      <c r="AB129" s="15">
        <f t="shared" si="42"/>
        <v>6.0276404375041594E-2</v>
      </c>
      <c r="AC129" s="10">
        <f t="shared" si="33"/>
        <v>5.9327169660474011E-3</v>
      </c>
      <c r="AD129">
        <f t="shared" si="43"/>
        <v>0</v>
      </c>
      <c r="AE129">
        <f t="shared" si="50"/>
        <v>0</v>
      </c>
      <c r="AF129">
        <f t="shared" si="51"/>
        <v>0</v>
      </c>
      <c r="AG129">
        <f t="shared" si="60"/>
        <v>1.9337613388133269E-2</v>
      </c>
      <c r="AH129">
        <f t="shared" si="60"/>
        <v>1.5805403744552436E-2</v>
      </c>
      <c r="AI129">
        <f t="shared" si="44"/>
        <v>1.2234811397841234</v>
      </c>
      <c r="AJ129">
        <f t="shared" si="52"/>
        <v>55.025478646646427</v>
      </c>
      <c r="AK129" s="14">
        <f t="shared" si="34"/>
        <v>55.025478646646427</v>
      </c>
      <c r="AM129">
        <f t="shared" si="57"/>
        <v>9.9403578528827197E-3</v>
      </c>
      <c r="AN129" s="14">
        <f t="shared" si="45"/>
        <v>0</v>
      </c>
      <c r="AO129">
        <f t="shared" si="54"/>
        <v>0</v>
      </c>
      <c r="AP129" s="14">
        <f t="shared" si="55"/>
        <v>0.4</v>
      </c>
      <c r="AQ129">
        <f t="shared" si="46"/>
        <v>-1.1510888547968445E-2</v>
      </c>
      <c r="AR129">
        <f t="shared" si="47"/>
        <v>1.1510888547968445E-2</v>
      </c>
      <c r="AS129">
        <f t="shared" si="29"/>
        <v>-9.85914694528159E-4</v>
      </c>
      <c r="AT129">
        <f t="shared" si="30"/>
        <v>1.1201974368185298E-2</v>
      </c>
      <c r="AU129" s="14">
        <f t="shared" si="35"/>
        <v>-8.8012582614744511E-2</v>
      </c>
      <c r="AV129" s="19">
        <f t="shared" si="31"/>
        <v>6.5438171381799443E-2</v>
      </c>
      <c r="AW129" s="19">
        <f t="shared" si="58"/>
        <v>-3.9215686274508554E-3</v>
      </c>
      <c r="AX129">
        <f t="shared" si="36"/>
        <v>0</v>
      </c>
      <c r="AY129">
        <f>IF(W129,SUMPRODUCT(INDEX(AX:AX,X129):INDEX(AX:AX,X129+Y129)),0)</f>
        <v>0</v>
      </c>
      <c r="AZ129">
        <f>IF(V129,COUNT(INDEX(AX:AX,X129):INDEX(AX:AX,ROW())),0)</f>
        <v>119</v>
      </c>
      <c r="BA129" s="14" t="str">
        <f t="shared" si="48"/>
        <v/>
      </c>
      <c r="BB129" s="6">
        <f t="shared" si="37"/>
        <v>1140968</v>
      </c>
      <c r="BC129" s="6">
        <f>MEDIAN(INDEX(BB:BB,X129):INDEX(BB:BB,X129+Y129-1))</f>
        <v>62930</v>
      </c>
      <c r="BD129" s="25" t="str">
        <f t="shared" si="38"/>
        <v/>
      </c>
      <c r="BE129">
        <f t="shared" si="49"/>
        <v>0</v>
      </c>
      <c r="BF129" s="6">
        <f>SUM(INDEX(BE:BE,X129):INDEX(BE:BE,X129+Y129-1))</f>
        <v>16</v>
      </c>
      <c r="BG129" s="25" t="str">
        <f t="shared" si="39"/>
        <v/>
      </c>
    </row>
    <row r="130" spans="1:59" x14ac:dyDescent="0.3">
      <c r="A130" s="1">
        <v>44095</v>
      </c>
      <c r="B130">
        <v>10.119999999999999</v>
      </c>
      <c r="C130">
        <v>10.210000000000001</v>
      </c>
      <c r="D130">
        <v>10.050000000000001</v>
      </c>
      <c r="E130">
        <v>10.119999999999999</v>
      </c>
      <c r="F130">
        <v>30900</v>
      </c>
      <c r="G130" s="29">
        <v>6.7399518348252904E-2</v>
      </c>
      <c r="H130" s="29">
        <v>6.6600314573372404E-3</v>
      </c>
      <c r="I130" s="29">
        <v>1.58102766798419E-2</v>
      </c>
      <c r="J130" s="29">
        <v>50.631886624268503</v>
      </c>
      <c r="K130" s="29">
        <v>7.9681274900398301E-3</v>
      </c>
      <c r="L130" s="29">
        <v>0.4</v>
      </c>
      <c r="M130" s="29">
        <v>-7.2690813605961593E-2</v>
      </c>
      <c r="N130" s="29">
        <v>6.9058132994412796E-2</v>
      </c>
      <c r="O130" s="29">
        <v>-7.8431372549019295E-3</v>
      </c>
      <c r="P130" s="29">
        <v>-3.9370078740158503E-3</v>
      </c>
      <c r="Q130" s="29">
        <v>0.52466367713004403</v>
      </c>
      <c r="R130" s="30">
        <v>62930</v>
      </c>
      <c r="S130" s="29">
        <v>31</v>
      </c>
      <c r="T130" s="14">
        <v>303.923</v>
      </c>
      <c r="U130" s="41"/>
      <c r="V130">
        <v>120</v>
      </c>
      <c r="W130" t="b">
        <f>V130&gt;=$C$4</f>
        <v>0</v>
      </c>
      <c r="X130">
        <f>IF(V130&lt;=$C$5,11,ROW()-$C$5+1)</f>
        <v>11</v>
      </c>
      <c r="Y130" s="14">
        <f t="shared" si="32"/>
        <v>120</v>
      </c>
      <c r="Z130" s="10">
        <f t="shared" si="40"/>
        <v>0.16000000000000014</v>
      </c>
      <c r="AA130" s="15">
        <f t="shared" si="41"/>
        <v>1.5810276679841914E-2</v>
      </c>
      <c r="AB130" s="15">
        <f t="shared" si="42"/>
        <v>6.7399518348252918E-2</v>
      </c>
      <c r="AC130" s="10">
        <f t="shared" si="33"/>
        <v>6.6600314573372456E-3</v>
      </c>
      <c r="AD130">
        <f t="shared" si="43"/>
        <v>-4.0000000000000924E-2</v>
      </c>
      <c r="AE130">
        <f t="shared" si="50"/>
        <v>0</v>
      </c>
      <c r="AF130">
        <f t="shared" si="51"/>
        <v>4.0000000000000924E-2</v>
      </c>
      <c r="AG130">
        <f t="shared" si="60"/>
        <v>1.7956355288980895E-2</v>
      </c>
      <c r="AH130">
        <f t="shared" si="60"/>
        <v>1.7533589191370186E-2</v>
      </c>
      <c r="AI130">
        <f t="shared" si="44"/>
        <v>1.0241117829895769</v>
      </c>
      <c r="AJ130">
        <f t="shared" si="52"/>
        <v>50.595613917971569</v>
      </c>
      <c r="AK130" s="14">
        <f t="shared" si="34"/>
        <v>50.595613917971569</v>
      </c>
      <c r="AM130">
        <f t="shared" si="57"/>
        <v>7.9681274900398336E-3</v>
      </c>
      <c r="AN130" s="14">
        <f t="shared" si="45"/>
        <v>-3.9370078740158521E-3</v>
      </c>
      <c r="AO130">
        <f t="shared" si="54"/>
        <v>0</v>
      </c>
      <c r="AP130" s="14">
        <f t="shared" si="55"/>
        <v>0.4</v>
      </c>
      <c r="AQ130">
        <f t="shared" si="46"/>
        <v>-1.1130850122338498E-2</v>
      </c>
      <c r="AR130">
        <f t="shared" si="47"/>
        <v>7.1938422483226478E-3</v>
      </c>
      <c r="AS130">
        <f t="shared" si="29"/>
        <v>-8.1737135878394006E-4</v>
      </c>
      <c r="AT130">
        <f t="shared" si="30"/>
        <v>1.1244493192973444E-2</v>
      </c>
      <c r="AU130" s="14">
        <f t="shared" si="35"/>
        <v>-7.2690813605961913E-2</v>
      </c>
      <c r="AV130" s="19">
        <f t="shared" si="31"/>
        <v>6.9058132994413782E-2</v>
      </c>
      <c r="AW130" s="19">
        <f t="shared" si="58"/>
        <v>-7.8431372549019329E-3</v>
      </c>
      <c r="AX130">
        <f t="shared" si="36"/>
        <v>0</v>
      </c>
      <c r="AY130">
        <f>IF(W130,SUMPRODUCT(INDEX(AX:AX,X130):INDEX(AX:AX,X130+Y130)),0)</f>
        <v>0</v>
      </c>
      <c r="AZ130">
        <f>IF(V130,COUNT(INDEX(AX:AX,X130):INDEX(AX:AX,ROW())),0)</f>
        <v>120</v>
      </c>
      <c r="BA130" s="14" t="str">
        <f t="shared" si="48"/>
        <v/>
      </c>
      <c r="BB130" s="6">
        <f t="shared" si="37"/>
        <v>312708</v>
      </c>
      <c r="BC130" s="6">
        <f>MEDIAN(INDEX(BB:BB,X130):INDEX(BB:BB,X130+Y130-1))</f>
        <v>71705</v>
      </c>
      <c r="BD130" s="25" t="str">
        <f t="shared" si="38"/>
        <v/>
      </c>
      <c r="BE130">
        <f t="shared" si="49"/>
        <v>0</v>
      </c>
      <c r="BF130" s="6">
        <f>SUM(INDEX(BE:BE,X130):INDEX(BE:BE,X130+Y130-1))</f>
        <v>16</v>
      </c>
      <c r="BG130" s="25" t="str">
        <f t="shared" si="39"/>
        <v/>
      </c>
    </row>
    <row r="131" spans="1:59" x14ac:dyDescent="0.3">
      <c r="A131" s="1">
        <v>44096</v>
      </c>
      <c r="B131">
        <v>10.18</v>
      </c>
      <c r="C131">
        <v>10.199999999999999</v>
      </c>
      <c r="D131">
        <v>10.11</v>
      </c>
      <c r="E131">
        <v>10.16</v>
      </c>
      <c r="F131">
        <v>7400</v>
      </c>
      <c r="G131" s="29">
        <v>6.9013838466234795E-2</v>
      </c>
      <c r="H131" s="29">
        <v>6.7927006364404399E-3</v>
      </c>
      <c r="I131" s="29">
        <v>8.8582677165354104E-3</v>
      </c>
      <c r="J131" s="29">
        <v>54.5719812948862</v>
      </c>
      <c r="K131" s="29">
        <v>1.4478282576135801E-2</v>
      </c>
      <c r="L131" s="29">
        <v>0.4</v>
      </c>
      <c r="M131" s="29">
        <v>-7.8784614872865699E-2</v>
      </c>
      <c r="N131" s="29">
        <v>7.1769053356076695E-2</v>
      </c>
      <c r="O131" s="29">
        <v>-3.9215686274508502E-3</v>
      </c>
      <c r="P131" s="29">
        <v>3.9525691699606701E-3</v>
      </c>
      <c r="Q131" s="29">
        <v>0.52232142857142805</v>
      </c>
      <c r="R131" s="30">
        <v>63412.5</v>
      </c>
      <c r="S131" s="29">
        <v>31</v>
      </c>
      <c r="T131" s="14">
        <v>307.01799999999997</v>
      </c>
      <c r="U131" s="41"/>
      <c r="V131">
        <v>121</v>
      </c>
      <c r="W131" t="b">
        <f>V131&gt;=$C$4</f>
        <v>0</v>
      </c>
      <c r="X131">
        <f>IF(V131&lt;=$C$5,11,ROW()-$C$5+1)</f>
        <v>11</v>
      </c>
      <c r="Y131" s="14">
        <f t="shared" si="32"/>
        <v>121</v>
      </c>
      <c r="Z131" s="10">
        <f t="shared" si="40"/>
        <v>8.9999999999999858E-2</v>
      </c>
      <c r="AA131" s="15">
        <f t="shared" si="41"/>
        <v>8.8582677165354191E-3</v>
      </c>
      <c r="AB131" s="15">
        <f t="shared" si="42"/>
        <v>6.901383846623485E-2</v>
      </c>
      <c r="AC131" s="10">
        <f t="shared" si="33"/>
        <v>6.7927006364404382E-3</v>
      </c>
      <c r="AD131">
        <f t="shared" si="43"/>
        <v>4.0000000000000924E-2</v>
      </c>
      <c r="AE131">
        <f t="shared" si="50"/>
        <v>4.0000000000000924E-2</v>
      </c>
      <c r="AF131">
        <f t="shared" si="51"/>
        <v>0</v>
      </c>
      <c r="AG131">
        <f t="shared" si="60"/>
        <v>1.953090133976804E-2</v>
      </c>
      <c r="AH131">
        <f t="shared" si="60"/>
        <v>1.6281189963415172E-2</v>
      </c>
      <c r="AI131">
        <f t="shared" si="44"/>
        <v>1.1995991314919343</v>
      </c>
      <c r="AJ131">
        <f t="shared" si="52"/>
        <v>54.537170628826154</v>
      </c>
      <c r="AK131" s="14">
        <f t="shared" si="34"/>
        <v>54.537170628826154</v>
      </c>
      <c r="AM131">
        <f t="shared" si="57"/>
        <v>1.4478282576135815E-2</v>
      </c>
      <c r="AN131" s="14">
        <f t="shared" si="45"/>
        <v>3.9525691699606735E-3</v>
      </c>
      <c r="AO131">
        <f t="shared" si="54"/>
        <v>1</v>
      </c>
      <c r="AP131" s="14">
        <f t="shared" si="55"/>
        <v>0.4</v>
      </c>
      <c r="AQ131">
        <f t="shared" si="46"/>
        <v>1.0183500426094616E-2</v>
      </c>
      <c r="AR131">
        <f t="shared" si="47"/>
        <v>-6.230931256133946E-3</v>
      </c>
      <c r="AS131">
        <f t="shared" si="29"/>
        <v>-8.8747392891165805E-4</v>
      </c>
      <c r="AT131">
        <f t="shared" si="30"/>
        <v>1.1264558827174151E-2</v>
      </c>
      <c r="AU131" s="14">
        <f t="shared" si="35"/>
        <v>-7.8784614872865949E-2</v>
      </c>
      <c r="AV131" s="19">
        <f t="shared" si="31"/>
        <v>7.1769053356077639E-2</v>
      </c>
      <c r="AW131" s="19">
        <f t="shared" si="58"/>
        <v>-3.9215686274508554E-3</v>
      </c>
      <c r="AX131">
        <f t="shared" si="36"/>
        <v>0</v>
      </c>
      <c r="AY131">
        <f>IF(W131,SUMPRODUCT(INDEX(AX:AX,X131):INDEX(AX:AX,X131+Y131)),0)</f>
        <v>0</v>
      </c>
      <c r="AZ131">
        <f>IF(V131,COUNT(INDEX(AX:AX,X131):INDEX(AX:AX,ROW())),0)</f>
        <v>121</v>
      </c>
      <c r="BA131" s="14" t="str">
        <f t="shared" si="48"/>
        <v/>
      </c>
      <c r="BB131" s="6">
        <f t="shared" si="37"/>
        <v>75184</v>
      </c>
      <c r="BC131" s="6">
        <f>MEDIAN(INDEX(BB:BB,X131):INDEX(BB:BB,X131+Y131-1))</f>
        <v>75184</v>
      </c>
      <c r="BD131" s="25" t="str">
        <f t="shared" si="38"/>
        <v/>
      </c>
      <c r="BE131">
        <f t="shared" si="49"/>
        <v>0</v>
      </c>
      <c r="BF131" s="6">
        <f>SUM(INDEX(BE:BE,X131):INDEX(BE:BE,X131+Y131-1))</f>
        <v>16</v>
      </c>
      <c r="BG131" s="25" t="str">
        <f t="shared" si="39"/>
        <v/>
      </c>
    </row>
    <row r="132" spans="1:59" x14ac:dyDescent="0.3">
      <c r="A132" s="1">
        <v>44097</v>
      </c>
      <c r="B132">
        <v>10.16</v>
      </c>
      <c r="C132">
        <v>10.18</v>
      </c>
      <c r="D132">
        <v>10.16</v>
      </c>
      <c r="E132">
        <v>10.18</v>
      </c>
      <c r="F132">
        <v>5400</v>
      </c>
      <c r="G132" s="29">
        <v>6.5512850004360898E-2</v>
      </c>
      <c r="H132" s="29">
        <v>6.4354469552417399E-3</v>
      </c>
      <c r="I132" s="29">
        <v>1.96463654223964E-3</v>
      </c>
      <c r="J132" s="29">
        <v>56.443804191665699</v>
      </c>
      <c r="K132" s="29">
        <v>1.24316260566881E-2</v>
      </c>
      <c r="L132" s="29">
        <v>0.4</v>
      </c>
      <c r="M132" s="29">
        <v>-7.3191748245721999E-2</v>
      </c>
      <c r="N132" s="29">
        <v>5.30978730799491E-2</v>
      </c>
      <c r="O132" s="29">
        <v>-1.9607843137254802E-3</v>
      </c>
      <c r="P132" s="29">
        <v>1.9685039370078701E-3</v>
      </c>
      <c r="Q132" s="29">
        <v>0.52</v>
      </c>
      <c r="R132" s="30">
        <v>62930</v>
      </c>
      <c r="S132" s="29">
        <v>31</v>
      </c>
      <c r="T132" s="14">
        <v>299.89800000000002</v>
      </c>
      <c r="U132" s="41"/>
      <c r="V132">
        <v>122</v>
      </c>
      <c r="W132" t="b">
        <f>V132&gt;=$C$4</f>
        <v>0</v>
      </c>
      <c r="X132">
        <f>IF(V132&lt;=$C$5,11,ROW()-$C$5+1)</f>
        <v>11</v>
      </c>
      <c r="Y132" s="14">
        <f t="shared" si="32"/>
        <v>122</v>
      </c>
      <c r="Z132" s="10">
        <f t="shared" si="40"/>
        <v>1.9999999999999574E-2</v>
      </c>
      <c r="AA132" s="15">
        <f t="shared" si="41"/>
        <v>1.9646365422396439E-3</v>
      </c>
      <c r="AB132" s="15">
        <f t="shared" si="42"/>
        <v>6.5512850004360898E-2</v>
      </c>
      <c r="AC132" s="10">
        <f t="shared" si="33"/>
        <v>6.4354469552417391E-3</v>
      </c>
      <c r="AD132">
        <f t="shared" si="43"/>
        <v>1.9999999999999574E-2</v>
      </c>
      <c r="AE132">
        <f t="shared" si="50"/>
        <v>1.9999999999999574E-2</v>
      </c>
      <c r="AF132">
        <f t="shared" si="51"/>
        <v>0</v>
      </c>
      <c r="AG132">
        <f t="shared" si="60"/>
        <v>1.9564408386927436E-2</v>
      </c>
      <c r="AH132">
        <f t="shared" si="60"/>
        <v>1.511824782317123E-2</v>
      </c>
      <c r="AI132">
        <f t="shared" si="44"/>
        <v>1.2940923191470459</v>
      </c>
      <c r="AJ132">
        <f t="shared" si="52"/>
        <v>56.409775157967282</v>
      </c>
      <c r="AK132" s="14">
        <f t="shared" si="34"/>
        <v>56.409775157967282</v>
      </c>
      <c r="AM132">
        <f t="shared" si="57"/>
        <v>1.2431626056688128E-2</v>
      </c>
      <c r="AN132" s="14">
        <f t="shared" si="45"/>
        <v>1.9685039370078705E-3</v>
      </c>
      <c r="AO132">
        <f t="shared" si="54"/>
        <v>1</v>
      </c>
      <c r="AP132" s="14">
        <f t="shared" si="55"/>
        <v>0.4</v>
      </c>
      <c r="AQ132">
        <f t="shared" si="46"/>
        <v>-2.3190822687920387E-2</v>
      </c>
      <c r="AR132">
        <f t="shared" si="47"/>
        <v>2.5159326624928258E-2</v>
      </c>
      <c r="AS132">
        <f t="shared" si="29"/>
        <v>-8.3314625328241901E-4</v>
      </c>
      <c r="AT132">
        <f t="shared" si="30"/>
        <v>1.1383062616366893E-2</v>
      </c>
      <c r="AU132" s="14">
        <f t="shared" si="35"/>
        <v>-7.3191748245722332E-2</v>
      </c>
      <c r="AV132" s="19">
        <f t="shared" si="31"/>
        <v>5.3097873079949814E-2</v>
      </c>
      <c r="AW132" s="19">
        <f t="shared" si="58"/>
        <v>-1.9607843137254832E-3</v>
      </c>
      <c r="AX132">
        <f t="shared" si="36"/>
        <v>0</v>
      </c>
      <c r="AY132">
        <f>IF(W132,SUMPRODUCT(INDEX(AX:AX,X132):INDEX(AX:AX,X132+Y132)),0)</f>
        <v>0</v>
      </c>
      <c r="AZ132">
        <f>IF(V132,COUNT(INDEX(AX:AX,X132):INDEX(AX:AX,ROW())),0)</f>
        <v>122</v>
      </c>
      <c r="BA132" s="14" t="str">
        <f t="shared" si="48"/>
        <v/>
      </c>
      <c r="BB132" s="6">
        <f t="shared" si="37"/>
        <v>54972</v>
      </c>
      <c r="BC132" s="6">
        <f>MEDIAN(INDEX(BB:BB,X132):INDEX(BB:BB,X132+Y132-1))</f>
        <v>69057</v>
      </c>
      <c r="BD132" s="25" t="str">
        <f t="shared" si="38"/>
        <v/>
      </c>
      <c r="BE132">
        <f t="shared" si="49"/>
        <v>0</v>
      </c>
      <c r="BF132" s="6">
        <f>SUM(INDEX(BE:BE,X132):INDEX(BE:BE,X132+Y132-1))</f>
        <v>16</v>
      </c>
      <c r="BG132" s="25" t="str">
        <f t="shared" si="39"/>
        <v/>
      </c>
    </row>
    <row r="133" spans="1:59" x14ac:dyDescent="0.3">
      <c r="A133" s="1">
        <v>44098</v>
      </c>
      <c r="B133">
        <v>10.130000000000001</v>
      </c>
      <c r="C133">
        <v>10.15</v>
      </c>
      <c r="D133">
        <v>10.09</v>
      </c>
      <c r="E133">
        <v>10.1</v>
      </c>
      <c r="F133">
        <v>30100</v>
      </c>
      <c r="G133" s="29">
        <v>6.7261932146906497E-2</v>
      </c>
      <c r="H133" s="29">
        <v>6.6595972422679702E-3</v>
      </c>
      <c r="I133" s="29">
        <v>8.9108910891088893E-3</v>
      </c>
      <c r="J133" s="29">
        <v>47.935501874268802</v>
      </c>
      <c r="K133" s="29">
        <v>5.97609561752987E-3</v>
      </c>
      <c r="L133" s="29">
        <v>0.4</v>
      </c>
      <c r="M133" s="29">
        <v>-7.2938589083441599E-2</v>
      </c>
      <c r="N133" s="29">
        <v>5.2167139124121097E-2</v>
      </c>
      <c r="O133" s="29">
        <v>-9.8039215686274092E-3</v>
      </c>
      <c r="P133" s="29">
        <v>-7.8585461689587507E-3</v>
      </c>
      <c r="Q133" s="29">
        <v>0.51769911504424704</v>
      </c>
      <c r="R133" s="30">
        <v>63412.5</v>
      </c>
      <c r="S133" s="29">
        <v>31</v>
      </c>
      <c r="T133" s="14">
        <v>300.69799999999998</v>
      </c>
      <c r="U133" s="41"/>
      <c r="V133">
        <v>123</v>
      </c>
      <c r="W133" t="b">
        <f>V133&gt;=$C$4</f>
        <v>0</v>
      </c>
      <c r="X133">
        <f>IF(V133&lt;=$C$5,11,ROW()-$C$5+1)</f>
        <v>11</v>
      </c>
      <c r="Y133" s="14">
        <f t="shared" si="32"/>
        <v>123</v>
      </c>
      <c r="Z133" s="10">
        <f t="shared" si="40"/>
        <v>8.9999999999999858E-2</v>
      </c>
      <c r="AA133" s="15">
        <f t="shared" si="41"/>
        <v>8.910891089108898E-3</v>
      </c>
      <c r="AB133" s="15">
        <f t="shared" si="42"/>
        <v>6.7261932146906539E-2</v>
      </c>
      <c r="AC133" s="10">
        <f t="shared" si="33"/>
        <v>6.6595972422679745E-3</v>
      </c>
      <c r="AD133">
        <f t="shared" si="43"/>
        <v>-8.0000000000000071E-2</v>
      </c>
      <c r="AE133">
        <f t="shared" si="50"/>
        <v>0</v>
      </c>
      <c r="AF133">
        <f t="shared" si="51"/>
        <v>8.0000000000000071E-2</v>
      </c>
      <c r="AG133">
        <f t="shared" si="60"/>
        <v>1.8166950645004048E-2</v>
      </c>
      <c r="AH133">
        <f t="shared" si="60"/>
        <v>1.9752658692944718E-2</v>
      </c>
      <c r="AI133">
        <f t="shared" si="44"/>
        <v>0.91972179175520019</v>
      </c>
      <c r="AJ133">
        <f t="shared" si="52"/>
        <v>47.909118691323457</v>
      </c>
      <c r="AK133" s="14">
        <f t="shared" si="34"/>
        <v>47.909118691323457</v>
      </c>
      <c r="AM133">
        <f t="shared" si="57"/>
        <v>5.9760956175298752E-3</v>
      </c>
      <c r="AN133" s="14">
        <f t="shared" si="45"/>
        <v>-7.8585461689587577E-3</v>
      </c>
      <c r="AO133">
        <f t="shared" si="54"/>
        <v>0</v>
      </c>
      <c r="AP133" s="14">
        <f t="shared" si="55"/>
        <v>0.4</v>
      </c>
      <c r="AQ133">
        <f t="shared" si="46"/>
        <v>2.6675736417047791E-3</v>
      </c>
      <c r="AR133">
        <f t="shared" si="47"/>
        <v>-1.052611981066353E-2</v>
      </c>
      <c r="AS133">
        <f t="shared" si="29"/>
        <v>-8.3006827576070777E-4</v>
      </c>
      <c r="AT133">
        <f t="shared" si="30"/>
        <v>1.1380371984041366E-2</v>
      </c>
      <c r="AU133" s="14">
        <f t="shared" si="35"/>
        <v>-7.2938589083441918E-2</v>
      </c>
      <c r="AV133" s="19">
        <f t="shared" si="31"/>
        <v>5.2167139124121784E-2</v>
      </c>
      <c r="AW133" s="19">
        <f t="shared" si="58"/>
        <v>-9.8039215686274161E-3</v>
      </c>
      <c r="AX133">
        <f t="shared" si="36"/>
        <v>0</v>
      </c>
      <c r="AY133">
        <f>IF(W133,SUMPRODUCT(INDEX(AX:AX,X133):INDEX(AX:AX,X133+Y133)),0)</f>
        <v>0</v>
      </c>
      <c r="AZ133">
        <f>IF(V133,COUNT(INDEX(AX:AX,X133):INDEX(AX:AX,ROW())),0)</f>
        <v>123</v>
      </c>
      <c r="BA133" s="14" t="str">
        <f t="shared" si="48"/>
        <v/>
      </c>
      <c r="BB133" s="6">
        <f t="shared" si="37"/>
        <v>304010</v>
      </c>
      <c r="BC133" s="6">
        <f>MEDIAN(INDEX(BB:BB,X133):INDEX(BB:BB,X133+Y133-1))</f>
        <v>75184</v>
      </c>
      <c r="BD133" s="25" t="str">
        <f t="shared" si="38"/>
        <v/>
      </c>
      <c r="BE133">
        <f t="shared" si="49"/>
        <v>0</v>
      </c>
      <c r="BF133" s="6">
        <f>SUM(INDEX(BE:BE,X133):INDEX(BE:BE,X133+Y133-1))</f>
        <v>16</v>
      </c>
      <c r="BG133" s="25" t="str">
        <f t="shared" si="39"/>
        <v/>
      </c>
    </row>
    <row r="134" spans="1:59" x14ac:dyDescent="0.3">
      <c r="A134" s="1">
        <v>44099</v>
      </c>
      <c r="B134">
        <v>10.15</v>
      </c>
      <c r="C134">
        <v>10.15</v>
      </c>
      <c r="D134">
        <v>10.103999999999999</v>
      </c>
      <c r="E134">
        <v>10.11</v>
      </c>
      <c r="F134">
        <v>6500</v>
      </c>
      <c r="G134" s="29">
        <v>6.6028936993556095E-2</v>
      </c>
      <c r="H134" s="29">
        <v>6.5310521259699401E-3</v>
      </c>
      <c r="I134" s="29">
        <v>4.9455984174085702E-3</v>
      </c>
      <c r="J134" s="29">
        <v>48.970974465444101</v>
      </c>
      <c r="K134" s="29">
        <v>5.9701492537311803E-3</v>
      </c>
      <c r="L134" s="29">
        <v>0.6</v>
      </c>
      <c r="M134" s="29">
        <v>-0.13071581870294699</v>
      </c>
      <c r="N134" s="29">
        <v>5.66341099202873E-2</v>
      </c>
      <c r="O134" s="29">
        <v>-8.8235294117646693E-3</v>
      </c>
      <c r="P134" s="29">
        <v>9.9009900990099098E-4</v>
      </c>
      <c r="Q134" s="29">
        <v>0.51541850220264296</v>
      </c>
      <c r="R134" s="30">
        <v>63895</v>
      </c>
      <c r="S134" s="29">
        <v>31</v>
      </c>
      <c r="T134" s="14">
        <v>305.55900000000003</v>
      </c>
      <c r="U134" s="41"/>
      <c r="V134">
        <v>124</v>
      </c>
      <c r="W134" t="b">
        <f>V134&gt;=$C$4</f>
        <v>0</v>
      </c>
      <c r="X134">
        <f>IF(V134&lt;=$C$5,11,ROW()-$C$5+1)</f>
        <v>11</v>
      </c>
      <c r="Y134" s="14">
        <f t="shared" si="32"/>
        <v>124</v>
      </c>
      <c r="Z134" s="10">
        <f t="shared" si="40"/>
        <v>5.0000000000000711E-2</v>
      </c>
      <c r="AA134" s="15">
        <f t="shared" si="41"/>
        <v>4.9455984174085772E-3</v>
      </c>
      <c r="AB134" s="15">
        <f t="shared" si="42"/>
        <v>6.6028936993556123E-2</v>
      </c>
      <c r="AC134" s="10">
        <f t="shared" si="33"/>
        <v>6.5310521259699435E-3</v>
      </c>
      <c r="AD134">
        <f t="shared" si="43"/>
        <v>9.9999999999997868E-3</v>
      </c>
      <c r="AE134">
        <f t="shared" si="50"/>
        <v>9.9999999999997868E-3</v>
      </c>
      <c r="AF134">
        <f t="shared" si="51"/>
        <v>0</v>
      </c>
      <c r="AG134">
        <f t="shared" si="60"/>
        <v>1.7583597027503745E-2</v>
      </c>
      <c r="AH134">
        <f t="shared" si="60"/>
        <v>1.8341754500591525E-2</v>
      </c>
      <c r="AI134">
        <f t="shared" si="44"/>
        <v>0.95866494270963398</v>
      </c>
      <c r="AJ134">
        <f t="shared" si="52"/>
        <v>48.944815512111461</v>
      </c>
      <c r="AK134" s="14">
        <f t="shared" si="34"/>
        <v>48.944815512111461</v>
      </c>
      <c r="AM134">
        <f t="shared" si="57"/>
        <v>5.9701492537311829E-3</v>
      </c>
      <c r="AN134" s="14">
        <f t="shared" si="45"/>
        <v>9.9009900990099098E-4</v>
      </c>
      <c r="AO134">
        <f t="shared" si="54"/>
        <v>1</v>
      </c>
      <c r="AP134" s="14">
        <f t="shared" si="55"/>
        <v>0.6</v>
      </c>
      <c r="AQ134">
        <f t="shared" si="46"/>
        <v>1.6165721088933216E-2</v>
      </c>
      <c r="AR134">
        <f t="shared" si="47"/>
        <v>-1.5175622079032225E-2</v>
      </c>
      <c r="AS134">
        <f t="shared" si="29"/>
        <v>-1.4479357809934713E-3</v>
      </c>
      <c r="AT134">
        <f t="shared" si="30"/>
        <v>1.1076974427126574E-2</v>
      </c>
      <c r="AU134" s="14">
        <f t="shared" si="35"/>
        <v>-0.13071581870294827</v>
      </c>
      <c r="AV134" s="19">
        <f t="shared" si="31"/>
        <v>5.6634109920288153E-2</v>
      </c>
      <c r="AW134" s="19">
        <f t="shared" si="58"/>
        <v>-8.8235294117646745E-3</v>
      </c>
      <c r="AX134">
        <f t="shared" si="36"/>
        <v>0</v>
      </c>
      <c r="AY134">
        <f>IF(W134,SUMPRODUCT(INDEX(AX:AX,X134):INDEX(AX:AX,X134+Y134)),0)</f>
        <v>0</v>
      </c>
      <c r="AZ134">
        <f>IF(V134,COUNT(INDEX(AX:AX,X134):INDEX(AX:AX,ROW())),0)</f>
        <v>124</v>
      </c>
      <c r="BA134" s="14" t="str">
        <f t="shared" si="48"/>
        <v/>
      </c>
      <c r="BB134" s="6">
        <f t="shared" si="37"/>
        <v>65715</v>
      </c>
      <c r="BC134" s="6">
        <f>MEDIAN(INDEX(BB:BB,X134):INDEX(BB:BB,X134+Y134-1))</f>
        <v>70449.5</v>
      </c>
      <c r="BD134" s="25" t="str">
        <f t="shared" si="38"/>
        <v/>
      </c>
      <c r="BE134">
        <f t="shared" si="49"/>
        <v>0</v>
      </c>
      <c r="BF134" s="6">
        <f>SUM(INDEX(BE:BE,X134):INDEX(BE:BE,X134+Y134-1))</f>
        <v>16</v>
      </c>
      <c r="BG134" s="25" t="str">
        <f t="shared" si="39"/>
        <v/>
      </c>
    </row>
    <row r="135" spans="1:59" x14ac:dyDescent="0.3">
      <c r="A135" s="1">
        <v>44102</v>
      </c>
      <c r="B135">
        <v>10.119999999999999</v>
      </c>
      <c r="C135">
        <v>10.125</v>
      </c>
      <c r="D135">
        <v>10.050000000000001</v>
      </c>
      <c r="E135">
        <v>10.11</v>
      </c>
      <c r="F135">
        <v>27800</v>
      </c>
      <c r="G135" s="29">
        <v>6.6669727208302096E-2</v>
      </c>
      <c r="H135" s="29">
        <v>6.5944339474087099E-3</v>
      </c>
      <c r="I135" s="29">
        <v>7.4183976261126897E-3</v>
      </c>
      <c r="J135" s="29">
        <v>48.970974465444101</v>
      </c>
      <c r="K135" s="29">
        <v>4.97017892644113E-3</v>
      </c>
      <c r="L135" s="29">
        <v>0.6</v>
      </c>
      <c r="M135" s="29">
        <v>-0.147024229959755</v>
      </c>
      <c r="N135" s="29">
        <v>3.5805853128634602E-2</v>
      </c>
      <c r="O135" s="29">
        <v>-8.8235294117646693E-3</v>
      </c>
      <c r="P135" s="29">
        <v>0</v>
      </c>
      <c r="Q135" s="29">
        <v>0.51315789473684204</v>
      </c>
      <c r="R135" s="30">
        <v>64805</v>
      </c>
      <c r="S135" s="29">
        <v>31</v>
      </c>
      <c r="T135" s="14">
        <v>310.63400000000001</v>
      </c>
      <c r="U135" s="41"/>
      <c r="V135">
        <v>125</v>
      </c>
      <c r="W135" t="b">
        <f>V135&gt;=$C$4</f>
        <v>0</v>
      </c>
      <c r="X135">
        <f>IF(V135&lt;=$C$5,11,ROW()-$C$5+1)</f>
        <v>11</v>
      </c>
      <c r="Y135" s="14">
        <f t="shared" si="32"/>
        <v>125</v>
      </c>
      <c r="Z135" s="10">
        <f t="shared" si="40"/>
        <v>7.4999999999999289E-2</v>
      </c>
      <c r="AA135" s="15">
        <f t="shared" si="41"/>
        <v>7.4183976261126897E-3</v>
      </c>
      <c r="AB135" s="15">
        <f t="shared" si="42"/>
        <v>6.6669727208302068E-2</v>
      </c>
      <c r="AC135" s="10">
        <f t="shared" si="33"/>
        <v>6.5944339474087116E-3</v>
      </c>
      <c r="AD135">
        <f t="shared" si="43"/>
        <v>0</v>
      </c>
      <c r="AE135">
        <f t="shared" si="50"/>
        <v>0</v>
      </c>
      <c r="AF135">
        <f t="shared" si="51"/>
        <v>0</v>
      </c>
      <c r="AG135">
        <f t="shared" si="60"/>
        <v>1.6327625811253476E-2</v>
      </c>
      <c r="AH135">
        <f t="shared" si="60"/>
        <v>1.70316291791207E-2</v>
      </c>
      <c r="AI135">
        <f t="shared" si="44"/>
        <v>0.95866494270963398</v>
      </c>
      <c r="AJ135">
        <f t="shared" si="52"/>
        <v>48.944815512111461</v>
      </c>
      <c r="AK135" s="14">
        <f t="shared" si="34"/>
        <v>48.944815512111461</v>
      </c>
      <c r="AM135">
        <f t="shared" si="57"/>
        <v>4.9701789264411378E-3</v>
      </c>
      <c r="AN135" s="14">
        <f t="shared" si="45"/>
        <v>0</v>
      </c>
      <c r="AO135">
        <f t="shared" si="54"/>
        <v>0</v>
      </c>
      <c r="AP135" s="14">
        <f t="shared" si="55"/>
        <v>0.6</v>
      </c>
      <c r="AQ135">
        <f t="shared" si="46"/>
        <v>1.6608903681449405E-2</v>
      </c>
      <c r="AR135">
        <f t="shared" si="47"/>
        <v>-1.6608903681449405E-2</v>
      </c>
      <c r="AS135">
        <f t="shared" si="29"/>
        <v>-1.6521718569900495E-3</v>
      </c>
      <c r="AT135">
        <f t="shared" si="30"/>
        <v>1.1237412074474313E-2</v>
      </c>
      <c r="AU135" s="14">
        <f t="shared" si="35"/>
        <v>-0.14702422995975595</v>
      </c>
      <c r="AV135" s="19">
        <f t="shared" si="31"/>
        <v>3.5805853128635254E-2</v>
      </c>
      <c r="AW135" s="19">
        <f t="shared" si="58"/>
        <v>-8.8235294117646745E-3</v>
      </c>
      <c r="AX135">
        <f t="shared" si="36"/>
        <v>0</v>
      </c>
      <c r="AY135">
        <f>IF(W135,SUMPRODUCT(INDEX(AX:AX,X135):INDEX(AX:AX,X135+Y135)),0)</f>
        <v>0</v>
      </c>
      <c r="AZ135">
        <f>IF(V135,COUNT(INDEX(AX:AX,X135):INDEX(AX:AX,ROW())),0)</f>
        <v>125</v>
      </c>
      <c r="BA135" s="14" t="str">
        <f t="shared" si="48"/>
        <v/>
      </c>
      <c r="BB135" s="6">
        <f t="shared" si="37"/>
        <v>281058</v>
      </c>
      <c r="BC135" s="6">
        <f>MEDIAN(INDEX(BB:BB,X135):INDEX(BB:BB,X135+Y135-1))</f>
        <v>75184</v>
      </c>
      <c r="BD135" s="25" t="str">
        <f t="shared" si="38"/>
        <v/>
      </c>
      <c r="BE135">
        <f t="shared" si="49"/>
        <v>0</v>
      </c>
      <c r="BF135" s="6">
        <f>SUM(INDEX(BE:BE,X135):INDEX(BE:BE,X135+Y135-1))</f>
        <v>16</v>
      </c>
      <c r="BG135" s="25" t="str">
        <f t="shared" si="39"/>
        <v/>
      </c>
    </row>
    <row r="136" spans="1:59" s="5" customFormat="1" x14ac:dyDescent="0.3">
      <c r="A136" s="7">
        <v>44103</v>
      </c>
      <c r="B136" s="5">
        <v>10.15</v>
      </c>
      <c r="C136" s="5">
        <v>10.18</v>
      </c>
      <c r="D136" s="5">
        <v>10.11</v>
      </c>
      <c r="E136" s="5">
        <v>10.11</v>
      </c>
      <c r="F136" s="5">
        <v>159500</v>
      </c>
      <c r="G136" s="29">
        <v>6.6907603836280499E-2</v>
      </c>
      <c r="H136" s="29">
        <v>6.61796279290608E-3</v>
      </c>
      <c r="I136" s="29">
        <v>6.9238377843719298E-3</v>
      </c>
      <c r="J136" s="29">
        <v>48.970974465444101</v>
      </c>
      <c r="K136" s="29">
        <v>1.9821605550049901E-3</v>
      </c>
      <c r="L136" s="29">
        <v>0.4</v>
      </c>
      <c r="M136" s="29">
        <v>-0.113593725418924</v>
      </c>
      <c r="N136" s="29">
        <v>4.74685352506376E-2</v>
      </c>
      <c r="O136" s="29">
        <v>-8.8235294117646693E-3</v>
      </c>
      <c r="P136" s="29">
        <v>0</v>
      </c>
      <c r="Q136" s="29">
        <v>0.510917030567685</v>
      </c>
      <c r="R136" s="30">
        <v>65715</v>
      </c>
      <c r="S136" s="29">
        <v>31</v>
      </c>
      <c r="T136" s="20">
        <v>308.94299999999998</v>
      </c>
      <c r="U136" s="41"/>
      <c r="V136" s="5">
        <v>126</v>
      </c>
      <c r="W136" s="5" t="b">
        <f>V136&gt;=$C$4</f>
        <v>1</v>
      </c>
      <c r="X136" s="5">
        <f>IF(V136&lt;=$C$5,11,ROW()-$C$5+1)</f>
        <v>11</v>
      </c>
      <c r="Y136" s="20">
        <f t="shared" si="32"/>
        <v>126</v>
      </c>
      <c r="Z136" s="13">
        <f t="shared" si="40"/>
        <v>7.0000000000000284E-2</v>
      </c>
      <c r="AA136" s="18">
        <f t="shared" si="41"/>
        <v>6.9238377843719376E-3</v>
      </c>
      <c r="AB136" s="18">
        <f t="shared" si="42"/>
        <v>6.6907603836280513E-2</v>
      </c>
      <c r="AC136" s="13">
        <f t="shared" si="33"/>
        <v>6.6179627929060843E-3</v>
      </c>
      <c r="AD136" s="5">
        <f t="shared" si="43"/>
        <v>0</v>
      </c>
      <c r="AE136" s="5">
        <f t="shared" si="50"/>
        <v>0</v>
      </c>
      <c r="AF136" s="5">
        <f t="shared" si="51"/>
        <v>0</v>
      </c>
      <c r="AG136" s="5">
        <f t="shared" si="60"/>
        <v>1.5161366824735371E-2</v>
      </c>
      <c r="AH136" s="5">
        <f t="shared" si="60"/>
        <v>1.5815084237754937E-2</v>
      </c>
      <c r="AI136" s="5">
        <f t="shared" si="44"/>
        <v>0.95866494270963387</v>
      </c>
      <c r="AJ136" s="5">
        <f t="shared" si="52"/>
        <v>48.944815512111461</v>
      </c>
      <c r="AK136" s="20">
        <f t="shared" si="34"/>
        <v>48.944815512111461</v>
      </c>
      <c r="AM136" s="5">
        <f t="shared" si="57"/>
        <v>1.982160555004997E-3</v>
      </c>
      <c r="AN136" s="20">
        <f t="shared" si="45"/>
        <v>0</v>
      </c>
      <c r="AO136" s="5">
        <f t="shared" si="54"/>
        <v>0</v>
      </c>
      <c r="AP136" s="20">
        <f t="shared" si="55"/>
        <v>0.4</v>
      </c>
      <c r="AQ136" s="5">
        <f t="shared" si="46"/>
        <v>-5.4437054540070751E-3</v>
      </c>
      <c r="AR136" s="5">
        <f t="shared" si="47"/>
        <v>5.4437054540070751E-3</v>
      </c>
      <c r="AS136" s="5">
        <f t="shared" si="29"/>
        <v>-1.2530053676346371E-3</v>
      </c>
      <c r="AT136" s="5">
        <f t="shared" si="30"/>
        <v>1.1030586091033223E-2</v>
      </c>
      <c r="AU136" s="20">
        <f t="shared" si="35"/>
        <v>-0.11359372541892464</v>
      </c>
      <c r="AV136" s="24">
        <f t="shared" si="31"/>
        <v>4.7468535250638468E-2</v>
      </c>
      <c r="AW136" s="19">
        <f t="shared" si="58"/>
        <v>-8.8235294117646745E-3</v>
      </c>
      <c r="AX136" s="5">
        <f t="shared" si="36"/>
        <v>0</v>
      </c>
      <c r="AY136" s="5">
        <f>IF(W136,SUMPRODUCT(INDEX(AX:AX,X136):INDEX(AX:AX,X136+Y136)),0)</f>
        <v>53</v>
      </c>
      <c r="AZ136" s="5">
        <f>IF(V136,COUNT(INDEX(AX:AX,X136):INDEX(AX:AX,ROW())),0)</f>
        <v>126</v>
      </c>
      <c r="BA136" s="14">
        <f t="shared" si="48"/>
        <v>0.42063492063492064</v>
      </c>
      <c r="BB136" s="8">
        <f t="shared" si="37"/>
        <v>1612545</v>
      </c>
      <c r="BC136" s="8">
        <f>MEDIAN(INDEX(BB:BB,X136):INDEX(BB:BB,X136+Y136-1))</f>
        <v>77832</v>
      </c>
      <c r="BD136" s="26">
        <f t="shared" si="38"/>
        <v>77832</v>
      </c>
      <c r="BE136" s="5">
        <f t="shared" si="49"/>
        <v>0</v>
      </c>
      <c r="BF136" s="8">
        <f>SUM(INDEX(BE:BE,X136):INDEX(BE:BE,X136+Y136-1))</f>
        <v>16</v>
      </c>
      <c r="BG136" s="26">
        <f t="shared" si="39"/>
        <v>16</v>
      </c>
    </row>
    <row r="137" spans="1:59" x14ac:dyDescent="0.3">
      <c r="A137" s="1">
        <v>44104</v>
      </c>
      <c r="B137">
        <v>10.14</v>
      </c>
      <c r="C137">
        <v>10.14</v>
      </c>
      <c r="D137">
        <v>10.050000000000001</v>
      </c>
      <c r="E137">
        <v>10.07</v>
      </c>
      <c r="F137">
        <v>88800</v>
      </c>
      <c r="G137" s="29">
        <v>6.8557060705117606E-2</v>
      </c>
      <c r="H137" s="29">
        <v>6.8080497224545797E-3</v>
      </c>
      <c r="I137" s="29">
        <v>8.9374379344587702E-3</v>
      </c>
      <c r="J137" s="29">
        <v>44.544990526365098</v>
      </c>
      <c r="K137" s="29">
        <v>-2.9702970297028602E-3</v>
      </c>
      <c r="L137" s="29">
        <v>0.2</v>
      </c>
      <c r="M137" s="29">
        <v>-0.12923465119531399</v>
      </c>
      <c r="N137" s="29">
        <v>3.8201030685121699E-2</v>
      </c>
      <c r="O137" s="29">
        <v>-1.2745098039215599E-2</v>
      </c>
      <c r="P137" s="29">
        <v>-3.9564787339266801E-3</v>
      </c>
      <c r="Q137" s="29">
        <v>0.50869565217391299</v>
      </c>
      <c r="R137" s="30">
        <v>70449.5</v>
      </c>
      <c r="S137" s="29">
        <v>31</v>
      </c>
      <c r="T137" s="14">
        <v>311.28500000000003</v>
      </c>
      <c r="U137" s="41"/>
      <c r="V137">
        <v>127</v>
      </c>
      <c r="W137" t="b">
        <f>V137&gt;=$C$4</f>
        <v>1</v>
      </c>
      <c r="X137">
        <f>IF(V137&lt;=$C$5,11,ROW()-$C$5+1)</f>
        <v>11</v>
      </c>
      <c r="Y137" s="14">
        <f t="shared" si="32"/>
        <v>127</v>
      </c>
      <c r="Z137" s="10">
        <f t="shared" si="40"/>
        <v>8.9999999999999858E-2</v>
      </c>
      <c r="AA137" s="15">
        <f t="shared" si="41"/>
        <v>8.9374379344587737E-3</v>
      </c>
      <c r="AB137" s="15">
        <f t="shared" si="42"/>
        <v>6.8557060705117606E-2</v>
      </c>
      <c r="AC137" s="10">
        <f t="shared" si="33"/>
        <v>6.808049722454578E-3</v>
      </c>
      <c r="AD137">
        <f t="shared" si="43"/>
        <v>-3.9999999999999147E-2</v>
      </c>
      <c r="AE137">
        <f t="shared" si="50"/>
        <v>0</v>
      </c>
      <c r="AF137">
        <f t="shared" si="51"/>
        <v>3.9999999999999147E-2</v>
      </c>
      <c r="AG137">
        <f t="shared" si="60"/>
        <v>1.4078412051539988E-2</v>
      </c>
      <c r="AH137">
        <f t="shared" si="60"/>
        <v>1.7542578220772383E-2</v>
      </c>
      <c r="AI137">
        <f t="shared" si="44"/>
        <v>0.80252810472690761</v>
      </c>
      <c r="AJ137">
        <f t="shared" si="52"/>
        <v>44.522362931394895</v>
      </c>
      <c r="AK137" s="14">
        <f t="shared" si="34"/>
        <v>44.522362931394895</v>
      </c>
      <c r="AM137">
        <f t="shared" si="57"/>
        <v>-2.9702970297028619E-3</v>
      </c>
      <c r="AN137" s="14">
        <f t="shared" si="45"/>
        <v>-3.9564787339266827E-3</v>
      </c>
      <c r="AO137">
        <f t="shared" si="54"/>
        <v>0</v>
      </c>
      <c r="AP137" s="14">
        <f t="shared" si="55"/>
        <v>0.2</v>
      </c>
      <c r="AQ137">
        <f t="shared" si="46"/>
        <v>7.5806864049356992E-3</v>
      </c>
      <c r="AR137">
        <f t="shared" si="47"/>
        <v>-1.1537165138862378E-2</v>
      </c>
      <c r="AS137">
        <f t="shared" si="29"/>
        <v>-1.4351627319641493E-3</v>
      </c>
      <c r="AT137">
        <f t="shared" si="30"/>
        <v>1.1105092316109264E-2</v>
      </c>
      <c r="AU137" s="14">
        <f t="shared" si="35"/>
        <v>-0.1292346511953146</v>
      </c>
      <c r="AV137" s="19">
        <f t="shared" si="31"/>
        <v>3.82010306851224E-2</v>
      </c>
      <c r="AW137" s="19">
        <f t="shared" si="58"/>
        <v>-1.2745098039215641E-2</v>
      </c>
      <c r="AX137">
        <f t="shared" si="36"/>
        <v>0</v>
      </c>
      <c r="AY137">
        <f>IF(W137,SUMPRODUCT(INDEX(AX:AX,X137):INDEX(AX:AX,X137+Y137)),0)</f>
        <v>53</v>
      </c>
      <c r="AZ137">
        <f>IF(V137,COUNT(INDEX(AX:AX,X137):INDEX(AX:AX,ROW())),0)</f>
        <v>127</v>
      </c>
      <c r="BA137" s="14">
        <f t="shared" si="48"/>
        <v>0.41732283464566927</v>
      </c>
      <c r="BB137" s="6">
        <f t="shared" si="37"/>
        <v>894216</v>
      </c>
      <c r="BC137" s="6">
        <f>MEDIAN(INDEX(BB:BB,X137):INDEX(BB:BB,X137+Y137-1))</f>
        <v>80480</v>
      </c>
      <c r="BD137" s="25">
        <f t="shared" si="38"/>
        <v>80480</v>
      </c>
      <c r="BE137">
        <f t="shared" si="49"/>
        <v>0</v>
      </c>
      <c r="BF137" s="6">
        <f>SUM(INDEX(BE:BE,X137):INDEX(BE:BE,X137+Y137-1))</f>
        <v>16</v>
      </c>
      <c r="BG137" s="25">
        <f t="shared" si="39"/>
        <v>16</v>
      </c>
    </row>
    <row r="138" spans="1:59" x14ac:dyDescent="0.3">
      <c r="A138" s="1">
        <v>44105</v>
      </c>
      <c r="B138">
        <v>10.164999999999999</v>
      </c>
      <c r="C138">
        <v>10.24</v>
      </c>
      <c r="D138">
        <v>10.050000000000001</v>
      </c>
      <c r="E138">
        <v>10.06</v>
      </c>
      <c r="F138">
        <v>195800</v>
      </c>
      <c r="G138" s="29">
        <v>7.7231556369037793E-2</v>
      </c>
      <c r="H138" s="29">
        <v>7.67709307843317E-3</v>
      </c>
      <c r="I138" s="29">
        <v>1.8886679920477E-2</v>
      </c>
      <c r="J138" s="29">
        <v>43.486825305304897</v>
      </c>
      <c r="K138" s="29">
        <v>-3.9603960396038503E-3</v>
      </c>
      <c r="L138" s="29">
        <v>0.2</v>
      </c>
      <c r="M138" s="29">
        <v>-0.141570184269834</v>
      </c>
      <c r="N138" s="29">
        <v>3.3324597003467502E-2</v>
      </c>
      <c r="O138" s="29">
        <v>-1.37254901960782E-2</v>
      </c>
      <c r="P138" s="29">
        <v>-9.9304865938432108E-4</v>
      </c>
      <c r="Q138" s="29">
        <v>0.506493506493506</v>
      </c>
      <c r="R138" s="30">
        <v>75184</v>
      </c>
      <c r="S138" s="29">
        <v>31</v>
      </c>
      <c r="T138" s="14">
        <v>313.28300000000002</v>
      </c>
      <c r="U138" s="41"/>
      <c r="V138">
        <v>128</v>
      </c>
      <c r="W138" t="b">
        <f>V138&gt;=$C$4</f>
        <v>1</v>
      </c>
      <c r="X138">
        <f>IF(V138&lt;=$C$5,11,ROW()-$C$5+1)</f>
        <v>11</v>
      </c>
      <c r="Y138" s="14">
        <f t="shared" si="32"/>
        <v>128</v>
      </c>
      <c r="Z138" s="10">
        <f t="shared" si="40"/>
        <v>0.1899999999999995</v>
      </c>
      <c r="AA138" s="15">
        <f t="shared" si="41"/>
        <v>1.8886679920477087E-2</v>
      </c>
      <c r="AB138" s="15">
        <f t="shared" si="42"/>
        <v>7.7231556369037752E-2</v>
      </c>
      <c r="AC138" s="10">
        <f t="shared" si="33"/>
        <v>7.677093078433176E-3</v>
      </c>
      <c r="AD138">
        <f t="shared" si="43"/>
        <v>-9.9999999999997868E-3</v>
      </c>
      <c r="AE138">
        <f t="shared" si="50"/>
        <v>0</v>
      </c>
      <c r="AF138">
        <f t="shared" si="51"/>
        <v>9.9999999999997868E-3</v>
      </c>
      <c r="AG138">
        <f t="shared" si="60"/>
        <v>1.3072811190715702E-2</v>
      </c>
      <c r="AH138">
        <f t="shared" si="60"/>
        <v>1.7003822633574341E-2</v>
      </c>
      <c r="AI138">
        <f t="shared" si="44"/>
        <v>0.76881601698803959</v>
      </c>
      <c r="AJ138">
        <f t="shared" si="52"/>
        <v>43.465007643767748</v>
      </c>
      <c r="AK138" s="14">
        <f t="shared" si="34"/>
        <v>43.465007643767748</v>
      </c>
      <c r="AM138">
        <f t="shared" si="57"/>
        <v>-3.9603960396038529E-3</v>
      </c>
      <c r="AN138" s="14">
        <f t="shared" si="45"/>
        <v>-9.930486593843213E-4</v>
      </c>
      <c r="AO138">
        <f t="shared" si="54"/>
        <v>0</v>
      </c>
      <c r="AP138" s="14">
        <f t="shared" si="55"/>
        <v>0.2</v>
      </c>
      <c r="AQ138">
        <f t="shared" si="46"/>
        <v>6.4185553431741482E-3</v>
      </c>
      <c r="AR138">
        <f t="shared" si="47"/>
        <v>-7.4116040025584695E-3</v>
      </c>
      <c r="AS138">
        <f t="shared" ref="AS138:AS201" si="61">AVERAGE(AR76:AR138)</f>
        <v>-1.574872637038242E-3</v>
      </c>
      <c r="AT138">
        <f t="shared" ref="AT138:AT201" si="62">_xlfn.STDEV.S(AR76:AR138)</f>
        <v>1.1124324271815008E-2</v>
      </c>
      <c r="AU138" s="14">
        <f t="shared" si="35"/>
        <v>-0.14157018426983439</v>
      </c>
      <c r="AV138" s="19">
        <f t="shared" ref="AV138:AV201" si="63">_xlfn.COVARIANCE.S(P76:P138,AQ76:AQ138)/_xlfn.VAR.S(AQ76:AQ138)</f>
        <v>3.3324597003468077E-2</v>
      </c>
      <c r="AW138" s="19">
        <f t="shared" si="58"/>
        <v>-1.3725490196078272E-2</v>
      </c>
      <c r="AX138">
        <f t="shared" si="36"/>
        <v>0</v>
      </c>
      <c r="AY138">
        <f>IF(W138,SUMPRODUCT(INDEX(AX:AX,X138):INDEX(AX:AX,X138+Y138)),0)</f>
        <v>53</v>
      </c>
      <c r="AZ138">
        <f>IF(V138,COUNT(INDEX(AX:AX,X138):INDEX(AX:AX,ROW())),0)</f>
        <v>128</v>
      </c>
      <c r="BA138" s="14">
        <f t="shared" si="48"/>
        <v>0.4140625</v>
      </c>
      <c r="BB138" s="6">
        <f t="shared" si="37"/>
        <v>1969748</v>
      </c>
      <c r="BC138" s="6">
        <f>MEDIAN(INDEX(BB:BB,X138):INDEX(BB:BB,X138+Y138-1))</f>
        <v>81820</v>
      </c>
      <c r="BD138" s="25">
        <f t="shared" si="38"/>
        <v>81820</v>
      </c>
      <c r="BE138">
        <f t="shared" si="49"/>
        <v>0</v>
      </c>
      <c r="BF138" s="6">
        <f>SUM(INDEX(BE:BE,X138):INDEX(BE:BE,X138+Y138-1))</f>
        <v>16</v>
      </c>
      <c r="BG138" s="25">
        <f t="shared" si="39"/>
        <v>16</v>
      </c>
    </row>
    <row r="139" spans="1:59" x14ac:dyDescent="0.3">
      <c r="A139" s="1">
        <v>44106</v>
      </c>
      <c r="B139">
        <v>10.01</v>
      </c>
      <c r="C139">
        <v>10.1</v>
      </c>
      <c r="D139">
        <v>10.01</v>
      </c>
      <c r="E139">
        <v>10.1</v>
      </c>
      <c r="F139">
        <v>18400</v>
      </c>
      <c r="G139" s="29">
        <v>7.81435880569636E-2</v>
      </c>
      <c r="H139" s="29">
        <v>7.73698891653105E-3</v>
      </c>
      <c r="I139" s="29">
        <v>8.9108910891088893E-3</v>
      </c>
      <c r="J139" s="29">
        <v>48.732939109079403</v>
      </c>
      <c r="K139" s="29">
        <v>-4.9261083743843397E-3</v>
      </c>
      <c r="L139" s="29">
        <v>0.2</v>
      </c>
      <c r="M139" s="29">
        <v>-9.7782742330632597E-2</v>
      </c>
      <c r="N139" s="29">
        <v>3.0992645444827799E-2</v>
      </c>
      <c r="O139" s="29">
        <v>-9.8039215686274092E-3</v>
      </c>
      <c r="P139" s="29">
        <v>3.9761431411529102E-3</v>
      </c>
      <c r="Q139" s="29">
        <v>0.50431034482758597</v>
      </c>
      <c r="R139" s="30">
        <v>77832</v>
      </c>
      <c r="S139" s="29">
        <v>31</v>
      </c>
      <c r="T139" s="14">
        <v>310.30900000000003</v>
      </c>
      <c r="U139" s="41"/>
      <c r="V139">
        <v>129</v>
      </c>
      <c r="W139" t="b">
        <f>V139&gt;=$C$4</f>
        <v>1</v>
      </c>
      <c r="X139">
        <f>IF(V139&lt;=$C$5,11,ROW()-$C$5+1)</f>
        <v>11</v>
      </c>
      <c r="Y139" s="14">
        <f t="shared" ref="Y139:Y202" si="64">ROW()-X139+1</f>
        <v>129</v>
      </c>
      <c r="Z139" s="10">
        <f t="shared" si="40"/>
        <v>8.9999999999999858E-2</v>
      </c>
      <c r="AA139" s="15">
        <f t="shared" si="41"/>
        <v>8.910891089108898E-3</v>
      </c>
      <c r="AB139" s="15">
        <f t="shared" si="42"/>
        <v>7.8143588056963614E-2</v>
      </c>
      <c r="AC139" s="10">
        <f t="shared" ref="AC139:AC202" si="65">AB139/E139</f>
        <v>7.7369889165310509E-3</v>
      </c>
      <c r="AD139">
        <f t="shared" si="43"/>
        <v>3.9999999999999147E-2</v>
      </c>
      <c r="AE139">
        <f t="shared" si="50"/>
        <v>3.9999999999999147E-2</v>
      </c>
      <c r="AF139">
        <f t="shared" si="51"/>
        <v>0</v>
      </c>
      <c r="AG139">
        <f t="shared" si="60"/>
        <v>1.4996181819950233E-2</v>
      </c>
      <c r="AH139">
        <f t="shared" si="60"/>
        <v>1.5789263874033316E-2</v>
      </c>
      <c r="AI139">
        <f t="shared" si="44"/>
        <v>0.94977080246360512</v>
      </c>
      <c r="AJ139">
        <f t="shared" si="52"/>
        <v>48.711920460781123</v>
      </c>
      <c r="AK139" s="14">
        <f t="shared" ref="AK139:AK202" si="66">IF(AH139=0,
    IF(AG139=0, 50, 100),
    IF(AG139=0, 0, 100-(100/(1+AG139/AH139)))
)</f>
        <v>48.711920460781123</v>
      </c>
      <c r="AM139">
        <f t="shared" si="57"/>
        <v>-4.9261083743843415E-3</v>
      </c>
      <c r="AN139" s="14">
        <f t="shared" si="45"/>
        <v>3.9761431411529102E-3</v>
      </c>
      <c r="AO139">
        <f t="shared" si="54"/>
        <v>1</v>
      </c>
      <c r="AP139" s="14">
        <f t="shared" si="55"/>
        <v>0.2</v>
      </c>
      <c r="AQ139">
        <f t="shared" si="46"/>
        <v>-9.4930143033614689E-3</v>
      </c>
      <c r="AR139">
        <f t="shared" si="47"/>
        <v>1.3469157444514379E-2</v>
      </c>
      <c r="AS139">
        <f t="shared" si="61"/>
        <v>-1.0849983637885845E-3</v>
      </c>
      <c r="AT139">
        <f t="shared" si="62"/>
        <v>1.109601078807833E-2</v>
      </c>
      <c r="AU139" s="14">
        <f t="shared" ref="AU139:AU202" si="67">AS139/AT139</f>
        <v>-9.7782742330632749E-2</v>
      </c>
      <c r="AV139" s="19">
        <f t="shared" si="63"/>
        <v>3.0992645444828455E-2</v>
      </c>
      <c r="AW139" s="19">
        <f t="shared" si="58"/>
        <v>-9.8039215686274161E-3</v>
      </c>
      <c r="AX139">
        <f t="shared" ref="AX139:AX202" si="68">IF(OR(F139=0,C139=D139),1,0)</f>
        <v>0</v>
      </c>
      <c r="AY139">
        <f>IF(W139,SUMPRODUCT(INDEX(AX:AX,X139):INDEX(AX:AX,X139+Y139)),0)</f>
        <v>53</v>
      </c>
      <c r="AZ139">
        <f>IF(V139,COUNT(INDEX(AX:AX,X139):INDEX(AX:AX,ROW())),0)</f>
        <v>129</v>
      </c>
      <c r="BA139" s="14">
        <f t="shared" si="48"/>
        <v>0.41085271317829458</v>
      </c>
      <c r="BB139" s="6">
        <f t="shared" ref="BB139:BB202" si="69">E139*F139</f>
        <v>185840</v>
      </c>
      <c r="BC139" s="6">
        <f>MEDIAN(INDEX(BB:BB,X139):INDEX(BB:BB,X139+Y139-1))</f>
        <v>83160</v>
      </c>
      <c r="BD139" s="25">
        <f t="shared" ref="BD139:BD202" si="70">IF(W139,BC139,"")</f>
        <v>83160</v>
      </c>
      <c r="BE139">
        <f t="shared" si="49"/>
        <v>0</v>
      </c>
      <c r="BF139" s="6">
        <f>SUM(INDEX(BE:BE,X139):INDEX(BE:BE,X139+Y139-1))</f>
        <v>16</v>
      </c>
      <c r="BG139" s="25">
        <f t="shared" ref="BG139:BG202" si="71">IF(W139,BF139,"")</f>
        <v>16</v>
      </c>
    </row>
    <row r="140" spans="1:59" x14ac:dyDescent="0.3">
      <c r="A140" s="1">
        <v>44109</v>
      </c>
      <c r="B140">
        <v>10.15</v>
      </c>
      <c r="C140">
        <v>10.15</v>
      </c>
      <c r="D140">
        <v>10.1</v>
      </c>
      <c r="E140">
        <v>10.15</v>
      </c>
      <c r="F140">
        <v>156200</v>
      </c>
      <c r="G140" s="29">
        <v>7.6133331767180595E-2</v>
      </c>
      <c r="H140" s="29">
        <v>7.50082086376163E-3</v>
      </c>
      <c r="I140" s="29">
        <v>4.9261083743842998E-3</v>
      </c>
      <c r="J140" s="29">
        <v>54.427795029474801</v>
      </c>
      <c r="K140" s="29">
        <v>9.9502487562188602E-3</v>
      </c>
      <c r="L140" s="29">
        <v>0.4</v>
      </c>
      <c r="M140" s="29">
        <v>-0.12767691357022901</v>
      </c>
      <c r="N140" s="29">
        <v>3.9197307648227799E-2</v>
      </c>
      <c r="O140" s="29">
        <v>-4.9019607843135901E-3</v>
      </c>
      <c r="P140" s="29">
        <v>4.9504950495049497E-3</v>
      </c>
      <c r="Q140" s="29">
        <v>0.50214592274678105</v>
      </c>
      <c r="R140" s="30">
        <v>80480</v>
      </c>
      <c r="S140" s="29">
        <v>31</v>
      </c>
      <c r="T140" s="14">
        <v>315.81200000000001</v>
      </c>
      <c r="U140" s="41"/>
      <c r="V140">
        <v>130</v>
      </c>
      <c r="W140" t="b">
        <f>V140&gt;=$C$4</f>
        <v>1</v>
      </c>
      <c r="X140">
        <f>IF(V140&lt;=$C$5,11,ROW()-$C$5+1)</f>
        <v>11</v>
      </c>
      <c r="Y140" s="14">
        <f t="shared" si="64"/>
        <v>130</v>
      </c>
      <c r="Z140" s="10">
        <f t="shared" ref="Z140:Z203" si="72">MAX(C140-D140,ABS(C140-E139),ABS(D140-E139))</f>
        <v>5.0000000000000711E-2</v>
      </c>
      <c r="AA140" s="15">
        <f t="shared" ref="AA140:AA203" si="73">Z140/E140</f>
        <v>4.9261083743843059E-3</v>
      </c>
      <c r="AB140" s="15">
        <f t="shared" ref="AB140:AB203" si="74">(Z140+13*AB139)/14</f>
        <v>7.613333176718054E-2</v>
      </c>
      <c r="AC140" s="10">
        <f t="shared" si="65"/>
        <v>7.5008208637616291E-3</v>
      </c>
      <c r="AD140">
        <f t="shared" ref="AD140:AD203" si="75">E140-E139</f>
        <v>5.0000000000000711E-2</v>
      </c>
      <c r="AE140">
        <f t="shared" si="50"/>
        <v>5.0000000000000711E-2</v>
      </c>
      <c r="AF140">
        <f t="shared" si="51"/>
        <v>0</v>
      </c>
      <c r="AG140">
        <f t="shared" si="60"/>
        <v>1.7496454547096696E-2</v>
      </c>
      <c r="AH140">
        <f t="shared" si="60"/>
        <v>1.4661459311602365E-2</v>
      </c>
      <c r="AI140">
        <f t="shared" ref="AI140:AI203" si="76">AG140/AH140</f>
        <v>1.1933637829114905</v>
      </c>
      <c r="AJ140">
        <f t="shared" si="52"/>
        <v>54.407927777826657</v>
      </c>
      <c r="AK140" s="14">
        <f t="shared" si="66"/>
        <v>54.407927777826657</v>
      </c>
      <c r="AM140">
        <f t="shared" si="57"/>
        <v>9.9502487562188602E-3</v>
      </c>
      <c r="AN140" s="14">
        <f t="shared" ref="AN140:AN203" si="77">E140/E139-1</f>
        <v>4.9504950495049549E-3</v>
      </c>
      <c r="AO140">
        <f t="shared" si="54"/>
        <v>1</v>
      </c>
      <c r="AP140" s="14">
        <f t="shared" si="55"/>
        <v>0.4</v>
      </c>
      <c r="AQ140">
        <f t="shared" ref="AQ140:AQ203" si="78">T140/T139-1</f>
        <v>1.7733936173298215E-2</v>
      </c>
      <c r="AR140">
        <f t="shared" ref="AR140:AR203" si="79">P140-AQ140</f>
        <v>-1.2783441123793265E-2</v>
      </c>
      <c r="AS140">
        <f t="shared" si="61"/>
        <v>-1.4204771954046133E-3</v>
      </c>
      <c r="AT140">
        <f t="shared" si="62"/>
        <v>1.1125560257401353E-2</v>
      </c>
      <c r="AU140" s="14">
        <f t="shared" si="67"/>
        <v>-0.12767691357022953</v>
      </c>
      <c r="AV140" s="19">
        <f t="shared" si="63"/>
        <v>3.9197307648228527E-2</v>
      </c>
      <c r="AW140" s="19">
        <f t="shared" si="58"/>
        <v>-4.9019607843135971E-3</v>
      </c>
      <c r="AX140">
        <f t="shared" si="68"/>
        <v>0</v>
      </c>
      <c r="AY140">
        <f>IF(W140,SUMPRODUCT(INDEX(AX:AX,X140):INDEX(AX:AX,X140+Y140)),0)</f>
        <v>53</v>
      </c>
      <c r="AZ140">
        <f>IF(V140,COUNT(INDEX(AX:AX,X140):INDEX(AX:AX,ROW())),0)</f>
        <v>130</v>
      </c>
      <c r="BA140" s="14">
        <f t="shared" ref="BA140:BA203" si="80">IF(W140,AY140/AZ140,"")</f>
        <v>0.40769230769230769</v>
      </c>
      <c r="BB140" s="6">
        <f t="shared" si="69"/>
        <v>1585430</v>
      </c>
      <c r="BC140" s="6">
        <f>MEDIAN(INDEX(BB:BB,X140):INDEX(BB:BB,X140+Y140-1))</f>
        <v>86982</v>
      </c>
      <c r="BD140" s="25">
        <f t="shared" si="70"/>
        <v>86982</v>
      </c>
      <c r="BE140">
        <f t="shared" ref="BE140:BE203" si="81">IF(F139=F140,1,0)</f>
        <v>0</v>
      </c>
      <c r="BF140" s="6">
        <f>SUM(INDEX(BE:BE,X140):INDEX(BE:BE,X140+Y140-1))</f>
        <v>16</v>
      </c>
      <c r="BG140" s="25">
        <f t="shared" si="71"/>
        <v>16</v>
      </c>
    </row>
    <row r="141" spans="1:59" x14ac:dyDescent="0.3">
      <c r="A141" s="1">
        <v>44110</v>
      </c>
      <c r="B141">
        <v>10.14</v>
      </c>
      <c r="C141">
        <v>10.15</v>
      </c>
      <c r="D141">
        <v>10.08</v>
      </c>
      <c r="E141">
        <v>10.08</v>
      </c>
      <c r="F141">
        <v>50300</v>
      </c>
      <c r="G141" s="29">
        <v>7.5695236640953401E-2</v>
      </c>
      <c r="H141" s="29">
        <v>7.5094480794596604E-3</v>
      </c>
      <c r="I141" s="29">
        <v>6.9444444444444701E-3</v>
      </c>
      <c r="J141" s="29">
        <v>46.619986061559999</v>
      </c>
      <c r="K141" s="29">
        <v>2.9850746268655901E-3</v>
      </c>
      <c r="L141" s="29">
        <v>0.4</v>
      </c>
      <c r="M141" s="29">
        <v>-9.5925429305094401E-2</v>
      </c>
      <c r="N141" s="29">
        <v>5.9757714036649E-2</v>
      </c>
      <c r="O141" s="29">
        <v>-1.1764705882352899E-2</v>
      </c>
      <c r="P141" s="29">
        <v>-6.8965517241379396E-3</v>
      </c>
      <c r="Q141" s="29">
        <v>0.5</v>
      </c>
      <c r="R141" s="30">
        <v>81820</v>
      </c>
      <c r="S141" s="29">
        <v>31</v>
      </c>
      <c r="T141" s="14">
        <v>311.322</v>
      </c>
      <c r="U141" s="41"/>
      <c r="V141">
        <v>131</v>
      </c>
      <c r="W141" t="b">
        <f>V141&gt;=$C$4</f>
        <v>1</v>
      </c>
      <c r="X141">
        <f>IF(V141&lt;=$C$5,11,ROW()-$C$5+1)</f>
        <v>11</v>
      </c>
      <c r="Y141" s="14">
        <f t="shared" si="64"/>
        <v>131</v>
      </c>
      <c r="Z141" s="10">
        <f t="shared" si="72"/>
        <v>7.0000000000000284E-2</v>
      </c>
      <c r="AA141" s="15">
        <f t="shared" si="73"/>
        <v>6.9444444444444727E-3</v>
      </c>
      <c r="AB141" s="15">
        <f t="shared" si="74"/>
        <v>7.5695236640953373E-2</v>
      </c>
      <c r="AC141" s="10">
        <f t="shared" si="65"/>
        <v>7.5094480794596604E-3</v>
      </c>
      <c r="AD141">
        <f t="shared" si="75"/>
        <v>-7.0000000000000284E-2</v>
      </c>
      <c r="AE141">
        <f t="shared" ref="AE141:AE204" si="82">MAX($AD141,0)</f>
        <v>0</v>
      </c>
      <c r="AF141">
        <f t="shared" ref="AF141:AF204" si="83">MAX(-$AD141,0)</f>
        <v>7.0000000000000284E-2</v>
      </c>
      <c r="AG141">
        <f t="shared" si="60"/>
        <v>1.6246707793732645E-2</v>
      </c>
      <c r="AH141">
        <f t="shared" si="60"/>
        <v>1.8614212217916506E-2</v>
      </c>
      <c r="AI141">
        <f t="shared" si="76"/>
        <v>0.87281199996714898</v>
      </c>
      <c r="AJ141">
        <f t="shared" ref="AJ141:AJ204" si="84">(100-(100/(1+AI141)))</f>
        <v>46.604357510655582</v>
      </c>
      <c r="AK141" s="14">
        <f t="shared" si="66"/>
        <v>46.604357510655582</v>
      </c>
      <c r="AM141">
        <f t="shared" si="57"/>
        <v>2.9850746268655914E-3</v>
      </c>
      <c r="AN141" s="14">
        <f t="shared" si="77"/>
        <v>-6.8965517241379448E-3</v>
      </c>
      <c r="AO141">
        <f t="shared" si="54"/>
        <v>0</v>
      </c>
      <c r="AP141" s="14">
        <f t="shared" si="55"/>
        <v>0.4</v>
      </c>
      <c r="AQ141">
        <f t="shared" si="78"/>
        <v>-1.4217319164566256E-2</v>
      </c>
      <c r="AR141">
        <f t="shared" si="79"/>
        <v>7.3207674404283159E-3</v>
      </c>
      <c r="AS141">
        <f t="shared" si="61"/>
        <v>-1.0581248962200152E-3</v>
      </c>
      <c r="AT141">
        <f t="shared" si="62"/>
        <v>1.1030702743634413E-2</v>
      </c>
      <c r="AU141" s="14">
        <f t="shared" si="67"/>
        <v>-9.5925429305094539E-2</v>
      </c>
      <c r="AV141" s="19">
        <f t="shared" si="63"/>
        <v>5.9757714036650048E-2</v>
      </c>
      <c r="AW141" s="19">
        <f t="shared" si="58"/>
        <v>-1.1764705882352899E-2</v>
      </c>
      <c r="AX141">
        <f t="shared" si="68"/>
        <v>0</v>
      </c>
      <c r="AY141">
        <f>IF(W141,SUMPRODUCT(INDEX(AX:AX,X141):INDEX(AX:AX,X141+Y141)),0)</f>
        <v>53</v>
      </c>
      <c r="AZ141">
        <f>IF(V141,COUNT(INDEX(AX:AX,X141):INDEX(AX:AX,ROW())),0)</f>
        <v>131</v>
      </c>
      <c r="BA141" s="14">
        <f t="shared" si="80"/>
        <v>0.40458015267175573</v>
      </c>
      <c r="BB141" s="6">
        <f t="shared" si="69"/>
        <v>507024</v>
      </c>
      <c r="BC141" s="6">
        <f>MEDIAN(INDEX(BB:BB,X141):INDEX(BB:BB,X141+Y141-1))</f>
        <v>90804</v>
      </c>
      <c r="BD141" s="25">
        <f t="shared" si="70"/>
        <v>90804</v>
      </c>
      <c r="BE141">
        <f t="shared" si="81"/>
        <v>0</v>
      </c>
      <c r="BF141" s="6">
        <f>SUM(INDEX(BE:BE,X141):INDEX(BE:BE,X141+Y141-1))</f>
        <v>16</v>
      </c>
      <c r="BG141" s="25">
        <f t="shared" si="71"/>
        <v>16</v>
      </c>
    </row>
    <row r="142" spans="1:59" x14ac:dyDescent="0.3">
      <c r="A142" s="1">
        <v>44111</v>
      </c>
      <c r="B142">
        <v>10.09</v>
      </c>
      <c r="C142">
        <v>10.119999999999999</v>
      </c>
      <c r="D142">
        <v>10.065</v>
      </c>
      <c r="E142">
        <v>10.11</v>
      </c>
      <c r="F142">
        <v>2500</v>
      </c>
      <c r="G142" s="29">
        <v>7.42170054523138E-2</v>
      </c>
      <c r="H142" s="29">
        <v>7.3409500941952399E-3</v>
      </c>
      <c r="I142" s="29">
        <v>5.4401582591493197E-3</v>
      </c>
      <c r="J142" s="29">
        <v>49.934750860042001</v>
      </c>
      <c r="K142" s="29">
        <v>9.9009900990099098E-4</v>
      </c>
      <c r="L142" s="29">
        <v>0.6</v>
      </c>
      <c r="M142" s="29">
        <v>-0.12693414243791201</v>
      </c>
      <c r="N142" s="29">
        <v>6.6392017876578002E-2</v>
      </c>
      <c r="O142" s="29">
        <v>-8.8235294117646693E-3</v>
      </c>
      <c r="P142" s="29">
        <v>2.97619047619046E-3</v>
      </c>
      <c r="Q142" s="29">
        <v>0.49787234042553102</v>
      </c>
      <c r="R142" s="30">
        <v>80480</v>
      </c>
      <c r="S142" s="29">
        <v>31</v>
      </c>
      <c r="T142" s="14">
        <v>316.74099999999999</v>
      </c>
      <c r="U142" s="41"/>
      <c r="V142">
        <v>132</v>
      </c>
      <c r="W142" t="b">
        <f>V142&gt;=$C$4</f>
        <v>1</v>
      </c>
      <c r="X142">
        <f>IF(V142&lt;=$C$5,11,ROW()-$C$5+1)</f>
        <v>11</v>
      </c>
      <c r="Y142" s="14">
        <f t="shared" si="64"/>
        <v>132</v>
      </c>
      <c r="Z142" s="10">
        <f t="shared" si="72"/>
        <v>5.4999999999999716E-2</v>
      </c>
      <c r="AA142" s="15">
        <f t="shared" si="73"/>
        <v>5.4401582591493292E-3</v>
      </c>
      <c r="AB142" s="15">
        <f t="shared" si="74"/>
        <v>7.4217005452313814E-2</v>
      </c>
      <c r="AC142" s="10">
        <f t="shared" si="65"/>
        <v>7.3409500941952338E-3</v>
      </c>
      <c r="AD142">
        <f t="shared" si="75"/>
        <v>2.9999999999999361E-2</v>
      </c>
      <c r="AE142">
        <f t="shared" si="82"/>
        <v>2.9999999999999361E-2</v>
      </c>
      <c r="AF142">
        <f t="shared" si="83"/>
        <v>0</v>
      </c>
      <c r="AG142">
        <f t="shared" ref="AG142:AH157" si="85">(AE142+13*AG141)/14</f>
        <v>1.7229085808465983E-2</v>
      </c>
      <c r="AH142">
        <f t="shared" si="85"/>
        <v>1.7284625630922468E-2</v>
      </c>
      <c r="AI142">
        <f t="shared" si="76"/>
        <v>0.99678675004929673</v>
      </c>
      <c r="AJ142">
        <f t="shared" si="84"/>
        <v>49.919539481353631</v>
      </c>
      <c r="AK142" s="14">
        <f t="shared" si="66"/>
        <v>49.919539481353631</v>
      </c>
      <c r="AM142">
        <f t="shared" si="57"/>
        <v>9.9009900990099098E-4</v>
      </c>
      <c r="AN142" s="14">
        <f t="shared" si="77"/>
        <v>2.9761904761904656E-3</v>
      </c>
      <c r="AO142">
        <f t="shared" ref="AO142:AO205" si="86">IF(AN142&gt;0,1,0)</f>
        <v>1</v>
      </c>
      <c r="AP142" s="14">
        <f t="shared" si="55"/>
        <v>0.6</v>
      </c>
      <c r="AQ142">
        <f t="shared" si="78"/>
        <v>1.7406415222823934E-2</v>
      </c>
      <c r="AR142">
        <f t="shared" si="79"/>
        <v>-1.4430224746633474E-2</v>
      </c>
      <c r="AS142">
        <f t="shared" si="61"/>
        <v>-1.408947588764234E-3</v>
      </c>
      <c r="AT142">
        <f t="shared" si="62"/>
        <v>1.109983146932585E-2</v>
      </c>
      <c r="AU142" s="14">
        <f t="shared" si="67"/>
        <v>-0.12693414243791276</v>
      </c>
      <c r="AV142" s="19">
        <f t="shared" si="63"/>
        <v>6.6392017876579043E-2</v>
      </c>
      <c r="AW142" s="19">
        <f t="shared" si="58"/>
        <v>-8.8235294117646745E-3</v>
      </c>
      <c r="AX142">
        <f t="shared" si="68"/>
        <v>0</v>
      </c>
      <c r="AY142">
        <f>IF(W142,SUMPRODUCT(INDEX(AX:AX,X142):INDEX(AX:AX,X142+Y142)),0)</f>
        <v>53</v>
      </c>
      <c r="AZ142">
        <f>IF(V142,COUNT(INDEX(AX:AX,X142):INDEX(AX:AX,ROW())),0)</f>
        <v>132</v>
      </c>
      <c r="BA142" s="14">
        <f t="shared" si="80"/>
        <v>0.40151515151515149</v>
      </c>
      <c r="BB142" s="6">
        <f t="shared" si="69"/>
        <v>25275</v>
      </c>
      <c r="BC142" s="6">
        <f>MEDIAN(INDEX(BB:BB,X142):INDEX(BB:BB,X142+Y142-1))</f>
        <v>86982</v>
      </c>
      <c r="BD142" s="25">
        <f t="shared" si="70"/>
        <v>86982</v>
      </c>
      <c r="BE142">
        <f t="shared" si="81"/>
        <v>0</v>
      </c>
      <c r="BF142" s="6">
        <f>SUM(INDEX(BE:BE,X142):INDEX(BE:BE,X142+Y142-1))</f>
        <v>16</v>
      </c>
      <c r="BG142" s="25">
        <f t="shared" si="71"/>
        <v>16</v>
      </c>
    </row>
    <row r="143" spans="1:59" x14ac:dyDescent="0.3">
      <c r="A143" s="1">
        <v>44112</v>
      </c>
      <c r="B143">
        <v>10.087</v>
      </c>
      <c r="C143">
        <v>10.105</v>
      </c>
      <c r="D143">
        <v>10.069000000000001</v>
      </c>
      <c r="E143">
        <v>10.105</v>
      </c>
      <c r="F143">
        <v>2200</v>
      </c>
      <c r="G143" s="29">
        <v>7.1844362205719894E-2</v>
      </c>
      <c r="H143" s="29">
        <v>7.1097834938861799E-3</v>
      </c>
      <c r="I143" s="29">
        <v>4.0573973280552704E-3</v>
      </c>
      <c r="J143" s="29">
        <v>49.3843278068167</v>
      </c>
      <c r="K143" s="29">
        <v>-4.4334975369457697E-3</v>
      </c>
      <c r="L143" s="29">
        <v>0.6</v>
      </c>
      <c r="M143" s="29">
        <v>-0.123320157927729</v>
      </c>
      <c r="N143" s="29">
        <v>6.8438671742382703E-2</v>
      </c>
      <c r="O143" s="29">
        <v>-9.3137254901959309E-3</v>
      </c>
      <c r="P143" s="29">
        <v>-4.9455984174073798E-4</v>
      </c>
      <c r="Q143" s="29">
        <v>0.49576271186440601</v>
      </c>
      <c r="R143" s="30">
        <v>77832</v>
      </c>
      <c r="S143" s="29">
        <v>31</v>
      </c>
      <c r="T143" s="14">
        <v>319.548</v>
      </c>
      <c r="U143" s="41"/>
      <c r="V143">
        <v>133</v>
      </c>
      <c r="W143" t="b">
        <f>V143&gt;=$C$4</f>
        <v>1</v>
      </c>
      <c r="X143">
        <f>IF(V143&lt;=$C$5,11,ROW()-$C$5+1)</f>
        <v>11</v>
      </c>
      <c r="Y143" s="14">
        <f t="shared" si="64"/>
        <v>133</v>
      </c>
      <c r="Z143" s="10">
        <f t="shared" si="72"/>
        <v>4.0999999999998593E-2</v>
      </c>
      <c r="AA143" s="15">
        <f t="shared" si="73"/>
        <v>4.057397328055279E-3</v>
      </c>
      <c r="AB143" s="15">
        <f t="shared" si="74"/>
        <v>7.1844362205719881E-2</v>
      </c>
      <c r="AC143" s="10">
        <f t="shared" si="65"/>
        <v>7.1097834938861825E-3</v>
      </c>
      <c r="AD143">
        <f t="shared" si="75"/>
        <v>-4.9999999999990052E-3</v>
      </c>
      <c r="AE143">
        <f t="shared" si="82"/>
        <v>0</v>
      </c>
      <c r="AF143">
        <f t="shared" si="83"/>
        <v>4.9999999999990052E-3</v>
      </c>
      <c r="AG143">
        <f t="shared" si="85"/>
        <v>1.5998436822146984E-2</v>
      </c>
      <c r="AH143">
        <f t="shared" si="85"/>
        <v>1.6407152371570793E-2</v>
      </c>
      <c r="AI143">
        <f t="shared" si="76"/>
        <v>0.97508918426746594</v>
      </c>
      <c r="AJ143">
        <f t="shared" si="84"/>
        <v>49.369374914030189</v>
      </c>
      <c r="AK143" s="14">
        <f t="shared" si="66"/>
        <v>49.369374914030189</v>
      </c>
      <c r="AM143">
        <f t="shared" si="57"/>
        <v>-4.4334975369457741E-3</v>
      </c>
      <c r="AN143" s="14">
        <f t="shared" si="77"/>
        <v>-4.9455984174073819E-4</v>
      </c>
      <c r="AO143">
        <f t="shared" si="86"/>
        <v>0</v>
      </c>
      <c r="AP143" s="14">
        <f t="shared" ref="AP143:AP206" si="87">SUM(AO139:AO143) / 5</f>
        <v>0.6</v>
      </c>
      <c r="AQ143">
        <f t="shared" si="78"/>
        <v>8.8621302578448802E-3</v>
      </c>
      <c r="AR143">
        <f t="shared" si="79"/>
        <v>-9.3566900995856184E-3</v>
      </c>
      <c r="AS143">
        <f t="shared" si="61"/>
        <v>-1.3640705710135999E-3</v>
      </c>
      <c r="AT143">
        <f t="shared" si="62"/>
        <v>1.1061213299880794E-2</v>
      </c>
      <c r="AU143" s="14">
        <f t="shared" si="67"/>
        <v>-0.12332015792772935</v>
      </c>
      <c r="AV143" s="19">
        <f t="shared" si="63"/>
        <v>6.8438671742383758E-2</v>
      </c>
      <c r="AW143" s="19">
        <f t="shared" si="58"/>
        <v>-9.3137254901959343E-3</v>
      </c>
      <c r="AX143">
        <f t="shared" si="68"/>
        <v>0</v>
      </c>
      <c r="AY143">
        <f>IF(W143,SUMPRODUCT(INDEX(AX:AX,X143):INDEX(AX:AX,X143+Y143)),0)</f>
        <v>53</v>
      </c>
      <c r="AZ143">
        <f>IF(V143,COUNT(INDEX(AX:AX,X143):INDEX(AX:AX,ROW())),0)</f>
        <v>133</v>
      </c>
      <c r="BA143" s="14">
        <f t="shared" si="80"/>
        <v>0.39849624060150374</v>
      </c>
      <c r="BB143" s="6">
        <f t="shared" si="69"/>
        <v>22231</v>
      </c>
      <c r="BC143" s="6">
        <f>MEDIAN(INDEX(BB:BB,X143):INDEX(BB:BB,X143+Y143-1))</f>
        <v>83160</v>
      </c>
      <c r="BD143" s="25">
        <f t="shared" si="70"/>
        <v>83160</v>
      </c>
      <c r="BE143">
        <f t="shared" si="81"/>
        <v>0</v>
      </c>
      <c r="BF143" s="6">
        <f>SUM(INDEX(BE:BE,X143):INDEX(BE:BE,X143+Y143-1))</f>
        <v>16</v>
      </c>
      <c r="BG143" s="25">
        <f t="shared" si="71"/>
        <v>16</v>
      </c>
    </row>
    <row r="144" spans="1:59" x14ac:dyDescent="0.3">
      <c r="A144" s="1">
        <v>44113</v>
      </c>
      <c r="B144">
        <v>10.119</v>
      </c>
      <c r="C144">
        <v>10.119</v>
      </c>
      <c r="D144">
        <v>10.1</v>
      </c>
      <c r="E144">
        <v>10.1</v>
      </c>
      <c r="F144">
        <v>50800</v>
      </c>
      <c r="G144" s="29">
        <v>6.8069764905311303E-2</v>
      </c>
      <c r="H144" s="29">
        <v>6.73958068369419E-3</v>
      </c>
      <c r="I144" s="29">
        <v>1.88118811881189E-3</v>
      </c>
      <c r="J144" s="29">
        <v>48.804975803767199</v>
      </c>
      <c r="K144" s="29">
        <v>-7.8585461689587507E-3</v>
      </c>
      <c r="L144" s="29">
        <v>0.4</v>
      </c>
      <c r="M144" s="29">
        <v>-0.15297867512746299</v>
      </c>
      <c r="N144" s="29">
        <v>7.1133335448964302E-2</v>
      </c>
      <c r="O144" s="29">
        <v>-9.8039215686274092E-3</v>
      </c>
      <c r="P144" s="29">
        <v>-4.9480455220196596E-4</v>
      </c>
      <c r="Q144" s="29">
        <v>0.493670886075949</v>
      </c>
      <c r="R144" s="30">
        <v>80480</v>
      </c>
      <c r="S144" s="29">
        <v>31</v>
      </c>
      <c r="T144" s="14">
        <v>322.40199999999999</v>
      </c>
      <c r="U144" s="41"/>
      <c r="V144">
        <v>134</v>
      </c>
      <c r="W144" t="b">
        <f>V144&gt;=$C$4</f>
        <v>1</v>
      </c>
      <c r="X144">
        <f>IF(V144&lt;=$C$5,11,ROW()-$C$5+1)</f>
        <v>11</v>
      </c>
      <c r="Y144" s="14">
        <f t="shared" si="64"/>
        <v>134</v>
      </c>
      <c r="Z144" s="10">
        <f t="shared" si="72"/>
        <v>1.9000000000000128E-2</v>
      </c>
      <c r="AA144" s="15">
        <f t="shared" si="73"/>
        <v>1.8811881188118939E-3</v>
      </c>
      <c r="AB144" s="15">
        <f t="shared" si="74"/>
        <v>6.8069764905311331E-2</v>
      </c>
      <c r="AC144" s="10">
        <f t="shared" si="65"/>
        <v>6.7395806836941918E-3</v>
      </c>
      <c r="AD144">
        <f t="shared" si="75"/>
        <v>-5.0000000000007816E-3</v>
      </c>
      <c r="AE144">
        <f t="shared" si="82"/>
        <v>0</v>
      </c>
      <c r="AF144">
        <f t="shared" si="83"/>
        <v>5.0000000000007816E-3</v>
      </c>
      <c r="AG144">
        <f t="shared" si="85"/>
        <v>1.4855691334850771E-2</v>
      </c>
      <c r="AH144">
        <f t="shared" si="85"/>
        <v>1.5592355773601506E-2</v>
      </c>
      <c r="AI144">
        <f t="shared" si="76"/>
        <v>0.95275476974441942</v>
      </c>
      <c r="AJ144">
        <f t="shared" si="84"/>
        <v>48.790292795910972</v>
      </c>
      <c r="AK144" s="14">
        <f t="shared" si="66"/>
        <v>48.790292795910972</v>
      </c>
      <c r="AM144">
        <f t="shared" si="57"/>
        <v>-7.8585461689587577E-3</v>
      </c>
      <c r="AN144" s="14">
        <f t="shared" si="77"/>
        <v>-4.9480455220196617E-4</v>
      </c>
      <c r="AO144">
        <f t="shared" si="86"/>
        <v>0</v>
      </c>
      <c r="AP144" s="14">
        <f t="shared" si="87"/>
        <v>0.4</v>
      </c>
      <c r="AQ144">
        <f t="shared" si="78"/>
        <v>8.9313655538447723E-3</v>
      </c>
      <c r="AR144">
        <f t="shared" si="79"/>
        <v>-9.4261701060467384E-3</v>
      </c>
      <c r="AS144">
        <f t="shared" si="61"/>
        <v>-1.682569568645818E-3</v>
      </c>
      <c r="AT144">
        <f t="shared" si="62"/>
        <v>1.0998719705500662E-2</v>
      </c>
      <c r="AU144" s="14">
        <f t="shared" si="67"/>
        <v>-0.1529786751274636</v>
      </c>
      <c r="AV144" s="19">
        <f t="shared" si="63"/>
        <v>7.1133335448965426E-2</v>
      </c>
      <c r="AW144" s="19">
        <f t="shared" si="58"/>
        <v>-9.8039215686274161E-3</v>
      </c>
      <c r="AX144">
        <f t="shared" si="68"/>
        <v>0</v>
      </c>
      <c r="AY144">
        <f>IF(W144,SUMPRODUCT(INDEX(AX:AX,X144):INDEX(AX:AX,X144+Y144)),0)</f>
        <v>53</v>
      </c>
      <c r="AZ144">
        <f>IF(V144,COUNT(INDEX(AX:AX,X144):INDEX(AX:AX,ROW())),0)</f>
        <v>134</v>
      </c>
      <c r="BA144" s="14">
        <f t="shared" si="80"/>
        <v>0.39552238805970147</v>
      </c>
      <c r="BB144" s="6">
        <f t="shared" si="69"/>
        <v>513080</v>
      </c>
      <c r="BC144" s="6">
        <f>MEDIAN(INDEX(BB:BB,X144):INDEX(BB:BB,X144+Y144-1))</f>
        <v>86982</v>
      </c>
      <c r="BD144" s="25">
        <f t="shared" si="70"/>
        <v>86982</v>
      </c>
      <c r="BE144">
        <f t="shared" si="81"/>
        <v>0</v>
      </c>
      <c r="BF144" s="6">
        <f>SUM(INDEX(BE:BE,X144):INDEX(BE:BE,X144+Y144-1))</f>
        <v>16</v>
      </c>
      <c r="BG144" s="25">
        <f t="shared" si="71"/>
        <v>16</v>
      </c>
    </row>
    <row r="145" spans="1:59" x14ac:dyDescent="0.3">
      <c r="A145" s="1">
        <v>44116</v>
      </c>
      <c r="B145">
        <v>10.1</v>
      </c>
      <c r="C145">
        <v>10.11</v>
      </c>
      <c r="D145">
        <v>10.1</v>
      </c>
      <c r="E145">
        <v>10.1</v>
      </c>
      <c r="F145">
        <v>1300</v>
      </c>
      <c r="G145" s="29">
        <v>6.3921924554931897E-2</v>
      </c>
      <c r="H145" s="29">
        <v>6.3289034212803902E-3</v>
      </c>
      <c r="I145" s="29">
        <v>9.9009900990096908E-4</v>
      </c>
      <c r="J145" s="29">
        <v>48.804975803767199</v>
      </c>
      <c r="K145" s="29">
        <v>0</v>
      </c>
      <c r="L145" s="29">
        <v>0.2</v>
      </c>
      <c r="M145" s="29">
        <v>-0.15665678560316801</v>
      </c>
      <c r="N145" s="29">
        <v>7.0376190932158494E-2</v>
      </c>
      <c r="O145" s="29">
        <v>-9.8039215686274092E-3</v>
      </c>
      <c r="P145" s="29">
        <v>0</v>
      </c>
      <c r="Q145" s="29">
        <v>0.49159663865546199</v>
      </c>
      <c r="R145" s="30">
        <v>77832</v>
      </c>
      <c r="S145" s="29">
        <v>31</v>
      </c>
      <c r="T145" s="14">
        <v>327.589</v>
      </c>
      <c r="U145" s="41"/>
      <c r="V145">
        <v>135</v>
      </c>
      <c r="W145" t="b">
        <f>V145&gt;=$C$4</f>
        <v>1</v>
      </c>
      <c r="X145">
        <f>IF(V145&lt;=$C$5,11,ROW()-$C$5+1)</f>
        <v>11</v>
      </c>
      <c r="Y145" s="14">
        <f t="shared" si="64"/>
        <v>135</v>
      </c>
      <c r="Z145" s="10">
        <f t="shared" si="72"/>
        <v>9.9999999999997868E-3</v>
      </c>
      <c r="AA145" s="15">
        <f t="shared" si="73"/>
        <v>9.9009900990096908E-4</v>
      </c>
      <c r="AB145" s="15">
        <f t="shared" si="74"/>
        <v>6.3921924554931939E-2</v>
      </c>
      <c r="AC145" s="10">
        <f t="shared" si="65"/>
        <v>6.3289034212803902E-3</v>
      </c>
      <c r="AD145">
        <f t="shared" si="75"/>
        <v>0</v>
      </c>
      <c r="AE145">
        <f t="shared" si="82"/>
        <v>0</v>
      </c>
      <c r="AF145">
        <f t="shared" si="83"/>
        <v>0</v>
      </c>
      <c r="AG145">
        <f t="shared" si="85"/>
        <v>1.3794570525218573E-2</v>
      </c>
      <c r="AH145">
        <f t="shared" si="85"/>
        <v>1.4478616075487113E-2</v>
      </c>
      <c r="AI145">
        <f t="shared" si="76"/>
        <v>0.95275476974441931</v>
      </c>
      <c r="AJ145">
        <f t="shared" si="84"/>
        <v>48.790292795910972</v>
      </c>
      <c r="AK145" s="14">
        <f t="shared" si="66"/>
        <v>48.790292795910972</v>
      </c>
      <c r="AM145">
        <f t="shared" si="57"/>
        <v>0</v>
      </c>
      <c r="AN145" s="14">
        <f t="shared" si="77"/>
        <v>0</v>
      </c>
      <c r="AO145">
        <f t="shared" si="86"/>
        <v>0</v>
      </c>
      <c r="AP145" s="14">
        <f t="shared" si="87"/>
        <v>0.2</v>
      </c>
      <c r="AQ145">
        <f t="shared" si="78"/>
        <v>1.608860987214733E-2</v>
      </c>
      <c r="AR145">
        <f t="shared" si="79"/>
        <v>-1.608860987214733E-2</v>
      </c>
      <c r="AS145">
        <f t="shared" si="61"/>
        <v>-1.7322079204250887E-3</v>
      </c>
      <c r="AT145">
        <f t="shared" si="62"/>
        <v>1.1057343694086678E-2</v>
      </c>
      <c r="AU145" s="14">
        <f t="shared" si="67"/>
        <v>-0.15665678560316895</v>
      </c>
      <c r="AV145" s="19">
        <f t="shared" si="63"/>
        <v>7.0376190932159688E-2</v>
      </c>
      <c r="AW145" s="19">
        <f t="shared" si="58"/>
        <v>-9.8039215686274161E-3</v>
      </c>
      <c r="AX145">
        <f t="shared" si="68"/>
        <v>0</v>
      </c>
      <c r="AY145">
        <f>IF(W145,SUMPRODUCT(INDEX(AX:AX,X145):INDEX(AX:AX,X145+Y145)),0)</f>
        <v>53</v>
      </c>
      <c r="AZ145">
        <f>IF(V145,COUNT(INDEX(AX:AX,X145):INDEX(AX:AX,ROW())),0)</f>
        <v>135</v>
      </c>
      <c r="BA145" s="14">
        <f t="shared" si="80"/>
        <v>0.3925925925925926</v>
      </c>
      <c r="BB145" s="6">
        <f t="shared" si="69"/>
        <v>13130</v>
      </c>
      <c r="BC145" s="6">
        <f>MEDIAN(INDEX(BB:BB,X145):INDEX(BB:BB,X145+Y145-1))</f>
        <v>83160</v>
      </c>
      <c r="BD145" s="25">
        <f t="shared" si="70"/>
        <v>83160</v>
      </c>
      <c r="BE145">
        <f t="shared" si="81"/>
        <v>0</v>
      </c>
      <c r="BF145" s="6">
        <f>SUM(INDEX(BE:BE,X145):INDEX(BE:BE,X145+Y145-1))</f>
        <v>16</v>
      </c>
      <c r="BG145" s="25">
        <f t="shared" si="71"/>
        <v>16</v>
      </c>
    </row>
    <row r="146" spans="1:59" x14ac:dyDescent="0.3">
      <c r="A146" s="1">
        <v>44117</v>
      </c>
      <c r="B146">
        <v>10.15</v>
      </c>
      <c r="C146">
        <v>10.15</v>
      </c>
      <c r="D146">
        <v>10.119999999999999</v>
      </c>
      <c r="E146">
        <v>10.119999999999999</v>
      </c>
      <c r="F146">
        <v>1700</v>
      </c>
      <c r="G146" s="29">
        <v>6.29275013724368E-2</v>
      </c>
      <c r="H146" s="29">
        <v>6.2181325466834801E-3</v>
      </c>
      <c r="I146" s="29">
        <v>4.9407114624506598E-3</v>
      </c>
      <c r="J146" s="29">
        <v>51.447357750257297</v>
      </c>
      <c r="K146" s="29">
        <v>3.9682539682539498E-3</v>
      </c>
      <c r="L146" s="29">
        <v>0.4</v>
      </c>
      <c r="M146" s="29">
        <v>-0.13748502126722101</v>
      </c>
      <c r="N146" s="29">
        <v>6.3019359166041095E-2</v>
      </c>
      <c r="O146" s="29">
        <v>-7.8431372549019295E-3</v>
      </c>
      <c r="P146" s="29">
        <v>1.9801980198019798E-3</v>
      </c>
      <c r="Q146" s="29">
        <v>0.48953974895397401</v>
      </c>
      <c r="R146" s="30">
        <v>75184</v>
      </c>
      <c r="S146" s="29">
        <v>31</v>
      </c>
      <c r="T146" s="14">
        <v>325.45100000000002</v>
      </c>
      <c r="U146" s="41"/>
      <c r="V146">
        <v>136</v>
      </c>
      <c r="W146" t="b">
        <f>V146&gt;=$C$4</f>
        <v>1</v>
      </c>
      <c r="X146">
        <f>IF(V146&lt;=$C$5,11,ROW()-$C$5+1)</f>
        <v>11</v>
      </c>
      <c r="Y146" s="14">
        <f t="shared" si="64"/>
        <v>136</v>
      </c>
      <c r="Z146" s="10">
        <f t="shared" si="72"/>
        <v>5.0000000000000711E-2</v>
      </c>
      <c r="AA146" s="15">
        <f t="shared" si="73"/>
        <v>4.9407114624506632E-3</v>
      </c>
      <c r="AB146" s="15">
        <f t="shared" si="74"/>
        <v>6.2927501372436842E-2</v>
      </c>
      <c r="AC146" s="10">
        <f t="shared" si="65"/>
        <v>6.2181325466834827E-3</v>
      </c>
      <c r="AD146">
        <f t="shared" si="75"/>
        <v>1.9999999999999574E-2</v>
      </c>
      <c r="AE146">
        <f t="shared" si="82"/>
        <v>1.9999999999999574E-2</v>
      </c>
      <c r="AF146">
        <f t="shared" si="83"/>
        <v>0</v>
      </c>
      <c r="AG146">
        <f t="shared" si="85"/>
        <v>1.4237815487702931E-2</v>
      </c>
      <c r="AH146">
        <f t="shared" si="85"/>
        <v>1.3444429212952318E-2</v>
      </c>
      <c r="AI146">
        <f t="shared" si="76"/>
        <v>1.0590122691104109</v>
      </c>
      <c r="AJ146">
        <f t="shared" si="84"/>
        <v>51.433023736568288</v>
      </c>
      <c r="AK146" s="14">
        <f t="shared" si="66"/>
        <v>51.433023736568288</v>
      </c>
      <c r="AM146">
        <f t="shared" si="57"/>
        <v>3.9682539682539542E-3</v>
      </c>
      <c r="AN146" s="14">
        <f t="shared" si="77"/>
        <v>1.980198019801982E-3</v>
      </c>
      <c r="AO146">
        <f t="shared" si="86"/>
        <v>1</v>
      </c>
      <c r="AP146" s="14">
        <f t="shared" si="87"/>
        <v>0.4</v>
      </c>
      <c r="AQ146">
        <f t="shared" si="78"/>
        <v>-6.5264706690394414E-3</v>
      </c>
      <c r="AR146">
        <f t="shared" si="79"/>
        <v>8.5066686888414216E-3</v>
      </c>
      <c r="AS146">
        <f t="shared" si="61"/>
        <v>-1.5298092964616933E-3</v>
      </c>
      <c r="AT146">
        <f t="shared" si="62"/>
        <v>1.1127097936642105E-2</v>
      </c>
      <c r="AU146" s="14">
        <f t="shared" si="67"/>
        <v>-0.13748502126722123</v>
      </c>
      <c r="AV146" s="19">
        <f t="shared" si="63"/>
        <v>6.3019359166042066E-2</v>
      </c>
      <c r="AW146" s="19">
        <f t="shared" si="58"/>
        <v>-7.8431372549019329E-3</v>
      </c>
      <c r="AX146">
        <f t="shared" si="68"/>
        <v>0</v>
      </c>
      <c r="AY146">
        <f>IF(W146,SUMPRODUCT(INDEX(AX:AX,X146):INDEX(AX:AX,X146+Y146)),0)</f>
        <v>54</v>
      </c>
      <c r="AZ146">
        <f>IF(V146,COUNT(INDEX(AX:AX,X146):INDEX(AX:AX,ROW())),0)</f>
        <v>136</v>
      </c>
      <c r="BA146" s="14">
        <f t="shared" si="80"/>
        <v>0.39705882352941174</v>
      </c>
      <c r="BB146" s="6">
        <f t="shared" si="69"/>
        <v>17204</v>
      </c>
      <c r="BC146" s="6">
        <f>MEDIAN(INDEX(BB:BB,X146):INDEX(BB:BB,X146+Y146-1))</f>
        <v>81820</v>
      </c>
      <c r="BD146" s="25">
        <f t="shared" si="70"/>
        <v>81820</v>
      </c>
      <c r="BE146">
        <f t="shared" si="81"/>
        <v>0</v>
      </c>
      <c r="BF146" s="6">
        <f>SUM(INDEX(BE:BE,X146):INDEX(BE:BE,X146+Y146-1))</f>
        <v>16</v>
      </c>
      <c r="BG146" s="25">
        <f t="shared" si="71"/>
        <v>16</v>
      </c>
    </row>
    <row r="147" spans="1:59" x14ac:dyDescent="0.3">
      <c r="A147" s="1">
        <v>44118</v>
      </c>
      <c r="B147">
        <v>10.11</v>
      </c>
      <c r="C147">
        <v>10.11</v>
      </c>
      <c r="D147">
        <v>10.11</v>
      </c>
      <c r="E147">
        <v>10.11</v>
      </c>
      <c r="F147">
        <v>400</v>
      </c>
      <c r="G147" s="29">
        <v>5.9146965560119898E-2</v>
      </c>
      <c r="H147" s="29">
        <v>5.8503427853728897E-3</v>
      </c>
      <c r="I147" s="29">
        <v>9.8911968348168E-4</v>
      </c>
      <c r="J147" s="29">
        <v>50.056187451724703</v>
      </c>
      <c r="K147" s="29">
        <v>1.9821605550049901E-3</v>
      </c>
      <c r="L147" s="29">
        <v>0.2</v>
      </c>
      <c r="M147" s="29">
        <v>-0.13591627353987701</v>
      </c>
      <c r="N147" s="29">
        <v>6.4310100693381098E-2</v>
      </c>
      <c r="O147" s="29">
        <v>-8.8235294117646693E-3</v>
      </c>
      <c r="P147" s="29">
        <v>-9.8814229249011201E-4</v>
      </c>
      <c r="Q147" s="29">
        <v>0.49166666666666597</v>
      </c>
      <c r="R147" s="30">
        <v>70449.5</v>
      </c>
      <c r="S147" s="29">
        <v>31</v>
      </c>
      <c r="T147" s="14">
        <v>323.40600000000001</v>
      </c>
      <c r="U147" s="41"/>
      <c r="V147">
        <v>137</v>
      </c>
      <c r="W147" t="b">
        <f>V147&gt;=$C$4</f>
        <v>1</v>
      </c>
      <c r="X147">
        <f>IF(V147&lt;=$C$5,11,ROW()-$C$5+1)</f>
        <v>11</v>
      </c>
      <c r="Y147" s="14">
        <f t="shared" si="64"/>
        <v>137</v>
      </c>
      <c r="Z147" s="10">
        <f t="shared" si="72"/>
        <v>9.9999999999997868E-3</v>
      </c>
      <c r="AA147" s="15">
        <f t="shared" si="73"/>
        <v>9.8911968348168022E-4</v>
      </c>
      <c r="AB147" s="15">
        <f t="shared" si="74"/>
        <v>5.9146965560119905E-2</v>
      </c>
      <c r="AC147" s="10">
        <f t="shared" si="65"/>
        <v>5.8503427853728888E-3</v>
      </c>
      <c r="AD147">
        <f t="shared" si="75"/>
        <v>-9.9999999999997868E-3</v>
      </c>
      <c r="AE147">
        <f t="shared" si="82"/>
        <v>0</v>
      </c>
      <c r="AF147">
        <f t="shared" si="83"/>
        <v>9.9999999999997868E-3</v>
      </c>
      <c r="AG147">
        <f t="shared" si="85"/>
        <v>1.3220828667152722E-2</v>
      </c>
      <c r="AH147">
        <f t="shared" si="85"/>
        <v>1.3198398554884279E-2</v>
      </c>
      <c r="AI147">
        <f t="shared" si="76"/>
        <v>1.0016994571102826</v>
      </c>
      <c r="AJ147">
        <f t="shared" si="84"/>
        <v>50.042450356476984</v>
      </c>
      <c r="AK147" s="14">
        <f t="shared" si="66"/>
        <v>50.042450356476984</v>
      </c>
      <c r="AM147">
        <f t="shared" si="57"/>
        <v>1.982160555004997E-3</v>
      </c>
      <c r="AN147" s="14">
        <f t="shared" si="77"/>
        <v>-9.8814229249011287E-4</v>
      </c>
      <c r="AO147">
        <f t="shared" si="86"/>
        <v>0</v>
      </c>
      <c r="AP147" s="14">
        <f t="shared" si="87"/>
        <v>0.2</v>
      </c>
      <c r="AQ147">
        <f t="shared" si="78"/>
        <v>-6.2835880055677196E-3</v>
      </c>
      <c r="AR147">
        <f t="shared" si="79"/>
        <v>5.2954457130776076E-3</v>
      </c>
      <c r="AS147">
        <f t="shared" si="61"/>
        <v>-1.5136204893687083E-3</v>
      </c>
      <c r="AT147">
        <f t="shared" si="62"/>
        <v>1.1136418398968354E-2</v>
      </c>
      <c r="AU147" s="14">
        <f t="shared" si="67"/>
        <v>-0.13591627353987759</v>
      </c>
      <c r="AV147" s="19">
        <f t="shared" si="63"/>
        <v>6.4310100693382125E-2</v>
      </c>
      <c r="AW147" s="19">
        <f t="shared" si="58"/>
        <v>-8.8235294117646745E-3</v>
      </c>
      <c r="AX147">
        <f t="shared" si="68"/>
        <v>1</v>
      </c>
      <c r="AY147">
        <f>IF(W147,SUMPRODUCT(INDEX(AX:AX,X147):INDEX(AX:AX,X147+Y147)),0)</f>
        <v>54</v>
      </c>
      <c r="AZ147">
        <f>IF(V147,COUNT(INDEX(AX:AX,X147):INDEX(AX:AX,ROW())),0)</f>
        <v>137</v>
      </c>
      <c r="BA147" s="14">
        <f t="shared" si="80"/>
        <v>0.39416058394160586</v>
      </c>
      <c r="BB147" s="6">
        <f t="shared" si="69"/>
        <v>4044</v>
      </c>
      <c r="BC147" s="6">
        <f>MEDIAN(INDEX(BB:BB,X147):INDEX(BB:BB,X147+Y147-1))</f>
        <v>80480</v>
      </c>
      <c r="BD147" s="25">
        <f t="shared" si="70"/>
        <v>80480</v>
      </c>
      <c r="BE147">
        <f t="shared" si="81"/>
        <v>0</v>
      </c>
      <c r="BF147" s="6">
        <f>SUM(INDEX(BE:BE,X147):INDEX(BE:BE,X147+Y147-1))</f>
        <v>16</v>
      </c>
      <c r="BG147" s="25">
        <f t="shared" si="71"/>
        <v>16</v>
      </c>
    </row>
    <row r="148" spans="1:59" x14ac:dyDescent="0.3">
      <c r="A148" s="1">
        <v>44119</v>
      </c>
      <c r="B148">
        <v>10.07</v>
      </c>
      <c r="C148">
        <v>10.1</v>
      </c>
      <c r="D148">
        <v>10.06</v>
      </c>
      <c r="E148">
        <v>10.1</v>
      </c>
      <c r="F148">
        <v>6500</v>
      </c>
      <c r="G148" s="29">
        <v>5.8493610877254097E-2</v>
      </c>
      <c r="H148" s="29">
        <v>5.7914466215103098E-3</v>
      </c>
      <c r="I148" s="29">
        <v>4.9504950495048404E-3</v>
      </c>
      <c r="J148" s="29">
        <v>48.6397631900901</v>
      </c>
      <c r="K148" s="29">
        <v>-9.8039215686274092E-3</v>
      </c>
      <c r="L148" s="29">
        <v>0.2</v>
      </c>
      <c r="M148" s="29">
        <v>-0.124735640466887</v>
      </c>
      <c r="N148" s="29">
        <v>6.5572107755464404E-2</v>
      </c>
      <c r="O148" s="29">
        <v>-7.8585461689587507E-3</v>
      </c>
      <c r="P148" s="29">
        <v>-9.89119683481698E-4</v>
      </c>
      <c r="Q148" s="29">
        <v>0.48962655601659699</v>
      </c>
      <c r="R148" s="30">
        <v>65715</v>
      </c>
      <c r="S148" s="29">
        <v>31</v>
      </c>
      <c r="T148" s="14">
        <v>323.00599999999997</v>
      </c>
      <c r="U148" s="41"/>
      <c r="V148">
        <v>138</v>
      </c>
      <c r="W148" t="b">
        <f>V148&gt;=$C$4</f>
        <v>1</v>
      </c>
      <c r="X148">
        <f>IF(V148&lt;=$C$5,11,ROW()-$C$5+1)</f>
        <v>11</v>
      </c>
      <c r="Y148" s="14">
        <f t="shared" si="64"/>
        <v>138</v>
      </c>
      <c r="Z148" s="10">
        <f t="shared" si="72"/>
        <v>4.9999999999998934E-2</v>
      </c>
      <c r="AA148" s="15">
        <f t="shared" si="73"/>
        <v>4.9504950495048447E-3</v>
      </c>
      <c r="AB148" s="15">
        <f t="shared" si="74"/>
        <v>5.8493610877254125E-2</v>
      </c>
      <c r="AC148" s="10">
        <f t="shared" si="65"/>
        <v>5.7914466215103098E-3</v>
      </c>
      <c r="AD148">
        <f t="shared" si="75"/>
        <v>-9.9999999999997868E-3</v>
      </c>
      <c r="AE148">
        <f t="shared" si="82"/>
        <v>0</v>
      </c>
      <c r="AF148">
        <f t="shared" si="83"/>
        <v>9.9999999999997868E-3</v>
      </c>
      <c r="AG148">
        <f t="shared" si="85"/>
        <v>1.22764837623561E-2</v>
      </c>
      <c r="AH148">
        <f t="shared" si="85"/>
        <v>1.2969941515249673E-2</v>
      </c>
      <c r="AI148">
        <f t="shared" si="76"/>
        <v>0.94653347109713437</v>
      </c>
      <c r="AJ148">
        <f t="shared" si="84"/>
        <v>48.626621897420286</v>
      </c>
      <c r="AK148" s="14">
        <f t="shared" si="66"/>
        <v>48.626621897420286</v>
      </c>
      <c r="AM148">
        <f t="shared" si="57"/>
        <v>-9.8039215686274161E-3</v>
      </c>
      <c r="AN148" s="14">
        <f t="shared" si="77"/>
        <v>-9.8911968348169843E-4</v>
      </c>
      <c r="AO148">
        <f t="shared" si="86"/>
        <v>0</v>
      </c>
      <c r="AP148" s="14">
        <f t="shared" si="87"/>
        <v>0.2</v>
      </c>
      <c r="AQ148">
        <f t="shared" si="78"/>
        <v>-1.2368354328615716E-3</v>
      </c>
      <c r="AR148">
        <f t="shared" si="79"/>
        <v>2.4771574937987361E-4</v>
      </c>
      <c r="AS148">
        <f t="shared" si="61"/>
        <v>-1.3857094637124714E-3</v>
      </c>
      <c r="AT148">
        <f t="shared" si="62"/>
        <v>1.1109170230142179E-2</v>
      </c>
      <c r="AU148" s="14">
        <f t="shared" si="67"/>
        <v>-0.12473564046688809</v>
      </c>
      <c r="AV148" s="19">
        <f t="shared" si="63"/>
        <v>6.5572107755465514E-2</v>
      </c>
      <c r="AW148" s="19">
        <f t="shared" si="58"/>
        <v>-7.8585461689587577E-3</v>
      </c>
      <c r="AX148">
        <f t="shared" si="68"/>
        <v>0</v>
      </c>
      <c r="AY148">
        <f>IF(W148,SUMPRODUCT(INDEX(AX:AX,X148):INDEX(AX:AX,X148+Y148)),0)</f>
        <v>55</v>
      </c>
      <c r="AZ148">
        <f>IF(V148,COUNT(INDEX(AX:AX,X148):INDEX(AX:AX,ROW())),0)</f>
        <v>138</v>
      </c>
      <c r="BA148" s="14">
        <f t="shared" si="80"/>
        <v>0.39855072463768115</v>
      </c>
      <c r="BB148" s="6">
        <f t="shared" si="69"/>
        <v>65650</v>
      </c>
      <c r="BC148" s="6">
        <f>MEDIAN(INDEX(BB:BB,X148):INDEX(BB:BB,X148+Y148-1))</f>
        <v>77832</v>
      </c>
      <c r="BD148" s="25">
        <f t="shared" si="70"/>
        <v>77832</v>
      </c>
      <c r="BE148">
        <f t="shared" si="81"/>
        <v>0</v>
      </c>
      <c r="BF148" s="6">
        <f>SUM(INDEX(BE:BE,X148):INDEX(BE:BE,X148+Y148-1))</f>
        <v>16</v>
      </c>
      <c r="BG148" s="25">
        <f t="shared" si="71"/>
        <v>16</v>
      </c>
    </row>
    <row r="149" spans="1:59" x14ac:dyDescent="0.3">
      <c r="A149" s="1">
        <v>44120</v>
      </c>
      <c r="B149">
        <v>10.089</v>
      </c>
      <c r="C149">
        <v>10.089</v>
      </c>
      <c r="D149">
        <v>10.089</v>
      </c>
      <c r="E149">
        <v>10.089</v>
      </c>
      <c r="F149">
        <v>200</v>
      </c>
      <c r="G149" s="29">
        <v>5.5101210100307302E-2</v>
      </c>
      <c r="H149" s="29">
        <v>5.4615135395289297E-3</v>
      </c>
      <c r="I149" s="29">
        <v>1.0902963623747801E-3</v>
      </c>
      <c r="J149" s="29">
        <v>47.062205559252497</v>
      </c>
      <c r="K149" s="29">
        <v>-6.9881889763778703E-3</v>
      </c>
      <c r="L149" s="29">
        <v>0.2</v>
      </c>
      <c r="M149" s="29">
        <v>-0.123749849311323</v>
      </c>
      <c r="N149" s="29">
        <v>5.9803585140032901E-2</v>
      </c>
      <c r="O149" s="29">
        <v>-8.9390962671904699E-3</v>
      </c>
      <c r="P149" s="29">
        <v>-1.0891089108909699E-3</v>
      </c>
      <c r="Q149" s="29">
        <v>0.49173553719008201</v>
      </c>
      <c r="R149" s="30">
        <v>65682.5</v>
      </c>
      <c r="S149" s="29">
        <v>31</v>
      </c>
      <c r="T149" s="14">
        <v>322.81099999999998</v>
      </c>
      <c r="U149" s="41"/>
      <c r="V149">
        <v>139</v>
      </c>
      <c r="W149" t="b">
        <f>V149&gt;=$C$4</f>
        <v>1</v>
      </c>
      <c r="X149">
        <f>IF(V149&lt;=$C$5,11,ROW()-$C$5+1)</f>
        <v>11</v>
      </c>
      <c r="Y149" s="14">
        <f t="shared" si="64"/>
        <v>139</v>
      </c>
      <c r="Z149" s="10">
        <f t="shared" si="72"/>
        <v>1.0999999999999233E-2</v>
      </c>
      <c r="AA149" s="15">
        <f t="shared" si="73"/>
        <v>1.0902963623747877E-3</v>
      </c>
      <c r="AB149" s="15">
        <f t="shared" si="74"/>
        <v>5.5101210100307343E-2</v>
      </c>
      <c r="AC149" s="10">
        <f t="shared" si="65"/>
        <v>5.461513539528927E-3</v>
      </c>
      <c r="AD149">
        <f t="shared" si="75"/>
        <v>-1.0999999999999233E-2</v>
      </c>
      <c r="AE149">
        <f t="shared" si="82"/>
        <v>0</v>
      </c>
      <c r="AF149">
        <f t="shared" si="83"/>
        <v>1.0999999999999233E-2</v>
      </c>
      <c r="AG149">
        <f t="shared" si="85"/>
        <v>1.139959206504495E-2</v>
      </c>
      <c r="AH149">
        <f t="shared" si="85"/>
        <v>1.28292314070175E-2</v>
      </c>
      <c r="AI149">
        <f t="shared" si="76"/>
        <v>0.88856391340867491</v>
      </c>
      <c r="AJ149">
        <f t="shared" si="84"/>
        <v>47.049713652788334</v>
      </c>
      <c r="AK149" s="14">
        <f t="shared" si="66"/>
        <v>47.049713652788334</v>
      </c>
      <c r="AM149">
        <f t="shared" si="57"/>
        <v>-6.9881889763778737E-3</v>
      </c>
      <c r="AN149" s="14">
        <f t="shared" si="77"/>
        <v>-1.0891089108909791E-3</v>
      </c>
      <c r="AO149">
        <f t="shared" si="86"/>
        <v>0</v>
      </c>
      <c r="AP149" s="14">
        <f t="shared" si="87"/>
        <v>0.2</v>
      </c>
      <c r="AQ149">
        <f t="shared" si="78"/>
        <v>-6.0370395596365256E-4</v>
      </c>
      <c r="AR149">
        <f t="shared" si="79"/>
        <v>-4.8540495492731739E-4</v>
      </c>
      <c r="AS149">
        <f t="shared" si="61"/>
        <v>-1.3748261455271585E-3</v>
      </c>
      <c r="AT149">
        <f t="shared" si="62"/>
        <v>1.1109719754635344E-2</v>
      </c>
      <c r="AU149" s="14">
        <f t="shared" si="67"/>
        <v>-0.12374984931132356</v>
      </c>
      <c r="AV149" s="19">
        <f t="shared" si="63"/>
        <v>5.9803585140033873E-2</v>
      </c>
      <c r="AW149" s="19">
        <f t="shared" si="58"/>
        <v>-8.9390962671904717E-3</v>
      </c>
      <c r="AX149">
        <f t="shared" si="68"/>
        <v>1</v>
      </c>
      <c r="AY149">
        <f>IF(W149,SUMPRODUCT(INDEX(AX:AX,X149):INDEX(AX:AX,X149+Y149)),0)</f>
        <v>55</v>
      </c>
      <c r="AZ149">
        <f>IF(V149,COUNT(INDEX(AX:AX,X149):INDEX(AX:AX,ROW())),0)</f>
        <v>139</v>
      </c>
      <c r="BA149" s="14">
        <f t="shared" si="80"/>
        <v>0.39568345323741005</v>
      </c>
      <c r="BB149" s="6">
        <f t="shared" si="69"/>
        <v>2017.8000000000002</v>
      </c>
      <c r="BC149" s="6">
        <f>MEDIAN(INDEX(BB:BB,X149):INDEX(BB:BB,X149+Y149-1))</f>
        <v>75184</v>
      </c>
      <c r="BD149" s="25">
        <f t="shared" si="70"/>
        <v>75184</v>
      </c>
      <c r="BE149">
        <f t="shared" si="81"/>
        <v>0</v>
      </c>
      <c r="BF149" s="6">
        <f>SUM(INDEX(BE:BE,X149):INDEX(BE:BE,X149+Y149-1))</f>
        <v>16</v>
      </c>
      <c r="BG149" s="25">
        <f t="shared" si="71"/>
        <v>16</v>
      </c>
    </row>
    <row r="150" spans="1:59" x14ac:dyDescent="0.3">
      <c r="A150" s="1">
        <v>44123</v>
      </c>
      <c r="B150">
        <v>10.07</v>
      </c>
      <c r="C150">
        <v>10.19</v>
      </c>
      <c r="D150">
        <v>10.07</v>
      </c>
      <c r="E150">
        <v>10.19</v>
      </c>
      <c r="F150">
        <v>800</v>
      </c>
      <c r="G150" s="29">
        <v>5.9736837950285303E-2</v>
      </c>
      <c r="H150" s="29">
        <v>5.8623000932566602E-3</v>
      </c>
      <c r="I150" s="29">
        <v>1.1776251226692701E-2</v>
      </c>
      <c r="J150" s="29">
        <v>59.917050119214501</v>
      </c>
      <c r="K150" s="29">
        <v>2.9527559055118001E-3</v>
      </c>
      <c r="L150" s="29">
        <v>0.4</v>
      </c>
      <c r="M150" s="29">
        <v>-8.92440667598043E-2</v>
      </c>
      <c r="N150" s="29">
        <v>3.5566144236684E-2</v>
      </c>
      <c r="O150" s="29">
        <v>0</v>
      </c>
      <c r="P150" s="29">
        <v>1.00109029636237E-2</v>
      </c>
      <c r="Q150" s="29">
        <v>0.48971193415637798</v>
      </c>
      <c r="R150" s="30">
        <v>65650</v>
      </c>
      <c r="S150" s="29">
        <v>31</v>
      </c>
      <c r="T150" s="14">
        <v>317.90300000000002</v>
      </c>
      <c r="U150" s="41"/>
      <c r="V150">
        <v>140</v>
      </c>
      <c r="W150" t="b">
        <f>V150&gt;=$C$4</f>
        <v>1</v>
      </c>
      <c r="X150">
        <f>IF(V150&lt;=$C$5,11,ROW()-$C$5+1)</f>
        <v>11</v>
      </c>
      <c r="Y150" s="14">
        <f t="shared" si="64"/>
        <v>140</v>
      </c>
      <c r="Z150" s="10">
        <f t="shared" si="72"/>
        <v>0.11999999999999922</v>
      </c>
      <c r="AA150" s="15">
        <f t="shared" si="73"/>
        <v>1.177625122669276E-2</v>
      </c>
      <c r="AB150" s="15">
        <f t="shared" si="74"/>
        <v>5.9736837950285337E-2</v>
      </c>
      <c r="AC150" s="10">
        <f t="shared" si="65"/>
        <v>5.8623000932566576E-3</v>
      </c>
      <c r="AD150">
        <f t="shared" si="75"/>
        <v>0.10099999999999909</v>
      </c>
      <c r="AE150">
        <f t="shared" si="82"/>
        <v>0.10099999999999909</v>
      </c>
      <c r="AF150">
        <f t="shared" si="83"/>
        <v>0</v>
      </c>
      <c r="AG150">
        <f t="shared" si="85"/>
        <v>1.7799621203255962E-2</v>
      </c>
      <c r="AH150">
        <f t="shared" si="85"/>
        <v>1.1912857735087679E-2</v>
      </c>
      <c r="AI150">
        <f t="shared" si="76"/>
        <v>1.4941520833267097</v>
      </c>
      <c r="AJ150">
        <f t="shared" si="84"/>
        <v>59.906213952029894</v>
      </c>
      <c r="AK150" s="14">
        <f t="shared" si="66"/>
        <v>59.906213952029894</v>
      </c>
      <c r="AM150">
        <f t="shared" si="57"/>
        <v>2.9527559055118058E-3</v>
      </c>
      <c r="AN150" s="14">
        <f t="shared" si="77"/>
        <v>1.0010902963623725E-2</v>
      </c>
      <c r="AO150">
        <f t="shared" si="86"/>
        <v>1</v>
      </c>
      <c r="AP150" s="14">
        <f t="shared" si="87"/>
        <v>0.4</v>
      </c>
      <c r="AQ150">
        <f t="shared" si="78"/>
        <v>-1.520394286440041E-2</v>
      </c>
      <c r="AR150">
        <f t="shared" si="79"/>
        <v>2.5214845828024111E-2</v>
      </c>
      <c r="AS150">
        <f t="shared" si="61"/>
        <v>-1.0341807064661744E-3</v>
      </c>
      <c r="AT150">
        <f t="shared" si="62"/>
        <v>1.1588229268502694E-2</v>
      </c>
      <c r="AU150" s="14">
        <f t="shared" si="67"/>
        <v>-8.9244066759804452E-2</v>
      </c>
      <c r="AV150" s="19">
        <f t="shared" si="63"/>
        <v>3.5566144236684645E-2</v>
      </c>
      <c r="AW150" s="19">
        <f t="shared" si="58"/>
        <v>0</v>
      </c>
      <c r="AX150">
        <f t="shared" si="68"/>
        <v>0</v>
      </c>
      <c r="AY150">
        <f>IF(W150,SUMPRODUCT(INDEX(AX:AX,X150):INDEX(AX:AX,X150+Y150)),0)</f>
        <v>55</v>
      </c>
      <c r="AZ150">
        <f>IF(V150,COUNT(INDEX(AX:AX,X150):INDEX(AX:AX,ROW())),0)</f>
        <v>140</v>
      </c>
      <c r="BA150" s="14">
        <f t="shared" si="80"/>
        <v>0.39285714285714285</v>
      </c>
      <c r="BB150" s="6">
        <f t="shared" si="69"/>
        <v>8152</v>
      </c>
      <c r="BC150" s="6">
        <f>MEDIAN(INDEX(BB:BB,X150):INDEX(BB:BB,X150+Y150-1))</f>
        <v>70449.5</v>
      </c>
      <c r="BD150" s="25">
        <f t="shared" si="70"/>
        <v>70449.5</v>
      </c>
      <c r="BE150">
        <f t="shared" si="81"/>
        <v>0</v>
      </c>
      <c r="BF150" s="6">
        <f>SUM(INDEX(BE:BE,X150):INDEX(BE:BE,X150+Y150-1))</f>
        <v>16</v>
      </c>
      <c r="BG150" s="25">
        <f t="shared" si="71"/>
        <v>16</v>
      </c>
    </row>
    <row r="151" spans="1:59" x14ac:dyDescent="0.3">
      <c r="A151" s="1">
        <v>44124</v>
      </c>
      <c r="B151">
        <v>10.119999999999999</v>
      </c>
      <c r="C151">
        <v>10.199999999999999</v>
      </c>
      <c r="D151">
        <v>10.119999999999999</v>
      </c>
      <c r="E151">
        <v>10.19</v>
      </c>
      <c r="F151">
        <v>17300</v>
      </c>
      <c r="G151" s="29">
        <v>6.1184206668122097E-2</v>
      </c>
      <c r="H151" s="29">
        <v>6.0043382402475099E-3</v>
      </c>
      <c r="I151" s="29">
        <v>7.8508341511285603E-3</v>
      </c>
      <c r="J151" s="29">
        <v>59.917050119214501</v>
      </c>
      <c r="K151" s="29">
        <v>6.9169960474309003E-3</v>
      </c>
      <c r="L151" s="29">
        <v>0.2</v>
      </c>
      <c r="M151" s="29">
        <v>-9.2230237995285902E-2</v>
      </c>
      <c r="N151" s="29">
        <v>3.3186219145051203E-2</v>
      </c>
      <c r="O151" s="29">
        <v>0</v>
      </c>
      <c r="P151" s="29">
        <v>0</v>
      </c>
      <c r="Q151" s="29">
        <v>0.48770491803278598</v>
      </c>
      <c r="R151" s="30">
        <v>65682.5</v>
      </c>
      <c r="S151" s="29">
        <v>31</v>
      </c>
      <c r="T151" s="14">
        <v>319.17700000000002</v>
      </c>
      <c r="U151" s="41"/>
      <c r="V151">
        <v>141</v>
      </c>
      <c r="W151" t="b">
        <f>V151&gt;=$C$4</f>
        <v>1</v>
      </c>
      <c r="X151">
        <f>IF(V151&lt;=$C$5,11,ROW()-$C$5+1)</f>
        <v>11</v>
      </c>
      <c r="Y151" s="14">
        <f t="shared" si="64"/>
        <v>141</v>
      </c>
      <c r="Z151" s="10">
        <f t="shared" si="72"/>
        <v>8.0000000000000071E-2</v>
      </c>
      <c r="AA151" s="15">
        <f t="shared" si="73"/>
        <v>7.8508341511285655E-3</v>
      </c>
      <c r="AB151" s="15">
        <f t="shared" si="74"/>
        <v>6.1184206668122111E-2</v>
      </c>
      <c r="AC151" s="10">
        <f t="shared" si="65"/>
        <v>6.0043382402475091E-3</v>
      </c>
      <c r="AD151">
        <f t="shared" si="75"/>
        <v>0</v>
      </c>
      <c r="AE151">
        <f t="shared" si="82"/>
        <v>0</v>
      </c>
      <c r="AF151">
        <f t="shared" si="83"/>
        <v>0</v>
      </c>
      <c r="AG151">
        <f t="shared" si="85"/>
        <v>1.6528219688737678E-2</v>
      </c>
      <c r="AH151">
        <f t="shared" si="85"/>
        <v>1.106193932543856E-2</v>
      </c>
      <c r="AI151">
        <f t="shared" si="76"/>
        <v>1.4941520833267095</v>
      </c>
      <c r="AJ151">
        <f t="shared" si="84"/>
        <v>59.906213952029894</v>
      </c>
      <c r="AK151" s="14">
        <f t="shared" si="66"/>
        <v>59.906213952029894</v>
      </c>
      <c r="AM151">
        <f t="shared" si="57"/>
        <v>6.9169960474309011E-3</v>
      </c>
      <c r="AN151" s="14">
        <f t="shared" si="77"/>
        <v>0</v>
      </c>
      <c r="AO151">
        <f t="shared" si="86"/>
        <v>0</v>
      </c>
      <c r="AP151" s="14">
        <f t="shared" si="87"/>
        <v>0.2</v>
      </c>
      <c r="AQ151">
        <f t="shared" si="78"/>
        <v>4.0075117252746928E-3</v>
      </c>
      <c r="AR151">
        <f t="shared" si="79"/>
        <v>-4.0075117252746928E-3</v>
      </c>
      <c r="AS151">
        <f t="shared" si="61"/>
        <v>-1.069310376419588E-3</v>
      </c>
      <c r="AT151">
        <f t="shared" si="62"/>
        <v>1.1593924071563613E-2</v>
      </c>
      <c r="AU151" s="14">
        <f t="shared" si="67"/>
        <v>-9.2230237995286055E-2</v>
      </c>
      <c r="AV151" s="19">
        <f t="shared" si="63"/>
        <v>3.31862191450518E-2</v>
      </c>
      <c r="AW151" s="19">
        <f t="shared" si="58"/>
        <v>0</v>
      </c>
      <c r="AX151">
        <f t="shared" si="68"/>
        <v>0</v>
      </c>
      <c r="AY151">
        <f>IF(W151,SUMPRODUCT(INDEX(AX:AX,X151):INDEX(AX:AX,X151+Y151)),0)</f>
        <v>55</v>
      </c>
      <c r="AZ151">
        <f>IF(V151,COUNT(INDEX(AX:AX,X151):INDEX(AX:AX,ROW())),0)</f>
        <v>141</v>
      </c>
      <c r="BA151" s="14">
        <f t="shared" si="80"/>
        <v>0.39007092198581561</v>
      </c>
      <c r="BB151" s="6">
        <f t="shared" si="69"/>
        <v>176287</v>
      </c>
      <c r="BC151" s="6">
        <f>MEDIAN(INDEX(BB:BB,X151):INDEX(BB:BB,X151+Y151-1))</f>
        <v>75184</v>
      </c>
      <c r="BD151" s="25">
        <f t="shared" si="70"/>
        <v>75184</v>
      </c>
      <c r="BE151">
        <f t="shared" si="81"/>
        <v>0</v>
      </c>
      <c r="BF151" s="6">
        <f>SUM(INDEX(BE:BE,X151):INDEX(BE:BE,X151+Y151-1))</f>
        <v>16</v>
      </c>
      <c r="BG151" s="25">
        <f t="shared" si="71"/>
        <v>16</v>
      </c>
    </row>
    <row r="152" spans="1:59" x14ac:dyDescent="0.3">
      <c r="A152" s="1">
        <v>44125</v>
      </c>
      <c r="B152">
        <v>10.119999999999999</v>
      </c>
      <c r="C152">
        <v>10.16</v>
      </c>
      <c r="D152">
        <v>10.119999999999999</v>
      </c>
      <c r="E152">
        <v>10.16</v>
      </c>
      <c r="F152">
        <v>900</v>
      </c>
      <c r="G152" s="29">
        <v>6.1813906191827701E-2</v>
      </c>
      <c r="H152" s="29">
        <v>6.0840458850224101E-3</v>
      </c>
      <c r="I152" s="29">
        <v>6.8897637795275798E-3</v>
      </c>
      <c r="J152" s="29">
        <v>55.291841872483403</v>
      </c>
      <c r="K152" s="29">
        <v>0</v>
      </c>
      <c r="L152" s="29">
        <v>0.2</v>
      </c>
      <c r="M152" s="29">
        <v>-0.11115402398929</v>
      </c>
      <c r="N152" s="29">
        <v>3.52526428952981E-2</v>
      </c>
      <c r="O152" s="29">
        <v>-2.9440628066731401E-3</v>
      </c>
      <c r="P152" s="29">
        <v>-2.9440628066731401E-3</v>
      </c>
      <c r="Q152" s="29">
        <v>0.48571428571428499</v>
      </c>
      <c r="R152" s="30">
        <v>65650</v>
      </c>
      <c r="S152" s="29">
        <v>31</v>
      </c>
      <c r="T152" s="14">
        <v>318.572</v>
      </c>
      <c r="U152" s="41"/>
      <c r="V152">
        <v>142</v>
      </c>
      <c r="W152" t="b">
        <f>V152&gt;=$C$4</f>
        <v>1</v>
      </c>
      <c r="X152">
        <f>IF(V152&lt;=$C$5,11,ROW()-$C$5+1)</f>
        <v>11</v>
      </c>
      <c r="Y152" s="14">
        <f t="shared" si="64"/>
        <v>142</v>
      </c>
      <c r="Z152" s="10">
        <f t="shared" si="72"/>
        <v>7.0000000000000284E-2</v>
      </c>
      <c r="AA152" s="15">
        <f t="shared" si="73"/>
        <v>6.8897637795275867E-3</v>
      </c>
      <c r="AB152" s="15">
        <f t="shared" si="74"/>
        <v>6.1813906191827694E-2</v>
      </c>
      <c r="AC152" s="10">
        <f t="shared" si="65"/>
        <v>6.084045885022411E-3</v>
      </c>
      <c r="AD152">
        <f t="shared" si="75"/>
        <v>-2.9999999999999361E-2</v>
      </c>
      <c r="AE152">
        <f t="shared" si="82"/>
        <v>0</v>
      </c>
      <c r="AF152">
        <f t="shared" si="83"/>
        <v>2.9999999999999361E-2</v>
      </c>
      <c r="AG152">
        <f t="shared" si="85"/>
        <v>1.5347632568113558E-2</v>
      </c>
      <c r="AH152">
        <f t="shared" si="85"/>
        <v>1.2414657945050046E-2</v>
      </c>
      <c r="AI152">
        <f t="shared" si="76"/>
        <v>1.2362509411089286</v>
      </c>
      <c r="AJ152">
        <f t="shared" si="84"/>
        <v>55.28229942279588</v>
      </c>
      <c r="AK152" s="14">
        <f t="shared" si="66"/>
        <v>55.28229942279588</v>
      </c>
      <c r="AM152">
        <f t="shared" si="57"/>
        <v>0</v>
      </c>
      <c r="AN152" s="14">
        <f t="shared" si="77"/>
        <v>-2.9440628066731422E-3</v>
      </c>
      <c r="AO152">
        <f t="shared" si="86"/>
        <v>0</v>
      </c>
      <c r="AP152" s="14">
        <f t="shared" si="87"/>
        <v>0.2</v>
      </c>
      <c r="AQ152">
        <f t="shared" si="78"/>
        <v>-1.8954999890343771E-3</v>
      </c>
      <c r="AR152">
        <f t="shared" si="79"/>
        <v>-1.048562817638763E-3</v>
      </c>
      <c r="AS152">
        <f t="shared" si="61"/>
        <v>-1.2753645618447829E-3</v>
      </c>
      <c r="AT152">
        <f t="shared" si="62"/>
        <v>1.1473849673383449E-2</v>
      </c>
      <c r="AU152" s="14">
        <f t="shared" si="67"/>
        <v>-0.11115402398929103</v>
      </c>
      <c r="AV152" s="19">
        <f t="shared" si="63"/>
        <v>3.5252642895298759E-2</v>
      </c>
      <c r="AW152" s="19">
        <f t="shared" si="58"/>
        <v>-2.9440628066731422E-3</v>
      </c>
      <c r="AX152">
        <f t="shared" si="68"/>
        <v>0</v>
      </c>
      <c r="AY152">
        <f>IF(W152,SUMPRODUCT(INDEX(AX:AX,X152):INDEX(AX:AX,X152+Y152)),0)</f>
        <v>55</v>
      </c>
      <c r="AZ152">
        <f>IF(V152,COUNT(INDEX(AX:AX,X152):INDEX(AX:AX,ROW())),0)</f>
        <v>142</v>
      </c>
      <c r="BA152" s="14">
        <f t="shared" si="80"/>
        <v>0.38732394366197181</v>
      </c>
      <c r="BB152" s="6">
        <f t="shared" si="69"/>
        <v>9144</v>
      </c>
      <c r="BC152" s="6">
        <f>MEDIAN(INDEX(BB:BB,X152):INDEX(BB:BB,X152+Y152-1))</f>
        <v>70449.5</v>
      </c>
      <c r="BD152" s="25">
        <f t="shared" si="70"/>
        <v>70449.5</v>
      </c>
      <c r="BE152">
        <f t="shared" si="81"/>
        <v>0</v>
      </c>
      <c r="BF152" s="6">
        <f>SUM(INDEX(BE:BE,X152):INDEX(BE:BE,X152+Y152-1))</f>
        <v>16</v>
      </c>
      <c r="BG152" s="25">
        <f t="shared" si="71"/>
        <v>16</v>
      </c>
    </row>
    <row r="153" spans="1:59" x14ac:dyDescent="0.3">
      <c r="A153" s="1">
        <v>44126</v>
      </c>
      <c r="B153">
        <v>10.06</v>
      </c>
      <c r="C153">
        <v>10.119999999999999</v>
      </c>
      <c r="D153">
        <v>10.06</v>
      </c>
      <c r="E153">
        <v>10.119999999999999</v>
      </c>
      <c r="F153">
        <v>6800</v>
      </c>
      <c r="G153" s="29">
        <v>6.4541484320982806E-2</v>
      </c>
      <c r="H153" s="29">
        <v>6.3776170277650996E-3</v>
      </c>
      <c r="I153" s="29">
        <v>9.8814229249011495E-3</v>
      </c>
      <c r="J153" s="29">
        <v>49.774713874078202</v>
      </c>
      <c r="K153" s="29">
        <v>-5.8939096267190899E-3</v>
      </c>
      <c r="L153" s="29">
        <v>0.2</v>
      </c>
      <c r="M153" s="29">
        <v>-0.119220610267606</v>
      </c>
      <c r="N153" s="29">
        <v>2.3602504982523101E-2</v>
      </c>
      <c r="O153" s="29">
        <v>-6.86947988223751E-3</v>
      </c>
      <c r="P153" s="29">
        <v>-3.9370078740158503E-3</v>
      </c>
      <c r="Q153" s="29">
        <v>0.48373983739837401</v>
      </c>
      <c r="R153" s="30">
        <v>65682.5</v>
      </c>
      <c r="S153" s="29">
        <v>31</v>
      </c>
      <c r="T153" s="14">
        <v>320.32</v>
      </c>
      <c r="U153" s="41"/>
      <c r="V153">
        <v>143</v>
      </c>
      <c r="W153" t="b">
        <f>V153&gt;=$C$4</f>
        <v>1</v>
      </c>
      <c r="X153">
        <f>IF(V153&lt;=$C$5,11,ROW()-$C$5+1)</f>
        <v>11</v>
      </c>
      <c r="Y153" s="14">
        <f t="shared" si="64"/>
        <v>143</v>
      </c>
      <c r="Z153" s="10">
        <f t="shared" si="72"/>
        <v>9.9999999999999645E-2</v>
      </c>
      <c r="AA153" s="15">
        <f t="shared" si="73"/>
        <v>9.8814229249011513E-3</v>
      </c>
      <c r="AB153" s="15">
        <f t="shared" si="74"/>
        <v>6.4541484320982834E-2</v>
      </c>
      <c r="AC153" s="10">
        <f t="shared" si="65"/>
        <v>6.3776170277651031E-3</v>
      </c>
      <c r="AD153">
        <f t="shared" si="75"/>
        <v>-4.0000000000000924E-2</v>
      </c>
      <c r="AE153">
        <f t="shared" si="82"/>
        <v>0</v>
      </c>
      <c r="AF153">
        <f t="shared" si="83"/>
        <v>4.0000000000000924E-2</v>
      </c>
      <c r="AG153">
        <f t="shared" si="85"/>
        <v>1.4251373098962589E-2</v>
      </c>
      <c r="AH153">
        <f t="shared" si="85"/>
        <v>1.4385039520403681E-2</v>
      </c>
      <c r="AI153">
        <f t="shared" si="76"/>
        <v>0.99070795591131333</v>
      </c>
      <c r="AJ153">
        <f t="shared" si="84"/>
        <v>49.766614583995242</v>
      </c>
      <c r="AK153" s="14">
        <f t="shared" si="66"/>
        <v>49.766614583995242</v>
      </c>
      <c r="AM153">
        <f t="shared" si="57"/>
        <v>-5.893909626719096E-3</v>
      </c>
      <c r="AN153" s="14">
        <f t="shared" si="77"/>
        <v>-3.9370078740158521E-3</v>
      </c>
      <c r="AO153">
        <f t="shared" si="86"/>
        <v>0</v>
      </c>
      <c r="AP153" s="14">
        <f t="shared" si="87"/>
        <v>0.2</v>
      </c>
      <c r="AQ153">
        <f t="shared" si="78"/>
        <v>5.486985673568201E-3</v>
      </c>
      <c r="AR153">
        <f t="shared" si="79"/>
        <v>-9.4239935475840513E-3</v>
      </c>
      <c r="AS153">
        <f t="shared" si="61"/>
        <v>-1.3730907332553854E-3</v>
      </c>
      <c r="AT153">
        <f t="shared" si="62"/>
        <v>1.151722617568642E-2</v>
      </c>
      <c r="AU153" s="14">
        <f t="shared" si="67"/>
        <v>-0.11922061026760639</v>
      </c>
      <c r="AV153" s="19">
        <f t="shared" si="63"/>
        <v>2.3602504982523597E-2</v>
      </c>
      <c r="AW153" s="19">
        <f t="shared" si="58"/>
        <v>-6.8694798822375169E-3</v>
      </c>
      <c r="AX153">
        <f t="shared" si="68"/>
        <v>0</v>
      </c>
      <c r="AY153">
        <f>IF(W153,SUMPRODUCT(INDEX(AX:AX,X153):INDEX(AX:AX,X153+Y153)),0)</f>
        <v>55</v>
      </c>
      <c r="AZ153">
        <f>IF(V153,COUNT(INDEX(AX:AX,X153):INDEX(AX:AX,ROW())),0)</f>
        <v>143</v>
      </c>
      <c r="BA153" s="14">
        <f t="shared" si="80"/>
        <v>0.38461538461538464</v>
      </c>
      <c r="BB153" s="6">
        <f t="shared" si="69"/>
        <v>68816</v>
      </c>
      <c r="BC153" s="6">
        <f>MEDIAN(INDEX(BB:BB,X153):INDEX(BB:BB,X153+Y153-1))</f>
        <v>68816</v>
      </c>
      <c r="BD153" s="25">
        <f t="shared" si="70"/>
        <v>68816</v>
      </c>
      <c r="BE153">
        <f t="shared" si="81"/>
        <v>0</v>
      </c>
      <c r="BF153" s="6">
        <f>SUM(INDEX(BE:BE,X153):INDEX(BE:BE,X153+Y153-1))</f>
        <v>16</v>
      </c>
      <c r="BG153" s="25">
        <f t="shared" si="71"/>
        <v>16</v>
      </c>
    </row>
    <row r="154" spans="1:59" x14ac:dyDescent="0.3">
      <c r="A154" s="1">
        <v>44127</v>
      </c>
      <c r="B154">
        <v>10.115</v>
      </c>
      <c r="C154">
        <v>10.130000000000001</v>
      </c>
      <c r="D154">
        <v>10.11</v>
      </c>
      <c r="E154">
        <v>10.130000000000001</v>
      </c>
      <c r="F154">
        <v>2600</v>
      </c>
      <c r="G154" s="29">
        <v>6.1359949726626999E-2</v>
      </c>
      <c r="H154" s="29">
        <v>6.0572507133886504E-3</v>
      </c>
      <c r="I154" s="29">
        <v>1.9743336623890698E-3</v>
      </c>
      <c r="J154" s="29">
        <v>51.088685624079503</v>
      </c>
      <c r="K154" s="29">
        <v>2.9702970297029699E-3</v>
      </c>
      <c r="L154" s="29">
        <v>0.4</v>
      </c>
      <c r="M154" s="29">
        <v>-0.113997166304644</v>
      </c>
      <c r="N154" s="29">
        <v>2.3134182490702902E-2</v>
      </c>
      <c r="O154" s="29">
        <v>-5.8881256133462801E-3</v>
      </c>
      <c r="P154" s="29">
        <v>9.8814229249022389E-4</v>
      </c>
      <c r="Q154" s="29">
        <v>0.48178137651821801</v>
      </c>
      <c r="R154" s="30">
        <v>65650</v>
      </c>
      <c r="S154" s="29">
        <v>31</v>
      </c>
      <c r="T154" s="14">
        <v>321.40699999999998</v>
      </c>
      <c r="U154" s="41"/>
      <c r="V154">
        <v>144</v>
      </c>
      <c r="W154" t="b">
        <f>V154&gt;=$C$4</f>
        <v>1</v>
      </c>
      <c r="X154">
        <f>IF(V154&lt;=$C$5,11,ROW()-$C$5+1)</f>
        <v>11</v>
      </c>
      <c r="Y154" s="14">
        <f t="shared" si="64"/>
        <v>144</v>
      </c>
      <c r="Z154" s="10">
        <f t="shared" si="72"/>
        <v>2.000000000000135E-2</v>
      </c>
      <c r="AA154" s="15">
        <f t="shared" si="73"/>
        <v>1.9743336623890767E-3</v>
      </c>
      <c r="AB154" s="15">
        <f t="shared" si="74"/>
        <v>6.1359949726627012E-2</v>
      </c>
      <c r="AC154" s="10">
        <f t="shared" si="65"/>
        <v>6.0572507133886486E-3</v>
      </c>
      <c r="AD154">
        <f t="shared" si="75"/>
        <v>1.0000000000001563E-2</v>
      </c>
      <c r="AE154">
        <f t="shared" si="82"/>
        <v>1.0000000000001563E-2</v>
      </c>
      <c r="AF154">
        <f t="shared" si="83"/>
        <v>0</v>
      </c>
      <c r="AG154">
        <f t="shared" si="85"/>
        <v>1.3947703591893944E-2</v>
      </c>
      <c r="AH154">
        <f t="shared" si="85"/>
        <v>1.3357536697517703E-2</v>
      </c>
      <c r="AI154">
        <f t="shared" si="76"/>
        <v>1.044182315028632</v>
      </c>
      <c r="AJ154">
        <f t="shared" si="84"/>
        <v>51.080684308434911</v>
      </c>
      <c r="AK154" s="14">
        <f t="shared" si="66"/>
        <v>51.080684308434911</v>
      </c>
      <c r="AM154">
        <f t="shared" si="57"/>
        <v>2.9702970297029729E-3</v>
      </c>
      <c r="AN154" s="14">
        <f t="shared" si="77"/>
        <v>9.8814229249022389E-4</v>
      </c>
      <c r="AO154">
        <f t="shared" si="86"/>
        <v>1</v>
      </c>
      <c r="AP154" s="14">
        <f t="shared" si="87"/>
        <v>0.4</v>
      </c>
      <c r="AQ154">
        <f t="shared" si="78"/>
        <v>3.3934815184815115E-3</v>
      </c>
      <c r="AR154">
        <f t="shared" si="79"/>
        <v>-2.4053392259912876E-3</v>
      </c>
      <c r="AS154">
        <f t="shared" si="61"/>
        <v>-1.3110467334399723E-3</v>
      </c>
      <c r="AT154">
        <f t="shared" si="62"/>
        <v>1.1500695814984927E-2</v>
      </c>
      <c r="AU154" s="14">
        <f t="shared" si="67"/>
        <v>-0.11399716630464507</v>
      </c>
      <c r="AV154" s="19">
        <f t="shared" si="63"/>
        <v>2.3134182490703373E-2</v>
      </c>
      <c r="AW154" s="19">
        <f t="shared" si="58"/>
        <v>-5.8881256133462845E-3</v>
      </c>
      <c r="AX154">
        <f t="shared" si="68"/>
        <v>0</v>
      </c>
      <c r="AY154">
        <f>IF(W154,SUMPRODUCT(INDEX(AX:AX,X154):INDEX(AX:AX,X154+Y154)),0)</f>
        <v>56</v>
      </c>
      <c r="AZ154">
        <f>IF(V154,COUNT(INDEX(AX:AX,X154):INDEX(AX:AX,ROW())),0)</f>
        <v>144</v>
      </c>
      <c r="BA154" s="14">
        <f t="shared" si="80"/>
        <v>0.3888888888888889</v>
      </c>
      <c r="BB154" s="6">
        <f t="shared" si="69"/>
        <v>26338.000000000004</v>
      </c>
      <c r="BC154" s="6">
        <f>MEDIAN(INDEX(BB:BB,X154):INDEX(BB:BB,X154+Y154-1))</f>
        <v>67265.5</v>
      </c>
      <c r="BD154" s="25">
        <f t="shared" si="70"/>
        <v>67265.5</v>
      </c>
      <c r="BE154">
        <f t="shared" si="81"/>
        <v>0</v>
      </c>
      <c r="BF154" s="6">
        <f>SUM(INDEX(BE:BE,X154):INDEX(BE:BE,X154+Y154-1))</f>
        <v>16</v>
      </c>
      <c r="BG154" s="25">
        <f t="shared" si="71"/>
        <v>16</v>
      </c>
    </row>
    <row r="155" spans="1:59" x14ac:dyDescent="0.3">
      <c r="A155" s="1">
        <v>44130</v>
      </c>
      <c r="B155">
        <v>10.11</v>
      </c>
      <c r="C155">
        <v>10.11</v>
      </c>
      <c r="D155">
        <v>10.11</v>
      </c>
      <c r="E155">
        <v>10.11</v>
      </c>
      <c r="F155">
        <v>300</v>
      </c>
      <c r="G155" s="29">
        <v>5.8405667603296602E-2</v>
      </c>
      <c r="H155" s="29">
        <v>5.7770195453310203E-3</v>
      </c>
      <c r="I155" s="29">
        <v>1.97823936696353E-3</v>
      </c>
      <c r="J155" s="29">
        <v>48.363500469509702</v>
      </c>
      <c r="K155" s="29">
        <v>0</v>
      </c>
      <c r="L155" s="29">
        <v>0.2</v>
      </c>
      <c r="M155" s="29">
        <v>-0.111825173625817</v>
      </c>
      <c r="N155" s="29">
        <v>3.5197720743759299E-2</v>
      </c>
      <c r="O155" s="29">
        <v>-7.8508341511285204E-3</v>
      </c>
      <c r="P155" s="29">
        <v>-1.9743336623890802E-3</v>
      </c>
      <c r="Q155" s="29">
        <v>0.483870967741935</v>
      </c>
      <c r="R155" s="30">
        <v>64772.5</v>
      </c>
      <c r="S155" s="29">
        <v>31</v>
      </c>
      <c r="T155" s="14">
        <v>315.46800000000002</v>
      </c>
      <c r="U155" s="41"/>
      <c r="V155">
        <v>145</v>
      </c>
      <c r="W155" t="b">
        <f>V155&gt;=$C$4</f>
        <v>1</v>
      </c>
      <c r="X155">
        <f>IF(V155&lt;=$C$5,11,ROW()-$C$5+1)</f>
        <v>11</v>
      </c>
      <c r="Y155" s="14">
        <f t="shared" si="64"/>
        <v>145</v>
      </c>
      <c r="Z155" s="10">
        <f t="shared" si="72"/>
        <v>2.000000000000135E-2</v>
      </c>
      <c r="AA155" s="15">
        <f t="shared" si="73"/>
        <v>1.9782393669635361E-3</v>
      </c>
      <c r="AB155" s="15">
        <f t="shared" si="74"/>
        <v>5.8405667603296609E-2</v>
      </c>
      <c r="AC155" s="10">
        <f t="shared" si="65"/>
        <v>5.7770195453310203E-3</v>
      </c>
      <c r="AD155">
        <f t="shared" si="75"/>
        <v>-2.000000000000135E-2</v>
      </c>
      <c r="AE155">
        <f t="shared" si="82"/>
        <v>0</v>
      </c>
      <c r="AF155">
        <f t="shared" si="83"/>
        <v>2.000000000000135E-2</v>
      </c>
      <c r="AG155">
        <f t="shared" si="85"/>
        <v>1.2951439049615805E-2</v>
      </c>
      <c r="AH155">
        <f t="shared" si="85"/>
        <v>1.383199836198082E-2</v>
      </c>
      <c r="AI155">
        <f t="shared" si="76"/>
        <v>0.93633896640811098</v>
      </c>
      <c r="AJ155">
        <f t="shared" si="84"/>
        <v>48.356149550871777</v>
      </c>
      <c r="AK155" s="14">
        <f t="shared" si="66"/>
        <v>48.356149550871777</v>
      </c>
      <c r="AM155">
        <f t="shared" si="57"/>
        <v>0</v>
      </c>
      <c r="AN155" s="14">
        <f t="shared" si="77"/>
        <v>-1.9743336623890828E-3</v>
      </c>
      <c r="AO155">
        <f t="shared" si="86"/>
        <v>0</v>
      </c>
      <c r="AP155" s="14">
        <f t="shared" si="87"/>
        <v>0.2</v>
      </c>
      <c r="AQ155">
        <f t="shared" si="78"/>
        <v>-1.8478128976655683E-2</v>
      </c>
      <c r="AR155">
        <f t="shared" si="79"/>
        <v>1.6503795314266604E-2</v>
      </c>
      <c r="AS155">
        <f t="shared" si="61"/>
        <v>-1.2896789077184994E-3</v>
      </c>
      <c r="AT155">
        <f t="shared" si="62"/>
        <v>1.1532992669735944E-2</v>
      </c>
      <c r="AU155" s="14">
        <f t="shared" si="67"/>
        <v>-0.11182517362581723</v>
      </c>
      <c r="AV155" s="19">
        <f t="shared" si="63"/>
        <v>3.5197720743759937E-2</v>
      </c>
      <c r="AW155" s="19">
        <f t="shared" si="58"/>
        <v>-7.8508341511285273E-3</v>
      </c>
      <c r="AX155">
        <f t="shared" si="68"/>
        <v>1</v>
      </c>
      <c r="AY155">
        <f>IF(W155,SUMPRODUCT(INDEX(AX:AX,X155):INDEX(AX:AX,X155+Y155)),0)</f>
        <v>57</v>
      </c>
      <c r="AZ155">
        <f>IF(V155,COUNT(INDEX(AX:AX,X155):INDEX(AX:AX,ROW())),0)</f>
        <v>145</v>
      </c>
      <c r="BA155" s="14">
        <f t="shared" si="80"/>
        <v>0.39310344827586208</v>
      </c>
      <c r="BB155" s="6">
        <f t="shared" si="69"/>
        <v>3033</v>
      </c>
      <c r="BC155" s="6">
        <f>MEDIAN(INDEX(BB:BB,X155):INDEX(BB:BB,X155+Y155-1))</f>
        <v>65715</v>
      </c>
      <c r="BD155" s="25">
        <f t="shared" si="70"/>
        <v>65715</v>
      </c>
      <c r="BE155">
        <f t="shared" si="81"/>
        <v>0</v>
      </c>
      <c r="BF155" s="6">
        <f>SUM(INDEX(BE:BE,X155):INDEX(BE:BE,X155+Y155-1))</f>
        <v>16</v>
      </c>
      <c r="BG155" s="25">
        <f t="shared" si="71"/>
        <v>16</v>
      </c>
    </row>
    <row r="156" spans="1:59" x14ac:dyDescent="0.3">
      <c r="A156" s="1">
        <v>44131</v>
      </c>
      <c r="B156">
        <v>10.11</v>
      </c>
      <c r="C156">
        <v>10.11</v>
      </c>
      <c r="D156">
        <v>10.11</v>
      </c>
      <c r="E156">
        <v>10.11</v>
      </c>
      <c r="F156">
        <v>0</v>
      </c>
      <c r="G156" s="29">
        <v>5.4233834203061097E-2</v>
      </c>
      <c r="H156" s="29">
        <v>5.3643752920930904E-3</v>
      </c>
      <c r="I156" s="29">
        <v>0</v>
      </c>
      <c r="J156" s="29">
        <v>48.363500469509702</v>
      </c>
      <c r="K156" s="29">
        <v>0</v>
      </c>
      <c r="L156" s="29">
        <v>0.2</v>
      </c>
      <c r="M156" s="29">
        <v>-7.8807661834657997E-2</v>
      </c>
      <c r="N156" s="29">
        <v>4.96843196030348E-2</v>
      </c>
      <c r="O156" s="29">
        <v>-7.8508341511285204E-3</v>
      </c>
      <c r="P156" s="29">
        <v>0</v>
      </c>
      <c r="Q156" s="29">
        <v>0.48594377510040099</v>
      </c>
      <c r="R156" s="30">
        <v>63895</v>
      </c>
      <c r="S156" s="29">
        <v>31</v>
      </c>
      <c r="T156" s="14">
        <v>314.38</v>
      </c>
      <c r="U156" s="41"/>
      <c r="V156">
        <v>146</v>
      </c>
      <c r="W156" t="b">
        <f>V156&gt;=$C$4</f>
        <v>1</v>
      </c>
      <c r="X156">
        <f>IF(V156&lt;=$C$5,11,ROW()-$C$5+1)</f>
        <v>11</v>
      </c>
      <c r="Y156" s="14">
        <f t="shared" si="64"/>
        <v>146</v>
      </c>
      <c r="Z156" s="10">
        <f t="shared" si="72"/>
        <v>0</v>
      </c>
      <c r="AA156" s="15">
        <f t="shared" si="73"/>
        <v>0</v>
      </c>
      <c r="AB156" s="15">
        <f t="shared" si="74"/>
        <v>5.4233834203061139E-2</v>
      </c>
      <c r="AC156" s="10">
        <f t="shared" si="65"/>
        <v>5.3643752920930904E-3</v>
      </c>
      <c r="AD156">
        <f t="shared" si="75"/>
        <v>0</v>
      </c>
      <c r="AE156">
        <f t="shared" si="82"/>
        <v>0</v>
      </c>
      <c r="AF156">
        <f t="shared" si="83"/>
        <v>0</v>
      </c>
      <c r="AG156">
        <f t="shared" si="85"/>
        <v>1.2026336260357534E-2</v>
      </c>
      <c r="AH156">
        <f t="shared" si="85"/>
        <v>1.2843998478982191E-2</v>
      </c>
      <c r="AI156">
        <f t="shared" si="76"/>
        <v>0.93633896640811098</v>
      </c>
      <c r="AJ156">
        <f t="shared" si="84"/>
        <v>48.356149550871777</v>
      </c>
      <c r="AK156" s="14">
        <f t="shared" si="66"/>
        <v>48.356149550871777</v>
      </c>
      <c r="AM156">
        <f t="shared" si="57"/>
        <v>0</v>
      </c>
      <c r="AN156" s="14">
        <f t="shared" si="77"/>
        <v>0</v>
      </c>
      <c r="AO156">
        <f t="shared" si="86"/>
        <v>0</v>
      </c>
      <c r="AP156" s="14">
        <f t="shared" si="87"/>
        <v>0.2</v>
      </c>
      <c r="AQ156">
        <f t="shared" si="78"/>
        <v>-3.4488442567868205E-3</v>
      </c>
      <c r="AR156">
        <f t="shared" si="79"/>
        <v>3.4488442567868205E-3</v>
      </c>
      <c r="AS156">
        <f t="shared" si="61"/>
        <v>-8.8560666986134081E-4</v>
      </c>
      <c r="AT156">
        <f t="shared" si="62"/>
        <v>1.1237570678335584E-2</v>
      </c>
      <c r="AU156" s="14">
        <f t="shared" si="67"/>
        <v>-7.8807661834658163E-2</v>
      </c>
      <c r="AV156" s="19">
        <f t="shared" si="63"/>
        <v>4.9684319603035605E-2</v>
      </c>
      <c r="AW156" s="19">
        <f t="shared" si="58"/>
        <v>-7.8508341511285273E-3</v>
      </c>
      <c r="AX156">
        <f t="shared" si="68"/>
        <v>1</v>
      </c>
      <c r="AY156">
        <f>IF(W156,SUMPRODUCT(INDEX(AX:AX,X156):INDEX(AX:AX,X156+Y156)),0)</f>
        <v>57</v>
      </c>
      <c r="AZ156">
        <f>IF(V156,COUNT(INDEX(AX:AX,X156):INDEX(AX:AX,ROW())),0)</f>
        <v>146</v>
      </c>
      <c r="BA156" s="14">
        <f t="shared" si="80"/>
        <v>0.3904109589041096</v>
      </c>
      <c r="BB156" s="6">
        <f t="shared" si="69"/>
        <v>0</v>
      </c>
      <c r="BC156" s="6">
        <f>MEDIAN(INDEX(BB:BB,X156):INDEX(BB:BB,X156+Y156-1))</f>
        <v>65682.5</v>
      </c>
      <c r="BD156" s="25">
        <f t="shared" si="70"/>
        <v>65682.5</v>
      </c>
      <c r="BE156">
        <f t="shared" si="81"/>
        <v>0</v>
      </c>
      <c r="BF156" s="6">
        <f>SUM(INDEX(BE:BE,X156):INDEX(BE:BE,X156+Y156-1))</f>
        <v>16</v>
      </c>
      <c r="BG156" s="25">
        <f t="shared" si="71"/>
        <v>16</v>
      </c>
    </row>
    <row r="157" spans="1:59" x14ac:dyDescent="0.3">
      <c r="A157" s="1">
        <v>44132</v>
      </c>
      <c r="B157">
        <v>10.11</v>
      </c>
      <c r="C157">
        <v>10.199999999999999</v>
      </c>
      <c r="D157">
        <v>10.08</v>
      </c>
      <c r="E157">
        <v>10.199999999999999</v>
      </c>
      <c r="F157">
        <v>75700</v>
      </c>
      <c r="G157" s="29">
        <v>5.8931417474270997E-2</v>
      </c>
      <c r="H157" s="29">
        <v>5.7775899484579403E-3</v>
      </c>
      <c r="I157" s="29">
        <v>1.1764705882352801E-2</v>
      </c>
      <c r="J157" s="29">
        <v>59.608169974754098</v>
      </c>
      <c r="K157" s="29">
        <v>8.9020771513352807E-3</v>
      </c>
      <c r="L157" s="29">
        <v>0.4</v>
      </c>
      <c r="M157" s="29">
        <v>-1.7522839898842599E-2</v>
      </c>
      <c r="N157" s="29">
        <v>7.0155775024878901E-3</v>
      </c>
      <c r="O157" s="29">
        <v>0</v>
      </c>
      <c r="P157" s="29">
        <v>8.9020771513352807E-3</v>
      </c>
      <c r="Q157" s="29">
        <v>0.48399999999999999</v>
      </c>
      <c r="R157" s="30">
        <v>64772.5</v>
      </c>
      <c r="S157" s="29">
        <v>31</v>
      </c>
      <c r="T157" s="14">
        <v>303.63499999999999</v>
      </c>
      <c r="U157" s="41"/>
      <c r="V157">
        <v>147</v>
      </c>
      <c r="W157" t="b">
        <f>V157&gt;=$C$4</f>
        <v>1</v>
      </c>
      <c r="X157">
        <f>IF(V157&lt;=$C$5,11,ROW()-$C$5+1)</f>
        <v>11</v>
      </c>
      <c r="Y157" s="14">
        <f t="shared" si="64"/>
        <v>147</v>
      </c>
      <c r="Z157" s="10">
        <f t="shared" si="72"/>
        <v>0.11999999999999922</v>
      </c>
      <c r="AA157" s="15">
        <f t="shared" si="73"/>
        <v>1.1764705882352865E-2</v>
      </c>
      <c r="AB157" s="15">
        <f t="shared" si="74"/>
        <v>5.8931417474271004E-2</v>
      </c>
      <c r="AC157" s="10">
        <f t="shared" si="65"/>
        <v>5.777589948457942E-3</v>
      </c>
      <c r="AD157">
        <f t="shared" si="75"/>
        <v>8.9999999999999858E-2</v>
      </c>
      <c r="AE157">
        <f t="shared" si="82"/>
        <v>8.9999999999999858E-2</v>
      </c>
      <c r="AF157">
        <f t="shared" si="83"/>
        <v>0</v>
      </c>
      <c r="AG157">
        <f t="shared" si="85"/>
        <v>1.7595883670331987E-2</v>
      </c>
      <c r="AH157">
        <f t="shared" si="85"/>
        <v>1.1926570016197749E-2</v>
      </c>
      <c r="AI157">
        <f t="shared" si="76"/>
        <v>1.4753515592860826</v>
      </c>
      <c r="AJ157">
        <f t="shared" si="84"/>
        <v>59.601697938679443</v>
      </c>
      <c r="AK157" s="14">
        <f t="shared" si="66"/>
        <v>59.601697938679443</v>
      </c>
      <c r="AM157">
        <f t="shared" si="57"/>
        <v>8.9020771513352859E-3</v>
      </c>
      <c r="AN157" s="14">
        <f t="shared" si="77"/>
        <v>8.9020771513352859E-3</v>
      </c>
      <c r="AO157">
        <f t="shared" si="86"/>
        <v>1</v>
      </c>
      <c r="AP157" s="14">
        <f t="shared" si="87"/>
        <v>0.4</v>
      </c>
      <c r="AQ157">
        <f t="shared" si="78"/>
        <v>-3.4178382848781719E-2</v>
      </c>
      <c r="AR157">
        <f t="shared" si="79"/>
        <v>4.3080460000116998E-2</v>
      </c>
      <c r="AS157">
        <f t="shared" si="61"/>
        <v>-2.1952219008724322E-4</v>
      </c>
      <c r="AT157">
        <f t="shared" si="62"/>
        <v>1.2527774684612728E-2</v>
      </c>
      <c r="AU157" s="14">
        <f t="shared" si="67"/>
        <v>-1.7522839898842683E-2</v>
      </c>
      <c r="AV157" s="19">
        <f t="shared" si="63"/>
        <v>7.0155775024880289E-3</v>
      </c>
      <c r="AW157" s="19">
        <f t="shared" si="58"/>
        <v>0</v>
      </c>
      <c r="AX157">
        <f t="shared" si="68"/>
        <v>0</v>
      </c>
      <c r="AY157">
        <f>IF(W157,SUMPRODUCT(INDEX(AX:AX,X157):INDEX(AX:AX,X157+Y157)),0)</f>
        <v>57</v>
      </c>
      <c r="AZ157">
        <f>IF(V157,COUNT(INDEX(AX:AX,X157):INDEX(AX:AX,ROW())),0)</f>
        <v>147</v>
      </c>
      <c r="BA157" s="14">
        <f t="shared" si="80"/>
        <v>0.38775510204081631</v>
      </c>
      <c r="BB157" s="6">
        <f t="shared" si="69"/>
        <v>772140</v>
      </c>
      <c r="BC157" s="6">
        <f>MEDIAN(INDEX(BB:BB,X157):INDEX(BB:BB,X157+Y157-1))</f>
        <v>65715</v>
      </c>
      <c r="BD157" s="25">
        <f t="shared" si="70"/>
        <v>65715</v>
      </c>
      <c r="BE157">
        <f t="shared" si="81"/>
        <v>0</v>
      </c>
      <c r="BF157" s="6">
        <f>SUM(INDEX(BE:BE,X157):INDEX(BE:BE,X157+Y157-1))</f>
        <v>16</v>
      </c>
      <c r="BG157" s="25">
        <f t="shared" si="71"/>
        <v>16</v>
      </c>
    </row>
    <row r="158" spans="1:59" x14ac:dyDescent="0.3">
      <c r="A158" s="1">
        <v>44133</v>
      </c>
      <c r="B158">
        <v>10.14</v>
      </c>
      <c r="C158">
        <v>10.14</v>
      </c>
      <c r="D158">
        <v>10.050000000000001</v>
      </c>
      <c r="E158">
        <v>10.050000000000001</v>
      </c>
      <c r="F158">
        <v>114700</v>
      </c>
      <c r="G158" s="29">
        <v>6.5436316226108696E-2</v>
      </c>
      <c r="H158" s="29">
        <v>6.5110762414038502E-3</v>
      </c>
      <c r="I158" s="29">
        <v>1.49253731343282E-2</v>
      </c>
      <c r="J158" s="29">
        <v>42.857001203837001</v>
      </c>
      <c r="K158" s="29">
        <v>-1.9860973187685298E-3</v>
      </c>
      <c r="L158" s="29">
        <v>0.4</v>
      </c>
      <c r="M158" s="29">
        <v>-3.8566605042039501E-2</v>
      </c>
      <c r="N158" s="29">
        <v>-9.6973337957219699E-3</v>
      </c>
      <c r="O158" s="29">
        <v>-1.4705882352940999E-2</v>
      </c>
      <c r="P158" s="29">
        <v>-1.4705882352940999E-2</v>
      </c>
      <c r="Q158" s="29">
        <v>0.48207171314740999</v>
      </c>
      <c r="R158" s="30">
        <v>65650</v>
      </c>
      <c r="S158" s="29">
        <v>31</v>
      </c>
      <c r="T158" s="14">
        <v>306.721</v>
      </c>
      <c r="U158" s="41"/>
      <c r="V158">
        <v>148</v>
      </c>
      <c r="W158" t="b">
        <f>V158&gt;=$C$4</f>
        <v>1</v>
      </c>
      <c r="X158">
        <f>IF(V158&lt;=$C$5,11,ROW()-$C$5+1)</f>
        <v>11</v>
      </c>
      <c r="Y158" s="14">
        <f t="shared" si="64"/>
        <v>148</v>
      </c>
      <c r="Z158" s="10">
        <f t="shared" si="72"/>
        <v>0.14999999999999858</v>
      </c>
      <c r="AA158" s="15">
        <f t="shared" si="73"/>
        <v>1.4925373134328216E-2</v>
      </c>
      <c r="AB158" s="15">
        <f t="shared" si="74"/>
        <v>6.5436316226108696E-2</v>
      </c>
      <c r="AC158" s="10">
        <f t="shared" si="65"/>
        <v>6.5110762414038502E-3</v>
      </c>
      <c r="AD158">
        <f t="shared" si="75"/>
        <v>-0.14999999999999858</v>
      </c>
      <c r="AE158">
        <f t="shared" si="82"/>
        <v>0</v>
      </c>
      <c r="AF158">
        <f t="shared" si="83"/>
        <v>0.14999999999999858</v>
      </c>
      <c r="AG158">
        <f t="shared" ref="AG158:AH173" si="88">(AE158+13*AG157)/14</f>
        <v>1.6339034836736845E-2</v>
      </c>
      <c r="AH158">
        <f t="shared" si="88"/>
        <v>2.1788957872183521E-2</v>
      </c>
      <c r="AI158">
        <f t="shared" si="76"/>
        <v>0.74987683819407347</v>
      </c>
      <c r="AJ158">
        <f t="shared" si="84"/>
        <v>42.853120964099929</v>
      </c>
      <c r="AK158" s="14">
        <f t="shared" si="66"/>
        <v>42.853120964099929</v>
      </c>
      <c r="AM158">
        <f t="shared" si="57"/>
        <v>-1.9860973187685316E-3</v>
      </c>
      <c r="AN158" s="14">
        <f t="shared" si="77"/>
        <v>-1.4705882352941013E-2</v>
      </c>
      <c r="AO158">
        <f t="shared" si="86"/>
        <v>0</v>
      </c>
      <c r="AP158" s="14">
        <f t="shared" si="87"/>
        <v>0.4</v>
      </c>
      <c r="AQ158">
        <f t="shared" si="78"/>
        <v>1.0163518698437235E-2</v>
      </c>
      <c r="AR158">
        <f t="shared" si="79"/>
        <v>-2.4869401051378234E-2</v>
      </c>
      <c r="AS158">
        <f t="shared" si="61"/>
        <v>-4.9664641308573728E-4</v>
      </c>
      <c r="AT158">
        <f t="shared" si="62"/>
        <v>1.2877628521991143E-2</v>
      </c>
      <c r="AU158" s="14">
        <f t="shared" si="67"/>
        <v>-3.8566605042039653E-2</v>
      </c>
      <c r="AV158" s="19">
        <f t="shared" si="63"/>
        <v>-9.6973337957220237E-3</v>
      </c>
      <c r="AW158" s="19">
        <f t="shared" si="58"/>
        <v>-1.4705882352941013E-2</v>
      </c>
      <c r="AX158">
        <f t="shared" si="68"/>
        <v>0</v>
      </c>
      <c r="AY158">
        <f>IF(W158,SUMPRODUCT(INDEX(AX:AX,X158):INDEX(AX:AX,X158+Y158)),0)</f>
        <v>58</v>
      </c>
      <c r="AZ158">
        <f>IF(V158,COUNT(INDEX(AX:AX,X158):INDEX(AX:AX,ROW())),0)</f>
        <v>148</v>
      </c>
      <c r="BA158" s="14">
        <f t="shared" si="80"/>
        <v>0.39189189189189189</v>
      </c>
      <c r="BB158" s="6">
        <f t="shared" si="69"/>
        <v>1152735</v>
      </c>
      <c r="BC158" s="6">
        <f>MEDIAN(INDEX(BB:BB,X158):INDEX(BB:BB,X158+Y158-1))</f>
        <v>67265.5</v>
      </c>
      <c r="BD158" s="25">
        <f t="shared" si="70"/>
        <v>67265.5</v>
      </c>
      <c r="BE158">
        <f t="shared" si="81"/>
        <v>0</v>
      </c>
      <c r="BF158" s="6">
        <f>SUM(INDEX(BE:BE,X158):INDEX(BE:BE,X158+Y158-1))</f>
        <v>16</v>
      </c>
      <c r="BG158" s="25">
        <f t="shared" si="71"/>
        <v>16</v>
      </c>
    </row>
    <row r="159" spans="1:59" x14ac:dyDescent="0.3">
      <c r="A159" s="1">
        <v>44134</v>
      </c>
      <c r="B159">
        <v>10.050000000000001</v>
      </c>
      <c r="C159">
        <v>10.050000000000001</v>
      </c>
      <c r="D159">
        <v>10.050000000000001</v>
      </c>
      <c r="E159">
        <v>10.050000000000001</v>
      </c>
      <c r="F159">
        <v>500</v>
      </c>
      <c r="G159" s="29">
        <v>6.0762293638529502E-2</v>
      </c>
      <c r="H159" s="29">
        <v>6.0459993670178604E-3</v>
      </c>
      <c r="I159" s="29">
        <v>0</v>
      </c>
      <c r="J159" s="29">
        <v>42.857001203837001</v>
      </c>
      <c r="K159" s="29">
        <v>-9.9403578528822691E-4</v>
      </c>
      <c r="L159" s="29">
        <v>0.2</v>
      </c>
      <c r="M159" s="29">
        <v>-1.7685588668899799E-2</v>
      </c>
      <c r="N159" s="29">
        <v>-1.03807173159269E-2</v>
      </c>
      <c r="O159" s="29">
        <v>-1.4705882352940999E-2</v>
      </c>
      <c r="P159" s="29">
        <v>0</v>
      </c>
      <c r="Q159" s="29">
        <v>0.48412698412698402</v>
      </c>
      <c r="R159" s="30">
        <v>64772.5</v>
      </c>
      <c r="S159" s="29">
        <v>31</v>
      </c>
      <c r="T159" s="14">
        <v>303.524</v>
      </c>
      <c r="U159" s="41"/>
      <c r="V159">
        <v>149</v>
      </c>
      <c r="W159" t="b">
        <f>V159&gt;=$C$4</f>
        <v>1</v>
      </c>
      <c r="X159">
        <f>IF(V159&lt;=$C$5,11,ROW()-$C$5+1)</f>
        <v>11</v>
      </c>
      <c r="Y159" s="14">
        <f t="shared" si="64"/>
        <v>149</v>
      </c>
      <c r="Z159" s="10">
        <f t="shared" si="72"/>
        <v>0</v>
      </c>
      <c r="AA159" s="15">
        <f t="shared" si="73"/>
        <v>0</v>
      </c>
      <c r="AB159" s="15">
        <f t="shared" si="74"/>
        <v>6.0762293638529509E-2</v>
      </c>
      <c r="AC159" s="10">
        <f t="shared" si="65"/>
        <v>6.0459993670178612E-3</v>
      </c>
      <c r="AD159">
        <f t="shared" si="75"/>
        <v>0</v>
      </c>
      <c r="AE159">
        <f t="shared" si="82"/>
        <v>0</v>
      </c>
      <c r="AF159">
        <f t="shared" si="83"/>
        <v>0</v>
      </c>
      <c r="AG159">
        <f t="shared" si="88"/>
        <v>1.517196091982707E-2</v>
      </c>
      <c r="AH159">
        <f t="shared" si="88"/>
        <v>2.0232603738456124E-2</v>
      </c>
      <c r="AI159">
        <f t="shared" si="76"/>
        <v>0.74987683819407358</v>
      </c>
      <c r="AJ159">
        <f t="shared" si="84"/>
        <v>42.853120964099936</v>
      </c>
      <c r="AK159" s="14">
        <f t="shared" si="66"/>
        <v>42.853120964099936</v>
      </c>
      <c r="AM159">
        <f t="shared" si="57"/>
        <v>-9.9403578528822756E-4</v>
      </c>
      <c r="AN159" s="14">
        <f t="shared" si="77"/>
        <v>0</v>
      </c>
      <c r="AO159">
        <f t="shared" si="86"/>
        <v>0</v>
      </c>
      <c r="AP159" s="14">
        <f t="shared" si="87"/>
        <v>0.2</v>
      </c>
      <c r="AQ159">
        <f t="shared" si="78"/>
        <v>-1.0423153289145559E-2</v>
      </c>
      <c r="AR159">
        <f t="shared" si="79"/>
        <v>1.0423153289145559E-2</v>
      </c>
      <c r="AS159">
        <f t="shared" si="61"/>
        <v>-2.2862313126268216E-4</v>
      </c>
      <c r="AT159">
        <f t="shared" si="62"/>
        <v>1.2927086315465153E-2</v>
      </c>
      <c r="AU159" s="14">
        <f t="shared" si="67"/>
        <v>-1.7685588668899955E-2</v>
      </c>
      <c r="AV159" s="19">
        <f t="shared" si="63"/>
        <v>-1.0380717315927053E-2</v>
      </c>
      <c r="AW159" s="19">
        <f t="shared" si="58"/>
        <v>-1.4705882352941013E-2</v>
      </c>
      <c r="AX159">
        <f t="shared" si="68"/>
        <v>1</v>
      </c>
      <c r="AY159">
        <f>IF(W159,SUMPRODUCT(INDEX(AX:AX,X159):INDEX(AX:AX,X159+Y159)),0)</f>
        <v>58</v>
      </c>
      <c r="AZ159">
        <f>IF(V159,COUNT(INDEX(AX:AX,X159):INDEX(AX:AX,ROW())),0)</f>
        <v>149</v>
      </c>
      <c r="BA159" s="14">
        <f t="shared" si="80"/>
        <v>0.38926174496644295</v>
      </c>
      <c r="BB159" s="6">
        <f t="shared" si="69"/>
        <v>5025</v>
      </c>
      <c r="BC159" s="6">
        <f>MEDIAN(INDEX(BB:BB,X159):INDEX(BB:BB,X159+Y159-1))</f>
        <v>65715</v>
      </c>
      <c r="BD159" s="25">
        <f t="shared" si="70"/>
        <v>65715</v>
      </c>
      <c r="BE159">
        <f t="shared" si="81"/>
        <v>0</v>
      </c>
      <c r="BF159" s="6">
        <f>SUM(INDEX(BE:BE,X159):INDEX(BE:BE,X159+Y159-1))</f>
        <v>16</v>
      </c>
      <c r="BG159" s="25">
        <f t="shared" si="71"/>
        <v>16</v>
      </c>
    </row>
    <row r="160" spans="1:59" x14ac:dyDescent="0.3">
      <c r="A160" s="1">
        <v>44137</v>
      </c>
      <c r="B160">
        <v>10.039999999999999</v>
      </c>
      <c r="C160">
        <v>10.199999999999999</v>
      </c>
      <c r="D160">
        <v>10</v>
      </c>
      <c r="E160">
        <v>10.045</v>
      </c>
      <c r="F160">
        <v>34200</v>
      </c>
      <c r="G160" s="29">
        <v>7.0707844092920205E-2</v>
      </c>
      <c r="H160" s="29">
        <v>7.03910842139574E-3</v>
      </c>
      <c r="I160" s="29">
        <v>1.9910403185664401E-2</v>
      </c>
      <c r="J160" s="29">
        <v>42.396409075565103</v>
      </c>
      <c r="K160" s="29">
        <v>-5.4455445544554504E-3</v>
      </c>
      <c r="L160" s="29">
        <v>0.2</v>
      </c>
      <c r="M160" s="29">
        <v>-2.8952598098702102E-2</v>
      </c>
      <c r="N160" s="29">
        <v>-1.1299071962755E-2</v>
      </c>
      <c r="O160" s="29">
        <v>-1.51960784313724E-2</v>
      </c>
      <c r="P160" s="29">
        <v>-4.9751243781104195E-4</v>
      </c>
      <c r="Q160" s="29">
        <v>0.48015873015873001</v>
      </c>
      <c r="R160" s="30">
        <v>64772.5</v>
      </c>
      <c r="S160" s="29">
        <v>31</v>
      </c>
      <c r="T160" s="14">
        <v>306.92599999999999</v>
      </c>
      <c r="U160" s="41"/>
      <c r="V160">
        <v>150</v>
      </c>
      <c r="W160" t="b">
        <f>V160&gt;=$C$4</f>
        <v>1</v>
      </c>
      <c r="X160">
        <f>IF(V160&lt;=$C$5,11,ROW()-$C$5+1)</f>
        <v>11</v>
      </c>
      <c r="Y160" s="14">
        <f t="shared" si="64"/>
        <v>150</v>
      </c>
      <c r="Z160" s="10">
        <f t="shared" si="72"/>
        <v>0.19999999999999929</v>
      </c>
      <c r="AA160" s="15">
        <f t="shared" si="73"/>
        <v>1.9910403185664439E-2</v>
      </c>
      <c r="AB160" s="15">
        <f t="shared" si="74"/>
        <v>7.0707844092920205E-2</v>
      </c>
      <c r="AC160" s="10">
        <f t="shared" si="65"/>
        <v>7.03910842139574E-3</v>
      </c>
      <c r="AD160">
        <f t="shared" si="75"/>
        <v>-5.0000000000007816E-3</v>
      </c>
      <c r="AE160">
        <f t="shared" si="82"/>
        <v>0</v>
      </c>
      <c r="AF160">
        <f t="shared" si="83"/>
        <v>5.0000000000007816E-3</v>
      </c>
      <c r="AG160">
        <f t="shared" si="88"/>
        <v>1.4088249425553709E-2</v>
      </c>
      <c r="AH160">
        <f t="shared" si="88"/>
        <v>1.9144560614280742E-2</v>
      </c>
      <c r="AI160">
        <f t="shared" si="76"/>
        <v>0.73588784351857539</v>
      </c>
      <c r="AJ160">
        <f t="shared" si="84"/>
        <v>42.392591564381263</v>
      </c>
      <c r="AK160" s="14">
        <f t="shared" si="66"/>
        <v>42.392591564381263</v>
      </c>
      <c r="AM160">
        <f t="shared" ref="AM160:AM223" si="89">E160/E139-1</f>
        <v>-5.4455445544554504E-3</v>
      </c>
      <c r="AN160" s="14">
        <f t="shared" si="77"/>
        <v>-4.9751243781104293E-4</v>
      </c>
      <c r="AO160">
        <f t="shared" si="86"/>
        <v>0</v>
      </c>
      <c r="AP160" s="14">
        <f t="shared" si="87"/>
        <v>0.2</v>
      </c>
      <c r="AQ160">
        <f t="shared" si="78"/>
        <v>1.1208339373492748E-2</v>
      </c>
      <c r="AR160">
        <f t="shared" si="79"/>
        <v>-1.170585181130379E-2</v>
      </c>
      <c r="AS160">
        <f t="shared" si="61"/>
        <v>-3.7653607183437196E-4</v>
      </c>
      <c r="AT160">
        <f t="shared" si="62"/>
        <v>1.3005260203271706E-2</v>
      </c>
      <c r="AU160" s="14">
        <f t="shared" si="67"/>
        <v>-2.8952598098702213E-2</v>
      </c>
      <c r="AV160" s="19">
        <f t="shared" si="63"/>
        <v>-1.1299071962755099E-2</v>
      </c>
      <c r="AW160" s="19">
        <f t="shared" ref="AW160:AW223" si="90">(E160/MAX(E140:E160)-1)</f>
        <v>-1.5196078431372495E-2</v>
      </c>
      <c r="AX160">
        <f t="shared" si="68"/>
        <v>0</v>
      </c>
      <c r="AY160">
        <f>IF(W160,SUMPRODUCT(INDEX(AX:AX,X160):INDEX(AX:AX,X160+Y160)),0)</f>
        <v>59</v>
      </c>
      <c r="AZ160">
        <f>IF(V160,COUNT(INDEX(AX:AX,X160):INDEX(AX:AX,ROW())),0)</f>
        <v>150</v>
      </c>
      <c r="BA160" s="14">
        <f t="shared" si="80"/>
        <v>0.39333333333333331</v>
      </c>
      <c r="BB160" s="6">
        <f t="shared" si="69"/>
        <v>343539</v>
      </c>
      <c r="BC160" s="6">
        <f>MEDIAN(INDEX(BB:BB,X160):INDEX(BB:BB,X160+Y160-1))</f>
        <v>67265.5</v>
      </c>
      <c r="BD160" s="25">
        <f t="shared" si="70"/>
        <v>67265.5</v>
      </c>
      <c r="BE160">
        <f t="shared" si="81"/>
        <v>0</v>
      </c>
      <c r="BF160" s="6">
        <f>SUM(INDEX(BE:BE,X160):INDEX(BE:BE,X160+Y160-1))</f>
        <v>16</v>
      </c>
      <c r="BG160" s="25">
        <f t="shared" si="71"/>
        <v>16</v>
      </c>
    </row>
    <row r="161" spans="1:59" x14ac:dyDescent="0.3">
      <c r="A161" s="1">
        <v>44138</v>
      </c>
      <c r="B161">
        <v>9.98</v>
      </c>
      <c r="C161">
        <v>9.98</v>
      </c>
      <c r="D161">
        <v>9.98</v>
      </c>
      <c r="E161">
        <v>9.98</v>
      </c>
      <c r="F161">
        <v>1000</v>
      </c>
      <c r="G161" s="29">
        <v>7.0300140943425807E-2</v>
      </c>
      <c r="H161" s="29">
        <v>7.0441022989404601E-3</v>
      </c>
      <c r="I161" s="29">
        <v>6.5130260521041499E-3</v>
      </c>
      <c r="J161" s="29">
        <v>36.851683013147301</v>
      </c>
      <c r="K161" s="29">
        <v>-1.6748768472906399E-2</v>
      </c>
      <c r="L161" s="29">
        <v>0.2</v>
      </c>
      <c r="M161" s="29">
        <v>-4.9592278837584297E-2</v>
      </c>
      <c r="N161" s="29">
        <v>-2.2663429005611101E-2</v>
      </c>
      <c r="O161" s="29">
        <v>-2.1568627450980302E-2</v>
      </c>
      <c r="P161" s="29">
        <v>-6.4708810353408799E-3</v>
      </c>
      <c r="Q161" s="29">
        <v>0.48015873015873001</v>
      </c>
      <c r="R161" s="30">
        <v>64772.5</v>
      </c>
      <c r="S161" s="29">
        <v>31</v>
      </c>
      <c r="T161" s="14">
        <v>312.34500000000003</v>
      </c>
      <c r="U161" s="41"/>
      <c r="V161">
        <v>151</v>
      </c>
      <c r="W161" t="b">
        <f>V161&gt;=$C$4</f>
        <v>1</v>
      </c>
      <c r="X161">
        <f>IF(V161&lt;=$C$5,11,ROW()-$C$5+1)</f>
        <v>11</v>
      </c>
      <c r="Y161" s="14">
        <f t="shared" si="64"/>
        <v>151</v>
      </c>
      <c r="Z161" s="10">
        <f t="shared" si="72"/>
        <v>6.4999999999999503E-2</v>
      </c>
      <c r="AA161" s="15">
        <f t="shared" si="73"/>
        <v>6.5130260521041585E-3</v>
      </c>
      <c r="AB161" s="15">
        <f t="shared" si="74"/>
        <v>7.0300140943425876E-2</v>
      </c>
      <c r="AC161" s="10">
        <f t="shared" si="65"/>
        <v>7.0441022989404679E-3</v>
      </c>
      <c r="AD161">
        <f t="shared" si="75"/>
        <v>-6.4999999999999503E-2</v>
      </c>
      <c r="AE161">
        <f t="shared" si="82"/>
        <v>0</v>
      </c>
      <c r="AF161">
        <f t="shared" si="83"/>
        <v>6.4999999999999503E-2</v>
      </c>
      <c r="AG161">
        <f t="shared" si="88"/>
        <v>1.3081945895157016E-2</v>
      </c>
      <c r="AH161">
        <f t="shared" si="88"/>
        <v>2.2419949141832079E-2</v>
      </c>
      <c r="AI161">
        <f t="shared" si="76"/>
        <v>0.58349578816609238</v>
      </c>
      <c r="AJ161">
        <f t="shared" si="84"/>
        <v>36.848584791113431</v>
      </c>
      <c r="AK161" s="14">
        <f t="shared" si="66"/>
        <v>36.848584791113431</v>
      </c>
      <c r="AM161">
        <f t="shared" si="89"/>
        <v>-1.6748768472906406E-2</v>
      </c>
      <c r="AN161" s="14">
        <f t="shared" si="77"/>
        <v>-6.4708810353408808E-3</v>
      </c>
      <c r="AO161">
        <f t="shared" si="86"/>
        <v>0</v>
      </c>
      <c r="AP161" s="14">
        <f t="shared" si="87"/>
        <v>0.2</v>
      </c>
      <c r="AQ161">
        <f t="shared" si="78"/>
        <v>1.7655721574581618E-2</v>
      </c>
      <c r="AR161">
        <f t="shared" si="79"/>
        <v>-2.4126602609922498E-2</v>
      </c>
      <c r="AS161">
        <f t="shared" si="61"/>
        <v>-6.6090592147359376E-4</v>
      </c>
      <c r="AT161">
        <f t="shared" si="62"/>
        <v>1.3326790721557121E-2</v>
      </c>
      <c r="AU161" s="14">
        <f t="shared" si="67"/>
        <v>-4.9592278837584429E-2</v>
      </c>
      <c r="AV161" s="19">
        <f t="shared" si="63"/>
        <v>-2.2663429005611368E-2</v>
      </c>
      <c r="AW161" s="19">
        <f t="shared" si="90"/>
        <v>-2.1568627450980316E-2</v>
      </c>
      <c r="AX161">
        <f t="shared" si="68"/>
        <v>1</v>
      </c>
      <c r="AY161">
        <f>IF(W161,SUMPRODUCT(INDEX(AX:AX,X161):INDEX(AX:AX,X161+Y161)),0)</f>
        <v>60</v>
      </c>
      <c r="AZ161">
        <f>IF(V161,COUNT(INDEX(AX:AX,X161):INDEX(AX:AX,ROW())),0)</f>
        <v>151</v>
      </c>
      <c r="BA161" s="14">
        <f t="shared" si="80"/>
        <v>0.39735099337748342</v>
      </c>
      <c r="BB161" s="6">
        <f t="shared" si="69"/>
        <v>9980</v>
      </c>
      <c r="BC161" s="6">
        <f>MEDIAN(INDEX(BB:BB,X161):INDEX(BB:BB,X161+Y161-1))</f>
        <v>65715</v>
      </c>
      <c r="BD161" s="25">
        <f t="shared" si="70"/>
        <v>65715</v>
      </c>
      <c r="BE161">
        <f t="shared" si="81"/>
        <v>0</v>
      </c>
      <c r="BF161" s="6">
        <f>SUM(INDEX(BE:BE,X161):INDEX(BE:BE,X161+Y161-1))</f>
        <v>16</v>
      </c>
      <c r="BG161" s="25">
        <f t="shared" si="71"/>
        <v>16</v>
      </c>
    </row>
    <row r="162" spans="1:59" x14ac:dyDescent="0.3">
      <c r="A162" s="1">
        <v>44139</v>
      </c>
      <c r="B162">
        <v>9.98</v>
      </c>
      <c r="C162">
        <v>9.98</v>
      </c>
      <c r="D162">
        <v>9.98</v>
      </c>
      <c r="E162">
        <v>9.98</v>
      </c>
      <c r="F162">
        <v>0</v>
      </c>
      <c r="G162" s="29">
        <v>6.5278702304609706E-2</v>
      </c>
      <c r="H162" s="29">
        <v>6.54095213473043E-3</v>
      </c>
      <c r="I162" s="29">
        <v>0</v>
      </c>
      <c r="J162" s="29">
        <v>36.851683013147301</v>
      </c>
      <c r="K162" s="29">
        <v>-9.9206349206348802E-3</v>
      </c>
      <c r="L162" s="29">
        <v>0</v>
      </c>
      <c r="M162" s="29">
        <v>-6.6953336990951198E-2</v>
      </c>
      <c r="N162" s="29">
        <v>-2.11079559247947E-2</v>
      </c>
      <c r="O162" s="29">
        <v>-2.1568627450980302E-2</v>
      </c>
      <c r="P162" s="29">
        <v>0</v>
      </c>
      <c r="Q162" s="29">
        <v>0.48015873015873001</v>
      </c>
      <c r="R162" s="30">
        <v>64772.5</v>
      </c>
      <c r="S162" s="29">
        <v>30</v>
      </c>
      <c r="T162" s="14">
        <v>319.32499999999999</v>
      </c>
      <c r="U162" s="41"/>
      <c r="V162">
        <v>152</v>
      </c>
      <c r="W162" t="b">
        <f>V162&gt;=$C$4</f>
        <v>1</v>
      </c>
      <c r="X162">
        <f>IF(V162&lt;=$C$5,11,ROW()-$C$5+1)</f>
        <v>11</v>
      </c>
      <c r="Y162" s="14">
        <f t="shared" si="64"/>
        <v>152</v>
      </c>
      <c r="Z162" s="10">
        <f t="shared" si="72"/>
        <v>0</v>
      </c>
      <c r="AA162" s="15">
        <f t="shared" si="73"/>
        <v>0</v>
      </c>
      <c r="AB162" s="15">
        <f t="shared" si="74"/>
        <v>6.5278702304609734E-2</v>
      </c>
      <c r="AC162" s="10">
        <f t="shared" si="65"/>
        <v>6.5409521347304343E-3</v>
      </c>
      <c r="AD162">
        <f t="shared" si="75"/>
        <v>0</v>
      </c>
      <c r="AE162">
        <f t="shared" si="82"/>
        <v>0</v>
      </c>
      <c r="AF162">
        <f t="shared" si="83"/>
        <v>0</v>
      </c>
      <c r="AG162">
        <f t="shared" si="88"/>
        <v>1.2147521188360086E-2</v>
      </c>
      <c r="AH162">
        <f t="shared" si="88"/>
        <v>2.0818524203129789E-2</v>
      </c>
      <c r="AI162">
        <f t="shared" si="76"/>
        <v>0.58349578816609238</v>
      </c>
      <c r="AJ162">
        <f t="shared" si="84"/>
        <v>36.848584791113431</v>
      </c>
      <c r="AK162" s="14">
        <f t="shared" si="66"/>
        <v>36.848584791113431</v>
      </c>
      <c r="AM162">
        <f t="shared" si="89"/>
        <v>-9.9206349206348854E-3</v>
      </c>
      <c r="AN162" s="14">
        <f t="shared" si="77"/>
        <v>0</v>
      </c>
      <c r="AO162">
        <f t="shared" si="86"/>
        <v>0</v>
      </c>
      <c r="AP162" s="14">
        <f t="shared" si="87"/>
        <v>0</v>
      </c>
      <c r="AQ162">
        <f t="shared" si="78"/>
        <v>2.2347084153740093E-2</v>
      </c>
      <c r="AR162">
        <f t="shared" si="79"/>
        <v>-2.2347084153740093E-2</v>
      </c>
      <c r="AS162">
        <f t="shared" si="61"/>
        <v>-9.0953298921954927E-4</v>
      </c>
      <c r="AT162">
        <f t="shared" si="62"/>
        <v>1.3584580397276858E-2</v>
      </c>
      <c r="AU162" s="14">
        <f t="shared" si="67"/>
        <v>-6.6953336990951351E-2</v>
      </c>
      <c r="AV162" s="19">
        <f t="shared" si="63"/>
        <v>-2.1107955924794895E-2</v>
      </c>
      <c r="AW162" s="19">
        <f t="shared" si="90"/>
        <v>-2.1568627450980316E-2</v>
      </c>
      <c r="AX162">
        <f t="shared" si="68"/>
        <v>1</v>
      </c>
      <c r="AY162">
        <f>IF(W162,SUMPRODUCT(INDEX(AX:AX,X162):INDEX(AX:AX,X162+Y162)),0)</f>
        <v>61</v>
      </c>
      <c r="AZ162">
        <f>IF(V162,COUNT(INDEX(AX:AX,X162):INDEX(AX:AX,ROW())),0)</f>
        <v>152</v>
      </c>
      <c r="BA162" s="14">
        <f t="shared" si="80"/>
        <v>0.40131578947368424</v>
      </c>
      <c r="BB162" s="6">
        <f t="shared" si="69"/>
        <v>0</v>
      </c>
      <c r="BC162" s="6">
        <f>MEDIAN(INDEX(BB:BB,X162):INDEX(BB:BB,X162+Y162-1))</f>
        <v>65682.5</v>
      </c>
      <c r="BD162" s="25">
        <f t="shared" si="70"/>
        <v>65682.5</v>
      </c>
      <c r="BE162">
        <f t="shared" si="81"/>
        <v>0</v>
      </c>
      <c r="BF162" s="6">
        <f>SUM(INDEX(BE:BE,X162):INDEX(BE:BE,X162+Y162-1))</f>
        <v>16</v>
      </c>
      <c r="BG162" s="25">
        <f t="shared" si="71"/>
        <v>16</v>
      </c>
    </row>
    <row r="163" spans="1:59" x14ac:dyDescent="0.3">
      <c r="A163" s="1">
        <v>44140</v>
      </c>
      <c r="B163">
        <v>9.98</v>
      </c>
      <c r="C163">
        <v>9.98</v>
      </c>
      <c r="D163">
        <v>9.98</v>
      </c>
      <c r="E163">
        <v>9.98</v>
      </c>
      <c r="F163">
        <v>0</v>
      </c>
      <c r="G163" s="29">
        <v>6.0615937854280398E-2</v>
      </c>
      <c r="H163" s="29">
        <v>6.0737412679639701E-3</v>
      </c>
      <c r="I163" s="29">
        <v>0</v>
      </c>
      <c r="J163" s="29">
        <v>36.851683013147301</v>
      </c>
      <c r="K163" s="29">
        <v>-1.2858555885261899E-2</v>
      </c>
      <c r="L163" s="29">
        <v>0</v>
      </c>
      <c r="M163" s="29">
        <v>-8.2032062353818297E-2</v>
      </c>
      <c r="N163" s="29">
        <v>-1.9826114171299199E-2</v>
      </c>
      <c r="O163" s="29">
        <v>-2.1568627450980302E-2</v>
      </c>
      <c r="P163" s="29">
        <v>0</v>
      </c>
      <c r="Q163" s="29">
        <v>0.48412698412698402</v>
      </c>
      <c r="R163" s="30">
        <v>63412.5</v>
      </c>
      <c r="S163" s="29">
        <v>31</v>
      </c>
      <c r="T163" s="14">
        <v>325.553</v>
      </c>
      <c r="U163" s="41"/>
      <c r="V163">
        <v>153</v>
      </c>
      <c r="W163" t="b">
        <f>V163&gt;=$C$4</f>
        <v>1</v>
      </c>
      <c r="X163">
        <f>IF(V163&lt;=$C$5,11,ROW()-$C$5+1)</f>
        <v>11</v>
      </c>
      <c r="Y163" s="14">
        <f t="shared" si="64"/>
        <v>153</v>
      </c>
      <c r="Z163" s="10">
        <f t="shared" si="72"/>
        <v>0</v>
      </c>
      <c r="AA163" s="15">
        <f t="shared" si="73"/>
        <v>0</v>
      </c>
      <c r="AB163" s="15">
        <f t="shared" si="74"/>
        <v>6.0615937854280467E-2</v>
      </c>
      <c r="AC163" s="10">
        <f t="shared" si="65"/>
        <v>6.0737412679639745E-3</v>
      </c>
      <c r="AD163">
        <f t="shared" si="75"/>
        <v>0</v>
      </c>
      <c r="AE163">
        <f t="shared" si="82"/>
        <v>0</v>
      </c>
      <c r="AF163">
        <f t="shared" si="83"/>
        <v>0</v>
      </c>
      <c r="AG163">
        <f t="shared" si="88"/>
        <v>1.1279841103477224E-2</v>
      </c>
      <c r="AH163">
        <f t="shared" si="88"/>
        <v>1.9331486760049088E-2</v>
      </c>
      <c r="AI163">
        <f t="shared" si="76"/>
        <v>0.58349578816609249</v>
      </c>
      <c r="AJ163">
        <f t="shared" si="84"/>
        <v>36.848584791113431</v>
      </c>
      <c r="AK163" s="14">
        <f t="shared" si="66"/>
        <v>36.848584791113431</v>
      </c>
      <c r="AM163">
        <f t="shared" si="89"/>
        <v>-1.2858555885261969E-2</v>
      </c>
      <c r="AN163" s="14">
        <f t="shared" si="77"/>
        <v>0</v>
      </c>
      <c r="AO163">
        <f t="shared" si="86"/>
        <v>0</v>
      </c>
      <c r="AP163" s="14">
        <f t="shared" si="87"/>
        <v>0</v>
      </c>
      <c r="AQ163">
        <f t="shared" si="78"/>
        <v>1.95036404916622E-2</v>
      </c>
      <c r="AR163">
        <f t="shared" si="79"/>
        <v>-1.95036404916622E-2</v>
      </c>
      <c r="AS163">
        <f t="shared" si="61"/>
        <v>-1.1298698295351415E-3</v>
      </c>
      <c r="AT163">
        <f t="shared" si="62"/>
        <v>1.3773514856445004E-2</v>
      </c>
      <c r="AU163" s="14">
        <f t="shared" si="67"/>
        <v>-8.2032062353818463E-2</v>
      </c>
      <c r="AV163" s="19">
        <f t="shared" si="63"/>
        <v>-1.9826114171299414E-2</v>
      </c>
      <c r="AW163" s="19">
        <f t="shared" si="90"/>
        <v>-2.1568627450980316E-2</v>
      </c>
      <c r="AX163">
        <f t="shared" si="68"/>
        <v>1</v>
      </c>
      <c r="AY163">
        <f>IF(W163,SUMPRODUCT(INDEX(AX:AX,X163):INDEX(AX:AX,X163+Y163)),0)</f>
        <v>61</v>
      </c>
      <c r="AZ163">
        <f>IF(V163,COUNT(INDEX(AX:AX,X163):INDEX(AX:AX,ROW())),0)</f>
        <v>153</v>
      </c>
      <c r="BA163" s="14">
        <f t="shared" si="80"/>
        <v>0.39869281045751637</v>
      </c>
      <c r="BB163" s="6">
        <f t="shared" si="69"/>
        <v>0</v>
      </c>
      <c r="BC163" s="6">
        <f>MEDIAN(INDEX(BB:BB,X163):INDEX(BB:BB,X163+Y163-1))</f>
        <v>65650</v>
      </c>
      <c r="BD163" s="25">
        <f t="shared" si="70"/>
        <v>65650</v>
      </c>
      <c r="BE163">
        <f t="shared" si="81"/>
        <v>1</v>
      </c>
      <c r="BF163" s="6">
        <f>SUM(INDEX(BE:BE,X163):INDEX(BE:BE,X163+Y163-1))</f>
        <v>17</v>
      </c>
      <c r="BG163" s="25">
        <f t="shared" si="71"/>
        <v>17</v>
      </c>
    </row>
    <row r="164" spans="1:59" x14ac:dyDescent="0.3">
      <c r="A164" s="1">
        <v>44141</v>
      </c>
      <c r="B164">
        <v>10.01</v>
      </c>
      <c r="C164">
        <v>10.105</v>
      </c>
      <c r="D164">
        <v>10.01</v>
      </c>
      <c r="E164">
        <v>10.01</v>
      </c>
      <c r="F164">
        <v>5200</v>
      </c>
      <c r="G164" s="29">
        <v>6.5214799436117493E-2</v>
      </c>
      <c r="H164" s="29">
        <v>6.5149649786331197E-3</v>
      </c>
      <c r="I164" s="29">
        <v>1.2487512487512399E-2</v>
      </c>
      <c r="J164" s="29">
        <v>41.278675754260398</v>
      </c>
      <c r="K164" s="29">
        <v>-9.4012864918357995E-3</v>
      </c>
      <c r="L164" s="29">
        <v>0.2</v>
      </c>
      <c r="M164" s="29">
        <v>-6.7088808215089099E-2</v>
      </c>
      <c r="N164" s="29">
        <v>-1.8753950456558699E-2</v>
      </c>
      <c r="O164" s="29">
        <v>-1.8627450980392E-2</v>
      </c>
      <c r="P164" s="29">
        <v>3.0060120240480402E-3</v>
      </c>
      <c r="Q164" s="29">
        <v>0.48015873015873001</v>
      </c>
      <c r="R164" s="30">
        <v>63412.5</v>
      </c>
      <c r="S164" s="29">
        <v>31</v>
      </c>
      <c r="T164" s="14">
        <v>325.47899999999998</v>
      </c>
      <c r="U164" s="41"/>
      <c r="V164">
        <v>154</v>
      </c>
      <c r="W164" t="b">
        <f>V164&gt;=$C$4</f>
        <v>1</v>
      </c>
      <c r="X164">
        <f>IF(V164&lt;=$C$5,11,ROW()-$C$5+1)</f>
        <v>11</v>
      </c>
      <c r="Y164" s="14">
        <f t="shared" si="64"/>
        <v>154</v>
      </c>
      <c r="Z164" s="10">
        <f t="shared" si="72"/>
        <v>0.125</v>
      </c>
      <c r="AA164" s="15">
        <f t="shared" si="73"/>
        <v>1.2487512487512488E-2</v>
      </c>
      <c r="AB164" s="15">
        <f t="shared" si="74"/>
        <v>6.5214799436117576E-2</v>
      </c>
      <c r="AC164" s="10">
        <f t="shared" si="65"/>
        <v>6.5149649786331249E-3</v>
      </c>
      <c r="AD164">
        <f t="shared" si="75"/>
        <v>2.9999999999999361E-2</v>
      </c>
      <c r="AE164">
        <f t="shared" si="82"/>
        <v>2.9999999999999361E-2</v>
      </c>
      <c r="AF164">
        <f t="shared" si="83"/>
        <v>0</v>
      </c>
      <c r="AG164">
        <f t="shared" si="88"/>
        <v>1.2616995310371663E-2</v>
      </c>
      <c r="AH164">
        <f t="shared" si="88"/>
        <v>1.7950666277188439E-2</v>
      </c>
      <c r="AI164">
        <f t="shared" si="76"/>
        <v>0.70287058516625855</v>
      </c>
      <c r="AJ164">
        <f t="shared" si="84"/>
        <v>41.275631353843266</v>
      </c>
      <c r="AK164" s="14">
        <f t="shared" si="66"/>
        <v>41.275631353843266</v>
      </c>
      <c r="AM164">
        <f t="shared" si="89"/>
        <v>-9.401286491835803E-3</v>
      </c>
      <c r="AN164" s="14">
        <f t="shared" si="77"/>
        <v>3.0060120240480437E-3</v>
      </c>
      <c r="AO164">
        <f t="shared" si="86"/>
        <v>1</v>
      </c>
      <c r="AP164" s="14">
        <f t="shared" si="87"/>
        <v>0.2</v>
      </c>
      <c r="AQ164">
        <f t="shared" si="78"/>
        <v>-2.2730553857597258E-4</v>
      </c>
      <c r="AR164">
        <f t="shared" si="79"/>
        <v>3.2333175626240128E-3</v>
      </c>
      <c r="AS164">
        <f t="shared" si="61"/>
        <v>-9.2167668943641254E-4</v>
      </c>
      <c r="AT164">
        <f t="shared" si="62"/>
        <v>1.3738158628209393E-2</v>
      </c>
      <c r="AU164" s="14">
        <f t="shared" si="67"/>
        <v>-6.7088808215089168E-2</v>
      </c>
      <c r="AV164" s="19">
        <f t="shared" si="63"/>
        <v>-1.8753950456558852E-2</v>
      </c>
      <c r="AW164" s="19">
        <f t="shared" si="90"/>
        <v>-1.8627450980392091E-2</v>
      </c>
      <c r="AX164">
        <f t="shared" si="68"/>
        <v>0</v>
      </c>
      <c r="AY164">
        <f>IF(W164,SUMPRODUCT(INDEX(AX:AX,X164):INDEX(AX:AX,X164+Y164)),0)</f>
        <v>62</v>
      </c>
      <c r="AZ164">
        <f>IF(V164,COUNT(INDEX(AX:AX,X164):INDEX(AX:AX,ROW())),0)</f>
        <v>154</v>
      </c>
      <c r="BA164" s="14">
        <f t="shared" si="80"/>
        <v>0.40259740259740262</v>
      </c>
      <c r="BB164" s="6">
        <f t="shared" si="69"/>
        <v>52052</v>
      </c>
      <c r="BC164" s="6">
        <f>MEDIAN(INDEX(BB:BB,X164):INDEX(BB:BB,X164+Y164-1))</f>
        <v>64290</v>
      </c>
      <c r="BD164" s="25">
        <f t="shared" si="70"/>
        <v>64290</v>
      </c>
      <c r="BE164">
        <f t="shared" si="81"/>
        <v>0</v>
      </c>
      <c r="BF164" s="6">
        <f>SUM(INDEX(BE:BE,X164):INDEX(BE:BE,X164+Y164-1))</f>
        <v>17</v>
      </c>
      <c r="BG164" s="25">
        <f t="shared" si="71"/>
        <v>17</v>
      </c>
    </row>
    <row r="165" spans="1:59" x14ac:dyDescent="0.3">
      <c r="A165" s="1">
        <v>44144</v>
      </c>
      <c r="B165">
        <v>10.029999999999999</v>
      </c>
      <c r="C165">
        <v>10.029999999999999</v>
      </c>
      <c r="D165">
        <v>10.029999999999999</v>
      </c>
      <c r="E165">
        <v>10.029999999999999</v>
      </c>
      <c r="F165">
        <v>200</v>
      </c>
      <c r="G165" s="29">
        <v>6.1985170904966302E-2</v>
      </c>
      <c r="H165" s="29">
        <v>6.1799771590195698E-3</v>
      </c>
      <c r="I165" s="29">
        <v>1.9940179461614702E-3</v>
      </c>
      <c r="J165" s="29">
        <v>44.092583640279798</v>
      </c>
      <c r="K165" s="29">
        <v>-6.9306930693069299E-3</v>
      </c>
      <c r="L165" s="29">
        <v>0.4</v>
      </c>
      <c r="M165" s="29">
        <v>-8.6406292101743706E-2</v>
      </c>
      <c r="N165" s="29">
        <v>-1.8050998459811601E-2</v>
      </c>
      <c r="O165" s="29">
        <v>-1.6666666666666601E-2</v>
      </c>
      <c r="P165" s="29">
        <v>1.9980019980019299E-3</v>
      </c>
      <c r="Q165" s="29">
        <v>0.48015873015873001</v>
      </c>
      <c r="R165" s="30">
        <v>63412.5</v>
      </c>
      <c r="S165" s="29">
        <v>30</v>
      </c>
      <c r="T165" s="14">
        <v>329.56900000000002</v>
      </c>
      <c r="U165" s="41"/>
      <c r="V165">
        <v>155</v>
      </c>
      <c r="W165" t="b">
        <f>V165&gt;=$C$4</f>
        <v>1</v>
      </c>
      <c r="X165">
        <f>IF(V165&lt;=$C$5,11,ROW()-$C$5+1)</f>
        <v>11</v>
      </c>
      <c r="Y165" s="14">
        <f t="shared" si="64"/>
        <v>155</v>
      </c>
      <c r="Z165" s="10">
        <f t="shared" si="72"/>
        <v>1.9999999999999574E-2</v>
      </c>
      <c r="AA165" s="15">
        <f t="shared" si="73"/>
        <v>1.9940179461614732E-3</v>
      </c>
      <c r="AB165" s="15">
        <f t="shared" si="74"/>
        <v>6.1985170904966296E-2</v>
      </c>
      <c r="AC165" s="10">
        <f t="shared" si="65"/>
        <v>6.1799771590195715E-3</v>
      </c>
      <c r="AD165">
        <f t="shared" si="75"/>
        <v>1.9999999999999574E-2</v>
      </c>
      <c r="AE165">
        <f t="shared" si="82"/>
        <v>1.9999999999999574E-2</v>
      </c>
      <c r="AF165">
        <f t="shared" si="83"/>
        <v>0</v>
      </c>
      <c r="AG165">
        <f t="shared" si="88"/>
        <v>1.3144352788202227E-2</v>
      </c>
      <c r="AH165">
        <f t="shared" si="88"/>
        <v>1.6668475828817836E-2</v>
      </c>
      <c r="AI165">
        <f t="shared" si="76"/>
        <v>0.78857556762791625</v>
      </c>
      <c r="AJ165">
        <f t="shared" si="84"/>
        <v>44.089586255153769</v>
      </c>
      <c r="AK165" s="14">
        <f t="shared" si="66"/>
        <v>44.089586255153769</v>
      </c>
      <c r="AM165">
        <f t="shared" si="89"/>
        <v>-6.9306930693069368E-3</v>
      </c>
      <c r="AN165" s="14">
        <f t="shared" si="77"/>
        <v>1.9980019980019303E-3</v>
      </c>
      <c r="AO165">
        <f t="shared" si="86"/>
        <v>1</v>
      </c>
      <c r="AP165" s="14">
        <f t="shared" si="87"/>
        <v>0.4</v>
      </c>
      <c r="AQ165">
        <f t="shared" si="78"/>
        <v>1.256609489398719E-2</v>
      </c>
      <c r="AR165">
        <f t="shared" si="79"/>
        <v>-1.0568092895985259E-2</v>
      </c>
      <c r="AS165">
        <f t="shared" si="61"/>
        <v>-1.1889309203426367E-3</v>
      </c>
      <c r="AT165">
        <f t="shared" si="62"/>
        <v>1.3759772482108875E-2</v>
      </c>
      <c r="AU165" s="14">
        <f t="shared" si="67"/>
        <v>-8.6406292101743859E-2</v>
      </c>
      <c r="AV165" s="19">
        <f t="shared" si="63"/>
        <v>-1.8050998459811743E-2</v>
      </c>
      <c r="AW165" s="19">
        <f t="shared" si="90"/>
        <v>-1.6666666666666607E-2</v>
      </c>
      <c r="AX165">
        <f t="shared" si="68"/>
        <v>1</v>
      </c>
      <c r="AY165">
        <f>IF(W165,SUMPRODUCT(INDEX(AX:AX,X165):INDEX(AX:AX,X165+Y165)),0)</f>
        <v>63</v>
      </c>
      <c r="AZ165">
        <f>IF(V165,COUNT(INDEX(AX:AX,X165):INDEX(AX:AX,ROW())),0)</f>
        <v>155</v>
      </c>
      <c r="BA165" s="14">
        <f t="shared" si="80"/>
        <v>0.40645161290322579</v>
      </c>
      <c r="BB165" s="6">
        <f t="shared" si="69"/>
        <v>2005.9999999999998</v>
      </c>
      <c r="BC165" s="6">
        <f>MEDIAN(INDEX(BB:BB,X165):INDEX(BB:BB,X165+Y165-1))</f>
        <v>62930</v>
      </c>
      <c r="BD165" s="25">
        <f t="shared" si="70"/>
        <v>62930</v>
      </c>
      <c r="BE165">
        <f t="shared" si="81"/>
        <v>0</v>
      </c>
      <c r="BF165" s="6">
        <f>SUM(INDEX(BE:BE,X165):INDEX(BE:BE,X165+Y165-1))</f>
        <v>17</v>
      </c>
      <c r="BG165" s="25">
        <f t="shared" si="71"/>
        <v>17</v>
      </c>
    </row>
    <row r="166" spans="1:59" x14ac:dyDescent="0.3">
      <c r="A166" s="1">
        <v>44145</v>
      </c>
      <c r="B166">
        <v>10.07</v>
      </c>
      <c r="C166">
        <v>10.07</v>
      </c>
      <c r="D166">
        <v>10.07</v>
      </c>
      <c r="E166">
        <v>10.07</v>
      </c>
      <c r="F166">
        <v>100</v>
      </c>
      <c r="G166" s="29">
        <v>6.0414801554611597E-2</v>
      </c>
      <c r="H166" s="29">
        <v>5.9994837690776201E-3</v>
      </c>
      <c r="I166" s="29">
        <v>3.9721946375373303E-3</v>
      </c>
      <c r="J166" s="29">
        <v>49.3230365762807</v>
      </c>
      <c r="K166" s="29">
        <v>-2.9702970297028602E-3</v>
      </c>
      <c r="L166" s="29">
        <v>0.6</v>
      </c>
      <c r="M166" s="29">
        <v>-6.4369324808893694E-2</v>
      </c>
      <c r="N166" s="29">
        <v>-1.93408546355553E-2</v>
      </c>
      <c r="O166" s="29">
        <v>-1.2745098039215599E-2</v>
      </c>
      <c r="P166" s="29">
        <v>3.9880358923232101E-3</v>
      </c>
      <c r="Q166" s="29">
        <v>0.48015873015873001</v>
      </c>
      <c r="R166" s="30">
        <v>63412.5</v>
      </c>
      <c r="S166" s="29">
        <v>29</v>
      </c>
      <c r="T166" s="14">
        <v>329.08499999999998</v>
      </c>
      <c r="U166" s="41"/>
      <c r="V166">
        <v>156</v>
      </c>
      <c r="W166" t="b">
        <f>V166&gt;=$C$4</f>
        <v>1</v>
      </c>
      <c r="X166">
        <f>IF(V166&lt;=$C$5,11,ROW()-$C$5+1)</f>
        <v>11</v>
      </c>
      <c r="Y166" s="14">
        <f t="shared" si="64"/>
        <v>156</v>
      </c>
      <c r="Z166" s="10">
        <f t="shared" si="72"/>
        <v>4.0000000000000924E-2</v>
      </c>
      <c r="AA166" s="15">
        <f t="shared" si="73"/>
        <v>3.9721946375373312E-3</v>
      </c>
      <c r="AB166" s="15">
        <f t="shared" si="74"/>
        <v>6.0414801554611632E-2</v>
      </c>
      <c r="AC166" s="10">
        <f t="shared" si="65"/>
        <v>5.9994837690776201E-3</v>
      </c>
      <c r="AD166">
        <f t="shared" si="75"/>
        <v>4.0000000000000924E-2</v>
      </c>
      <c r="AE166">
        <f t="shared" si="82"/>
        <v>4.0000000000000924E-2</v>
      </c>
      <c r="AF166">
        <f t="shared" si="83"/>
        <v>0</v>
      </c>
      <c r="AG166">
        <f t="shared" si="88"/>
        <v>1.5062613303330707E-2</v>
      </c>
      <c r="AH166">
        <f t="shared" si="88"/>
        <v>1.5477870412473704E-2</v>
      </c>
      <c r="AI166">
        <f t="shared" si="76"/>
        <v>0.97317091446841819</v>
      </c>
      <c r="AJ166">
        <f t="shared" si="84"/>
        <v>49.320153025395427</v>
      </c>
      <c r="AK166" s="14">
        <f t="shared" si="66"/>
        <v>49.320153025395427</v>
      </c>
      <c r="AM166">
        <f t="shared" si="89"/>
        <v>-2.9702970297028619E-3</v>
      </c>
      <c r="AN166" s="14">
        <f t="shared" si="77"/>
        <v>3.9880358923232162E-3</v>
      </c>
      <c r="AO166">
        <f t="shared" si="86"/>
        <v>1</v>
      </c>
      <c r="AP166" s="14">
        <f t="shared" si="87"/>
        <v>0.6</v>
      </c>
      <c r="AQ166">
        <f t="shared" si="78"/>
        <v>-1.4685847273258057E-3</v>
      </c>
      <c r="AR166">
        <f t="shared" si="79"/>
        <v>5.4566206196490158E-3</v>
      </c>
      <c r="AS166">
        <f t="shared" si="61"/>
        <v>-8.8099856871200405E-4</v>
      </c>
      <c r="AT166">
        <f t="shared" si="62"/>
        <v>1.3686621248981573E-2</v>
      </c>
      <c r="AU166" s="14">
        <f t="shared" si="67"/>
        <v>-6.4369324808893902E-2</v>
      </c>
      <c r="AV166" s="19">
        <f t="shared" si="63"/>
        <v>-1.9340854635555498E-2</v>
      </c>
      <c r="AW166" s="19">
        <f t="shared" si="90"/>
        <v>-1.2745098039215641E-2</v>
      </c>
      <c r="AX166">
        <f t="shared" si="68"/>
        <v>1</v>
      </c>
      <c r="AY166">
        <f>IF(W166,SUMPRODUCT(INDEX(AX:AX,X166):INDEX(AX:AX,X166+Y166)),0)</f>
        <v>64</v>
      </c>
      <c r="AZ166">
        <f>IF(V166,COUNT(INDEX(AX:AX,X166):INDEX(AX:AX,ROW())),0)</f>
        <v>156</v>
      </c>
      <c r="BA166" s="14">
        <f t="shared" si="80"/>
        <v>0.41025641025641024</v>
      </c>
      <c r="BB166" s="6">
        <f t="shared" si="69"/>
        <v>1007</v>
      </c>
      <c r="BC166" s="6">
        <f>MEDIAN(INDEX(BB:BB,X166):INDEX(BB:BB,X166+Y166-1))</f>
        <v>62087</v>
      </c>
      <c r="BD166" s="25">
        <f t="shared" si="70"/>
        <v>62087</v>
      </c>
      <c r="BE166">
        <f t="shared" si="81"/>
        <v>0</v>
      </c>
      <c r="BF166" s="6">
        <f>SUM(INDEX(BE:BE,X166):INDEX(BE:BE,X166+Y166-1))</f>
        <v>17</v>
      </c>
      <c r="BG166" s="25">
        <f t="shared" si="71"/>
        <v>17</v>
      </c>
    </row>
    <row r="167" spans="1:59" x14ac:dyDescent="0.3">
      <c r="A167" s="1">
        <v>44146</v>
      </c>
      <c r="B167">
        <v>10.07</v>
      </c>
      <c r="C167">
        <v>10.07</v>
      </c>
      <c r="D167">
        <v>10.07</v>
      </c>
      <c r="E167">
        <v>10.07</v>
      </c>
      <c r="F167">
        <v>0</v>
      </c>
      <c r="G167" s="29">
        <v>5.6099458586424997E-2</v>
      </c>
      <c r="H167" s="29">
        <v>5.5709492141435002E-3</v>
      </c>
      <c r="I167" s="29">
        <v>0</v>
      </c>
      <c r="J167" s="29">
        <v>49.3230365762807</v>
      </c>
      <c r="K167" s="29">
        <v>-4.9407114624504499E-3</v>
      </c>
      <c r="L167" s="29">
        <v>0.6</v>
      </c>
      <c r="M167" s="29">
        <v>-7.9709483781999296E-2</v>
      </c>
      <c r="N167" s="29">
        <v>-1.8170177984053501E-2</v>
      </c>
      <c r="O167" s="29">
        <v>-1.2745098039215599E-2</v>
      </c>
      <c r="P167" s="29">
        <v>0</v>
      </c>
      <c r="Q167" s="29">
        <v>0.48015873015873001</v>
      </c>
      <c r="R167" s="30">
        <v>63412.5</v>
      </c>
      <c r="S167" s="29">
        <v>29</v>
      </c>
      <c r="T167" s="14">
        <v>331.53</v>
      </c>
      <c r="U167" s="41"/>
      <c r="V167">
        <v>157</v>
      </c>
      <c r="W167" t="b">
        <f>V167&gt;=$C$4</f>
        <v>1</v>
      </c>
      <c r="X167">
        <f>IF(V167&lt;=$C$5,11,ROW()-$C$5+1)</f>
        <v>11</v>
      </c>
      <c r="Y167" s="14">
        <f t="shared" si="64"/>
        <v>157</v>
      </c>
      <c r="Z167" s="10">
        <f t="shared" si="72"/>
        <v>0</v>
      </c>
      <c r="AA167" s="15">
        <f t="shared" si="73"/>
        <v>0</v>
      </c>
      <c r="AB167" s="15">
        <f t="shared" si="74"/>
        <v>5.6099458586425087E-2</v>
      </c>
      <c r="AC167" s="10">
        <f t="shared" si="65"/>
        <v>5.5709492141435037E-3</v>
      </c>
      <c r="AD167">
        <f t="shared" si="75"/>
        <v>0</v>
      </c>
      <c r="AE167">
        <f t="shared" si="82"/>
        <v>0</v>
      </c>
      <c r="AF167">
        <f t="shared" si="83"/>
        <v>0</v>
      </c>
      <c r="AG167">
        <f t="shared" si="88"/>
        <v>1.39867123530928E-2</v>
      </c>
      <c r="AH167">
        <f t="shared" si="88"/>
        <v>1.4372308240154152E-2</v>
      </c>
      <c r="AI167">
        <f t="shared" si="76"/>
        <v>0.9731709144684183</v>
      </c>
      <c r="AJ167">
        <f t="shared" si="84"/>
        <v>49.320153025395435</v>
      </c>
      <c r="AK167" s="14">
        <f t="shared" si="66"/>
        <v>49.320153025395435</v>
      </c>
      <c r="AM167">
        <f t="shared" si="89"/>
        <v>-4.9407114624504533E-3</v>
      </c>
      <c r="AN167" s="14">
        <f t="shared" si="77"/>
        <v>0</v>
      </c>
      <c r="AO167">
        <f t="shared" si="86"/>
        <v>0</v>
      </c>
      <c r="AP167" s="14">
        <f t="shared" si="87"/>
        <v>0.6</v>
      </c>
      <c r="AQ167">
        <f t="shared" si="78"/>
        <v>7.4296914171110284E-3</v>
      </c>
      <c r="AR167">
        <f t="shared" si="79"/>
        <v>-7.4296914171110284E-3</v>
      </c>
      <c r="AS167">
        <f t="shared" si="61"/>
        <v>-1.090750701369192E-3</v>
      </c>
      <c r="AT167">
        <f t="shared" si="62"/>
        <v>1.3684076845263843E-2</v>
      </c>
      <c r="AU167" s="14">
        <f t="shared" si="67"/>
        <v>-7.9709483781999421E-2</v>
      </c>
      <c r="AV167" s="19">
        <f t="shared" si="63"/>
        <v>-1.8170177984053695E-2</v>
      </c>
      <c r="AW167" s="19">
        <f t="shared" si="90"/>
        <v>-1.2745098039215641E-2</v>
      </c>
      <c r="AX167">
        <f t="shared" si="68"/>
        <v>1</v>
      </c>
      <c r="AY167">
        <f>IF(W167,SUMPRODUCT(INDEX(AX:AX,X167):INDEX(AX:AX,X167+Y167)),0)</f>
        <v>65</v>
      </c>
      <c r="AZ167">
        <f>IF(V167,COUNT(INDEX(AX:AX,X167):INDEX(AX:AX,ROW())),0)</f>
        <v>157</v>
      </c>
      <c r="BA167" s="14">
        <f t="shared" si="80"/>
        <v>0.4140127388535032</v>
      </c>
      <c r="BB167" s="6">
        <f t="shared" si="69"/>
        <v>0</v>
      </c>
      <c r="BC167" s="6">
        <f>MEDIAN(INDEX(BB:BB,X167):INDEX(BB:BB,X167+Y167-1))</f>
        <v>61243.999999999993</v>
      </c>
      <c r="BD167" s="25">
        <f t="shared" si="70"/>
        <v>61243.999999999993</v>
      </c>
      <c r="BE167">
        <f t="shared" si="81"/>
        <v>0</v>
      </c>
      <c r="BF167" s="6">
        <f>SUM(INDEX(BE:BE,X167):INDEX(BE:BE,X167+Y167-1))</f>
        <v>17</v>
      </c>
      <c r="BG167" s="25">
        <f t="shared" si="71"/>
        <v>17</v>
      </c>
    </row>
    <row r="168" spans="1:59" x14ac:dyDescent="0.3">
      <c r="A168" s="1">
        <v>44147</v>
      </c>
      <c r="B168">
        <v>10.11</v>
      </c>
      <c r="C168">
        <v>10.11</v>
      </c>
      <c r="D168">
        <v>10.11</v>
      </c>
      <c r="E168">
        <v>10.11</v>
      </c>
      <c r="F168">
        <v>3300</v>
      </c>
      <c r="G168" s="29">
        <v>5.4949497258823199E-2</v>
      </c>
      <c r="H168" s="29">
        <v>5.4351629336125799E-3</v>
      </c>
      <c r="I168" s="29">
        <v>3.95647873392672E-3</v>
      </c>
      <c r="J168" s="29">
        <v>54.283396600467803</v>
      </c>
      <c r="K168" s="29">
        <v>0</v>
      </c>
      <c r="L168" s="29">
        <v>0.8</v>
      </c>
      <c r="M168" s="29">
        <v>-5.8707247935124898E-2</v>
      </c>
      <c r="N168" s="29">
        <v>-2.2473461287884602E-2</v>
      </c>
      <c r="O168" s="29">
        <v>-8.8235294117646693E-3</v>
      </c>
      <c r="P168" s="29">
        <v>3.9721946375370597E-3</v>
      </c>
      <c r="Q168" s="29">
        <v>0.48015873015873001</v>
      </c>
      <c r="R168" s="30">
        <v>62087</v>
      </c>
      <c r="S168" s="29">
        <v>29</v>
      </c>
      <c r="T168" s="14">
        <v>328.31400000000002</v>
      </c>
      <c r="U168" s="41"/>
      <c r="V168">
        <v>158</v>
      </c>
      <c r="W168" t="b">
        <f>V168&gt;=$C$4</f>
        <v>1</v>
      </c>
      <c r="X168">
        <f>IF(V168&lt;=$C$5,11,ROW()-$C$5+1)</f>
        <v>11</v>
      </c>
      <c r="Y168" s="14">
        <f t="shared" si="64"/>
        <v>158</v>
      </c>
      <c r="Z168" s="10">
        <f t="shared" si="72"/>
        <v>3.9999999999999147E-2</v>
      </c>
      <c r="AA168" s="15">
        <f t="shared" si="73"/>
        <v>3.9564787339267209E-3</v>
      </c>
      <c r="AB168" s="15">
        <f t="shared" si="74"/>
        <v>5.4949497258823234E-2</v>
      </c>
      <c r="AC168" s="10">
        <f t="shared" si="65"/>
        <v>5.4351629336125851E-3</v>
      </c>
      <c r="AD168">
        <f t="shared" si="75"/>
        <v>3.9999999999999147E-2</v>
      </c>
      <c r="AE168">
        <f t="shared" si="82"/>
        <v>3.9999999999999147E-2</v>
      </c>
      <c r="AF168">
        <f t="shared" si="83"/>
        <v>0</v>
      </c>
      <c r="AG168">
        <f t="shared" si="88"/>
        <v>1.5844804327871824E-2</v>
      </c>
      <c r="AH168">
        <f t="shared" si="88"/>
        <v>1.3345714794428854E-2</v>
      </c>
      <c r="AI168">
        <f t="shared" si="76"/>
        <v>1.1872578255970381</v>
      </c>
      <c r="AJ168">
        <f t="shared" si="84"/>
        <v>54.28065277457457</v>
      </c>
      <c r="AK168" s="14">
        <f t="shared" si="66"/>
        <v>54.28065277457457</v>
      </c>
      <c r="AM168">
        <f t="shared" si="89"/>
        <v>0</v>
      </c>
      <c r="AN168" s="14">
        <f t="shared" si="77"/>
        <v>3.9721946375370631E-3</v>
      </c>
      <c r="AO168">
        <f t="shared" si="86"/>
        <v>1</v>
      </c>
      <c r="AP168" s="14">
        <f t="shared" si="87"/>
        <v>0.8</v>
      </c>
      <c r="AQ168">
        <f t="shared" si="78"/>
        <v>-9.7004795946066258E-3</v>
      </c>
      <c r="AR168">
        <f t="shared" si="79"/>
        <v>1.3672674232143685E-2</v>
      </c>
      <c r="AS168">
        <f t="shared" si="61"/>
        <v>-8.1040258666946095E-4</v>
      </c>
      <c r="AT168">
        <f t="shared" si="62"/>
        <v>1.3804131775432629E-2</v>
      </c>
      <c r="AU168" s="14">
        <f t="shared" si="67"/>
        <v>-5.8707247935125023E-2</v>
      </c>
      <c r="AV168" s="19">
        <f t="shared" si="63"/>
        <v>-2.2473461287884876E-2</v>
      </c>
      <c r="AW168" s="19">
        <f t="shared" si="90"/>
        <v>-8.8235294117646745E-3</v>
      </c>
      <c r="AX168">
        <f t="shared" si="68"/>
        <v>1</v>
      </c>
      <c r="AY168">
        <f>IF(W168,SUMPRODUCT(INDEX(AX:AX,X168):INDEX(AX:AX,X168+Y168)),0)</f>
        <v>66</v>
      </c>
      <c r="AZ168">
        <f>IF(V168,COUNT(INDEX(AX:AX,X168):INDEX(AX:AX,ROW())),0)</f>
        <v>158</v>
      </c>
      <c r="BA168" s="14">
        <f t="shared" si="80"/>
        <v>0.41772151898734178</v>
      </c>
      <c r="BB168" s="6">
        <f t="shared" si="69"/>
        <v>33363</v>
      </c>
      <c r="BC168" s="6">
        <f>MEDIAN(INDEX(BB:BB,X168):INDEX(BB:BB,X168+Y168-1))</f>
        <v>60802</v>
      </c>
      <c r="BD168" s="25">
        <f t="shared" si="70"/>
        <v>60802</v>
      </c>
      <c r="BE168">
        <f t="shared" si="81"/>
        <v>0</v>
      </c>
      <c r="BF168" s="6">
        <f>SUM(INDEX(BE:BE,X168):INDEX(BE:BE,X168+Y168-1))</f>
        <v>17</v>
      </c>
      <c r="BG168" s="25">
        <f t="shared" si="71"/>
        <v>17</v>
      </c>
    </row>
    <row r="169" spans="1:59" x14ac:dyDescent="0.3">
      <c r="A169" s="1">
        <v>44148</v>
      </c>
      <c r="B169">
        <v>10.11</v>
      </c>
      <c r="C169">
        <v>10.11</v>
      </c>
      <c r="D169">
        <v>10.11</v>
      </c>
      <c r="E169">
        <v>10.11</v>
      </c>
      <c r="F169">
        <v>0</v>
      </c>
      <c r="G169" s="29">
        <v>5.1024533168907198E-2</v>
      </c>
      <c r="H169" s="29">
        <v>5.0469370097831097E-3</v>
      </c>
      <c r="I169" s="29">
        <v>0</v>
      </c>
      <c r="J169" s="29">
        <v>54.283396600467803</v>
      </c>
      <c r="K169" s="29">
        <v>9.9009900990099098E-4</v>
      </c>
      <c r="L169" s="29">
        <v>0.6</v>
      </c>
      <c r="M169" s="29">
        <v>-6.8254304079332001E-2</v>
      </c>
      <c r="N169" s="29">
        <v>-2.18102642005224E-2</v>
      </c>
      <c r="O169" s="29">
        <v>-8.8235294117646693E-3</v>
      </c>
      <c r="P169" s="29">
        <v>0</v>
      </c>
      <c r="Q169" s="29">
        <v>0.48015873015873001</v>
      </c>
      <c r="R169" s="30">
        <v>62087</v>
      </c>
      <c r="S169" s="29">
        <v>29</v>
      </c>
      <c r="T169" s="14">
        <v>332.85899999999998</v>
      </c>
      <c r="U169" s="41"/>
      <c r="V169">
        <v>159</v>
      </c>
      <c r="W169" t="b">
        <f>V169&gt;=$C$4</f>
        <v>1</v>
      </c>
      <c r="X169">
        <f>IF(V169&lt;=$C$5,11,ROW()-$C$5+1)</f>
        <v>11</v>
      </c>
      <c r="Y169" s="14">
        <f t="shared" si="64"/>
        <v>159</v>
      </c>
      <c r="Z169" s="10">
        <f t="shared" si="72"/>
        <v>0</v>
      </c>
      <c r="AA169" s="15">
        <f t="shared" si="73"/>
        <v>0</v>
      </c>
      <c r="AB169" s="15">
        <f t="shared" si="74"/>
        <v>5.1024533168907295E-2</v>
      </c>
      <c r="AC169" s="10">
        <f t="shared" si="65"/>
        <v>5.0469370097831158E-3</v>
      </c>
      <c r="AD169">
        <f t="shared" si="75"/>
        <v>0</v>
      </c>
      <c r="AE169">
        <f t="shared" si="82"/>
        <v>0</v>
      </c>
      <c r="AF169">
        <f t="shared" si="83"/>
        <v>0</v>
      </c>
      <c r="AG169">
        <f t="shared" si="88"/>
        <v>1.4713032590166694E-2</v>
      </c>
      <c r="AH169">
        <f t="shared" si="88"/>
        <v>1.2392449451969651E-2</v>
      </c>
      <c r="AI169">
        <f t="shared" si="76"/>
        <v>1.1872578255970381</v>
      </c>
      <c r="AJ169">
        <f t="shared" si="84"/>
        <v>54.28065277457457</v>
      </c>
      <c r="AK169" s="14">
        <f t="shared" si="66"/>
        <v>54.28065277457457</v>
      </c>
      <c r="AM169">
        <f t="shared" si="89"/>
        <v>9.9009900990099098E-4</v>
      </c>
      <c r="AN169" s="14">
        <f t="shared" si="77"/>
        <v>0</v>
      </c>
      <c r="AO169">
        <f t="shared" si="86"/>
        <v>0</v>
      </c>
      <c r="AP169" s="14">
        <f t="shared" si="87"/>
        <v>0.6</v>
      </c>
      <c r="AQ169">
        <f t="shared" si="78"/>
        <v>1.3843454741497396E-2</v>
      </c>
      <c r="AR169">
        <f t="shared" si="79"/>
        <v>-1.3843454741497396E-2</v>
      </c>
      <c r="AS169">
        <f t="shared" si="61"/>
        <v>-9.4814168406985166E-4</v>
      </c>
      <c r="AT169">
        <f t="shared" si="62"/>
        <v>1.3891309813485516E-2</v>
      </c>
      <c r="AU169" s="14">
        <f t="shared" si="67"/>
        <v>-6.8254304079332181E-2</v>
      </c>
      <c r="AV169" s="19">
        <f t="shared" si="63"/>
        <v>-2.1810264200522587E-2</v>
      </c>
      <c r="AW169" s="19">
        <f t="shared" si="90"/>
        <v>-8.8235294117646745E-3</v>
      </c>
      <c r="AX169">
        <f t="shared" si="68"/>
        <v>1</v>
      </c>
      <c r="AY169">
        <f>IF(W169,SUMPRODUCT(INDEX(AX:AX,X169):INDEX(AX:AX,X169+Y169)),0)</f>
        <v>67</v>
      </c>
      <c r="AZ169">
        <f>IF(V169,COUNT(INDEX(AX:AX,X169):INDEX(AX:AX,ROW())),0)</f>
        <v>159</v>
      </c>
      <c r="BA169" s="14">
        <f t="shared" si="80"/>
        <v>0.42138364779874216</v>
      </c>
      <c r="BB169" s="6">
        <f t="shared" si="69"/>
        <v>0</v>
      </c>
      <c r="BC169" s="6">
        <f>MEDIAN(INDEX(BB:BB,X169):INDEX(BB:BB,X169+Y169-1))</f>
        <v>60360</v>
      </c>
      <c r="BD169" s="25">
        <f t="shared" si="70"/>
        <v>60360</v>
      </c>
      <c r="BE169">
        <f t="shared" si="81"/>
        <v>0</v>
      </c>
      <c r="BF169" s="6">
        <f>SUM(INDEX(BE:BE,X169):INDEX(BE:BE,X169+Y169-1))</f>
        <v>17</v>
      </c>
      <c r="BG169" s="25">
        <f t="shared" si="71"/>
        <v>17</v>
      </c>
    </row>
    <row r="170" spans="1:59" x14ac:dyDescent="0.3">
      <c r="A170" s="1">
        <v>44151</v>
      </c>
      <c r="B170">
        <v>10.085000000000001</v>
      </c>
      <c r="C170">
        <v>10.085000000000001</v>
      </c>
      <c r="D170">
        <v>10.085000000000001</v>
      </c>
      <c r="E170">
        <v>10.085000000000001</v>
      </c>
      <c r="F170">
        <v>600</v>
      </c>
      <c r="G170" s="29">
        <v>4.91656379425566E-2</v>
      </c>
      <c r="H170" s="29">
        <v>4.8751252298023396E-3</v>
      </c>
      <c r="I170" s="29">
        <v>2.4789291026275201E-3</v>
      </c>
      <c r="J170" s="29">
        <v>50.6871468505352</v>
      </c>
      <c r="K170" s="29">
        <v>-3.9647140449994202E-4</v>
      </c>
      <c r="L170" s="29">
        <v>0.4</v>
      </c>
      <c r="M170" s="29">
        <v>-8.1097723225240503E-2</v>
      </c>
      <c r="N170" s="29">
        <v>-2.4229269393282699E-2</v>
      </c>
      <c r="O170" s="29">
        <v>-1.12745098039214E-2</v>
      </c>
      <c r="P170" s="29">
        <v>-2.4727992087041299E-3</v>
      </c>
      <c r="Q170" s="29">
        <v>0.48015873015873001</v>
      </c>
      <c r="R170" s="30">
        <v>62087</v>
      </c>
      <c r="S170" s="29">
        <v>29</v>
      </c>
      <c r="T170" s="14">
        <v>337.01400000000001</v>
      </c>
      <c r="U170" s="41"/>
      <c r="V170">
        <v>160</v>
      </c>
      <c r="W170" t="b">
        <f>V170&gt;=$C$4</f>
        <v>1</v>
      </c>
      <c r="X170">
        <f>IF(V170&lt;=$C$5,11,ROW()-$C$5+1)</f>
        <v>11</v>
      </c>
      <c r="Y170" s="14">
        <f t="shared" si="64"/>
        <v>160</v>
      </c>
      <c r="Z170" s="10">
        <f t="shared" si="72"/>
        <v>2.4999999999998579E-2</v>
      </c>
      <c r="AA170" s="15">
        <f t="shared" si="73"/>
        <v>2.4789291026275236E-3</v>
      </c>
      <c r="AB170" s="15">
        <f t="shared" si="74"/>
        <v>4.9165637942556677E-2</v>
      </c>
      <c r="AC170" s="10">
        <f t="shared" si="65"/>
        <v>4.8751252298023474E-3</v>
      </c>
      <c r="AD170">
        <f t="shared" si="75"/>
        <v>-2.4999999999998579E-2</v>
      </c>
      <c r="AE170">
        <f t="shared" si="82"/>
        <v>0</v>
      </c>
      <c r="AF170">
        <f t="shared" si="83"/>
        <v>2.4999999999998579E-2</v>
      </c>
      <c r="AG170">
        <f t="shared" si="88"/>
        <v>1.3662101690869075E-2</v>
      </c>
      <c r="AH170">
        <f t="shared" si="88"/>
        <v>1.329298877682886E-2</v>
      </c>
      <c r="AI170">
        <f t="shared" si="76"/>
        <v>1.027767488578913</v>
      </c>
      <c r="AJ170">
        <f t="shared" si="84"/>
        <v>50.684681274734636</v>
      </c>
      <c r="AK170" s="14">
        <f t="shared" si="66"/>
        <v>50.684681274734636</v>
      </c>
      <c r="AM170">
        <f t="shared" si="89"/>
        <v>-3.9647140449994289E-4</v>
      </c>
      <c r="AN170" s="14">
        <f t="shared" si="77"/>
        <v>-2.4727992087041351E-3</v>
      </c>
      <c r="AO170">
        <f t="shared" si="86"/>
        <v>0</v>
      </c>
      <c r="AP170" s="14">
        <f t="shared" si="87"/>
        <v>0.4</v>
      </c>
      <c r="AQ170">
        <f t="shared" si="78"/>
        <v>1.2482762971708805E-2</v>
      </c>
      <c r="AR170">
        <f t="shared" si="79"/>
        <v>-1.4955562180412935E-2</v>
      </c>
      <c r="AS170">
        <f t="shared" si="61"/>
        <v>-1.1354225927661353E-3</v>
      </c>
      <c r="AT170">
        <f t="shared" si="62"/>
        <v>1.4000671629370093E-2</v>
      </c>
      <c r="AU170" s="14">
        <f t="shared" si="67"/>
        <v>-8.1097723225240684E-2</v>
      </c>
      <c r="AV170" s="19">
        <f t="shared" si="63"/>
        <v>-2.42292693932829E-2</v>
      </c>
      <c r="AW170" s="19">
        <f t="shared" si="90"/>
        <v>-1.1274509803921418E-2</v>
      </c>
      <c r="AX170">
        <f t="shared" si="68"/>
        <v>1</v>
      </c>
      <c r="AY170">
        <f>IF(W170,SUMPRODUCT(INDEX(AX:AX,X170):INDEX(AX:AX,X170+Y170)),0)</f>
        <v>67</v>
      </c>
      <c r="AZ170">
        <f>IF(V170,COUNT(INDEX(AX:AX,X170):INDEX(AX:AX,ROW())),0)</f>
        <v>160</v>
      </c>
      <c r="BA170" s="14">
        <f t="shared" si="80"/>
        <v>0.41875000000000001</v>
      </c>
      <c r="BB170" s="6">
        <f t="shared" si="69"/>
        <v>6051.0000000000009</v>
      </c>
      <c r="BC170" s="6">
        <f>MEDIAN(INDEX(BB:BB,X170):INDEX(BB:BB,X170+Y170-1))</f>
        <v>58965</v>
      </c>
      <c r="BD170" s="25">
        <f t="shared" si="70"/>
        <v>58965</v>
      </c>
      <c r="BE170">
        <f t="shared" si="81"/>
        <v>0</v>
      </c>
      <c r="BF170" s="6">
        <f>SUM(INDEX(BE:BE,X170):INDEX(BE:BE,X170+Y170-1))</f>
        <v>17</v>
      </c>
      <c r="BG170" s="25">
        <f t="shared" si="71"/>
        <v>17</v>
      </c>
    </row>
    <row r="171" spans="1:59" x14ac:dyDescent="0.3">
      <c r="A171" s="1">
        <v>44152</v>
      </c>
      <c r="B171">
        <v>10.1</v>
      </c>
      <c r="C171">
        <v>10.1</v>
      </c>
      <c r="D171">
        <v>10.09</v>
      </c>
      <c r="E171">
        <v>10.09</v>
      </c>
      <c r="F171">
        <v>6900</v>
      </c>
      <c r="G171" s="29">
        <v>4.6725235232373902E-2</v>
      </c>
      <c r="H171" s="29">
        <v>4.6308459100469698E-3</v>
      </c>
      <c r="I171" s="29">
        <v>1.4866204162535901E-3</v>
      </c>
      <c r="J171" s="29">
        <v>51.380899144663097</v>
      </c>
      <c r="K171" s="29">
        <v>-9.8135426889106592E-3</v>
      </c>
      <c r="L171" s="29">
        <v>0.4</v>
      </c>
      <c r="M171" s="29">
        <v>-8.2617135514716902E-2</v>
      </c>
      <c r="N171" s="29">
        <v>-2.29632236606023E-2</v>
      </c>
      <c r="O171" s="29">
        <v>-1.0784313725490101E-2</v>
      </c>
      <c r="P171" s="29">
        <v>4.9578582052545097E-4</v>
      </c>
      <c r="Q171" s="29">
        <v>0.48015873015873001</v>
      </c>
      <c r="R171" s="30">
        <v>62087</v>
      </c>
      <c r="S171" s="29">
        <v>29</v>
      </c>
      <c r="T171" s="14">
        <v>335.20100000000002</v>
      </c>
      <c r="U171" s="41"/>
      <c r="V171">
        <v>161</v>
      </c>
      <c r="W171" t="b">
        <f>V171&gt;=$C$4</f>
        <v>1</v>
      </c>
      <c r="X171">
        <f>IF(V171&lt;=$C$5,11,ROW()-$C$5+1)</f>
        <v>11</v>
      </c>
      <c r="Y171" s="14">
        <f t="shared" si="64"/>
        <v>161</v>
      </c>
      <c r="Z171" s="10">
        <f t="shared" si="72"/>
        <v>1.4999999999998792E-2</v>
      </c>
      <c r="AA171" s="15">
        <f t="shared" si="73"/>
        <v>1.4866204162535968E-3</v>
      </c>
      <c r="AB171" s="15">
        <f t="shared" si="74"/>
        <v>4.6725235232373971E-2</v>
      </c>
      <c r="AC171" s="10">
        <f t="shared" si="65"/>
        <v>4.6308459100469742E-3</v>
      </c>
      <c r="AD171">
        <f t="shared" si="75"/>
        <v>4.9999999999990052E-3</v>
      </c>
      <c r="AE171">
        <f t="shared" si="82"/>
        <v>4.9999999999990052E-3</v>
      </c>
      <c r="AF171">
        <f t="shared" si="83"/>
        <v>0</v>
      </c>
      <c r="AG171">
        <f t="shared" si="88"/>
        <v>1.3043380141521213E-2</v>
      </c>
      <c r="AH171">
        <f t="shared" si="88"/>
        <v>1.2343489578483942E-2</v>
      </c>
      <c r="AI171">
        <f t="shared" si="76"/>
        <v>1.0567011912301734</v>
      </c>
      <c r="AJ171">
        <f t="shared" si="84"/>
        <v>51.378449904924175</v>
      </c>
      <c r="AK171" s="14">
        <f t="shared" si="66"/>
        <v>51.378449904924175</v>
      </c>
      <c r="AM171">
        <f t="shared" si="89"/>
        <v>-9.8135426889106592E-3</v>
      </c>
      <c r="AN171" s="14">
        <f t="shared" si="77"/>
        <v>4.9578582052545173E-4</v>
      </c>
      <c r="AO171">
        <f t="shared" si="86"/>
        <v>1</v>
      </c>
      <c r="AP171" s="14">
        <f t="shared" si="87"/>
        <v>0.4</v>
      </c>
      <c r="AQ171">
        <f t="shared" si="78"/>
        <v>-5.3795984736538793E-3</v>
      </c>
      <c r="AR171">
        <f t="shared" si="79"/>
        <v>5.8753842941793302E-3</v>
      </c>
      <c r="AS171">
        <f t="shared" si="61"/>
        <v>-1.1557606759767581E-3</v>
      </c>
      <c r="AT171">
        <f t="shared" si="62"/>
        <v>1.3989357882916139E-2</v>
      </c>
      <c r="AU171" s="14">
        <f t="shared" si="67"/>
        <v>-8.2617135514717069E-2</v>
      </c>
      <c r="AV171" s="19">
        <f t="shared" si="63"/>
        <v>-2.2963223660602529E-2</v>
      </c>
      <c r="AW171" s="19">
        <f t="shared" si="90"/>
        <v>-1.0784313725490158E-2</v>
      </c>
      <c r="AX171">
        <f t="shared" si="68"/>
        <v>0</v>
      </c>
      <c r="AY171">
        <f>IF(W171,SUMPRODUCT(INDEX(AX:AX,X171):INDEX(AX:AX,X171+Y171)),0)</f>
        <v>67</v>
      </c>
      <c r="AZ171">
        <f>IF(V171,COUNT(INDEX(AX:AX,X171):INDEX(AX:AX,ROW())),0)</f>
        <v>161</v>
      </c>
      <c r="BA171" s="14">
        <f t="shared" si="80"/>
        <v>0.41614906832298137</v>
      </c>
      <c r="BB171" s="6">
        <f t="shared" si="69"/>
        <v>69621</v>
      </c>
      <c r="BC171" s="6">
        <f>MEDIAN(INDEX(BB:BB,X171):INDEX(BB:BB,X171+Y171-1))</f>
        <v>60360</v>
      </c>
      <c r="BD171" s="25">
        <f t="shared" si="70"/>
        <v>60360</v>
      </c>
      <c r="BE171">
        <f t="shared" si="81"/>
        <v>0</v>
      </c>
      <c r="BF171" s="6">
        <f>SUM(INDEX(BE:BE,X171):INDEX(BE:BE,X171+Y171-1))</f>
        <v>17</v>
      </c>
      <c r="BG171" s="25">
        <f t="shared" si="71"/>
        <v>17</v>
      </c>
    </row>
    <row r="172" spans="1:59" x14ac:dyDescent="0.3">
      <c r="A172" s="1">
        <v>44153</v>
      </c>
      <c r="B172">
        <v>10.145</v>
      </c>
      <c r="C172">
        <v>10.199999999999999</v>
      </c>
      <c r="D172">
        <v>10.145</v>
      </c>
      <c r="E172">
        <v>10.16</v>
      </c>
      <c r="F172">
        <v>5400</v>
      </c>
      <c r="G172" s="29">
        <v>5.1244861287204298E-2</v>
      </c>
      <c r="H172" s="29">
        <v>5.0437855597641997E-3</v>
      </c>
      <c r="I172" s="29">
        <v>1.0826771653543199E-2</v>
      </c>
      <c r="J172" s="29">
        <v>59.888804124101597</v>
      </c>
      <c r="K172" s="29">
        <v>-2.9440628066731401E-3</v>
      </c>
      <c r="L172" s="29">
        <v>0.6</v>
      </c>
      <c r="M172" s="29">
        <v>-5.4455210111439299E-2</v>
      </c>
      <c r="N172" s="29">
        <v>-3.0583870085805501E-2</v>
      </c>
      <c r="O172" s="29">
        <v>-3.9215686274508502E-3</v>
      </c>
      <c r="P172" s="29">
        <v>6.9375619425173698E-3</v>
      </c>
      <c r="Q172" s="29">
        <v>0.48015873015873001</v>
      </c>
      <c r="R172" s="30">
        <v>60802</v>
      </c>
      <c r="S172" s="29">
        <v>29</v>
      </c>
      <c r="T172" s="14">
        <v>331.16699999999997</v>
      </c>
      <c r="U172" s="41"/>
      <c r="V172">
        <v>162</v>
      </c>
      <c r="W172" t="b">
        <f>V172&gt;=$C$4</f>
        <v>1</v>
      </c>
      <c r="X172">
        <f>IF(V172&lt;=$C$5,11,ROW()-$C$5+1)</f>
        <v>11</v>
      </c>
      <c r="Y172" s="14">
        <f t="shared" si="64"/>
        <v>162</v>
      </c>
      <c r="Z172" s="10">
        <f t="shared" si="72"/>
        <v>0.10999999999999943</v>
      </c>
      <c r="AA172" s="15">
        <f t="shared" si="73"/>
        <v>1.0826771653543251E-2</v>
      </c>
      <c r="AB172" s="15">
        <f t="shared" si="74"/>
        <v>5.124486128720436E-2</v>
      </c>
      <c r="AC172" s="10">
        <f t="shared" si="65"/>
        <v>5.0437855597642084E-3</v>
      </c>
      <c r="AD172">
        <f t="shared" si="75"/>
        <v>7.0000000000000284E-2</v>
      </c>
      <c r="AE172">
        <f t="shared" si="82"/>
        <v>7.0000000000000284E-2</v>
      </c>
      <c r="AF172">
        <f t="shared" si="83"/>
        <v>0</v>
      </c>
      <c r="AG172">
        <f t="shared" si="88"/>
        <v>1.7111710131412574E-2</v>
      </c>
      <c r="AH172">
        <f t="shared" si="88"/>
        <v>1.1461811751449376E-2</v>
      </c>
      <c r="AI172">
        <f t="shared" si="76"/>
        <v>1.4929324004338802</v>
      </c>
      <c r="AJ172">
        <f t="shared" si="84"/>
        <v>59.886597814447121</v>
      </c>
      <c r="AK172" s="14">
        <f t="shared" si="66"/>
        <v>59.886597814447121</v>
      </c>
      <c r="AM172">
        <f t="shared" si="89"/>
        <v>-2.9440628066731422E-3</v>
      </c>
      <c r="AN172" s="14">
        <f t="shared" si="77"/>
        <v>6.9375619425173785E-3</v>
      </c>
      <c r="AO172">
        <f t="shared" si="86"/>
        <v>1</v>
      </c>
      <c r="AP172" s="14">
        <f t="shared" si="87"/>
        <v>0.6</v>
      </c>
      <c r="AQ172">
        <f t="shared" si="78"/>
        <v>-1.2034570302594694E-2</v>
      </c>
      <c r="AR172">
        <f t="shared" si="79"/>
        <v>1.8972132245112065E-2</v>
      </c>
      <c r="AS172">
        <f t="shared" si="61"/>
        <v>-7.7364174029416108E-4</v>
      </c>
      <c r="AT172">
        <f t="shared" si="62"/>
        <v>1.4206937016879523E-2</v>
      </c>
      <c r="AU172" s="14">
        <f t="shared" si="67"/>
        <v>-5.4455210111439438E-2</v>
      </c>
      <c r="AV172" s="19">
        <f t="shared" si="63"/>
        <v>-3.0583870085805848E-2</v>
      </c>
      <c r="AW172" s="19">
        <f t="shared" si="90"/>
        <v>-3.9215686274508554E-3</v>
      </c>
      <c r="AX172">
        <f t="shared" si="68"/>
        <v>0</v>
      </c>
      <c r="AY172">
        <f>IF(W172,SUMPRODUCT(INDEX(AX:AX,X172):INDEX(AX:AX,X172+Y172)),0)</f>
        <v>67</v>
      </c>
      <c r="AZ172">
        <f>IF(V172,COUNT(INDEX(AX:AX,X172):INDEX(AX:AX,ROW())),0)</f>
        <v>162</v>
      </c>
      <c r="BA172" s="14">
        <f t="shared" si="80"/>
        <v>0.41358024691358025</v>
      </c>
      <c r="BB172" s="6">
        <f t="shared" si="69"/>
        <v>54864</v>
      </c>
      <c r="BC172" s="6">
        <f>MEDIAN(INDEX(BB:BB,X172):INDEX(BB:BB,X172+Y172-1))</f>
        <v>58965</v>
      </c>
      <c r="BD172" s="25">
        <f t="shared" si="70"/>
        <v>58965</v>
      </c>
      <c r="BE172">
        <f t="shared" si="81"/>
        <v>0</v>
      </c>
      <c r="BF172" s="6">
        <f>SUM(INDEX(BE:BE,X172):INDEX(BE:BE,X172+Y172-1))</f>
        <v>17</v>
      </c>
      <c r="BG172" s="25">
        <f t="shared" si="71"/>
        <v>17</v>
      </c>
    </row>
    <row r="173" spans="1:59" x14ac:dyDescent="0.3">
      <c r="A173" s="1">
        <v>44154</v>
      </c>
      <c r="B173">
        <v>10.09</v>
      </c>
      <c r="C173">
        <v>10.15</v>
      </c>
      <c r="D173">
        <v>10.08</v>
      </c>
      <c r="E173">
        <v>10.11</v>
      </c>
      <c r="F173">
        <v>2000</v>
      </c>
      <c r="G173" s="29">
        <v>5.3298799766689699E-2</v>
      </c>
      <c r="H173" s="29">
        <v>5.2718891955182701E-3</v>
      </c>
      <c r="I173" s="29">
        <v>7.91295746785361E-3</v>
      </c>
      <c r="J173" s="29">
        <v>52.783674929604999</v>
      </c>
      <c r="K173" s="29">
        <v>-4.9212598425197804E-3</v>
      </c>
      <c r="L173" s="29">
        <v>0.4</v>
      </c>
      <c r="M173" s="29">
        <v>-5.78174278890062E-2</v>
      </c>
      <c r="N173" s="29">
        <v>-3.1476593917930201E-2</v>
      </c>
      <c r="O173" s="29">
        <v>-8.8235294117646693E-3</v>
      </c>
      <c r="P173" s="29">
        <v>-4.9212598425197804E-3</v>
      </c>
      <c r="Q173" s="29">
        <v>0.476190476190476</v>
      </c>
      <c r="R173" s="30">
        <v>60802</v>
      </c>
      <c r="S173" s="29">
        <v>29</v>
      </c>
      <c r="T173" s="14">
        <v>332.56200000000001</v>
      </c>
      <c r="U173" s="41"/>
      <c r="V173">
        <v>163</v>
      </c>
      <c r="W173" t="b">
        <f>V173&gt;=$C$4</f>
        <v>1</v>
      </c>
      <c r="X173">
        <f>IF(V173&lt;=$C$5,11,ROW()-$C$5+1)</f>
        <v>11</v>
      </c>
      <c r="Y173" s="14">
        <f t="shared" si="64"/>
        <v>163</v>
      </c>
      <c r="Z173" s="10">
        <f t="shared" si="72"/>
        <v>8.0000000000000071E-2</v>
      </c>
      <c r="AA173" s="15">
        <f t="shared" si="73"/>
        <v>7.9129574678536169E-3</v>
      </c>
      <c r="AB173" s="15">
        <f t="shared" si="74"/>
        <v>5.3298799766689768E-2</v>
      </c>
      <c r="AC173" s="10">
        <f t="shared" si="65"/>
        <v>5.2718891955182761E-3</v>
      </c>
      <c r="AD173">
        <f t="shared" si="75"/>
        <v>-5.0000000000000711E-2</v>
      </c>
      <c r="AE173">
        <f t="shared" si="82"/>
        <v>0</v>
      </c>
      <c r="AF173">
        <f t="shared" si="83"/>
        <v>5.0000000000000711E-2</v>
      </c>
      <c r="AG173">
        <f t="shared" si="88"/>
        <v>1.5889445122025961E-2</v>
      </c>
      <c r="AH173">
        <f t="shared" si="88"/>
        <v>1.4214539483488758E-2</v>
      </c>
      <c r="AI173">
        <f t="shared" si="76"/>
        <v>1.1178304538450037</v>
      </c>
      <c r="AJ173">
        <f t="shared" si="84"/>
        <v>52.781867019408423</v>
      </c>
      <c r="AK173" s="14">
        <f t="shared" si="66"/>
        <v>52.781867019408423</v>
      </c>
      <c r="AM173">
        <f t="shared" si="89"/>
        <v>-4.9212598425197873E-3</v>
      </c>
      <c r="AN173" s="14">
        <f t="shared" si="77"/>
        <v>-4.9212598425197873E-3</v>
      </c>
      <c r="AO173">
        <f t="shared" si="86"/>
        <v>0</v>
      </c>
      <c r="AP173" s="14">
        <f t="shared" si="87"/>
        <v>0.4</v>
      </c>
      <c r="AQ173">
        <f t="shared" si="78"/>
        <v>4.2123762331391923E-3</v>
      </c>
      <c r="AR173">
        <f t="shared" si="79"/>
        <v>-9.1336360756589727E-3</v>
      </c>
      <c r="AS173">
        <f t="shared" si="61"/>
        <v>-8.2278679120560802E-4</v>
      </c>
      <c r="AT173">
        <f t="shared" si="62"/>
        <v>1.4230774720472409E-2</v>
      </c>
      <c r="AU173" s="14">
        <f t="shared" si="67"/>
        <v>-5.7817427889006352E-2</v>
      </c>
      <c r="AV173" s="19">
        <f t="shared" si="63"/>
        <v>-3.1476593917930507E-2</v>
      </c>
      <c r="AW173" s="19">
        <f t="shared" si="90"/>
        <v>-8.8235294117646745E-3</v>
      </c>
      <c r="AX173">
        <f t="shared" si="68"/>
        <v>0</v>
      </c>
      <c r="AY173">
        <f>IF(W173,SUMPRODUCT(INDEX(AX:AX,X173):INDEX(AX:AX,X173+Y173)),0)</f>
        <v>67</v>
      </c>
      <c r="AZ173">
        <f>IF(V173,COUNT(INDEX(AX:AX,X173):INDEX(AX:AX,ROW())),0)</f>
        <v>163</v>
      </c>
      <c r="BA173" s="14">
        <f t="shared" si="80"/>
        <v>0.41104294478527609</v>
      </c>
      <c r="BB173" s="6">
        <f t="shared" si="69"/>
        <v>20220</v>
      </c>
      <c r="BC173" s="6">
        <f>MEDIAN(INDEX(BB:BB,X173):INDEX(BB:BB,X173+Y173-1))</f>
        <v>57570</v>
      </c>
      <c r="BD173" s="25">
        <f t="shared" si="70"/>
        <v>57570</v>
      </c>
      <c r="BE173">
        <f t="shared" si="81"/>
        <v>0</v>
      </c>
      <c r="BF173" s="6">
        <f>SUM(INDEX(BE:BE,X173):INDEX(BE:BE,X173+Y173-1))</f>
        <v>17</v>
      </c>
      <c r="BG173" s="25">
        <f t="shared" si="71"/>
        <v>17</v>
      </c>
    </row>
    <row r="174" spans="1:59" x14ac:dyDescent="0.3">
      <c r="A174" s="1">
        <v>44155</v>
      </c>
      <c r="B174">
        <v>10.19</v>
      </c>
      <c r="C174">
        <v>10.199999999999999</v>
      </c>
      <c r="D174">
        <v>10.14</v>
      </c>
      <c r="E174">
        <v>10.16</v>
      </c>
      <c r="F174">
        <v>11500</v>
      </c>
      <c r="G174" s="29">
        <v>5.5920314069068999E-2</v>
      </c>
      <c r="H174" s="29">
        <v>5.5039679201839596E-3</v>
      </c>
      <c r="I174" s="29">
        <v>8.8582677165354104E-3</v>
      </c>
      <c r="J174" s="29">
        <v>58.132823875908699</v>
      </c>
      <c r="K174" s="29">
        <v>3.9525691699606701E-3</v>
      </c>
      <c r="L174" s="29">
        <v>0.6</v>
      </c>
      <c r="M174" s="29">
        <v>-3.7624310201009099E-2</v>
      </c>
      <c r="N174" s="29">
        <v>-3.8353677781926797E-2</v>
      </c>
      <c r="O174" s="29">
        <v>-3.9215686274508502E-3</v>
      </c>
      <c r="P174" s="29">
        <v>4.9455984174084904E-3</v>
      </c>
      <c r="Q174" s="29">
        <v>0.476190476190476</v>
      </c>
      <c r="R174" s="30">
        <v>60802</v>
      </c>
      <c r="S174" s="29">
        <v>29</v>
      </c>
      <c r="T174" s="14">
        <v>330.28399999999999</v>
      </c>
      <c r="U174" s="41"/>
      <c r="V174">
        <v>164</v>
      </c>
      <c r="W174" t="b">
        <f>V174&gt;=$C$4</f>
        <v>1</v>
      </c>
      <c r="X174">
        <f>IF(V174&lt;=$C$5,11,ROW()-$C$5+1)</f>
        <v>11</v>
      </c>
      <c r="Y174" s="14">
        <f t="shared" si="64"/>
        <v>164</v>
      </c>
      <c r="Z174" s="10">
        <f t="shared" si="72"/>
        <v>8.9999999999999858E-2</v>
      </c>
      <c r="AA174" s="15">
        <f t="shared" si="73"/>
        <v>8.8582677165354191E-3</v>
      </c>
      <c r="AB174" s="15">
        <f t="shared" si="74"/>
        <v>5.5920314069069062E-2</v>
      </c>
      <c r="AC174" s="10">
        <f t="shared" si="65"/>
        <v>5.5039679201839631E-3</v>
      </c>
      <c r="AD174">
        <f t="shared" si="75"/>
        <v>5.0000000000000711E-2</v>
      </c>
      <c r="AE174">
        <f t="shared" si="82"/>
        <v>5.0000000000000711E-2</v>
      </c>
      <c r="AF174">
        <f t="shared" si="83"/>
        <v>0</v>
      </c>
      <c r="AG174">
        <f t="shared" ref="AG174:AH189" si="91">(AE174+13*AG173)/14</f>
        <v>1.8325913327595585E-2</v>
      </c>
      <c r="AH174">
        <f t="shared" si="91"/>
        <v>1.3199215234668132E-2</v>
      </c>
      <c r="AI174">
        <f t="shared" si="76"/>
        <v>1.388409310840089</v>
      </c>
      <c r="AJ174">
        <f t="shared" si="84"/>
        <v>58.131129557175264</v>
      </c>
      <c r="AK174" s="14">
        <f t="shared" si="66"/>
        <v>58.131129557175264</v>
      </c>
      <c r="AM174">
        <f t="shared" si="89"/>
        <v>3.9525691699606735E-3</v>
      </c>
      <c r="AN174" s="14">
        <f t="shared" si="77"/>
        <v>4.9455984174084922E-3</v>
      </c>
      <c r="AO174">
        <f t="shared" si="86"/>
        <v>1</v>
      </c>
      <c r="AP174" s="14">
        <f t="shared" si="87"/>
        <v>0.6</v>
      </c>
      <c r="AQ174">
        <f t="shared" si="78"/>
        <v>-6.8498505541824128E-3</v>
      </c>
      <c r="AR174">
        <f t="shared" si="79"/>
        <v>1.1795448971590903E-2</v>
      </c>
      <c r="AS174">
        <f t="shared" si="61"/>
        <v>-5.3809955353965975E-4</v>
      </c>
      <c r="AT174">
        <f t="shared" si="62"/>
        <v>1.4301911468006802E-2</v>
      </c>
      <c r="AU174" s="14">
        <f t="shared" si="67"/>
        <v>-3.7624310201009266E-2</v>
      </c>
      <c r="AV174" s="19">
        <f t="shared" si="63"/>
        <v>-3.8353677781927199E-2</v>
      </c>
      <c r="AW174" s="19">
        <f t="shared" si="90"/>
        <v>-3.9215686274508554E-3</v>
      </c>
      <c r="AX174">
        <f t="shared" si="68"/>
        <v>0</v>
      </c>
      <c r="AY174">
        <f>IF(W174,SUMPRODUCT(INDEX(AX:AX,X174):INDEX(AX:AX,X174+Y174)),0)</f>
        <v>67</v>
      </c>
      <c r="AZ174">
        <f>IF(V174,COUNT(INDEX(AX:AX,X174):INDEX(AX:AX,ROW())),0)</f>
        <v>164</v>
      </c>
      <c r="BA174" s="14">
        <f t="shared" si="80"/>
        <v>0.40853658536585363</v>
      </c>
      <c r="BB174" s="6">
        <f t="shared" si="69"/>
        <v>116840</v>
      </c>
      <c r="BC174" s="6">
        <f>MEDIAN(INDEX(BB:BB,X174):INDEX(BB:BB,X174+Y174-1))</f>
        <v>58965</v>
      </c>
      <c r="BD174" s="25">
        <f t="shared" si="70"/>
        <v>58965</v>
      </c>
      <c r="BE174">
        <f t="shared" si="81"/>
        <v>0</v>
      </c>
      <c r="BF174" s="6">
        <f>SUM(INDEX(BE:BE,X174):INDEX(BE:BE,X174+Y174-1))</f>
        <v>17</v>
      </c>
      <c r="BG174" s="25">
        <f t="shared" si="71"/>
        <v>17</v>
      </c>
    </row>
    <row r="175" spans="1:59" x14ac:dyDescent="0.3">
      <c r="A175" s="1">
        <v>44158</v>
      </c>
      <c r="B175">
        <v>10.081</v>
      </c>
      <c r="C175">
        <v>10.154</v>
      </c>
      <c r="D175">
        <v>10.081</v>
      </c>
      <c r="E175">
        <v>10.117000000000001</v>
      </c>
      <c r="F175">
        <v>33000</v>
      </c>
      <c r="G175" s="29">
        <v>5.7568863064135598E-2</v>
      </c>
      <c r="H175" s="29">
        <v>5.6903096831210399E-3</v>
      </c>
      <c r="I175" s="29">
        <v>7.8086389245824398E-3</v>
      </c>
      <c r="J175" s="29">
        <v>52.6124997269863</v>
      </c>
      <c r="K175" s="29">
        <v>-1.2833168805528299E-3</v>
      </c>
      <c r="L175" s="29">
        <v>0.6</v>
      </c>
      <c r="M175" s="29">
        <v>-4.3309845051501601E-2</v>
      </c>
      <c r="N175" s="29">
        <v>-4.0019491132738998E-2</v>
      </c>
      <c r="O175" s="29">
        <v>-8.1372549019606E-3</v>
      </c>
      <c r="P175" s="29">
        <v>-4.2322834645668302E-3</v>
      </c>
      <c r="Q175" s="29">
        <v>0.476190476190476</v>
      </c>
      <c r="R175" s="30">
        <v>60802</v>
      </c>
      <c r="S175" s="29">
        <v>29</v>
      </c>
      <c r="T175" s="14">
        <v>332.26400000000001</v>
      </c>
      <c r="U175" s="41"/>
      <c r="V175">
        <v>165</v>
      </c>
      <c r="W175" t="b">
        <f>V175&gt;=$C$4</f>
        <v>1</v>
      </c>
      <c r="X175">
        <f>IF(V175&lt;=$C$5,11,ROW()-$C$5+1)</f>
        <v>11</v>
      </c>
      <c r="Y175" s="14">
        <f t="shared" si="64"/>
        <v>165</v>
      </c>
      <c r="Z175" s="10">
        <f t="shared" si="72"/>
        <v>7.9000000000000625E-2</v>
      </c>
      <c r="AA175" s="15">
        <f t="shared" si="73"/>
        <v>7.8086389245824476E-3</v>
      </c>
      <c r="AB175" s="15">
        <f t="shared" si="74"/>
        <v>5.7568863064135604E-2</v>
      </c>
      <c r="AC175" s="10">
        <f t="shared" si="65"/>
        <v>5.6903096831210434E-3</v>
      </c>
      <c r="AD175">
        <f t="shared" si="75"/>
        <v>-4.2999999999999261E-2</v>
      </c>
      <c r="AE175">
        <f t="shared" si="82"/>
        <v>0</v>
      </c>
      <c r="AF175">
        <f t="shared" si="83"/>
        <v>4.2999999999999261E-2</v>
      </c>
      <c r="AG175">
        <f t="shared" si="91"/>
        <v>1.7016919518481614E-2</v>
      </c>
      <c r="AH175">
        <f t="shared" si="91"/>
        <v>1.5327842717906071E-2</v>
      </c>
      <c r="AI175">
        <f t="shared" si="76"/>
        <v>1.1101966422582321</v>
      </c>
      <c r="AJ175">
        <f t="shared" si="84"/>
        <v>52.611051502297549</v>
      </c>
      <c r="AK175" s="14">
        <f t="shared" si="66"/>
        <v>52.611051502297549</v>
      </c>
      <c r="AM175">
        <f t="shared" si="89"/>
        <v>-1.2833168805528317E-3</v>
      </c>
      <c r="AN175" s="14">
        <f t="shared" si="77"/>
        <v>-4.2322834645668328E-3</v>
      </c>
      <c r="AO175">
        <f t="shared" si="86"/>
        <v>0</v>
      </c>
      <c r="AP175" s="14">
        <f t="shared" si="87"/>
        <v>0.6</v>
      </c>
      <c r="AQ175">
        <f t="shared" si="78"/>
        <v>5.9948408036720746E-3</v>
      </c>
      <c r="AR175">
        <f t="shared" si="79"/>
        <v>-1.0227124268238904E-2</v>
      </c>
      <c r="AS175">
        <f t="shared" si="61"/>
        <v>-6.2120866562036248E-4</v>
      </c>
      <c r="AT175">
        <f t="shared" si="62"/>
        <v>1.4343359226560472E-2</v>
      </c>
      <c r="AU175" s="14">
        <f t="shared" si="67"/>
        <v>-4.3309845051501782E-2</v>
      </c>
      <c r="AV175" s="19">
        <f t="shared" si="63"/>
        <v>-4.0019491132739393E-2</v>
      </c>
      <c r="AW175" s="19">
        <f t="shared" si="90"/>
        <v>-8.1372549019606E-3</v>
      </c>
      <c r="AX175">
        <f t="shared" si="68"/>
        <v>0</v>
      </c>
      <c r="AY175">
        <f>IF(W175,SUMPRODUCT(INDEX(AX:AX,X175):INDEX(AX:AX,X175+Y175)),0)</f>
        <v>67</v>
      </c>
      <c r="AZ175">
        <f>IF(V175,COUNT(INDEX(AX:AX,X175):INDEX(AX:AX,ROW())),0)</f>
        <v>165</v>
      </c>
      <c r="BA175" s="14">
        <f t="shared" si="80"/>
        <v>0.40606060606060607</v>
      </c>
      <c r="BB175" s="6">
        <f t="shared" si="69"/>
        <v>333861</v>
      </c>
      <c r="BC175" s="6">
        <f>MEDIAN(INDEX(BB:BB,X175):INDEX(BB:BB,X175+Y175-1))</f>
        <v>60360</v>
      </c>
      <c r="BD175" s="25">
        <f t="shared" si="70"/>
        <v>60360</v>
      </c>
      <c r="BE175">
        <f t="shared" si="81"/>
        <v>0</v>
      </c>
      <c r="BF175" s="6">
        <f>SUM(INDEX(BE:BE,X175):INDEX(BE:BE,X175+Y175-1))</f>
        <v>17</v>
      </c>
      <c r="BG175" s="25">
        <f t="shared" si="71"/>
        <v>17</v>
      </c>
    </row>
    <row r="176" spans="1:59" x14ac:dyDescent="0.3">
      <c r="A176" s="1">
        <v>44159</v>
      </c>
      <c r="B176">
        <v>10.11</v>
      </c>
      <c r="C176">
        <v>10.19</v>
      </c>
      <c r="D176">
        <v>10.1</v>
      </c>
      <c r="E176">
        <v>10.1</v>
      </c>
      <c r="F176">
        <v>19000</v>
      </c>
      <c r="G176" s="29">
        <v>5.9885372845268701E-2</v>
      </c>
      <c r="H176" s="29">
        <v>5.9292448361652197E-3</v>
      </c>
      <c r="I176" s="29">
        <v>8.9108910891088893E-3</v>
      </c>
      <c r="J176" s="29">
        <v>50.568013440064703</v>
      </c>
      <c r="K176" s="29">
        <v>-9.89119683481698E-4</v>
      </c>
      <c r="L176" s="29">
        <v>0.4</v>
      </c>
      <c r="M176" s="29">
        <v>-5.2551781232529203E-2</v>
      </c>
      <c r="N176" s="29">
        <v>-4.27588419818185E-2</v>
      </c>
      <c r="O176" s="29">
        <v>-9.8039215686274092E-3</v>
      </c>
      <c r="P176" s="29">
        <v>-1.68034002174566E-3</v>
      </c>
      <c r="Q176" s="29">
        <v>0.476190476190476</v>
      </c>
      <c r="R176" s="30">
        <v>62087</v>
      </c>
      <c r="S176" s="29">
        <v>29</v>
      </c>
      <c r="T176" s="14">
        <v>337.61799999999999</v>
      </c>
      <c r="U176" s="41"/>
      <c r="V176">
        <v>166</v>
      </c>
      <c r="W176" t="b">
        <f>V176&gt;=$C$4</f>
        <v>1</v>
      </c>
      <c r="X176">
        <f>IF(V176&lt;=$C$5,11,ROW()-$C$5+1)</f>
        <v>11</v>
      </c>
      <c r="Y176" s="14">
        <f t="shared" si="64"/>
        <v>166</v>
      </c>
      <c r="Z176" s="10">
        <f t="shared" si="72"/>
        <v>8.9999999999999858E-2</v>
      </c>
      <c r="AA176" s="15">
        <f t="shared" si="73"/>
        <v>8.910891089108898E-3</v>
      </c>
      <c r="AB176" s="15">
        <f t="shared" si="74"/>
        <v>5.9885372845268771E-2</v>
      </c>
      <c r="AC176" s="10">
        <f t="shared" si="65"/>
        <v>5.9292448361652249E-3</v>
      </c>
      <c r="AD176">
        <f t="shared" si="75"/>
        <v>-1.7000000000001236E-2</v>
      </c>
      <c r="AE176">
        <f t="shared" si="82"/>
        <v>0</v>
      </c>
      <c r="AF176">
        <f t="shared" si="83"/>
        <v>1.7000000000001236E-2</v>
      </c>
      <c r="AG176">
        <f t="shared" si="91"/>
        <v>1.5801425267161499E-2</v>
      </c>
      <c r="AH176">
        <f t="shared" si="91"/>
        <v>1.5447282523770011E-2</v>
      </c>
      <c r="AI176">
        <f t="shared" si="76"/>
        <v>1.0229258928129616</v>
      </c>
      <c r="AJ176">
        <f t="shared" si="84"/>
        <v>50.56665182087027</v>
      </c>
      <c r="AK176" s="14">
        <f t="shared" si="66"/>
        <v>50.56665182087027</v>
      </c>
      <c r="AM176">
        <f t="shared" si="89"/>
        <v>-9.8911968348169843E-4</v>
      </c>
      <c r="AN176" s="14">
        <f t="shared" si="77"/>
        <v>-1.6803400217456632E-3</v>
      </c>
      <c r="AO176">
        <f t="shared" si="86"/>
        <v>0</v>
      </c>
      <c r="AP176" s="14">
        <f t="shared" si="87"/>
        <v>0.4</v>
      </c>
      <c r="AQ176">
        <f t="shared" si="78"/>
        <v>1.6113692726265727E-2</v>
      </c>
      <c r="AR176">
        <f t="shared" si="79"/>
        <v>-1.7794032748011387E-2</v>
      </c>
      <c r="AS176">
        <f t="shared" si="61"/>
        <v>-7.6032918449716344E-4</v>
      </c>
      <c r="AT176">
        <f t="shared" si="62"/>
        <v>1.4468190547773905E-2</v>
      </c>
      <c r="AU176" s="14">
        <f t="shared" si="67"/>
        <v>-5.2551781232529363E-2</v>
      </c>
      <c r="AV176" s="19">
        <f t="shared" si="63"/>
        <v>-4.2758841981818972E-2</v>
      </c>
      <c r="AW176" s="19">
        <f t="shared" si="90"/>
        <v>-9.8039215686274161E-3</v>
      </c>
      <c r="AX176">
        <f t="shared" si="68"/>
        <v>0</v>
      </c>
      <c r="AY176">
        <f>IF(W176,SUMPRODUCT(INDEX(AX:AX,X176):INDEX(AX:AX,X176+Y176)),0)</f>
        <v>67</v>
      </c>
      <c r="AZ176">
        <f>IF(V176,COUNT(INDEX(AX:AX,X176):INDEX(AX:AX,ROW())),0)</f>
        <v>166</v>
      </c>
      <c r="BA176" s="14">
        <f t="shared" si="80"/>
        <v>0.40361445783132532</v>
      </c>
      <c r="BB176" s="6">
        <f t="shared" si="69"/>
        <v>191900</v>
      </c>
      <c r="BC176" s="6">
        <f>MEDIAN(INDEX(BB:BB,X176):INDEX(BB:BB,X176+Y176-1))</f>
        <v>60802</v>
      </c>
      <c r="BD176" s="25">
        <f t="shared" si="70"/>
        <v>60802</v>
      </c>
      <c r="BE176">
        <f t="shared" si="81"/>
        <v>0</v>
      </c>
      <c r="BF176" s="6">
        <f>SUM(INDEX(BE:BE,X176):INDEX(BE:BE,X176+Y176-1))</f>
        <v>17</v>
      </c>
      <c r="BG176" s="25">
        <f t="shared" si="71"/>
        <v>17</v>
      </c>
    </row>
    <row r="177" spans="1:59" x14ac:dyDescent="0.3">
      <c r="A177" s="1">
        <v>44160</v>
      </c>
      <c r="B177">
        <v>10.196</v>
      </c>
      <c r="C177">
        <v>10.196</v>
      </c>
      <c r="D177">
        <v>10.1</v>
      </c>
      <c r="E177">
        <v>10.119999999999999</v>
      </c>
      <c r="F177">
        <v>22600</v>
      </c>
      <c r="G177" s="29">
        <v>6.24649890706067E-2</v>
      </c>
      <c r="H177" s="29">
        <v>6.17242975005995E-3</v>
      </c>
      <c r="I177" s="29">
        <v>9.4861660079051408E-3</v>
      </c>
      <c r="J177" s="29">
        <v>52.887527045289602</v>
      </c>
      <c r="K177" s="29">
        <v>9.89119683481698E-4</v>
      </c>
      <c r="L177" s="29">
        <v>0.4</v>
      </c>
      <c r="M177" s="29">
        <v>-4.7348526363148097E-2</v>
      </c>
      <c r="N177" s="29">
        <v>-4.3269017518500701E-2</v>
      </c>
      <c r="O177" s="29">
        <v>-7.8431372549019295E-3</v>
      </c>
      <c r="P177" s="29">
        <v>1.9801980198019798E-3</v>
      </c>
      <c r="Q177" s="29">
        <v>0.47222222222222199</v>
      </c>
      <c r="R177" s="30">
        <v>63412.5</v>
      </c>
      <c r="S177" s="29">
        <v>29</v>
      </c>
      <c r="T177" s="14">
        <v>337.09800000000001</v>
      </c>
      <c r="U177" s="41"/>
      <c r="V177">
        <v>167</v>
      </c>
      <c r="W177" t="b">
        <f>V177&gt;=$C$4</f>
        <v>1</v>
      </c>
      <c r="X177">
        <f>IF(V177&lt;=$C$5,11,ROW()-$C$5+1)</f>
        <v>11</v>
      </c>
      <c r="Y177" s="14">
        <f t="shared" si="64"/>
        <v>167</v>
      </c>
      <c r="Z177" s="10">
        <f t="shared" si="72"/>
        <v>9.6000000000000085E-2</v>
      </c>
      <c r="AA177" s="15">
        <f t="shared" si="73"/>
        <v>9.4861660079051478E-3</v>
      </c>
      <c r="AB177" s="15">
        <f t="shared" si="74"/>
        <v>6.246498907060672E-2</v>
      </c>
      <c r="AC177" s="10">
        <f t="shared" si="65"/>
        <v>6.1724297500599535E-3</v>
      </c>
      <c r="AD177">
        <f t="shared" si="75"/>
        <v>1.9999999999999574E-2</v>
      </c>
      <c r="AE177">
        <f t="shared" si="82"/>
        <v>1.9999999999999574E-2</v>
      </c>
      <c r="AF177">
        <f t="shared" si="83"/>
        <v>0</v>
      </c>
      <c r="AG177">
        <f t="shared" si="91"/>
        <v>1.6101323462364221E-2</v>
      </c>
      <c r="AH177">
        <f t="shared" si="91"/>
        <v>1.434390520064358E-2</v>
      </c>
      <c r="AI177">
        <f t="shared" si="76"/>
        <v>1.1225202089066921</v>
      </c>
      <c r="AJ177">
        <f t="shared" si="84"/>
        <v>52.886196522241882</v>
      </c>
      <c r="AK177" s="14">
        <f t="shared" si="66"/>
        <v>52.886196522241882</v>
      </c>
      <c r="AM177">
        <f t="shared" si="89"/>
        <v>9.8911968348169843E-4</v>
      </c>
      <c r="AN177" s="14">
        <f t="shared" si="77"/>
        <v>1.980198019801982E-3</v>
      </c>
      <c r="AO177">
        <f t="shared" si="86"/>
        <v>1</v>
      </c>
      <c r="AP177" s="14">
        <f t="shared" si="87"/>
        <v>0.4</v>
      </c>
      <c r="AQ177">
        <f t="shared" si="78"/>
        <v>-1.5402022404018556E-3</v>
      </c>
      <c r="AR177">
        <f t="shared" si="79"/>
        <v>3.5204002602038354E-3</v>
      </c>
      <c r="AS177">
        <f t="shared" si="61"/>
        <v>-6.855167212929125E-4</v>
      </c>
      <c r="AT177">
        <f t="shared" si="62"/>
        <v>1.4478100459457095E-2</v>
      </c>
      <c r="AU177" s="14">
        <f t="shared" si="67"/>
        <v>-4.7348526363148215E-2</v>
      </c>
      <c r="AV177" s="19">
        <f t="shared" si="63"/>
        <v>-4.3269017518501096E-2</v>
      </c>
      <c r="AW177" s="19">
        <f t="shared" si="90"/>
        <v>-7.8431372549019329E-3</v>
      </c>
      <c r="AX177">
        <f t="shared" si="68"/>
        <v>0</v>
      </c>
      <c r="AY177">
        <f>IF(W177,SUMPRODUCT(INDEX(AX:AX,X177):INDEX(AX:AX,X177+Y177)),0)</f>
        <v>67</v>
      </c>
      <c r="AZ177">
        <f>IF(V177,COUNT(INDEX(AX:AX,X177):INDEX(AX:AX,ROW())),0)</f>
        <v>167</v>
      </c>
      <c r="BA177" s="14">
        <f t="shared" si="80"/>
        <v>0.40119760479041916</v>
      </c>
      <c r="BB177" s="6">
        <f t="shared" si="69"/>
        <v>228711.99999999997</v>
      </c>
      <c r="BC177" s="6">
        <f>MEDIAN(INDEX(BB:BB,X177):INDEX(BB:BB,X177+Y177-1))</f>
        <v>61243.999999999993</v>
      </c>
      <c r="BD177" s="25">
        <f t="shared" si="70"/>
        <v>61243.999999999993</v>
      </c>
      <c r="BE177">
        <f t="shared" si="81"/>
        <v>0</v>
      </c>
      <c r="BF177" s="6">
        <f>SUM(INDEX(BE:BE,X177):INDEX(BE:BE,X177+Y177-1))</f>
        <v>17</v>
      </c>
      <c r="BG177" s="25">
        <f t="shared" si="71"/>
        <v>17</v>
      </c>
    </row>
    <row r="178" spans="1:59" x14ac:dyDescent="0.3">
      <c r="A178" s="1">
        <v>44162</v>
      </c>
      <c r="B178">
        <v>10.112</v>
      </c>
      <c r="C178">
        <v>10.195</v>
      </c>
      <c r="D178">
        <v>10.1</v>
      </c>
      <c r="E178">
        <v>10.119999999999999</v>
      </c>
      <c r="F178">
        <v>212800</v>
      </c>
      <c r="G178" s="29">
        <v>6.4788918422706204E-2</v>
      </c>
      <c r="H178" s="29">
        <v>6.40206703781682E-3</v>
      </c>
      <c r="I178" s="29">
        <v>9.3873517786561902E-3</v>
      </c>
      <c r="J178" s="29">
        <v>52.887527045289602</v>
      </c>
      <c r="K178" s="29">
        <v>-7.8431372549019295E-3</v>
      </c>
      <c r="L178" s="29">
        <v>0.4</v>
      </c>
      <c r="M178" s="29">
        <v>-4.6593220221381002E-2</v>
      </c>
      <c r="N178" s="29">
        <v>-4.4931184751863598E-2</v>
      </c>
      <c r="O178" s="29">
        <v>-3.9370078740158503E-3</v>
      </c>
      <c r="P178" s="29">
        <v>0</v>
      </c>
      <c r="Q178" s="29">
        <v>0.46825396825396798</v>
      </c>
      <c r="R178" s="30">
        <v>64772.5</v>
      </c>
      <c r="S178" s="29">
        <v>29</v>
      </c>
      <c r="T178" s="14">
        <v>338.036</v>
      </c>
      <c r="U178" s="41"/>
      <c r="V178">
        <v>168</v>
      </c>
      <c r="W178" t="b">
        <f>V178&gt;=$C$4</f>
        <v>1</v>
      </c>
      <c r="X178">
        <f>IF(V178&lt;=$C$5,11,ROW()-$C$5+1)</f>
        <v>11</v>
      </c>
      <c r="Y178" s="14">
        <f t="shared" si="64"/>
        <v>168</v>
      </c>
      <c r="Z178" s="10">
        <f t="shared" si="72"/>
        <v>9.5000000000000639E-2</v>
      </c>
      <c r="AA178" s="15">
        <f t="shared" si="73"/>
        <v>9.3873517786561902E-3</v>
      </c>
      <c r="AB178" s="15">
        <f t="shared" si="74"/>
        <v>6.4788918422706288E-2</v>
      </c>
      <c r="AC178" s="10">
        <f t="shared" si="65"/>
        <v>6.4020670378168269E-3</v>
      </c>
      <c r="AD178">
        <f t="shared" si="75"/>
        <v>0</v>
      </c>
      <c r="AE178">
        <f t="shared" si="82"/>
        <v>0</v>
      </c>
      <c r="AF178">
        <f t="shared" si="83"/>
        <v>0</v>
      </c>
      <c r="AG178">
        <f t="shared" si="91"/>
        <v>1.4951228929338204E-2</v>
      </c>
      <c r="AH178">
        <f t="shared" si="91"/>
        <v>1.3319340543454752E-2</v>
      </c>
      <c r="AI178">
        <f t="shared" si="76"/>
        <v>1.1225202089066921</v>
      </c>
      <c r="AJ178">
        <f t="shared" si="84"/>
        <v>52.886196522241882</v>
      </c>
      <c r="AK178" s="14">
        <f t="shared" si="66"/>
        <v>52.886196522241882</v>
      </c>
      <c r="AM178">
        <f t="shared" si="89"/>
        <v>-7.8431372549019329E-3</v>
      </c>
      <c r="AN178" s="14">
        <f t="shared" si="77"/>
        <v>0</v>
      </c>
      <c r="AO178">
        <f t="shared" si="86"/>
        <v>0</v>
      </c>
      <c r="AP178" s="14">
        <f t="shared" si="87"/>
        <v>0.4</v>
      </c>
      <c r="AQ178">
        <f t="shared" si="78"/>
        <v>2.7825736136077861E-3</v>
      </c>
      <c r="AR178">
        <f t="shared" si="79"/>
        <v>-2.7825736136077861E-3</v>
      </c>
      <c r="AS178">
        <f t="shared" si="61"/>
        <v>-6.744930049586501E-4</v>
      </c>
      <c r="AT178">
        <f t="shared" si="62"/>
        <v>1.4476204944708493E-2</v>
      </c>
      <c r="AU178" s="14">
        <f t="shared" si="67"/>
        <v>-4.6593220221381189E-2</v>
      </c>
      <c r="AV178" s="19">
        <f t="shared" si="63"/>
        <v>-4.4931184751864077E-2</v>
      </c>
      <c r="AW178" s="19">
        <f t="shared" si="90"/>
        <v>-3.9370078740158521E-3</v>
      </c>
      <c r="AX178">
        <f t="shared" si="68"/>
        <v>0</v>
      </c>
      <c r="AY178">
        <f>IF(W178,SUMPRODUCT(INDEX(AX:AX,X178):INDEX(AX:AX,X178+Y178)),0)</f>
        <v>67</v>
      </c>
      <c r="AZ178">
        <f>IF(V178,COUNT(INDEX(AX:AX,X178):INDEX(AX:AX,ROW())),0)</f>
        <v>168</v>
      </c>
      <c r="BA178" s="14">
        <f t="shared" si="80"/>
        <v>0.39880952380952384</v>
      </c>
      <c r="BB178" s="6">
        <f t="shared" si="69"/>
        <v>2153536</v>
      </c>
      <c r="BC178" s="6">
        <f>MEDIAN(INDEX(BB:BB,X178):INDEX(BB:BB,X178+Y178-1))</f>
        <v>62087</v>
      </c>
      <c r="BD178" s="25">
        <f t="shared" si="70"/>
        <v>62087</v>
      </c>
      <c r="BE178">
        <f t="shared" si="81"/>
        <v>0</v>
      </c>
      <c r="BF178" s="6">
        <f>SUM(INDEX(BE:BE,X178):INDEX(BE:BE,X178+Y178-1))</f>
        <v>17</v>
      </c>
      <c r="BG178" s="25">
        <f t="shared" si="71"/>
        <v>17</v>
      </c>
    </row>
    <row r="179" spans="1:59" x14ac:dyDescent="0.3">
      <c r="A179" s="1">
        <v>44165</v>
      </c>
      <c r="B179">
        <v>10.154999999999999</v>
      </c>
      <c r="C179">
        <v>10.199999999999999</v>
      </c>
      <c r="D179">
        <v>10.1</v>
      </c>
      <c r="E179">
        <v>10.125</v>
      </c>
      <c r="F179">
        <v>21000</v>
      </c>
      <c r="G179" s="29">
        <v>6.7303995678227202E-2</v>
      </c>
      <c r="H179" s="29">
        <v>6.6473082151335501E-3</v>
      </c>
      <c r="I179" s="29">
        <v>9.8765432098764996E-3</v>
      </c>
      <c r="J179" s="29">
        <v>53.519888509875202</v>
      </c>
      <c r="K179" s="29">
        <v>7.4626865671640896E-3</v>
      </c>
      <c r="L179" s="29">
        <v>0.4</v>
      </c>
      <c r="M179" s="29">
        <v>-4.6252551254121498E-2</v>
      </c>
      <c r="N179" s="29">
        <v>-4.4731985611163497E-2</v>
      </c>
      <c r="O179" s="29">
        <v>-3.4448818897637699E-3</v>
      </c>
      <c r="P179" s="29">
        <v>4.9407114624511195E-4</v>
      </c>
      <c r="Q179" s="29">
        <v>0.46825396825396798</v>
      </c>
      <c r="R179" s="30">
        <v>64772.5</v>
      </c>
      <c r="S179" s="29">
        <v>29</v>
      </c>
      <c r="T179" s="14">
        <v>336.54</v>
      </c>
      <c r="U179" s="41"/>
      <c r="V179">
        <v>169</v>
      </c>
      <c r="W179" t="b">
        <f>V179&gt;=$C$4</f>
        <v>1</v>
      </c>
      <c r="X179">
        <f>IF(V179&lt;=$C$5,11,ROW()-$C$5+1)</f>
        <v>11</v>
      </c>
      <c r="Y179" s="14">
        <f t="shared" si="64"/>
        <v>169</v>
      </c>
      <c r="Z179" s="10">
        <f t="shared" si="72"/>
        <v>9.9999999999999645E-2</v>
      </c>
      <c r="AA179" s="15">
        <f t="shared" si="73"/>
        <v>9.8765432098765083E-3</v>
      </c>
      <c r="AB179" s="15">
        <f t="shared" si="74"/>
        <v>6.7303995678227244E-2</v>
      </c>
      <c r="AC179" s="10">
        <f t="shared" si="65"/>
        <v>6.6473082151335553E-3</v>
      </c>
      <c r="AD179">
        <f t="shared" si="75"/>
        <v>5.0000000000007816E-3</v>
      </c>
      <c r="AE179">
        <f t="shared" si="82"/>
        <v>5.0000000000007816E-3</v>
      </c>
      <c r="AF179">
        <f t="shared" si="83"/>
        <v>0</v>
      </c>
      <c r="AG179">
        <f t="shared" si="91"/>
        <v>1.424042686295696E-2</v>
      </c>
      <c r="AH179">
        <f t="shared" si="91"/>
        <v>1.2367959076065126E-2</v>
      </c>
      <c r="AI179">
        <f t="shared" si="76"/>
        <v>1.1513966674190808</v>
      </c>
      <c r="AJ179">
        <f t="shared" si="84"/>
        <v>53.518567024664577</v>
      </c>
      <c r="AK179" s="14">
        <f t="shared" si="66"/>
        <v>53.518567024664577</v>
      </c>
      <c r="AM179">
        <f t="shared" si="89"/>
        <v>7.4626865671640896E-3</v>
      </c>
      <c r="AN179" s="14">
        <f t="shared" si="77"/>
        <v>4.9407114624511195E-4</v>
      </c>
      <c r="AO179">
        <f t="shared" si="86"/>
        <v>1</v>
      </c>
      <c r="AP179" s="14">
        <f t="shared" si="87"/>
        <v>0.4</v>
      </c>
      <c r="AQ179">
        <f t="shared" si="78"/>
        <v>-4.4255641410972935E-3</v>
      </c>
      <c r="AR179">
        <f t="shared" si="79"/>
        <v>4.9196352873424054E-3</v>
      </c>
      <c r="AS179">
        <f t="shared" si="61"/>
        <v>-6.6964697915240388E-4</v>
      </c>
      <c r="AT179">
        <f t="shared" si="62"/>
        <v>1.4478054961189427E-2</v>
      </c>
      <c r="AU179" s="14">
        <f t="shared" si="67"/>
        <v>-4.6252551254121629E-2</v>
      </c>
      <c r="AV179" s="19">
        <f t="shared" si="63"/>
        <v>-4.4731985611163927E-2</v>
      </c>
      <c r="AW179" s="19">
        <f t="shared" si="90"/>
        <v>-3.4448818897637734E-3</v>
      </c>
      <c r="AX179">
        <f t="shared" si="68"/>
        <v>0</v>
      </c>
      <c r="AY179">
        <f>IF(W179,SUMPRODUCT(INDEX(AX:AX,X179):INDEX(AX:AX,X179+Y179)),0)</f>
        <v>67</v>
      </c>
      <c r="AZ179">
        <f>IF(V179,COUNT(INDEX(AX:AX,X179):INDEX(AX:AX,ROW())),0)</f>
        <v>169</v>
      </c>
      <c r="BA179" s="14">
        <f t="shared" si="80"/>
        <v>0.39644970414201186</v>
      </c>
      <c r="BB179" s="6">
        <f t="shared" si="69"/>
        <v>212625</v>
      </c>
      <c r="BC179" s="6">
        <f>MEDIAN(INDEX(BB:BB,X179):INDEX(BB:BB,X179+Y179-1))</f>
        <v>62930</v>
      </c>
      <c r="BD179" s="25">
        <f t="shared" si="70"/>
        <v>62930</v>
      </c>
      <c r="BE179">
        <f t="shared" si="81"/>
        <v>0</v>
      </c>
      <c r="BF179" s="6">
        <f>SUM(INDEX(BE:BE,X179):INDEX(BE:BE,X179+Y179-1))</f>
        <v>17</v>
      </c>
      <c r="BG179" s="25">
        <f t="shared" si="71"/>
        <v>17</v>
      </c>
    </row>
    <row r="180" spans="1:59" x14ac:dyDescent="0.3">
      <c r="A180" s="1">
        <v>44166</v>
      </c>
      <c r="B180">
        <v>10.26</v>
      </c>
      <c r="C180">
        <v>10.27</v>
      </c>
      <c r="D180">
        <v>10.199999999999999</v>
      </c>
      <c r="E180">
        <v>10.210000000000001</v>
      </c>
      <c r="F180">
        <v>6400</v>
      </c>
      <c r="G180" s="29">
        <v>7.2853710272639496E-2</v>
      </c>
      <c r="H180" s="29">
        <v>7.1355250022173801E-3</v>
      </c>
      <c r="I180" s="29">
        <v>1.4201762977473E-2</v>
      </c>
      <c r="J180" s="29">
        <v>62.688537941297298</v>
      </c>
      <c r="K180" s="29">
        <v>1.5920398009950199E-2</v>
      </c>
      <c r="L180" s="29">
        <v>0.6</v>
      </c>
      <c r="M180" s="29">
        <v>-3.8824278587548701E-2</v>
      </c>
      <c r="N180" s="29">
        <v>-3.6710612097765903E-2</v>
      </c>
      <c r="O180" s="29">
        <v>0</v>
      </c>
      <c r="P180" s="29">
        <v>8.3950617283952093E-3</v>
      </c>
      <c r="Q180" s="29">
        <v>0.46825396825396798</v>
      </c>
      <c r="R180" s="30">
        <v>65497</v>
      </c>
      <c r="S180" s="29">
        <v>29</v>
      </c>
      <c r="T180" s="14">
        <v>340.221</v>
      </c>
      <c r="U180" s="41"/>
      <c r="V180">
        <v>170</v>
      </c>
      <c r="W180" t="b">
        <f>V180&gt;=$C$4</f>
        <v>1</v>
      </c>
      <c r="X180">
        <f>IF(V180&lt;=$C$5,11,ROW()-$C$5+1)</f>
        <v>11</v>
      </c>
      <c r="Y180" s="14">
        <f t="shared" si="64"/>
        <v>170</v>
      </c>
      <c r="Z180" s="10">
        <f t="shared" si="72"/>
        <v>0.14499999999999957</v>
      </c>
      <c r="AA180" s="15">
        <f t="shared" si="73"/>
        <v>1.4201762977473022E-2</v>
      </c>
      <c r="AB180" s="15">
        <f t="shared" si="74"/>
        <v>7.2853710272639552E-2</v>
      </c>
      <c r="AC180" s="10">
        <f t="shared" si="65"/>
        <v>7.1355250022173897E-3</v>
      </c>
      <c r="AD180">
        <f t="shared" si="75"/>
        <v>8.5000000000000853E-2</v>
      </c>
      <c r="AE180">
        <f t="shared" si="82"/>
        <v>8.5000000000000853E-2</v>
      </c>
      <c r="AF180">
        <f t="shared" si="83"/>
        <v>0</v>
      </c>
      <c r="AG180">
        <f t="shared" si="91"/>
        <v>1.9294682087031525E-2</v>
      </c>
      <c r="AH180">
        <f t="shared" si="91"/>
        <v>1.148453342777476E-2</v>
      </c>
      <c r="AI180">
        <f t="shared" si="76"/>
        <v>1.680057984799654</v>
      </c>
      <c r="AJ180">
        <f t="shared" si="84"/>
        <v>62.687374464595607</v>
      </c>
      <c r="AK180" s="14">
        <f t="shared" si="66"/>
        <v>62.687374464595607</v>
      </c>
      <c r="AM180">
        <f t="shared" si="89"/>
        <v>1.5920398009950265E-2</v>
      </c>
      <c r="AN180" s="14">
        <f t="shared" si="77"/>
        <v>8.3950617283952145E-3</v>
      </c>
      <c r="AO180">
        <f t="shared" si="86"/>
        <v>1</v>
      </c>
      <c r="AP180" s="14">
        <f t="shared" si="87"/>
        <v>0.6</v>
      </c>
      <c r="AQ180">
        <f t="shared" si="78"/>
        <v>1.0937778570154988E-2</v>
      </c>
      <c r="AR180">
        <f t="shared" si="79"/>
        <v>-2.5427168417597786E-3</v>
      </c>
      <c r="AS180">
        <f t="shared" si="61"/>
        <v>-5.6050198761984325E-4</v>
      </c>
      <c r="AT180">
        <f t="shared" si="62"/>
        <v>1.4436893820342592E-2</v>
      </c>
      <c r="AU180" s="14">
        <f t="shared" si="67"/>
        <v>-3.8824278587548854E-2</v>
      </c>
      <c r="AV180" s="19">
        <f t="shared" si="63"/>
        <v>-3.6710612097766236E-2</v>
      </c>
      <c r="AW180" s="19">
        <f t="shared" si="90"/>
        <v>0</v>
      </c>
      <c r="AX180">
        <f t="shared" si="68"/>
        <v>0</v>
      </c>
      <c r="AY180">
        <f>IF(W180,SUMPRODUCT(INDEX(AX:AX,X180):INDEX(AX:AX,X180+Y180)),0)</f>
        <v>67</v>
      </c>
      <c r="AZ180">
        <f>IF(V180,COUNT(INDEX(AX:AX,X180):INDEX(AX:AX,ROW())),0)</f>
        <v>170</v>
      </c>
      <c r="BA180" s="14">
        <f t="shared" si="80"/>
        <v>0.39411764705882352</v>
      </c>
      <c r="BB180" s="6">
        <f t="shared" si="69"/>
        <v>65344.000000000007</v>
      </c>
      <c r="BC180" s="6">
        <f>MEDIAN(INDEX(BB:BB,X180):INDEX(BB:BB,X180+Y180-1))</f>
        <v>64137</v>
      </c>
      <c r="BD180" s="25">
        <f t="shared" si="70"/>
        <v>64137</v>
      </c>
      <c r="BE180">
        <f t="shared" si="81"/>
        <v>0</v>
      </c>
      <c r="BF180" s="6">
        <f>SUM(INDEX(BE:BE,X180):INDEX(BE:BE,X180+Y180-1))</f>
        <v>17</v>
      </c>
      <c r="BG180" s="25">
        <f t="shared" si="71"/>
        <v>17</v>
      </c>
    </row>
    <row r="181" spans="1:59" x14ac:dyDescent="0.3">
      <c r="A181" s="1">
        <v>44167</v>
      </c>
      <c r="B181">
        <v>10.199999999999999</v>
      </c>
      <c r="C181">
        <v>10.31</v>
      </c>
      <c r="D181">
        <v>10.15</v>
      </c>
      <c r="E181">
        <v>10.210000000000001</v>
      </c>
      <c r="F181">
        <v>35000</v>
      </c>
      <c r="G181" s="29">
        <v>7.9078445253165305E-2</v>
      </c>
      <c r="H181" s="29">
        <v>7.7451954214657398E-3</v>
      </c>
      <c r="I181" s="29">
        <v>1.56709108716944E-2</v>
      </c>
      <c r="J181" s="29">
        <v>62.688537941297298</v>
      </c>
      <c r="K181" s="29">
        <v>1.6426082628173199E-2</v>
      </c>
      <c r="L181" s="29">
        <v>0.6</v>
      </c>
      <c r="M181" s="29">
        <v>-3.07708216759363E-2</v>
      </c>
      <c r="N181" s="29">
        <v>-4.36316877326655E-2</v>
      </c>
      <c r="O181" s="29">
        <v>0</v>
      </c>
      <c r="P181" s="29">
        <v>0</v>
      </c>
      <c r="Q181" s="29">
        <v>0.46428571428571402</v>
      </c>
      <c r="R181" s="30">
        <v>65682.5</v>
      </c>
      <c r="S181" s="29">
        <v>29</v>
      </c>
      <c r="T181" s="14">
        <v>340.93700000000001</v>
      </c>
      <c r="U181" s="41"/>
      <c r="V181">
        <v>171</v>
      </c>
      <c r="W181" t="b">
        <f>V181&gt;=$C$4</f>
        <v>1</v>
      </c>
      <c r="X181">
        <f>IF(V181&lt;=$C$5,11,ROW()-$C$5+1)</f>
        <v>11</v>
      </c>
      <c r="Y181" s="14">
        <f t="shared" si="64"/>
        <v>171</v>
      </c>
      <c r="Z181" s="10">
        <f t="shared" si="72"/>
        <v>0.16000000000000014</v>
      </c>
      <c r="AA181" s="15">
        <f t="shared" si="73"/>
        <v>1.5670910871694428E-2</v>
      </c>
      <c r="AB181" s="15">
        <f t="shared" si="74"/>
        <v>7.9078445253165305E-2</v>
      </c>
      <c r="AC181" s="10">
        <f t="shared" si="65"/>
        <v>7.7451954214657493E-3</v>
      </c>
      <c r="AD181">
        <f t="shared" si="75"/>
        <v>0</v>
      </c>
      <c r="AE181">
        <f t="shared" si="82"/>
        <v>0</v>
      </c>
      <c r="AF181">
        <f t="shared" si="83"/>
        <v>0</v>
      </c>
      <c r="AG181">
        <f t="shared" si="91"/>
        <v>1.7916490509386419E-2</v>
      </c>
      <c r="AH181">
        <f t="shared" si="91"/>
        <v>1.0664209611505134E-2</v>
      </c>
      <c r="AI181">
        <f t="shared" si="76"/>
        <v>1.6800579847996542</v>
      </c>
      <c r="AJ181">
        <f t="shared" si="84"/>
        <v>62.687374464595607</v>
      </c>
      <c r="AK181" s="14">
        <f t="shared" si="66"/>
        <v>62.687374464595607</v>
      </c>
      <c r="AM181">
        <f t="shared" si="89"/>
        <v>1.6426082628173244E-2</v>
      </c>
      <c r="AN181" s="14">
        <f t="shared" si="77"/>
        <v>0</v>
      </c>
      <c r="AO181">
        <f t="shared" si="86"/>
        <v>0</v>
      </c>
      <c r="AP181" s="14">
        <f t="shared" si="87"/>
        <v>0.6</v>
      </c>
      <c r="AQ181">
        <f t="shared" si="78"/>
        <v>2.1045144185691811E-3</v>
      </c>
      <c r="AR181">
        <f t="shared" si="79"/>
        <v>-2.1045144185691811E-3</v>
      </c>
      <c r="AS181">
        <f t="shared" si="61"/>
        <v>-4.428808827306473E-4</v>
      </c>
      <c r="AT181">
        <f t="shared" si="62"/>
        <v>1.4392884512310293E-2</v>
      </c>
      <c r="AU181" s="14">
        <f t="shared" si="67"/>
        <v>-3.0770821675936429E-2</v>
      </c>
      <c r="AV181" s="19">
        <f t="shared" si="63"/>
        <v>-4.363168773266593E-2</v>
      </c>
      <c r="AW181" s="19">
        <f t="shared" si="90"/>
        <v>0</v>
      </c>
      <c r="AX181">
        <f t="shared" si="68"/>
        <v>0</v>
      </c>
      <c r="AY181">
        <f>IF(W181,SUMPRODUCT(INDEX(AX:AX,X181):INDEX(AX:AX,X181+Y181)),0)</f>
        <v>67</v>
      </c>
      <c r="AZ181">
        <f>IF(V181,COUNT(INDEX(AX:AX,X181):INDEX(AX:AX,ROW())),0)</f>
        <v>171</v>
      </c>
      <c r="BA181" s="14">
        <f t="shared" si="80"/>
        <v>0.391812865497076</v>
      </c>
      <c r="BB181" s="6">
        <f t="shared" si="69"/>
        <v>357350.00000000006</v>
      </c>
      <c r="BC181" s="6">
        <f>MEDIAN(INDEX(BB:BB,X181):INDEX(BB:BB,X181+Y181-1))</f>
        <v>65344.000000000007</v>
      </c>
      <c r="BD181" s="25">
        <f t="shared" si="70"/>
        <v>65344.000000000007</v>
      </c>
      <c r="BE181">
        <f t="shared" si="81"/>
        <v>0</v>
      </c>
      <c r="BF181" s="6">
        <f>SUM(INDEX(BE:BE,X181):INDEX(BE:BE,X181+Y181-1))</f>
        <v>17</v>
      </c>
      <c r="BG181" s="25">
        <f t="shared" si="71"/>
        <v>17</v>
      </c>
    </row>
    <row r="182" spans="1:59" x14ac:dyDescent="0.3">
      <c r="A182" s="1">
        <v>44168</v>
      </c>
      <c r="B182">
        <v>10.220000000000001</v>
      </c>
      <c r="C182">
        <v>10.23</v>
      </c>
      <c r="D182">
        <v>10.17</v>
      </c>
      <c r="E182">
        <v>10.199999999999999</v>
      </c>
      <c r="F182">
        <v>60200</v>
      </c>
      <c r="G182" s="29">
        <v>7.7715699163653507E-2</v>
      </c>
      <c r="H182" s="29">
        <v>7.6191861925150499E-3</v>
      </c>
      <c r="I182" s="29">
        <v>5.8823529411765199E-3</v>
      </c>
      <c r="J182" s="29">
        <v>61.045519487404299</v>
      </c>
      <c r="K182" s="29">
        <v>2.2044088176352599E-2</v>
      </c>
      <c r="L182" s="29">
        <v>0.4</v>
      </c>
      <c r="M182" s="29">
        <v>-6.0142324201053803E-2</v>
      </c>
      <c r="N182" s="29">
        <v>-8.6873061076526203E-2</v>
      </c>
      <c r="O182" s="29">
        <v>-9.7943192948102211E-4</v>
      </c>
      <c r="P182" s="29">
        <v>-9.7943192948102211E-4</v>
      </c>
      <c r="Q182" s="29">
        <v>0.46428571428571402</v>
      </c>
      <c r="R182" s="30">
        <v>65682.5</v>
      </c>
      <c r="S182" s="29">
        <v>29</v>
      </c>
      <c r="T182" s="14">
        <v>340.84300000000002</v>
      </c>
      <c r="U182" s="41"/>
      <c r="V182">
        <v>172</v>
      </c>
      <c r="W182" t="b">
        <f>V182&gt;=$C$4</f>
        <v>1</v>
      </c>
      <c r="X182">
        <f>IF(V182&lt;=$C$5,11,ROW()-$C$5+1)</f>
        <v>11</v>
      </c>
      <c r="Y182" s="14">
        <f t="shared" si="64"/>
        <v>172</v>
      </c>
      <c r="Z182" s="10">
        <f t="shared" si="72"/>
        <v>6.0000000000000497E-2</v>
      </c>
      <c r="AA182" s="15">
        <f t="shared" si="73"/>
        <v>5.8823529411765199E-3</v>
      </c>
      <c r="AB182" s="15">
        <f t="shared" si="74"/>
        <v>7.7715699163653534E-2</v>
      </c>
      <c r="AC182" s="10">
        <f t="shared" si="65"/>
        <v>7.6191861925150525E-3</v>
      </c>
      <c r="AD182">
        <f t="shared" si="75"/>
        <v>-1.0000000000001563E-2</v>
      </c>
      <c r="AE182">
        <f t="shared" si="82"/>
        <v>0</v>
      </c>
      <c r="AF182">
        <f t="shared" si="83"/>
        <v>1.0000000000001563E-2</v>
      </c>
      <c r="AG182">
        <f t="shared" si="91"/>
        <v>1.6636741187287387E-2</v>
      </c>
      <c r="AH182">
        <f t="shared" si="91"/>
        <v>1.0616766067826309E-2</v>
      </c>
      <c r="AI182">
        <f t="shared" si="76"/>
        <v>1.5670253145827877</v>
      </c>
      <c r="AJ182">
        <f t="shared" si="84"/>
        <v>61.044404419419308</v>
      </c>
      <c r="AK182" s="14">
        <f t="shared" si="66"/>
        <v>61.044404419419308</v>
      </c>
      <c r="AM182">
        <f t="shared" si="89"/>
        <v>2.2044088176352616E-2</v>
      </c>
      <c r="AN182" s="14">
        <f t="shared" si="77"/>
        <v>-9.7943192948102276E-4</v>
      </c>
      <c r="AO182">
        <f t="shared" si="86"/>
        <v>0</v>
      </c>
      <c r="AP182" s="14">
        <f t="shared" si="87"/>
        <v>0.4</v>
      </c>
      <c r="AQ182">
        <f t="shared" si="78"/>
        <v>-2.7571076181232002E-4</v>
      </c>
      <c r="AR182">
        <f t="shared" si="79"/>
        <v>-7.0372116766870209E-4</v>
      </c>
      <c r="AS182">
        <f t="shared" si="61"/>
        <v>-8.4393937327959878E-4</v>
      </c>
      <c r="AT182">
        <f t="shared" si="62"/>
        <v>1.4032370456092366E-2</v>
      </c>
      <c r="AU182" s="14">
        <f t="shared" si="67"/>
        <v>-6.0142324201053983E-2</v>
      </c>
      <c r="AV182" s="19">
        <f t="shared" si="63"/>
        <v>-8.6873061076527244E-2</v>
      </c>
      <c r="AW182" s="19">
        <f t="shared" si="90"/>
        <v>-9.7943192948102276E-4</v>
      </c>
      <c r="AX182">
        <f t="shared" si="68"/>
        <v>0</v>
      </c>
      <c r="AY182">
        <f>IF(W182,SUMPRODUCT(INDEX(AX:AX,X182):INDEX(AX:AX,X182+Y182)),0)</f>
        <v>67</v>
      </c>
      <c r="AZ182">
        <f>IF(V182,COUNT(INDEX(AX:AX,X182):INDEX(AX:AX,ROW())),0)</f>
        <v>172</v>
      </c>
      <c r="BA182" s="14">
        <f t="shared" si="80"/>
        <v>0.38953488372093026</v>
      </c>
      <c r="BB182" s="6">
        <f t="shared" si="69"/>
        <v>614040</v>
      </c>
      <c r="BC182" s="6">
        <f>MEDIAN(INDEX(BB:BB,X182):INDEX(BB:BB,X182+Y182-1))</f>
        <v>65497</v>
      </c>
      <c r="BD182" s="25">
        <f t="shared" si="70"/>
        <v>65497</v>
      </c>
      <c r="BE182">
        <f t="shared" si="81"/>
        <v>0</v>
      </c>
      <c r="BF182" s="6">
        <f>SUM(INDEX(BE:BE,X182):INDEX(BE:BE,X182+Y182-1))</f>
        <v>17</v>
      </c>
      <c r="BG182" s="25">
        <f t="shared" si="71"/>
        <v>17</v>
      </c>
    </row>
    <row r="183" spans="1:59" x14ac:dyDescent="0.3">
      <c r="A183" s="1">
        <v>44169</v>
      </c>
      <c r="B183">
        <v>10.199999999999999</v>
      </c>
      <c r="C183">
        <v>10.27</v>
      </c>
      <c r="D183">
        <v>10.199999999999999</v>
      </c>
      <c r="E183">
        <v>10.205</v>
      </c>
      <c r="F183">
        <v>46100</v>
      </c>
      <c r="G183" s="29">
        <v>7.7164577794821096E-2</v>
      </c>
      <c r="H183" s="29">
        <v>7.5614480935640499E-3</v>
      </c>
      <c r="I183" s="29">
        <v>6.8593826555610202E-3</v>
      </c>
      <c r="J183" s="29">
        <v>61.5876204757827</v>
      </c>
      <c r="K183" s="29">
        <v>2.2545090180360699E-2</v>
      </c>
      <c r="L183" s="29">
        <v>0.6</v>
      </c>
      <c r="M183" s="29">
        <v>-7.8678894827418799E-2</v>
      </c>
      <c r="N183" s="29">
        <v>-8.7241167917181006E-2</v>
      </c>
      <c r="O183" s="29">
        <v>-4.8971596474056602E-4</v>
      </c>
      <c r="P183" s="29">
        <v>4.9019607843137005E-4</v>
      </c>
      <c r="Q183" s="29">
        <v>0.46031746031746001</v>
      </c>
      <c r="R183" s="30">
        <v>67265.5</v>
      </c>
      <c r="S183" s="29">
        <v>29</v>
      </c>
      <c r="T183" s="14">
        <v>343.78100000000001</v>
      </c>
      <c r="U183" s="41"/>
      <c r="V183">
        <v>173</v>
      </c>
      <c r="W183" t="b">
        <f>V183&gt;=$C$4</f>
        <v>1</v>
      </c>
      <c r="X183">
        <f>IF(V183&lt;=$C$5,11,ROW()-$C$5+1)</f>
        <v>11</v>
      </c>
      <c r="Y183" s="14">
        <f t="shared" si="64"/>
        <v>173</v>
      </c>
      <c r="Z183" s="10">
        <f t="shared" si="72"/>
        <v>7.0000000000000284E-2</v>
      </c>
      <c r="AA183" s="15">
        <f t="shared" si="73"/>
        <v>6.8593826555610271E-3</v>
      </c>
      <c r="AB183" s="15">
        <f t="shared" si="74"/>
        <v>7.7164577794821151E-2</v>
      </c>
      <c r="AC183" s="10">
        <f t="shared" si="65"/>
        <v>7.5614480935640516E-3</v>
      </c>
      <c r="AD183">
        <f t="shared" si="75"/>
        <v>5.0000000000007816E-3</v>
      </c>
      <c r="AE183">
        <f t="shared" si="82"/>
        <v>5.0000000000007816E-3</v>
      </c>
      <c r="AF183">
        <f t="shared" si="83"/>
        <v>0</v>
      </c>
      <c r="AG183">
        <f t="shared" si="91"/>
        <v>1.5805545388195487E-2</v>
      </c>
      <c r="AH183">
        <f t="shared" si="91"/>
        <v>9.858425634410143E-3</v>
      </c>
      <c r="AI183">
        <f t="shared" si="76"/>
        <v>1.6032524841519664</v>
      </c>
      <c r="AJ183">
        <f t="shared" si="84"/>
        <v>61.58651509648864</v>
      </c>
      <c r="AK183" s="14">
        <f t="shared" si="66"/>
        <v>61.58651509648864</v>
      </c>
      <c r="AM183">
        <f t="shared" si="89"/>
        <v>2.2545090180360772E-2</v>
      </c>
      <c r="AN183" s="14">
        <f t="shared" si="77"/>
        <v>4.9019607843137081E-4</v>
      </c>
      <c r="AO183">
        <f t="shared" si="86"/>
        <v>1</v>
      </c>
      <c r="AP183" s="14">
        <f t="shared" si="87"/>
        <v>0.6</v>
      </c>
      <c r="AQ183">
        <f t="shared" si="78"/>
        <v>8.6198044260847873E-3</v>
      </c>
      <c r="AR183">
        <f t="shared" si="79"/>
        <v>-8.1296083476534164E-3</v>
      </c>
      <c r="AS183">
        <f t="shared" si="61"/>
        <v>-1.1025898461733779E-3</v>
      </c>
      <c r="AT183">
        <f t="shared" si="62"/>
        <v>1.4013794278527848E-2</v>
      </c>
      <c r="AU183" s="14">
        <f t="shared" si="67"/>
        <v>-7.8678894827418938E-2</v>
      </c>
      <c r="AV183" s="19">
        <f t="shared" si="63"/>
        <v>-8.7241167917182019E-2</v>
      </c>
      <c r="AW183" s="19">
        <f t="shared" si="90"/>
        <v>-4.8971596474056689E-4</v>
      </c>
      <c r="AX183">
        <f t="shared" si="68"/>
        <v>0</v>
      </c>
      <c r="AY183">
        <f>IF(W183,SUMPRODUCT(INDEX(AX:AX,X183):INDEX(AX:AX,X183+Y183)),0)</f>
        <v>67</v>
      </c>
      <c r="AZ183">
        <f>IF(V183,COUNT(INDEX(AX:AX,X183):INDEX(AX:AX,ROW())),0)</f>
        <v>173</v>
      </c>
      <c r="BA183" s="14">
        <f t="shared" si="80"/>
        <v>0.38728323699421963</v>
      </c>
      <c r="BB183" s="6">
        <f t="shared" si="69"/>
        <v>470450.5</v>
      </c>
      <c r="BC183" s="6">
        <f>MEDIAN(INDEX(BB:BB,X183):INDEX(BB:BB,X183+Y183-1))</f>
        <v>65650</v>
      </c>
      <c r="BD183" s="25">
        <f t="shared" si="70"/>
        <v>65650</v>
      </c>
      <c r="BE183">
        <f t="shared" si="81"/>
        <v>0</v>
      </c>
      <c r="BF183" s="6">
        <f>SUM(INDEX(BE:BE,X183):INDEX(BE:BE,X183+Y183-1))</f>
        <v>17</v>
      </c>
      <c r="BG183" s="25">
        <f t="shared" si="71"/>
        <v>17</v>
      </c>
    </row>
    <row r="184" spans="1:59" x14ac:dyDescent="0.3">
      <c r="A184" s="1">
        <v>44172</v>
      </c>
      <c r="B184">
        <v>10.25</v>
      </c>
      <c r="C184">
        <v>10.25</v>
      </c>
      <c r="D184">
        <v>10.199999999999999</v>
      </c>
      <c r="E184">
        <v>10.234999999999999</v>
      </c>
      <c r="F184">
        <v>124400</v>
      </c>
      <c r="G184" s="29">
        <v>7.5224250809476798E-2</v>
      </c>
      <c r="H184" s="29">
        <v>7.3497069672180601E-3</v>
      </c>
      <c r="I184" s="29">
        <v>4.8851978505130098E-3</v>
      </c>
      <c r="J184" s="29">
        <v>64.756714361501096</v>
      </c>
      <c r="K184" s="29">
        <v>2.5551102204408802E-2</v>
      </c>
      <c r="L184" s="29">
        <v>0.6</v>
      </c>
      <c r="M184" s="29">
        <v>-0.11486801598414299</v>
      </c>
      <c r="N184" s="29">
        <v>-8.0743905488146597E-2</v>
      </c>
      <c r="O184" s="29">
        <v>0</v>
      </c>
      <c r="P184" s="29">
        <v>2.9397354238118699E-3</v>
      </c>
      <c r="Q184" s="29">
        <v>0.456349206349206</v>
      </c>
      <c r="R184" s="30">
        <v>69218.5</v>
      </c>
      <c r="S184" s="29">
        <v>29</v>
      </c>
      <c r="T184" s="14">
        <v>343.07400000000001</v>
      </c>
      <c r="U184" s="41"/>
      <c r="V184">
        <v>174</v>
      </c>
      <c r="W184" t="b">
        <f>V184&gt;=$C$4</f>
        <v>1</v>
      </c>
      <c r="X184">
        <f>IF(V184&lt;=$C$5,11,ROW()-$C$5+1)</f>
        <v>11</v>
      </c>
      <c r="Y184" s="14">
        <f t="shared" si="64"/>
        <v>174</v>
      </c>
      <c r="Z184" s="10">
        <f t="shared" si="72"/>
        <v>5.0000000000000711E-2</v>
      </c>
      <c r="AA184" s="15">
        <f t="shared" si="73"/>
        <v>4.8851978505130159E-3</v>
      </c>
      <c r="AB184" s="15">
        <f t="shared" si="74"/>
        <v>7.5224250809476825E-2</v>
      </c>
      <c r="AC184" s="10">
        <f t="shared" si="65"/>
        <v>7.3497069672180584E-3</v>
      </c>
      <c r="AD184">
        <f t="shared" si="75"/>
        <v>2.9999999999999361E-2</v>
      </c>
      <c r="AE184">
        <f t="shared" si="82"/>
        <v>2.9999999999999361E-2</v>
      </c>
      <c r="AF184">
        <f t="shared" si="83"/>
        <v>0</v>
      </c>
      <c r="AG184">
        <f t="shared" si="91"/>
        <v>1.6819435003324334E-2</v>
      </c>
      <c r="AH184">
        <f t="shared" si="91"/>
        <v>9.1542523748094195E-3</v>
      </c>
      <c r="AI184">
        <f t="shared" si="76"/>
        <v>1.8373357336758476</v>
      </c>
      <c r="AJ184">
        <f t="shared" si="84"/>
        <v>64.755668913933135</v>
      </c>
      <c r="AK184" s="14">
        <f t="shared" si="66"/>
        <v>64.755668913933135</v>
      </c>
      <c r="AM184">
        <f t="shared" si="89"/>
        <v>2.5551102204408815E-2</v>
      </c>
      <c r="AN184" s="14">
        <f t="shared" si="77"/>
        <v>2.9397354238118734E-3</v>
      </c>
      <c r="AO184">
        <f t="shared" si="86"/>
        <v>1</v>
      </c>
      <c r="AP184" s="14">
        <f t="shared" si="87"/>
        <v>0.6</v>
      </c>
      <c r="AQ184">
        <f t="shared" si="78"/>
        <v>-2.0565418100476629E-3</v>
      </c>
      <c r="AR184">
        <f t="shared" si="79"/>
        <v>4.9962772338595328E-3</v>
      </c>
      <c r="AS184">
        <f t="shared" si="61"/>
        <v>-1.535972581534097E-3</v>
      </c>
      <c r="AT184">
        <f t="shared" si="62"/>
        <v>1.3371629764599801E-2</v>
      </c>
      <c r="AU184" s="14">
        <f t="shared" si="67"/>
        <v>-0.11486801598414335</v>
      </c>
      <c r="AV184" s="19">
        <f t="shared" si="63"/>
        <v>-8.0743905488147624E-2</v>
      </c>
      <c r="AW184" s="19">
        <f t="shared" si="90"/>
        <v>0</v>
      </c>
      <c r="AX184">
        <f t="shared" si="68"/>
        <v>0</v>
      </c>
      <c r="AY184">
        <f>IF(W184,SUMPRODUCT(INDEX(AX:AX,X184):INDEX(AX:AX,X184+Y184)),0)</f>
        <v>67</v>
      </c>
      <c r="AZ184">
        <f>IF(V184,COUNT(INDEX(AX:AX,X184):INDEX(AX:AX,ROW())),0)</f>
        <v>174</v>
      </c>
      <c r="BA184" s="14">
        <f t="shared" si="80"/>
        <v>0.38505747126436779</v>
      </c>
      <c r="BB184" s="6">
        <f t="shared" si="69"/>
        <v>1273234</v>
      </c>
      <c r="BC184" s="6">
        <f>MEDIAN(INDEX(BB:BB,X184):INDEX(BB:BB,X184+Y184-1))</f>
        <v>65682.5</v>
      </c>
      <c r="BD184" s="25">
        <f t="shared" si="70"/>
        <v>65682.5</v>
      </c>
      <c r="BE184">
        <f t="shared" si="81"/>
        <v>0</v>
      </c>
      <c r="BF184" s="6">
        <f>SUM(INDEX(BE:BE,X184):INDEX(BE:BE,X184+Y184-1))</f>
        <v>17</v>
      </c>
      <c r="BG184" s="25">
        <f t="shared" si="71"/>
        <v>17</v>
      </c>
    </row>
    <row r="185" spans="1:59" x14ac:dyDescent="0.3">
      <c r="A185" s="1">
        <v>44173</v>
      </c>
      <c r="B185">
        <v>10.24</v>
      </c>
      <c r="C185">
        <v>10.3</v>
      </c>
      <c r="D185">
        <v>10.24</v>
      </c>
      <c r="E185">
        <v>10.26</v>
      </c>
      <c r="F185">
        <v>50200</v>
      </c>
      <c r="G185" s="29">
        <v>7.4493947180228601E-2</v>
      </c>
      <c r="H185" s="29">
        <v>7.2606186335505401E-3</v>
      </c>
      <c r="I185" s="29">
        <v>6.3352826510722398E-3</v>
      </c>
      <c r="J185" s="29">
        <v>67.186249597082806</v>
      </c>
      <c r="K185" s="29">
        <v>2.49750249750249E-2</v>
      </c>
      <c r="L185" s="29">
        <v>0.6</v>
      </c>
      <c r="M185" s="29">
        <v>-9.8672313609989806E-2</v>
      </c>
      <c r="N185" s="29">
        <v>-9.4088810658748995E-2</v>
      </c>
      <c r="O185" s="29">
        <v>0</v>
      </c>
      <c r="P185" s="29">
        <v>2.44259892525655E-3</v>
      </c>
      <c r="Q185" s="29">
        <v>0.452380952380952</v>
      </c>
      <c r="R185" s="30">
        <v>69218.5</v>
      </c>
      <c r="S185" s="29">
        <v>29</v>
      </c>
      <c r="T185" s="14">
        <v>344.07799999999997</v>
      </c>
      <c r="U185" s="41"/>
      <c r="V185">
        <v>175</v>
      </c>
      <c r="W185" t="b">
        <f>V185&gt;=$C$4</f>
        <v>1</v>
      </c>
      <c r="X185">
        <f>IF(V185&lt;=$C$5,11,ROW()-$C$5+1)</f>
        <v>11</v>
      </c>
      <c r="Y185" s="14">
        <f t="shared" si="64"/>
        <v>175</v>
      </c>
      <c r="Z185" s="10">
        <f t="shared" si="72"/>
        <v>6.5000000000001279E-2</v>
      </c>
      <c r="AA185" s="15">
        <f t="shared" si="73"/>
        <v>6.3352826510722493E-3</v>
      </c>
      <c r="AB185" s="15">
        <f t="shared" si="74"/>
        <v>7.4493947180228587E-2</v>
      </c>
      <c r="AC185" s="10">
        <f t="shared" si="65"/>
        <v>7.2606186335505444E-3</v>
      </c>
      <c r="AD185">
        <f t="shared" si="75"/>
        <v>2.5000000000000355E-2</v>
      </c>
      <c r="AE185">
        <f t="shared" si="82"/>
        <v>2.5000000000000355E-2</v>
      </c>
      <c r="AF185">
        <f t="shared" si="83"/>
        <v>0</v>
      </c>
      <c r="AG185">
        <f t="shared" si="91"/>
        <v>1.7403761074515477E-2</v>
      </c>
      <c r="AH185">
        <f t="shared" si="91"/>
        <v>8.5003772051801749E-3</v>
      </c>
      <c r="AI185">
        <f t="shared" si="76"/>
        <v>2.0474104447870305</v>
      </c>
      <c r="AJ185">
        <f t="shared" si="84"/>
        <v>67.185253902682433</v>
      </c>
      <c r="AK185" s="14">
        <f t="shared" si="66"/>
        <v>67.185253902682433</v>
      </c>
      <c r="AM185">
        <f t="shared" si="89"/>
        <v>2.4975024975024906E-2</v>
      </c>
      <c r="AN185" s="14">
        <f t="shared" si="77"/>
        <v>2.4425989252565561E-3</v>
      </c>
      <c r="AO185">
        <f t="shared" si="86"/>
        <v>1</v>
      </c>
      <c r="AP185" s="14">
        <f t="shared" si="87"/>
        <v>0.6</v>
      </c>
      <c r="AQ185">
        <f t="shared" si="78"/>
        <v>2.9264823332575407E-3</v>
      </c>
      <c r="AR185">
        <f t="shared" si="79"/>
        <v>-4.8388340800099069E-4</v>
      </c>
      <c r="AS185">
        <f t="shared" si="61"/>
        <v>-1.3087733213637102E-3</v>
      </c>
      <c r="AT185">
        <f t="shared" si="62"/>
        <v>1.3263835350377401E-2</v>
      </c>
      <c r="AU185" s="14">
        <f t="shared" si="67"/>
        <v>-9.8672313609989987E-2</v>
      </c>
      <c r="AV185" s="19">
        <f t="shared" si="63"/>
        <v>-9.4088810658750369E-2</v>
      </c>
      <c r="AW185" s="19">
        <f t="shared" si="90"/>
        <v>0</v>
      </c>
      <c r="AX185">
        <f t="shared" si="68"/>
        <v>0</v>
      </c>
      <c r="AY185">
        <f>IF(W185,SUMPRODUCT(INDEX(AX:AX,X185):INDEX(AX:AX,X185+Y185)),0)</f>
        <v>67</v>
      </c>
      <c r="AZ185">
        <f>IF(V185,COUNT(INDEX(AX:AX,X185):INDEX(AX:AX,ROW())),0)</f>
        <v>175</v>
      </c>
      <c r="BA185" s="14">
        <f t="shared" si="80"/>
        <v>0.38285714285714284</v>
      </c>
      <c r="BB185" s="6">
        <f t="shared" si="69"/>
        <v>515052</v>
      </c>
      <c r="BC185" s="6">
        <f>MEDIAN(INDEX(BB:BB,X185):INDEX(BB:BB,X185+Y185-1))</f>
        <v>65715</v>
      </c>
      <c r="BD185" s="25">
        <f t="shared" si="70"/>
        <v>65715</v>
      </c>
      <c r="BE185">
        <f t="shared" si="81"/>
        <v>0</v>
      </c>
      <c r="BF185" s="6">
        <f>SUM(INDEX(BE:BE,X185):INDEX(BE:BE,X185+Y185-1))</f>
        <v>17</v>
      </c>
      <c r="BG185" s="25">
        <f t="shared" si="71"/>
        <v>17</v>
      </c>
    </row>
    <row r="186" spans="1:59" x14ac:dyDescent="0.3">
      <c r="A186" s="1">
        <v>44174</v>
      </c>
      <c r="B186">
        <v>10.29</v>
      </c>
      <c r="C186">
        <v>10.29</v>
      </c>
      <c r="D186">
        <v>10.18</v>
      </c>
      <c r="E186">
        <v>10.26</v>
      </c>
      <c r="F186">
        <v>13400</v>
      </c>
      <c r="G186" s="29">
        <v>7.7030093810212197E-2</v>
      </c>
      <c r="H186" s="29">
        <v>7.5078064142507003E-3</v>
      </c>
      <c r="I186" s="29">
        <v>1.0721247563352699E-2</v>
      </c>
      <c r="J186" s="29">
        <v>67.186249597082806</v>
      </c>
      <c r="K186" s="29">
        <v>2.2931206380857501E-2</v>
      </c>
      <c r="L186" s="29">
        <v>0.6</v>
      </c>
      <c r="M186" s="29">
        <v>-0.114176622336933</v>
      </c>
      <c r="N186" s="29">
        <v>-9.0152344001430698E-2</v>
      </c>
      <c r="O186" s="29">
        <v>0</v>
      </c>
      <c r="P186" s="29">
        <v>0</v>
      </c>
      <c r="Q186" s="29">
        <v>0.44841269841269799</v>
      </c>
      <c r="R186" s="30">
        <v>69218.5</v>
      </c>
      <c r="S186" s="29">
        <v>29</v>
      </c>
      <c r="T186" s="14">
        <v>340.99200000000002</v>
      </c>
      <c r="U186" s="41"/>
      <c r="V186">
        <v>176</v>
      </c>
      <c r="W186" t="b">
        <f>V186&gt;=$C$4</f>
        <v>1</v>
      </c>
      <c r="X186">
        <f>IF(V186&lt;=$C$5,11,ROW()-$C$5+1)</f>
        <v>11</v>
      </c>
      <c r="Y186" s="14">
        <f t="shared" si="64"/>
        <v>176</v>
      </c>
      <c r="Z186" s="10">
        <f t="shared" si="72"/>
        <v>0.10999999999999943</v>
      </c>
      <c r="AA186" s="15">
        <f t="shared" si="73"/>
        <v>1.0721247563352772E-2</v>
      </c>
      <c r="AB186" s="15">
        <f t="shared" si="74"/>
        <v>7.7030093810212225E-2</v>
      </c>
      <c r="AC186" s="10">
        <f t="shared" si="65"/>
        <v>7.5078064142507046E-3</v>
      </c>
      <c r="AD186">
        <f t="shared" si="75"/>
        <v>0</v>
      </c>
      <c r="AE186">
        <f t="shared" si="82"/>
        <v>0</v>
      </c>
      <c r="AF186">
        <f t="shared" si="83"/>
        <v>0</v>
      </c>
      <c r="AG186">
        <f t="shared" si="91"/>
        <v>1.6160635283478657E-2</v>
      </c>
      <c r="AH186">
        <f t="shared" si="91"/>
        <v>7.8932074048101621E-3</v>
      </c>
      <c r="AI186">
        <f t="shared" si="76"/>
        <v>2.0474104447870305</v>
      </c>
      <c r="AJ186">
        <f t="shared" si="84"/>
        <v>67.185253902682433</v>
      </c>
      <c r="AK186" s="14">
        <f t="shared" si="66"/>
        <v>67.185253902682433</v>
      </c>
      <c r="AM186">
        <f t="shared" si="89"/>
        <v>2.2931206380857549E-2</v>
      </c>
      <c r="AN186" s="14">
        <f t="shared" si="77"/>
        <v>0</v>
      </c>
      <c r="AO186">
        <f t="shared" si="86"/>
        <v>0</v>
      </c>
      <c r="AP186" s="14">
        <f t="shared" si="87"/>
        <v>0.6</v>
      </c>
      <c r="AQ186">
        <f t="shared" si="78"/>
        <v>-8.9688965874015203E-3</v>
      </c>
      <c r="AR186">
        <f t="shared" si="79"/>
        <v>8.9688965874015203E-3</v>
      </c>
      <c r="AS186">
        <f t="shared" si="61"/>
        <v>-1.4889257248698955E-3</v>
      </c>
      <c r="AT186">
        <f t="shared" si="62"/>
        <v>1.3040548007070059E-2</v>
      </c>
      <c r="AU186" s="14">
        <f t="shared" si="67"/>
        <v>-0.11417662233693401</v>
      </c>
      <c r="AV186" s="19">
        <f t="shared" si="63"/>
        <v>-9.0152344001432058E-2</v>
      </c>
      <c r="AW186" s="19">
        <f t="shared" si="90"/>
        <v>0</v>
      </c>
      <c r="AX186">
        <f t="shared" si="68"/>
        <v>0</v>
      </c>
      <c r="AY186">
        <f>IF(W186,SUMPRODUCT(INDEX(AX:AX,X186):INDEX(AX:AX,X186+Y186)),0)</f>
        <v>67</v>
      </c>
      <c r="AZ186">
        <f>IF(V186,COUNT(INDEX(AX:AX,X186):INDEX(AX:AX,ROW())),0)</f>
        <v>176</v>
      </c>
      <c r="BA186" s="14">
        <f t="shared" si="80"/>
        <v>0.38068181818181818</v>
      </c>
      <c r="BB186" s="6">
        <f t="shared" si="69"/>
        <v>137484</v>
      </c>
      <c r="BC186" s="6">
        <f>MEDIAN(INDEX(BB:BB,X186):INDEX(BB:BB,X186+Y186-1))</f>
        <v>67265.5</v>
      </c>
      <c r="BD186" s="25">
        <f t="shared" si="70"/>
        <v>67265.5</v>
      </c>
      <c r="BE186">
        <f t="shared" si="81"/>
        <v>0</v>
      </c>
      <c r="BF186" s="6">
        <f>SUM(INDEX(BE:BE,X186):INDEX(BE:BE,X186+Y186-1))</f>
        <v>17</v>
      </c>
      <c r="BG186" s="25">
        <f t="shared" si="71"/>
        <v>17</v>
      </c>
    </row>
    <row r="187" spans="1:59" x14ac:dyDescent="0.3">
      <c r="A187" s="1">
        <v>44175</v>
      </c>
      <c r="B187">
        <v>10.27</v>
      </c>
      <c r="C187">
        <v>10.49</v>
      </c>
      <c r="D187">
        <v>10.27</v>
      </c>
      <c r="E187">
        <v>10.38</v>
      </c>
      <c r="F187">
        <v>51500</v>
      </c>
      <c r="G187" s="29">
        <v>8.7956515680911299E-2</v>
      </c>
      <c r="H187" s="29">
        <v>8.4736527630935796E-3</v>
      </c>
      <c r="I187" s="29">
        <v>2.2157996146435401E-2</v>
      </c>
      <c r="J187" s="29">
        <v>76.286495946938501</v>
      </c>
      <c r="K187" s="29">
        <v>3.07845084409137E-2</v>
      </c>
      <c r="L187" s="29">
        <v>0.8</v>
      </c>
      <c r="M187" s="29">
        <v>-8.8820245470378104E-2</v>
      </c>
      <c r="N187" s="29">
        <v>-9.4036407552381004E-2</v>
      </c>
      <c r="O187" s="29">
        <v>0</v>
      </c>
      <c r="P187" s="29">
        <v>1.16959064327486E-2</v>
      </c>
      <c r="Q187" s="29">
        <v>0.44444444444444398</v>
      </c>
      <c r="R187" s="30">
        <v>72402.5</v>
      </c>
      <c r="S187" s="29">
        <v>29</v>
      </c>
      <c r="T187" s="14">
        <v>340.88099999999997</v>
      </c>
      <c r="U187" s="41"/>
      <c r="V187">
        <v>177</v>
      </c>
      <c r="W187" t="b">
        <f>V187&gt;=$C$4</f>
        <v>1</v>
      </c>
      <c r="X187">
        <f>IF(V187&lt;=$C$5,11,ROW()-$C$5+1)</f>
        <v>11</v>
      </c>
      <c r="Y187" s="14">
        <f t="shared" si="64"/>
        <v>177</v>
      </c>
      <c r="Z187" s="10">
        <f t="shared" si="72"/>
        <v>0.23000000000000043</v>
      </c>
      <c r="AA187" s="15">
        <f t="shared" si="73"/>
        <v>2.2157996146435491E-2</v>
      </c>
      <c r="AB187" s="15">
        <f t="shared" si="74"/>
        <v>8.7956515680911382E-2</v>
      </c>
      <c r="AC187" s="10">
        <f t="shared" si="65"/>
        <v>8.4736527630935813E-3</v>
      </c>
      <c r="AD187">
        <f t="shared" si="75"/>
        <v>0.12000000000000099</v>
      </c>
      <c r="AE187">
        <f t="shared" si="82"/>
        <v>0.12000000000000099</v>
      </c>
      <c r="AF187">
        <f t="shared" si="83"/>
        <v>0</v>
      </c>
      <c r="AG187">
        <f t="shared" si="91"/>
        <v>2.357773276323025E-2</v>
      </c>
      <c r="AH187">
        <f t="shared" si="91"/>
        <v>7.3294068758951508E-3</v>
      </c>
      <c r="AI187">
        <f t="shared" si="76"/>
        <v>3.2168677714935381</v>
      </c>
      <c r="AJ187">
        <f t="shared" si="84"/>
        <v>76.285715981892935</v>
      </c>
      <c r="AK187" s="14">
        <f t="shared" si="66"/>
        <v>76.285715981892935</v>
      </c>
      <c r="AM187">
        <f t="shared" si="89"/>
        <v>3.0784508440913738E-2</v>
      </c>
      <c r="AN187" s="14">
        <f t="shared" si="77"/>
        <v>1.1695906432748648E-2</v>
      </c>
      <c r="AO187">
        <f t="shared" si="86"/>
        <v>1</v>
      </c>
      <c r="AP187" s="14">
        <f t="shared" si="87"/>
        <v>0.8</v>
      </c>
      <c r="AQ187">
        <f t="shared" si="78"/>
        <v>-3.2552083333348136E-4</v>
      </c>
      <c r="AR187">
        <f t="shared" si="79"/>
        <v>1.2021427266082081E-2</v>
      </c>
      <c r="AS187">
        <f t="shared" si="61"/>
        <v>-1.1653087392212778E-3</v>
      </c>
      <c r="AT187">
        <f t="shared" si="62"/>
        <v>1.3119854972815976E-2</v>
      </c>
      <c r="AU187" s="14">
        <f t="shared" si="67"/>
        <v>-8.8820245470378256E-2</v>
      </c>
      <c r="AV187" s="19">
        <f t="shared" si="63"/>
        <v>-9.4036407552382337E-2</v>
      </c>
      <c r="AW187" s="19">
        <f t="shared" si="90"/>
        <v>0</v>
      </c>
      <c r="AX187">
        <f t="shared" si="68"/>
        <v>0</v>
      </c>
      <c r="AY187">
        <f>IF(W187,SUMPRODUCT(INDEX(AX:AX,X187):INDEX(AX:AX,X187+Y187)),0)</f>
        <v>67</v>
      </c>
      <c r="AZ187">
        <f>IF(V187,COUNT(INDEX(AX:AX,X187):INDEX(AX:AX,ROW())),0)</f>
        <v>177</v>
      </c>
      <c r="BA187" s="14">
        <f t="shared" si="80"/>
        <v>0.37853107344632769</v>
      </c>
      <c r="BB187" s="6">
        <f t="shared" si="69"/>
        <v>534570</v>
      </c>
      <c r="BC187" s="6">
        <f>MEDIAN(INDEX(BB:BB,X187):INDEX(BB:BB,X187+Y187-1))</f>
        <v>68816</v>
      </c>
      <c r="BD187" s="25">
        <f t="shared" si="70"/>
        <v>68816</v>
      </c>
      <c r="BE187">
        <f t="shared" si="81"/>
        <v>0</v>
      </c>
      <c r="BF187" s="6">
        <f>SUM(INDEX(BE:BE,X187):INDEX(BE:BE,X187+Y187-1))</f>
        <v>17</v>
      </c>
      <c r="BG187" s="25">
        <f t="shared" si="71"/>
        <v>17</v>
      </c>
    </row>
    <row r="188" spans="1:59" x14ac:dyDescent="0.3">
      <c r="A188" s="1">
        <v>44176</v>
      </c>
      <c r="B188">
        <v>10.39</v>
      </c>
      <c r="C188">
        <v>10.48</v>
      </c>
      <c r="D188">
        <v>10.3</v>
      </c>
      <c r="E188">
        <v>10.32</v>
      </c>
      <c r="F188">
        <v>57700</v>
      </c>
      <c r="G188" s="29">
        <v>9.4531050275131895E-2</v>
      </c>
      <c r="H188" s="29">
        <v>9.1599854917763495E-3</v>
      </c>
      <c r="I188" s="29">
        <v>1.7441860465116199E-2</v>
      </c>
      <c r="J188" s="29">
        <v>66.374656611433807</v>
      </c>
      <c r="K188" s="29">
        <v>2.48262164846078E-2</v>
      </c>
      <c r="L188" s="29">
        <v>0.6</v>
      </c>
      <c r="M188" s="29">
        <v>-7.6731227288685894E-2</v>
      </c>
      <c r="N188" s="29">
        <v>-8.9911001473033603E-2</v>
      </c>
      <c r="O188" s="29">
        <v>-5.7803468208093003E-3</v>
      </c>
      <c r="P188" s="29">
        <v>-5.7803468208093003E-3</v>
      </c>
      <c r="Q188" s="29">
        <v>0.44444444444444398</v>
      </c>
      <c r="R188" s="30">
        <v>72402.5</v>
      </c>
      <c r="S188" s="29">
        <v>29</v>
      </c>
      <c r="T188" s="14">
        <v>340.48099999999999</v>
      </c>
      <c r="U188" s="41"/>
      <c r="V188">
        <v>178</v>
      </c>
      <c r="W188" t="b">
        <f>V188&gt;=$C$4</f>
        <v>1</v>
      </c>
      <c r="X188">
        <f>IF(V188&lt;=$C$5,11,ROW()-$C$5+1)</f>
        <v>11</v>
      </c>
      <c r="Y188" s="14">
        <f t="shared" si="64"/>
        <v>178</v>
      </c>
      <c r="Z188" s="10">
        <f t="shared" si="72"/>
        <v>0.17999999999999972</v>
      </c>
      <c r="AA188" s="15">
        <f t="shared" si="73"/>
        <v>1.7441860465116251E-2</v>
      </c>
      <c r="AB188" s="15">
        <f t="shared" si="74"/>
        <v>9.4531050275131978E-2</v>
      </c>
      <c r="AC188" s="10">
        <f t="shared" si="65"/>
        <v>9.1599854917763547E-3</v>
      </c>
      <c r="AD188">
        <f t="shared" si="75"/>
        <v>-6.0000000000000497E-2</v>
      </c>
      <c r="AE188">
        <f t="shared" si="82"/>
        <v>0</v>
      </c>
      <c r="AF188">
        <f t="shared" si="83"/>
        <v>6.0000000000000497E-2</v>
      </c>
      <c r="AG188">
        <f t="shared" si="91"/>
        <v>2.1893608994428087E-2</v>
      </c>
      <c r="AH188">
        <f t="shared" si="91"/>
        <v>1.1091592099045533E-2</v>
      </c>
      <c r="AI188">
        <f t="shared" si="76"/>
        <v>1.9738923681039535</v>
      </c>
      <c r="AJ188">
        <f t="shared" si="84"/>
        <v>66.374035229877407</v>
      </c>
      <c r="AK188" s="14">
        <f t="shared" si="66"/>
        <v>66.374035229877407</v>
      </c>
      <c r="AM188">
        <f t="shared" si="89"/>
        <v>2.482621648460781E-2</v>
      </c>
      <c r="AN188" s="14">
        <f t="shared" si="77"/>
        <v>-5.7803468208093012E-3</v>
      </c>
      <c r="AO188">
        <f t="shared" si="86"/>
        <v>0</v>
      </c>
      <c r="AP188" s="14">
        <f t="shared" si="87"/>
        <v>0.6</v>
      </c>
      <c r="AQ188">
        <f t="shared" si="78"/>
        <v>-1.1734300239671924E-3</v>
      </c>
      <c r="AR188">
        <f t="shared" si="79"/>
        <v>-4.6069167968421079E-3</v>
      </c>
      <c r="AS188">
        <f t="shared" si="61"/>
        <v>-9.9791153402012801E-4</v>
      </c>
      <c r="AT188">
        <f t="shared" si="62"/>
        <v>1.3005285713281805E-2</v>
      </c>
      <c r="AU188" s="14">
        <f t="shared" si="67"/>
        <v>-7.6731227288686074E-2</v>
      </c>
      <c r="AV188" s="19">
        <f t="shared" si="63"/>
        <v>-8.9911001473034907E-2</v>
      </c>
      <c r="AW188" s="19">
        <f t="shared" si="90"/>
        <v>-5.7803468208093012E-3</v>
      </c>
      <c r="AX188">
        <f t="shared" si="68"/>
        <v>0</v>
      </c>
      <c r="AY188">
        <f>IF(W188,SUMPRODUCT(INDEX(AX:AX,X188):INDEX(AX:AX,X188+Y188)),0)</f>
        <v>67</v>
      </c>
      <c r="AZ188">
        <f>IF(V188,COUNT(INDEX(AX:AX,X188):INDEX(AX:AX,ROW())),0)</f>
        <v>178</v>
      </c>
      <c r="BA188" s="14">
        <f t="shared" si="80"/>
        <v>0.37640449438202245</v>
      </c>
      <c r="BB188" s="6">
        <f t="shared" si="69"/>
        <v>595464</v>
      </c>
      <c r="BC188" s="6">
        <f>MEDIAN(INDEX(BB:BB,X188):INDEX(BB:BB,X188+Y188-1))</f>
        <v>69218.5</v>
      </c>
      <c r="BD188" s="25">
        <f t="shared" si="70"/>
        <v>69218.5</v>
      </c>
      <c r="BE188">
        <f t="shared" si="81"/>
        <v>0</v>
      </c>
      <c r="BF188" s="6">
        <f>SUM(INDEX(BE:BE,X188):INDEX(BE:BE,X188+Y188-1))</f>
        <v>17</v>
      </c>
      <c r="BG188" s="25">
        <f t="shared" si="71"/>
        <v>17</v>
      </c>
    </row>
    <row r="189" spans="1:59" x14ac:dyDescent="0.3">
      <c r="A189" s="1">
        <v>44179</v>
      </c>
      <c r="B189">
        <v>10.4</v>
      </c>
      <c r="C189">
        <v>10.5</v>
      </c>
      <c r="D189">
        <v>10.32</v>
      </c>
      <c r="E189">
        <v>10.32</v>
      </c>
      <c r="F189">
        <v>81200</v>
      </c>
      <c r="G189" s="29">
        <v>0.100635975255479</v>
      </c>
      <c r="H189" s="29">
        <v>9.7515479898720604E-3</v>
      </c>
      <c r="I189" s="29">
        <v>1.7441860465116199E-2</v>
      </c>
      <c r="J189" s="29">
        <v>66.374656611433807</v>
      </c>
      <c r="K189" s="29">
        <v>2.0771513353115799E-2</v>
      </c>
      <c r="L189" s="29">
        <v>0.4</v>
      </c>
      <c r="M189" s="29">
        <v>-6.6251845560585401E-2</v>
      </c>
      <c r="N189" s="29">
        <v>-8.97066372982398E-2</v>
      </c>
      <c r="O189" s="29">
        <v>-5.7803468208093003E-3</v>
      </c>
      <c r="P189" s="29">
        <v>0</v>
      </c>
      <c r="Q189" s="29">
        <v>0.44047619047619002</v>
      </c>
      <c r="R189" s="30">
        <v>77832</v>
      </c>
      <c r="S189" s="29">
        <v>29</v>
      </c>
      <c r="T189" s="14">
        <v>338.95699999999999</v>
      </c>
      <c r="U189" s="41"/>
      <c r="V189">
        <v>179</v>
      </c>
      <c r="W189" t="b">
        <f>V189&gt;=$C$4</f>
        <v>1</v>
      </c>
      <c r="X189">
        <f>IF(V189&lt;=$C$5,11,ROW()-$C$5+1)</f>
        <v>11</v>
      </c>
      <c r="Y189" s="14">
        <f t="shared" si="64"/>
        <v>179</v>
      </c>
      <c r="Z189" s="10">
        <f t="shared" si="72"/>
        <v>0.17999999999999972</v>
      </c>
      <c r="AA189" s="15">
        <f t="shared" si="73"/>
        <v>1.7441860465116251E-2</v>
      </c>
      <c r="AB189" s="15">
        <f t="shared" si="74"/>
        <v>0.10063597525547967</v>
      </c>
      <c r="AC189" s="10">
        <f t="shared" si="65"/>
        <v>9.7515479898720604E-3</v>
      </c>
      <c r="AD189">
        <f t="shared" si="75"/>
        <v>0</v>
      </c>
      <c r="AE189">
        <f t="shared" si="82"/>
        <v>0</v>
      </c>
      <c r="AF189">
        <f t="shared" si="83"/>
        <v>0</v>
      </c>
      <c r="AG189">
        <f t="shared" si="91"/>
        <v>2.0329779780540368E-2</v>
      </c>
      <c r="AH189">
        <f t="shared" si="91"/>
        <v>1.0299335520542281E-2</v>
      </c>
      <c r="AI189">
        <f t="shared" si="76"/>
        <v>1.9738923681039535</v>
      </c>
      <c r="AJ189">
        <f t="shared" si="84"/>
        <v>66.374035229877407</v>
      </c>
      <c r="AK189" s="14">
        <f t="shared" si="66"/>
        <v>66.374035229877407</v>
      </c>
      <c r="AM189">
        <f t="shared" si="89"/>
        <v>2.0771513353115889E-2</v>
      </c>
      <c r="AN189" s="14">
        <f t="shared" si="77"/>
        <v>0</v>
      </c>
      <c r="AO189">
        <f t="shared" si="86"/>
        <v>0</v>
      </c>
      <c r="AP189" s="14">
        <f t="shared" si="87"/>
        <v>0.4</v>
      </c>
      <c r="AQ189">
        <f t="shared" si="78"/>
        <v>-4.4760206883790454E-3</v>
      </c>
      <c r="AR189">
        <f t="shared" si="79"/>
        <v>4.4760206883790454E-3</v>
      </c>
      <c r="AS189">
        <f t="shared" si="61"/>
        <v>-8.6242213303382924E-4</v>
      </c>
      <c r="AT189">
        <f t="shared" si="62"/>
        <v>1.3017329943588757E-2</v>
      </c>
      <c r="AU189" s="14">
        <f t="shared" si="67"/>
        <v>-6.6251845560585637E-2</v>
      </c>
      <c r="AV189" s="19">
        <f t="shared" si="63"/>
        <v>-8.9706637298241174E-2</v>
      </c>
      <c r="AW189" s="19">
        <f t="shared" si="90"/>
        <v>-5.7803468208093012E-3</v>
      </c>
      <c r="AX189">
        <f t="shared" si="68"/>
        <v>0</v>
      </c>
      <c r="AY189">
        <f>IF(W189,SUMPRODUCT(INDEX(AX:AX,X189):INDEX(AX:AX,X189+Y189)),0)</f>
        <v>67</v>
      </c>
      <c r="AZ189">
        <f>IF(V189,COUNT(INDEX(AX:AX,X189):INDEX(AX:AX,ROW())),0)</f>
        <v>179</v>
      </c>
      <c r="BA189" s="14">
        <f t="shared" si="80"/>
        <v>0.37430167597765363</v>
      </c>
      <c r="BB189" s="6">
        <f t="shared" si="69"/>
        <v>837984</v>
      </c>
      <c r="BC189" s="6">
        <f>MEDIAN(INDEX(BB:BB,X189):INDEX(BB:BB,X189+Y189-1))</f>
        <v>69621</v>
      </c>
      <c r="BD189" s="25">
        <f t="shared" si="70"/>
        <v>69621</v>
      </c>
      <c r="BE189">
        <f t="shared" si="81"/>
        <v>0</v>
      </c>
      <c r="BF189" s="6">
        <f>SUM(INDEX(BE:BE,X189):INDEX(BE:BE,X189+Y189-1))</f>
        <v>17</v>
      </c>
      <c r="BG189" s="25">
        <f t="shared" si="71"/>
        <v>17</v>
      </c>
    </row>
    <row r="190" spans="1:59" x14ac:dyDescent="0.3">
      <c r="A190" s="1">
        <v>44180</v>
      </c>
      <c r="B190">
        <v>10.32</v>
      </c>
      <c r="C190">
        <v>10.44</v>
      </c>
      <c r="D190">
        <v>10.25</v>
      </c>
      <c r="E190">
        <v>10.32</v>
      </c>
      <c r="F190">
        <v>88700</v>
      </c>
      <c r="G190" s="29">
        <v>0.107019119880088</v>
      </c>
      <c r="H190" s="29">
        <v>1.0370069755822499E-2</v>
      </c>
      <c r="I190" s="29">
        <v>1.8410852713178199E-2</v>
      </c>
      <c r="J190" s="29">
        <v>66.374656611433807</v>
      </c>
      <c r="K190" s="29">
        <v>2.0771513353115799E-2</v>
      </c>
      <c r="L190" s="29">
        <v>0.2</v>
      </c>
      <c r="M190" s="29">
        <v>-0.101352961308875</v>
      </c>
      <c r="N190" s="29">
        <v>-8.1686348793619995E-2</v>
      </c>
      <c r="O190" s="29">
        <v>-5.7803468208093003E-3</v>
      </c>
      <c r="P190" s="29">
        <v>0</v>
      </c>
      <c r="Q190" s="29">
        <v>0.43650793650793601</v>
      </c>
      <c r="R190" s="30">
        <v>81820</v>
      </c>
      <c r="S190" s="29">
        <v>29</v>
      </c>
      <c r="T190" s="14">
        <v>343.53899999999999</v>
      </c>
      <c r="U190" s="41"/>
      <c r="V190">
        <v>180</v>
      </c>
      <c r="W190" t="b">
        <f>V190&gt;=$C$4</f>
        <v>1</v>
      </c>
      <c r="X190">
        <f>IF(V190&lt;=$C$5,11,ROW()-$C$5+1)</f>
        <v>11</v>
      </c>
      <c r="Y190" s="14">
        <f t="shared" si="64"/>
        <v>180</v>
      </c>
      <c r="Z190" s="10">
        <f t="shared" si="72"/>
        <v>0.1899999999999995</v>
      </c>
      <c r="AA190" s="15">
        <f t="shared" si="73"/>
        <v>1.8410852713178247E-2</v>
      </c>
      <c r="AB190" s="15">
        <f t="shared" si="74"/>
        <v>0.10701911988008823</v>
      </c>
      <c r="AC190" s="10">
        <f t="shared" si="65"/>
        <v>1.0370069755822503E-2</v>
      </c>
      <c r="AD190">
        <f t="shared" si="75"/>
        <v>0</v>
      </c>
      <c r="AE190">
        <f t="shared" si="82"/>
        <v>0</v>
      </c>
      <c r="AF190">
        <f t="shared" si="83"/>
        <v>0</v>
      </c>
      <c r="AG190">
        <f t="shared" ref="AG190:AH205" si="92">(AE190+13*AG189)/14</f>
        <v>1.8877652653358914E-2</v>
      </c>
      <c r="AH190">
        <f t="shared" si="92"/>
        <v>9.5636686976464051E-3</v>
      </c>
      <c r="AI190">
        <f t="shared" si="76"/>
        <v>1.9738923681039533</v>
      </c>
      <c r="AJ190">
        <f t="shared" si="84"/>
        <v>66.374035229877393</v>
      </c>
      <c r="AK190" s="14">
        <f t="shared" si="66"/>
        <v>66.374035229877393</v>
      </c>
      <c r="AM190">
        <f t="shared" si="89"/>
        <v>2.0771513353115889E-2</v>
      </c>
      <c r="AN190" s="14">
        <f t="shared" si="77"/>
        <v>0</v>
      </c>
      <c r="AO190">
        <f t="shared" si="86"/>
        <v>0</v>
      </c>
      <c r="AP190" s="14">
        <f t="shared" si="87"/>
        <v>0.2</v>
      </c>
      <c r="AQ190">
        <f t="shared" si="78"/>
        <v>1.3517938853600864E-2</v>
      </c>
      <c r="AR190">
        <f t="shared" si="79"/>
        <v>-1.3517938853600864E-2</v>
      </c>
      <c r="AS190">
        <f t="shared" si="61"/>
        <v>-1.3130401123719079E-3</v>
      </c>
      <c r="AT190">
        <f t="shared" si="62"/>
        <v>1.2955123317713257E-2</v>
      </c>
      <c r="AU190" s="14">
        <f t="shared" si="67"/>
        <v>-0.10135296130887592</v>
      </c>
      <c r="AV190" s="19">
        <f t="shared" si="63"/>
        <v>-8.1686348793621216E-2</v>
      </c>
      <c r="AW190" s="19">
        <f t="shared" si="90"/>
        <v>-5.7803468208093012E-3</v>
      </c>
      <c r="AX190">
        <f t="shared" si="68"/>
        <v>0</v>
      </c>
      <c r="AY190">
        <f>IF(W190,SUMPRODUCT(INDEX(AX:AX,X190):INDEX(AX:AX,X190+Y190)),0)</f>
        <v>67</v>
      </c>
      <c r="AZ190">
        <f>IF(V190,COUNT(INDEX(AX:AX,X190):INDEX(AX:AX,ROW())),0)</f>
        <v>180</v>
      </c>
      <c r="BA190" s="14">
        <f t="shared" si="80"/>
        <v>0.37222222222222223</v>
      </c>
      <c r="BB190" s="6">
        <f t="shared" si="69"/>
        <v>915384</v>
      </c>
      <c r="BC190" s="6">
        <f>MEDIAN(INDEX(BB:BB,X190):INDEX(BB:BB,X190+Y190-1))</f>
        <v>72402.5</v>
      </c>
      <c r="BD190" s="25">
        <f t="shared" si="70"/>
        <v>72402.5</v>
      </c>
      <c r="BE190">
        <f t="shared" si="81"/>
        <v>0</v>
      </c>
      <c r="BF190" s="6">
        <f>SUM(INDEX(BE:BE,X190):INDEX(BE:BE,X190+Y190-1))</f>
        <v>17</v>
      </c>
      <c r="BG190" s="25">
        <f t="shared" si="71"/>
        <v>17</v>
      </c>
    </row>
    <row r="191" spans="1:59" x14ac:dyDescent="0.3">
      <c r="A191" s="1">
        <v>44181</v>
      </c>
      <c r="B191">
        <v>10.82</v>
      </c>
      <c r="C191">
        <v>11.5</v>
      </c>
      <c r="D191">
        <v>10.66</v>
      </c>
      <c r="E191">
        <v>11.5</v>
      </c>
      <c r="F191">
        <v>13301200</v>
      </c>
      <c r="G191" s="29">
        <v>0.183660611317224</v>
      </c>
      <c r="H191" s="29">
        <v>1.5970487940628199E-2</v>
      </c>
      <c r="I191" s="29">
        <v>0.102608695652173</v>
      </c>
      <c r="J191" s="29">
        <v>91.977681720619501</v>
      </c>
      <c r="K191" s="29">
        <v>0.14030738720872499</v>
      </c>
      <c r="L191" s="29">
        <v>0.4</v>
      </c>
      <c r="M191" s="29">
        <v>2.0659813214123399E-2</v>
      </c>
      <c r="N191" s="29">
        <v>-8.9780609901495195E-2</v>
      </c>
      <c r="O191" s="29">
        <v>0</v>
      </c>
      <c r="P191" s="29">
        <v>0.11434108527131701</v>
      </c>
      <c r="Q191" s="29">
        <v>0.43650793650793601</v>
      </c>
      <c r="R191" s="30">
        <v>81820</v>
      </c>
      <c r="S191" s="29">
        <v>29</v>
      </c>
      <c r="T191" s="14">
        <v>344.07799999999997</v>
      </c>
      <c r="U191" s="41"/>
      <c r="V191">
        <v>181</v>
      </c>
      <c r="W191" t="b">
        <f>V191&gt;=$C$4</f>
        <v>1</v>
      </c>
      <c r="X191">
        <f>IF(V191&lt;=$C$5,11,ROW()-$C$5+1)</f>
        <v>11</v>
      </c>
      <c r="Y191" s="14">
        <f t="shared" si="64"/>
        <v>181</v>
      </c>
      <c r="Z191" s="10">
        <f t="shared" si="72"/>
        <v>1.1799999999999997</v>
      </c>
      <c r="AA191" s="15">
        <f t="shared" si="73"/>
        <v>0.10260869565217388</v>
      </c>
      <c r="AB191" s="15">
        <f t="shared" si="74"/>
        <v>0.18366061131722478</v>
      </c>
      <c r="AC191" s="10">
        <f t="shared" si="65"/>
        <v>1.597048794062824E-2</v>
      </c>
      <c r="AD191">
        <f t="shared" si="75"/>
        <v>1.1799999999999997</v>
      </c>
      <c r="AE191">
        <f t="shared" si="82"/>
        <v>1.1799999999999997</v>
      </c>
      <c r="AF191">
        <f t="shared" si="83"/>
        <v>0</v>
      </c>
      <c r="AG191">
        <f t="shared" si="92"/>
        <v>0.10181496317811897</v>
      </c>
      <c r="AH191">
        <f t="shared" si="92"/>
        <v>8.880549504957376E-3</v>
      </c>
      <c r="AI191">
        <f t="shared" si="76"/>
        <v>11.464939542455447</v>
      </c>
      <c r="AJ191">
        <f t="shared" si="84"/>
        <v>91.977498193280354</v>
      </c>
      <c r="AK191" s="14">
        <f t="shared" si="66"/>
        <v>91.977498193280354</v>
      </c>
      <c r="AM191">
        <f t="shared" si="89"/>
        <v>0.14030738720872571</v>
      </c>
      <c r="AN191" s="14">
        <f t="shared" si="77"/>
        <v>0.11434108527131781</v>
      </c>
      <c r="AO191">
        <f t="shared" si="86"/>
        <v>1</v>
      </c>
      <c r="AP191" s="14">
        <f t="shared" si="87"/>
        <v>0.4</v>
      </c>
      <c r="AQ191">
        <f t="shared" si="78"/>
        <v>1.5689630580515423E-3</v>
      </c>
      <c r="AR191">
        <f t="shared" si="79"/>
        <v>0.11277212221326546</v>
      </c>
      <c r="AS191">
        <f t="shared" si="61"/>
        <v>3.9962907905861911E-4</v>
      </c>
      <c r="AT191">
        <f t="shared" si="62"/>
        <v>1.9343305523470862E-2</v>
      </c>
      <c r="AU191" s="14">
        <f t="shared" si="67"/>
        <v>2.0659813214122864E-2</v>
      </c>
      <c r="AV191" s="19">
        <f t="shared" si="63"/>
        <v>-8.9780609901496528E-2</v>
      </c>
      <c r="AW191" s="19">
        <f t="shared" si="90"/>
        <v>0</v>
      </c>
      <c r="AX191">
        <f t="shared" si="68"/>
        <v>0</v>
      </c>
      <c r="AY191">
        <f>IF(W191,SUMPRODUCT(INDEX(AX:AX,X191):INDEX(AX:AX,X191+Y191)),0)</f>
        <v>67</v>
      </c>
      <c r="AZ191">
        <f>IF(V191,COUNT(INDEX(AX:AX,X191):INDEX(AX:AX,ROW())),0)</f>
        <v>181</v>
      </c>
      <c r="BA191" s="14">
        <f t="shared" si="80"/>
        <v>0.37016574585635359</v>
      </c>
      <c r="BB191" s="6">
        <f t="shared" si="69"/>
        <v>152963800</v>
      </c>
      <c r="BC191" s="6">
        <f>MEDIAN(INDEX(BB:BB,X191):INDEX(BB:BB,X191+Y191-1))</f>
        <v>75184</v>
      </c>
      <c r="BD191" s="25">
        <f t="shared" si="70"/>
        <v>75184</v>
      </c>
      <c r="BE191">
        <f t="shared" si="81"/>
        <v>0</v>
      </c>
      <c r="BF191" s="6">
        <f>SUM(INDEX(BE:BE,X191):INDEX(BE:BE,X191+Y191-1))</f>
        <v>17</v>
      </c>
      <c r="BG191" s="25">
        <f t="shared" si="71"/>
        <v>17</v>
      </c>
    </row>
    <row r="192" spans="1:59" x14ac:dyDescent="0.3">
      <c r="A192" s="1">
        <v>44182</v>
      </c>
      <c r="B192">
        <v>11.356</v>
      </c>
      <c r="C192">
        <v>11.37</v>
      </c>
      <c r="D192">
        <v>10.8</v>
      </c>
      <c r="E192">
        <v>11</v>
      </c>
      <c r="F192">
        <v>2679300</v>
      </c>
      <c r="G192" s="29">
        <v>0.220541996223137</v>
      </c>
      <c r="H192" s="29">
        <v>2.0049272383921499E-2</v>
      </c>
      <c r="I192" s="29">
        <v>6.3636363636363505E-2</v>
      </c>
      <c r="J192" s="29">
        <v>68.2603533514297</v>
      </c>
      <c r="K192" s="29">
        <v>9.0188305252725406E-2</v>
      </c>
      <c r="L192" s="29">
        <v>0.2</v>
      </c>
      <c r="M192" s="29">
        <v>-2.7730040795577601E-2</v>
      </c>
      <c r="N192" s="29">
        <v>-0.116868358452798</v>
      </c>
      <c r="O192" s="29">
        <v>-4.3478260869565098E-2</v>
      </c>
      <c r="P192" s="29">
        <v>-4.3478260869565098E-2</v>
      </c>
      <c r="Q192" s="29">
        <v>0.432539682539682</v>
      </c>
      <c r="R192" s="30">
        <v>81820</v>
      </c>
      <c r="S192" s="29">
        <v>29</v>
      </c>
      <c r="T192" s="14">
        <v>346.00200000000001</v>
      </c>
      <c r="U192" s="41"/>
      <c r="V192">
        <v>182</v>
      </c>
      <c r="W192" t="b">
        <f>V192&gt;=$C$4</f>
        <v>1</v>
      </c>
      <c r="X192">
        <f>IF(V192&lt;=$C$5,11,ROW()-$C$5+1)</f>
        <v>11</v>
      </c>
      <c r="Y192" s="14">
        <f t="shared" si="64"/>
        <v>182</v>
      </c>
      <c r="Z192" s="10">
        <f t="shared" si="72"/>
        <v>0.69999999999999929</v>
      </c>
      <c r="AA192" s="15">
        <f t="shared" si="73"/>
        <v>6.3636363636363574E-2</v>
      </c>
      <c r="AB192" s="15">
        <f t="shared" si="74"/>
        <v>0.22054199622313725</v>
      </c>
      <c r="AC192" s="10">
        <f t="shared" si="65"/>
        <v>2.0049272383921568E-2</v>
      </c>
      <c r="AD192">
        <f t="shared" si="75"/>
        <v>-0.5</v>
      </c>
      <c r="AE192">
        <f t="shared" si="82"/>
        <v>0</v>
      </c>
      <c r="AF192">
        <f t="shared" si="83"/>
        <v>0.5</v>
      </c>
      <c r="AG192">
        <f t="shared" si="92"/>
        <v>9.4542465808253331E-2</v>
      </c>
      <c r="AH192">
        <f t="shared" si="92"/>
        <v>4.3960510254603277E-2</v>
      </c>
      <c r="AI192">
        <f t="shared" si="76"/>
        <v>2.150622576050591</v>
      </c>
      <c r="AJ192">
        <f t="shared" si="84"/>
        <v>68.260241401128638</v>
      </c>
      <c r="AK192" s="14">
        <f t="shared" si="66"/>
        <v>68.260241401128638</v>
      </c>
      <c r="AM192">
        <f t="shared" si="89"/>
        <v>9.0188305252725476E-2</v>
      </c>
      <c r="AN192" s="14">
        <f t="shared" si="77"/>
        <v>-4.3478260869565188E-2</v>
      </c>
      <c r="AO192">
        <f t="shared" si="86"/>
        <v>0</v>
      </c>
      <c r="AP192" s="14">
        <f t="shared" si="87"/>
        <v>0.2</v>
      </c>
      <c r="AQ192">
        <f t="shared" si="78"/>
        <v>5.5917553577968793E-3</v>
      </c>
      <c r="AR192">
        <f t="shared" si="79"/>
        <v>-4.9070016227361977E-2</v>
      </c>
      <c r="AS192">
        <f t="shared" si="61"/>
        <v>-5.619725840418638E-4</v>
      </c>
      <c r="AT192">
        <f t="shared" si="62"/>
        <v>2.0265840507940114E-2</v>
      </c>
      <c r="AU192" s="14">
        <f t="shared" si="67"/>
        <v>-2.7730040795578358E-2</v>
      </c>
      <c r="AV192" s="19">
        <f t="shared" si="63"/>
        <v>-0.11686835845280015</v>
      </c>
      <c r="AW192" s="19">
        <f t="shared" si="90"/>
        <v>-4.3478260869565188E-2</v>
      </c>
      <c r="AX192">
        <f t="shared" si="68"/>
        <v>0</v>
      </c>
      <c r="AY192">
        <f>IF(W192,SUMPRODUCT(INDEX(AX:AX,X192):INDEX(AX:AX,X192+Y192)),0)</f>
        <v>67</v>
      </c>
      <c r="AZ192">
        <f>IF(V192,COUNT(INDEX(AX:AX,X192):INDEX(AX:AX,ROW())),0)</f>
        <v>182</v>
      </c>
      <c r="BA192" s="14">
        <f t="shared" si="80"/>
        <v>0.36813186813186816</v>
      </c>
      <c r="BB192" s="6">
        <f t="shared" si="69"/>
        <v>29472300</v>
      </c>
      <c r="BC192" s="6">
        <f>MEDIAN(INDEX(BB:BB,X192):INDEX(BB:BB,X192+Y192-1))</f>
        <v>77832</v>
      </c>
      <c r="BD192" s="25">
        <f t="shared" si="70"/>
        <v>77832</v>
      </c>
      <c r="BE192">
        <f t="shared" si="81"/>
        <v>0</v>
      </c>
      <c r="BF192" s="6">
        <f>SUM(INDEX(BE:BE,X192):INDEX(BE:BE,X192+Y192-1))</f>
        <v>17</v>
      </c>
      <c r="BG192" s="25">
        <f t="shared" si="71"/>
        <v>17</v>
      </c>
    </row>
    <row r="193" spans="1:59" x14ac:dyDescent="0.3">
      <c r="A193" s="1">
        <v>44183</v>
      </c>
      <c r="B193">
        <v>11.16</v>
      </c>
      <c r="C193">
        <v>11.18</v>
      </c>
      <c r="D193">
        <v>10.92</v>
      </c>
      <c r="E193">
        <v>11</v>
      </c>
      <c r="F193">
        <v>2009600</v>
      </c>
      <c r="G193" s="29">
        <v>0.22336042506434101</v>
      </c>
      <c r="H193" s="29">
        <v>2.03054931876674E-2</v>
      </c>
      <c r="I193" s="29">
        <v>2.3636363636363601E-2</v>
      </c>
      <c r="J193" s="29">
        <v>68.2603533514297</v>
      </c>
      <c r="K193" s="29">
        <v>8.2677165354330701E-2</v>
      </c>
      <c r="L193" s="29">
        <v>0.2</v>
      </c>
      <c r="M193" s="29">
        <v>-3.02619249368472E-2</v>
      </c>
      <c r="N193" s="29">
        <v>-0.12714121775687601</v>
      </c>
      <c r="O193" s="29">
        <v>-4.3478260869565098E-2</v>
      </c>
      <c r="P193" s="29">
        <v>0</v>
      </c>
      <c r="Q193" s="29">
        <v>0.42857142857142799</v>
      </c>
      <c r="R193" s="30">
        <v>85873.4</v>
      </c>
      <c r="S193" s="29">
        <v>29</v>
      </c>
      <c r="T193" s="14">
        <v>344.62099999999998</v>
      </c>
      <c r="U193" s="41"/>
      <c r="V193">
        <v>183</v>
      </c>
      <c r="W193" t="b">
        <f>V193&gt;=$C$4</f>
        <v>1</v>
      </c>
      <c r="X193">
        <f>IF(V193&lt;=$C$5,11,ROW()-$C$5+1)</f>
        <v>11</v>
      </c>
      <c r="Y193" s="14">
        <f t="shared" si="64"/>
        <v>183</v>
      </c>
      <c r="Z193" s="10">
        <f t="shared" si="72"/>
        <v>0.25999999999999979</v>
      </c>
      <c r="AA193" s="15">
        <f t="shared" si="73"/>
        <v>2.3636363636363619E-2</v>
      </c>
      <c r="AB193" s="15">
        <f t="shared" si="74"/>
        <v>0.22336042506434173</v>
      </c>
      <c r="AC193" s="10">
        <f t="shared" si="65"/>
        <v>2.0305493187667431E-2</v>
      </c>
      <c r="AD193">
        <f t="shared" si="75"/>
        <v>0</v>
      </c>
      <c r="AE193">
        <f t="shared" si="82"/>
        <v>0</v>
      </c>
      <c r="AF193">
        <f t="shared" si="83"/>
        <v>0</v>
      </c>
      <c r="AG193">
        <f t="shared" si="92"/>
        <v>8.7789432536235237E-2</v>
      </c>
      <c r="AH193">
        <f t="shared" si="92"/>
        <v>4.0820473807845904E-2</v>
      </c>
      <c r="AI193">
        <f t="shared" si="76"/>
        <v>2.150622576050591</v>
      </c>
      <c r="AJ193">
        <f t="shared" si="84"/>
        <v>68.260241401128638</v>
      </c>
      <c r="AK193" s="14">
        <f t="shared" si="66"/>
        <v>68.260241401128638</v>
      </c>
      <c r="AM193">
        <f t="shared" si="89"/>
        <v>8.2677165354330784E-2</v>
      </c>
      <c r="AN193" s="14">
        <f t="shared" si="77"/>
        <v>0</v>
      </c>
      <c r="AO193">
        <f t="shared" si="86"/>
        <v>0</v>
      </c>
      <c r="AP193" s="14">
        <f t="shared" si="87"/>
        <v>0.2</v>
      </c>
      <c r="AQ193">
        <f t="shared" si="78"/>
        <v>-3.9913064086335437E-3</v>
      </c>
      <c r="AR193">
        <f t="shared" si="79"/>
        <v>3.9913064086335437E-3</v>
      </c>
      <c r="AS193">
        <f t="shared" si="61"/>
        <v>-6.1280648625915114E-4</v>
      </c>
      <c r="AT193">
        <f t="shared" si="62"/>
        <v>2.0250082819846572E-2</v>
      </c>
      <c r="AU193" s="14">
        <f t="shared" si="67"/>
        <v>-3.0261924936847946E-2</v>
      </c>
      <c r="AV193" s="19">
        <f t="shared" si="63"/>
        <v>-0.12714121775687795</v>
      </c>
      <c r="AW193" s="19">
        <f t="shared" si="90"/>
        <v>-4.3478260869565188E-2</v>
      </c>
      <c r="AX193">
        <f t="shared" si="68"/>
        <v>0</v>
      </c>
      <c r="AY193">
        <f>IF(W193,SUMPRODUCT(INDEX(AX:AX,X193):INDEX(AX:AX,X193+Y193)),0)</f>
        <v>67</v>
      </c>
      <c r="AZ193">
        <f>IF(V193,COUNT(INDEX(AX:AX,X193):INDEX(AX:AX,ROW())),0)</f>
        <v>183</v>
      </c>
      <c r="BA193" s="14">
        <f t="shared" si="80"/>
        <v>0.36612021857923499</v>
      </c>
      <c r="BB193" s="6">
        <f t="shared" si="69"/>
        <v>22105600</v>
      </c>
      <c r="BC193" s="6">
        <f>MEDIAN(INDEX(BB:BB,X193):INDEX(BB:BB,X193+Y193-1))</f>
        <v>80480</v>
      </c>
      <c r="BD193" s="25">
        <f t="shared" si="70"/>
        <v>80480</v>
      </c>
      <c r="BE193">
        <f t="shared" si="81"/>
        <v>0</v>
      </c>
      <c r="BF193" s="6">
        <f>SUM(INDEX(BE:BE,X193):INDEX(BE:BE,X193+Y193-1))</f>
        <v>17</v>
      </c>
      <c r="BG193" s="25">
        <f t="shared" si="71"/>
        <v>17</v>
      </c>
    </row>
    <row r="194" spans="1:59" x14ac:dyDescent="0.3">
      <c r="A194" s="1">
        <v>44186</v>
      </c>
      <c r="B194">
        <v>11.39</v>
      </c>
      <c r="C194">
        <v>11.78</v>
      </c>
      <c r="D194">
        <v>11.18</v>
      </c>
      <c r="E194">
        <v>11.55</v>
      </c>
      <c r="F194">
        <v>3708500</v>
      </c>
      <c r="G194" s="29">
        <v>0.26312039470260201</v>
      </c>
      <c r="H194" s="29">
        <v>2.2780986554337902E-2</v>
      </c>
      <c r="I194" s="29">
        <v>6.7532467532467402E-2</v>
      </c>
      <c r="J194" s="29">
        <v>76.116959389692099</v>
      </c>
      <c r="K194" s="29">
        <v>0.14243323442136499</v>
      </c>
      <c r="L194" s="29">
        <v>0.4</v>
      </c>
      <c r="M194" s="29">
        <v>1.5757716301398699E-2</v>
      </c>
      <c r="N194" s="29">
        <v>-0.16545808395474701</v>
      </c>
      <c r="O194" s="29">
        <v>0</v>
      </c>
      <c r="P194" s="29">
        <v>0.05</v>
      </c>
      <c r="Q194" s="29">
        <v>0.42460317460317398</v>
      </c>
      <c r="R194" s="30">
        <v>89695.4</v>
      </c>
      <c r="S194" s="29">
        <v>29</v>
      </c>
      <c r="T194" s="14">
        <v>343.38900000000001</v>
      </c>
      <c r="U194" s="41"/>
      <c r="V194">
        <v>184</v>
      </c>
      <c r="W194" t="b">
        <f>V194&gt;=$C$4</f>
        <v>1</v>
      </c>
      <c r="X194">
        <f>IF(V194&lt;=$C$5,11,ROW()-$C$5+1)</f>
        <v>11</v>
      </c>
      <c r="Y194" s="14">
        <f t="shared" si="64"/>
        <v>184</v>
      </c>
      <c r="Z194" s="10">
        <f t="shared" si="72"/>
        <v>0.77999999999999936</v>
      </c>
      <c r="AA194" s="15">
        <f t="shared" si="73"/>
        <v>6.7532467532467472E-2</v>
      </c>
      <c r="AB194" s="15">
        <f t="shared" si="74"/>
        <v>0.26312039470260296</v>
      </c>
      <c r="AC194" s="10">
        <f t="shared" si="65"/>
        <v>2.2780986554337915E-2</v>
      </c>
      <c r="AD194">
        <f t="shared" si="75"/>
        <v>0.55000000000000071</v>
      </c>
      <c r="AE194">
        <f t="shared" si="82"/>
        <v>0.55000000000000071</v>
      </c>
      <c r="AF194">
        <f t="shared" si="83"/>
        <v>0</v>
      </c>
      <c r="AG194">
        <f t="shared" si="92"/>
        <v>0.12080447306936135</v>
      </c>
      <c r="AH194">
        <f t="shared" si="92"/>
        <v>3.7904725678714057E-2</v>
      </c>
      <c r="AI194">
        <f t="shared" si="76"/>
        <v>3.1870557273865416</v>
      </c>
      <c r="AJ194">
        <f t="shared" si="84"/>
        <v>76.116869105437587</v>
      </c>
      <c r="AK194" s="14">
        <f t="shared" si="66"/>
        <v>76.116869105437587</v>
      </c>
      <c r="AM194">
        <f t="shared" si="89"/>
        <v>0.14243323442136502</v>
      </c>
      <c r="AN194" s="14">
        <f t="shared" si="77"/>
        <v>5.0000000000000044E-2</v>
      </c>
      <c r="AO194">
        <f t="shared" si="86"/>
        <v>1</v>
      </c>
      <c r="AP194" s="14">
        <f t="shared" si="87"/>
        <v>0.4</v>
      </c>
      <c r="AQ194">
        <f t="shared" si="78"/>
        <v>-3.5749417476008682E-3</v>
      </c>
      <c r="AR194">
        <f t="shared" si="79"/>
        <v>5.3574941747600871E-2</v>
      </c>
      <c r="AS194">
        <f t="shared" si="61"/>
        <v>3.3649308522870305E-4</v>
      </c>
      <c r="AT194">
        <f t="shared" si="62"/>
        <v>2.1354178409649763E-2</v>
      </c>
      <c r="AU194" s="14">
        <f t="shared" si="67"/>
        <v>1.5757716301398175E-2</v>
      </c>
      <c r="AV194" s="19">
        <f t="shared" si="63"/>
        <v>-0.16545808395474959</v>
      </c>
      <c r="AW194" s="19">
        <f t="shared" si="90"/>
        <v>0</v>
      </c>
      <c r="AX194">
        <f t="shared" si="68"/>
        <v>0</v>
      </c>
      <c r="AY194">
        <f>IF(W194,SUMPRODUCT(INDEX(AX:AX,X194):INDEX(AX:AX,X194+Y194)),0)</f>
        <v>67</v>
      </c>
      <c r="AZ194">
        <f>IF(V194,COUNT(INDEX(AX:AX,X194):INDEX(AX:AX,ROW())),0)</f>
        <v>184</v>
      </c>
      <c r="BA194" s="14">
        <f t="shared" si="80"/>
        <v>0.3641304347826087</v>
      </c>
      <c r="BB194" s="6">
        <f t="shared" si="69"/>
        <v>42833175</v>
      </c>
      <c r="BC194" s="6">
        <f>MEDIAN(INDEX(BB:BB,X194):INDEX(BB:BB,X194+Y194-1))</f>
        <v>81820</v>
      </c>
      <c r="BD194" s="25">
        <f t="shared" si="70"/>
        <v>81820</v>
      </c>
      <c r="BE194">
        <f t="shared" si="81"/>
        <v>0</v>
      </c>
      <c r="BF194" s="6">
        <f>SUM(INDEX(BE:BE,X194):INDEX(BE:BE,X194+Y194-1))</f>
        <v>17</v>
      </c>
      <c r="BG194" s="25">
        <f t="shared" si="71"/>
        <v>17</v>
      </c>
    </row>
    <row r="195" spans="1:59" x14ac:dyDescent="0.3">
      <c r="A195" s="1">
        <v>44187</v>
      </c>
      <c r="B195">
        <v>11.96</v>
      </c>
      <c r="C195">
        <v>12.47</v>
      </c>
      <c r="D195">
        <v>11.8</v>
      </c>
      <c r="E195">
        <v>12.04</v>
      </c>
      <c r="F195">
        <v>3814600</v>
      </c>
      <c r="G195" s="29">
        <v>0.31004036650955902</v>
      </c>
      <c r="H195" s="29">
        <v>2.5750861005777399E-2</v>
      </c>
      <c r="I195" s="29">
        <v>7.6411960132890297E-2</v>
      </c>
      <c r="J195" s="29">
        <v>80.700465348295296</v>
      </c>
      <c r="K195" s="29">
        <v>0.18503937007874</v>
      </c>
      <c r="L195" s="29">
        <v>0.6</v>
      </c>
      <c r="M195" s="29">
        <v>2.9183899523898198E-2</v>
      </c>
      <c r="N195" s="29">
        <v>-0.20362061395589301</v>
      </c>
      <c r="O195" s="29">
        <v>0</v>
      </c>
      <c r="P195" s="29">
        <v>4.2424242424242198E-2</v>
      </c>
      <c r="Q195" s="29">
        <v>0.42063492063491997</v>
      </c>
      <c r="R195" s="30">
        <v>99356</v>
      </c>
      <c r="S195" s="29">
        <v>28</v>
      </c>
      <c r="T195" s="14">
        <v>342.81</v>
      </c>
      <c r="U195" s="41"/>
      <c r="V195">
        <v>185</v>
      </c>
      <c r="W195" t="b">
        <f>V195&gt;=$C$4</f>
        <v>1</v>
      </c>
      <c r="X195">
        <f>IF(V195&lt;=$C$5,11,ROW()-$C$5+1)</f>
        <v>11</v>
      </c>
      <c r="Y195" s="14">
        <f t="shared" si="64"/>
        <v>185</v>
      </c>
      <c r="Z195" s="10">
        <f t="shared" si="72"/>
        <v>0.91999999999999993</v>
      </c>
      <c r="AA195" s="15">
        <f t="shared" si="73"/>
        <v>7.6411960132890366E-2</v>
      </c>
      <c r="AB195" s="15">
        <f t="shared" si="74"/>
        <v>0.31004036650955985</v>
      </c>
      <c r="AC195" s="10">
        <f t="shared" si="65"/>
        <v>2.5750861005777399E-2</v>
      </c>
      <c r="AD195">
        <f t="shared" si="75"/>
        <v>0.48999999999999844</v>
      </c>
      <c r="AE195">
        <f t="shared" si="82"/>
        <v>0.48999999999999844</v>
      </c>
      <c r="AF195">
        <f t="shared" si="83"/>
        <v>0</v>
      </c>
      <c r="AG195">
        <f t="shared" si="92"/>
        <v>0.14717558213583543</v>
      </c>
      <c r="AH195">
        <f t="shared" si="92"/>
        <v>3.5197245273091628E-2</v>
      </c>
      <c r="AI195">
        <f t="shared" si="76"/>
        <v>4.1814517299270433</v>
      </c>
      <c r="AJ195">
        <f t="shared" si="84"/>
        <v>80.700389540942794</v>
      </c>
      <c r="AK195" s="14">
        <f t="shared" si="66"/>
        <v>80.700389540942794</v>
      </c>
      <c r="AM195">
        <f t="shared" si="89"/>
        <v>0.18503937007874005</v>
      </c>
      <c r="AN195" s="14">
        <f t="shared" si="77"/>
        <v>4.2424242424242253E-2</v>
      </c>
      <c r="AO195">
        <f t="shared" si="86"/>
        <v>1</v>
      </c>
      <c r="AP195" s="14">
        <f t="shared" si="87"/>
        <v>0.6</v>
      </c>
      <c r="AQ195">
        <f t="shared" si="78"/>
        <v>-1.6861343840367526E-3</v>
      </c>
      <c r="AR195">
        <f t="shared" si="79"/>
        <v>4.411037680827895E-2</v>
      </c>
      <c r="AS195">
        <f t="shared" si="61"/>
        <v>6.3730340559934901E-4</v>
      </c>
      <c r="AT195">
        <f t="shared" si="62"/>
        <v>2.1837499991304504E-2</v>
      </c>
      <c r="AU195" s="14">
        <f t="shared" si="67"/>
        <v>2.9183899523897768E-2</v>
      </c>
      <c r="AV195" s="19">
        <f t="shared" si="63"/>
        <v>-0.20362061395589631</v>
      </c>
      <c r="AW195" s="19">
        <f t="shared" si="90"/>
        <v>0</v>
      </c>
      <c r="AX195">
        <f t="shared" si="68"/>
        <v>0</v>
      </c>
      <c r="AY195">
        <f>IF(W195,SUMPRODUCT(INDEX(AX:AX,X195):INDEX(AX:AX,X195+Y195)),0)</f>
        <v>67</v>
      </c>
      <c r="AZ195">
        <f>IF(V195,COUNT(INDEX(AX:AX,X195):INDEX(AX:AX,ROW())),0)</f>
        <v>185</v>
      </c>
      <c r="BA195" s="14">
        <f t="shared" si="80"/>
        <v>0.36216216216216218</v>
      </c>
      <c r="BB195" s="6">
        <f t="shared" si="69"/>
        <v>45927784</v>
      </c>
      <c r="BC195" s="6">
        <f>MEDIAN(INDEX(BB:BB,X195):INDEX(BB:BB,X195+Y195-1))</f>
        <v>83160</v>
      </c>
      <c r="BD195" s="25">
        <f t="shared" si="70"/>
        <v>83160</v>
      </c>
      <c r="BE195">
        <f t="shared" si="81"/>
        <v>0</v>
      </c>
      <c r="BF195" s="6">
        <f>SUM(INDEX(BE:BE,X195):INDEX(BE:BE,X195+Y195-1))</f>
        <v>17</v>
      </c>
      <c r="BG195" s="25">
        <f t="shared" si="71"/>
        <v>17</v>
      </c>
    </row>
    <row r="196" spans="1:59" x14ac:dyDescent="0.3">
      <c r="A196" s="1">
        <v>44188</v>
      </c>
      <c r="B196">
        <v>12.24</v>
      </c>
      <c r="C196">
        <v>12.79</v>
      </c>
      <c r="D196">
        <v>11.9</v>
      </c>
      <c r="E196">
        <v>12.65</v>
      </c>
      <c r="F196">
        <v>2773300</v>
      </c>
      <c r="G196" s="29">
        <v>0.35146605461601899</v>
      </c>
      <c r="H196" s="29">
        <v>2.7783877835258399E-2</v>
      </c>
      <c r="I196" s="29">
        <v>7.03557312252963E-2</v>
      </c>
      <c r="J196" s="29">
        <v>84.649920963456694</v>
      </c>
      <c r="K196" s="29">
        <v>0.25037066324009</v>
      </c>
      <c r="L196" s="29">
        <v>0.6</v>
      </c>
      <c r="M196" s="29">
        <v>7.0400245730546193E-2</v>
      </c>
      <c r="N196" s="29">
        <v>-0.211462564225776</v>
      </c>
      <c r="O196" s="29">
        <v>0</v>
      </c>
      <c r="P196" s="29">
        <v>5.0664451827242503E-2</v>
      </c>
      <c r="Q196" s="29">
        <v>0.41666666666666602</v>
      </c>
      <c r="R196" s="30">
        <v>112374</v>
      </c>
      <c r="S196" s="29">
        <v>27</v>
      </c>
      <c r="T196" s="14">
        <v>343.11799999999999</v>
      </c>
      <c r="U196" s="41"/>
      <c r="V196">
        <v>186</v>
      </c>
      <c r="W196" t="b">
        <f>V196&gt;=$C$4</f>
        <v>1</v>
      </c>
      <c r="X196">
        <f>IF(V196&lt;=$C$5,11,ROW()-$C$5+1)</f>
        <v>11</v>
      </c>
      <c r="Y196" s="14">
        <f t="shared" si="64"/>
        <v>186</v>
      </c>
      <c r="Z196" s="10">
        <f t="shared" si="72"/>
        <v>0.88999999999999879</v>
      </c>
      <c r="AA196" s="15">
        <f t="shared" si="73"/>
        <v>7.0355731225296342E-2</v>
      </c>
      <c r="AB196" s="15">
        <f t="shared" si="74"/>
        <v>0.35146605461601982</v>
      </c>
      <c r="AC196" s="10">
        <f t="shared" si="65"/>
        <v>2.7783877835258482E-2</v>
      </c>
      <c r="AD196">
        <f t="shared" si="75"/>
        <v>0.61000000000000121</v>
      </c>
      <c r="AE196">
        <f t="shared" si="82"/>
        <v>0.61000000000000121</v>
      </c>
      <c r="AF196">
        <f t="shared" si="83"/>
        <v>0</v>
      </c>
      <c r="AG196">
        <f t="shared" si="92"/>
        <v>0.180234469126133</v>
      </c>
      <c r="AH196">
        <f t="shared" si="92"/>
        <v>3.2683156325013653E-2</v>
      </c>
      <c r="AI196">
        <f t="shared" si="76"/>
        <v>5.5145980190472841</v>
      </c>
      <c r="AJ196">
        <f t="shared" si="84"/>
        <v>84.649858716129302</v>
      </c>
      <c r="AK196" s="14">
        <f t="shared" si="66"/>
        <v>84.649858716129302</v>
      </c>
      <c r="AM196">
        <f t="shared" si="89"/>
        <v>0.25037066324009083</v>
      </c>
      <c r="AN196" s="14">
        <f t="shared" si="77"/>
        <v>5.0664451827242551E-2</v>
      </c>
      <c r="AO196">
        <f t="shared" si="86"/>
        <v>1</v>
      </c>
      <c r="AP196" s="14">
        <f t="shared" si="87"/>
        <v>0.6</v>
      </c>
      <c r="AQ196">
        <f t="shared" si="78"/>
        <v>8.9845687115319706E-4</v>
      </c>
      <c r="AR196">
        <f t="shared" si="79"/>
        <v>4.9765994956089306E-2</v>
      </c>
      <c r="AS196">
        <f t="shared" si="61"/>
        <v>1.5943211003097116E-3</v>
      </c>
      <c r="AT196">
        <f t="shared" si="62"/>
        <v>2.2646527490996451E-2</v>
      </c>
      <c r="AU196" s="14">
        <f t="shared" si="67"/>
        <v>7.0400245730545832E-2</v>
      </c>
      <c r="AV196" s="19">
        <f t="shared" si="63"/>
        <v>-0.21146256422577991</v>
      </c>
      <c r="AW196" s="19">
        <f t="shared" si="90"/>
        <v>0</v>
      </c>
      <c r="AX196">
        <f t="shared" si="68"/>
        <v>0</v>
      </c>
      <c r="AY196">
        <f>IF(W196,SUMPRODUCT(INDEX(AX:AX,X196):INDEX(AX:AX,X196+Y196)),0)</f>
        <v>67</v>
      </c>
      <c r="AZ196">
        <f>IF(V196,COUNT(INDEX(AX:AX,X196):INDEX(AX:AX,ROW())),0)</f>
        <v>186</v>
      </c>
      <c r="BA196" s="14">
        <f t="shared" si="80"/>
        <v>0.36021505376344087</v>
      </c>
      <c r="BB196" s="6">
        <f t="shared" si="69"/>
        <v>35082245</v>
      </c>
      <c r="BC196" s="6">
        <f>MEDIAN(INDEX(BB:BB,X196):INDEX(BB:BB,X196+Y196-1))</f>
        <v>86982</v>
      </c>
      <c r="BD196" s="25">
        <f t="shared" si="70"/>
        <v>86982</v>
      </c>
      <c r="BE196">
        <f t="shared" si="81"/>
        <v>0</v>
      </c>
      <c r="BF196" s="6">
        <f>SUM(INDEX(BE:BE,X196):INDEX(BE:BE,X196+Y196-1))</f>
        <v>17</v>
      </c>
      <c r="BG196" s="25">
        <f t="shared" si="71"/>
        <v>17</v>
      </c>
    </row>
    <row r="197" spans="1:59" x14ac:dyDescent="0.3">
      <c r="A197" s="1">
        <v>44189</v>
      </c>
      <c r="B197">
        <v>13</v>
      </c>
      <c r="C197">
        <v>13.69</v>
      </c>
      <c r="D197">
        <v>13</v>
      </c>
      <c r="E197">
        <v>13.42</v>
      </c>
      <c r="F197">
        <v>1859000</v>
      </c>
      <c r="G197" s="29">
        <v>0.400647050714875</v>
      </c>
      <c r="H197" s="29">
        <v>2.9854474717948901E-2</v>
      </c>
      <c r="I197" s="29">
        <v>7.7496274217585606E-2</v>
      </c>
      <c r="J197" s="29">
        <v>87.990735602206897</v>
      </c>
      <c r="K197" s="29">
        <v>0.32871287128712801</v>
      </c>
      <c r="L197" s="29">
        <v>0.8</v>
      </c>
      <c r="M197" s="29">
        <v>0.11613695411615201</v>
      </c>
      <c r="N197" s="29">
        <v>-0.195343802510797</v>
      </c>
      <c r="O197" s="29">
        <v>0</v>
      </c>
      <c r="P197" s="29">
        <v>6.0869565217391099E-2</v>
      </c>
      <c r="Q197" s="29">
        <v>0.41269841269841201</v>
      </c>
      <c r="R197" s="30">
        <v>117212.5</v>
      </c>
      <c r="S197" s="29">
        <v>26</v>
      </c>
      <c r="T197" s="14">
        <v>344.45299999999997</v>
      </c>
      <c r="U197" s="41"/>
      <c r="V197">
        <v>187</v>
      </c>
      <c r="W197" t="b">
        <f>V197&gt;=$C$4</f>
        <v>1</v>
      </c>
      <c r="X197">
        <f>IF(V197&lt;=$C$5,11,ROW()-$C$5+1)</f>
        <v>11</v>
      </c>
      <c r="Y197" s="14">
        <f t="shared" si="64"/>
        <v>187</v>
      </c>
      <c r="Z197" s="10">
        <f t="shared" si="72"/>
        <v>1.0399999999999991</v>
      </c>
      <c r="AA197" s="15">
        <f t="shared" si="73"/>
        <v>7.7496274217585634E-2</v>
      </c>
      <c r="AB197" s="15">
        <f t="shared" si="74"/>
        <v>0.4006470507148755</v>
      </c>
      <c r="AC197" s="10">
        <f t="shared" si="65"/>
        <v>2.9854474717948994E-2</v>
      </c>
      <c r="AD197">
        <f t="shared" si="75"/>
        <v>0.76999999999999957</v>
      </c>
      <c r="AE197">
        <f t="shared" si="82"/>
        <v>0.76999999999999957</v>
      </c>
      <c r="AF197">
        <f t="shared" si="83"/>
        <v>0</v>
      </c>
      <c r="AG197">
        <f t="shared" si="92"/>
        <v>0.22236057847426632</v>
      </c>
      <c r="AH197">
        <f t="shared" si="92"/>
        <v>3.034864515894125E-2</v>
      </c>
      <c r="AI197">
        <f t="shared" si="76"/>
        <v>7.3268700236773157</v>
      </c>
      <c r="AJ197">
        <f t="shared" si="84"/>
        <v>87.990685609880828</v>
      </c>
      <c r="AK197" s="14">
        <f t="shared" si="66"/>
        <v>87.990685609880828</v>
      </c>
      <c r="AM197">
        <f t="shared" si="89"/>
        <v>0.32871287128712878</v>
      </c>
      <c r="AN197" s="14">
        <f t="shared" si="77"/>
        <v>6.0869565217391175E-2</v>
      </c>
      <c r="AO197">
        <f t="shared" si="86"/>
        <v>1</v>
      </c>
      <c r="AP197" s="14">
        <f t="shared" si="87"/>
        <v>0.8</v>
      </c>
      <c r="AQ197">
        <f t="shared" si="78"/>
        <v>3.8907897574593786E-3</v>
      </c>
      <c r="AR197">
        <f t="shared" si="79"/>
        <v>5.697877545993172E-2</v>
      </c>
      <c r="AS197">
        <f t="shared" si="61"/>
        <v>2.7396289977535838E-3</v>
      </c>
      <c r="AT197">
        <f t="shared" si="62"/>
        <v>2.3589640511956285E-2</v>
      </c>
      <c r="AU197" s="14">
        <f t="shared" si="67"/>
        <v>0.11613695411615184</v>
      </c>
      <c r="AV197" s="19">
        <f t="shared" si="63"/>
        <v>-0.19534380251080047</v>
      </c>
      <c r="AW197" s="19">
        <f t="shared" si="90"/>
        <v>0</v>
      </c>
      <c r="AX197">
        <f t="shared" si="68"/>
        <v>0</v>
      </c>
      <c r="AY197">
        <f>IF(W197,SUMPRODUCT(INDEX(AX:AX,X197):INDEX(AX:AX,X197+Y197)),0)</f>
        <v>67</v>
      </c>
      <c r="AZ197">
        <f>IF(V197,COUNT(INDEX(AX:AX,X197):INDEX(AX:AX,ROW())),0)</f>
        <v>187</v>
      </c>
      <c r="BA197" s="14">
        <f t="shared" si="80"/>
        <v>0.35828877005347592</v>
      </c>
      <c r="BB197" s="6">
        <f t="shared" si="69"/>
        <v>24947780</v>
      </c>
      <c r="BC197" s="6">
        <f>MEDIAN(INDEX(BB:BB,X197):INDEX(BB:BB,X197+Y197-1))</f>
        <v>90804</v>
      </c>
      <c r="BD197" s="25">
        <f t="shared" si="70"/>
        <v>90804</v>
      </c>
      <c r="BE197">
        <f t="shared" si="81"/>
        <v>0</v>
      </c>
      <c r="BF197" s="6">
        <f>SUM(INDEX(BE:BE,X197):INDEX(BE:BE,X197+Y197-1))</f>
        <v>17</v>
      </c>
      <c r="BG197" s="25">
        <f t="shared" si="71"/>
        <v>17</v>
      </c>
    </row>
    <row r="198" spans="1:59" x14ac:dyDescent="0.3">
      <c r="A198" s="1">
        <v>44193</v>
      </c>
      <c r="B198">
        <v>15.07</v>
      </c>
      <c r="C198">
        <v>15.989000000000001</v>
      </c>
      <c r="D198">
        <v>14.25</v>
      </c>
      <c r="E198">
        <v>14.35</v>
      </c>
      <c r="F198">
        <v>5392000</v>
      </c>
      <c r="G198" s="29">
        <v>0.555529404235241</v>
      </c>
      <c r="H198" s="29">
        <v>3.8712850469354798E-2</v>
      </c>
      <c r="I198" s="29">
        <v>0.17902439024390199</v>
      </c>
      <c r="J198" s="29">
        <v>90.640329099962301</v>
      </c>
      <c r="K198" s="29">
        <v>0.41798418972332002</v>
      </c>
      <c r="L198" s="29">
        <v>1</v>
      </c>
      <c r="M198" s="29">
        <v>0.16153076325628599</v>
      </c>
      <c r="N198" s="29">
        <v>-0.123106481133733</v>
      </c>
      <c r="O198" s="29">
        <v>0</v>
      </c>
      <c r="P198" s="29">
        <v>6.9299552906110201E-2</v>
      </c>
      <c r="Q198" s="29">
        <v>0.408730158730158</v>
      </c>
      <c r="R198" s="30">
        <v>119383.25</v>
      </c>
      <c r="S198" s="29">
        <v>25</v>
      </c>
      <c r="T198" s="14">
        <v>347.41199999999998</v>
      </c>
      <c r="U198" s="41"/>
      <c r="V198">
        <v>188</v>
      </c>
      <c r="W198" t="b">
        <f>V198&gt;=$C$4</f>
        <v>1</v>
      </c>
      <c r="X198">
        <f>IF(V198&lt;=$C$5,11,ROW()-$C$5+1)</f>
        <v>11</v>
      </c>
      <c r="Y198" s="14">
        <f t="shared" si="64"/>
        <v>188</v>
      </c>
      <c r="Z198" s="10">
        <f t="shared" si="72"/>
        <v>2.5690000000000008</v>
      </c>
      <c r="AA198" s="15">
        <f t="shared" si="73"/>
        <v>0.17902439024390251</v>
      </c>
      <c r="AB198" s="15">
        <f t="shared" si="74"/>
        <v>0.55552940423524155</v>
      </c>
      <c r="AC198" s="10">
        <f t="shared" si="65"/>
        <v>3.8712850469354812E-2</v>
      </c>
      <c r="AD198">
        <f t="shared" si="75"/>
        <v>0.92999999999999972</v>
      </c>
      <c r="AE198">
        <f t="shared" si="82"/>
        <v>0.92999999999999972</v>
      </c>
      <c r="AF198">
        <f t="shared" si="83"/>
        <v>0</v>
      </c>
      <c r="AG198">
        <f t="shared" si="92"/>
        <v>0.2729062514403901</v>
      </c>
      <c r="AH198">
        <f t="shared" si="92"/>
        <v>2.8180884790445445E-2</v>
      </c>
      <c r="AI198">
        <f t="shared" si="76"/>
        <v>9.6840909527765184</v>
      </c>
      <c r="AJ198">
        <f t="shared" si="84"/>
        <v>90.640289338419322</v>
      </c>
      <c r="AK198" s="14">
        <f t="shared" si="66"/>
        <v>90.640289338419322</v>
      </c>
      <c r="AM198">
        <f t="shared" si="89"/>
        <v>0.4179841897233203</v>
      </c>
      <c r="AN198" s="14">
        <f t="shared" si="77"/>
        <v>6.9299552906110229E-2</v>
      </c>
      <c r="AO198">
        <f t="shared" si="86"/>
        <v>1</v>
      </c>
      <c r="AP198" s="14">
        <f t="shared" si="87"/>
        <v>1</v>
      </c>
      <c r="AQ198">
        <f t="shared" si="78"/>
        <v>8.5904317860492352E-3</v>
      </c>
      <c r="AR198">
        <f t="shared" si="79"/>
        <v>6.0709121120060966E-2</v>
      </c>
      <c r="AS198">
        <f t="shared" si="61"/>
        <v>3.9668992326981926E-3</v>
      </c>
      <c r="AT198">
        <f t="shared" si="62"/>
        <v>2.4558165594774563E-2</v>
      </c>
      <c r="AU198" s="14">
        <f t="shared" si="67"/>
        <v>0.16153076325628579</v>
      </c>
      <c r="AV198" s="19">
        <f t="shared" si="63"/>
        <v>-0.12310648113373525</v>
      </c>
      <c r="AW198" s="19">
        <f t="shared" si="90"/>
        <v>0</v>
      </c>
      <c r="AX198">
        <f t="shared" si="68"/>
        <v>0</v>
      </c>
      <c r="AY198">
        <f>IF(W198,SUMPRODUCT(INDEX(AX:AX,X198):INDEX(AX:AX,X198+Y198)),0)</f>
        <v>67</v>
      </c>
      <c r="AZ198">
        <f>IF(V198,COUNT(INDEX(AX:AX,X198):INDEX(AX:AX,ROW())),0)</f>
        <v>188</v>
      </c>
      <c r="BA198" s="14">
        <f t="shared" si="80"/>
        <v>0.35638297872340424</v>
      </c>
      <c r="BB198" s="6">
        <f t="shared" si="69"/>
        <v>77375200</v>
      </c>
      <c r="BC198" s="6">
        <f>MEDIAN(INDEX(BB:BB,X198):INDEX(BB:BB,X198+Y198-1))</f>
        <v>99356</v>
      </c>
      <c r="BD198" s="25">
        <f t="shared" si="70"/>
        <v>99356</v>
      </c>
      <c r="BE198">
        <f t="shared" si="81"/>
        <v>0</v>
      </c>
      <c r="BF198" s="6">
        <f>SUM(INDEX(BE:BE,X198):INDEX(BE:BE,X198+Y198-1))</f>
        <v>17</v>
      </c>
      <c r="BG198" s="25">
        <f t="shared" si="71"/>
        <v>17</v>
      </c>
    </row>
    <row r="199" spans="1:59" x14ac:dyDescent="0.3">
      <c r="A199" s="1">
        <v>44194</v>
      </c>
      <c r="B199">
        <v>14.74</v>
      </c>
      <c r="C199">
        <v>14.853999999999999</v>
      </c>
      <c r="D199">
        <v>13.02</v>
      </c>
      <c r="E199">
        <v>14</v>
      </c>
      <c r="F199">
        <v>2363800</v>
      </c>
      <c r="G199" s="29">
        <v>0.64684873250415298</v>
      </c>
      <c r="H199" s="29">
        <v>4.6203480893153702E-2</v>
      </c>
      <c r="I199" s="29">
        <v>0.13099999999999901</v>
      </c>
      <c r="J199" s="29">
        <v>83.2005692074367</v>
      </c>
      <c r="K199" s="29">
        <v>0.38339920948616601</v>
      </c>
      <c r="L199" s="29">
        <v>0.8</v>
      </c>
      <c r="M199" s="29">
        <v>0.14218485423709001</v>
      </c>
      <c r="N199" s="29">
        <v>-0.112768792978681</v>
      </c>
      <c r="O199" s="29">
        <v>-2.4390243902439001E-2</v>
      </c>
      <c r="P199" s="29">
        <v>-2.4390243902439001E-2</v>
      </c>
      <c r="Q199" s="29">
        <v>0.40476190476190399</v>
      </c>
      <c r="R199" s="30">
        <v>121816.75</v>
      </c>
      <c r="S199" s="29">
        <v>24</v>
      </c>
      <c r="T199" s="14">
        <v>346.74900000000002</v>
      </c>
      <c r="U199" s="41"/>
      <c r="V199">
        <v>189</v>
      </c>
      <c r="W199" t="b">
        <f>V199&gt;=$C$4</f>
        <v>1</v>
      </c>
      <c r="X199">
        <f>IF(V199&lt;=$C$5,11,ROW()-$C$5+1)</f>
        <v>11</v>
      </c>
      <c r="Y199" s="14">
        <f t="shared" si="64"/>
        <v>189</v>
      </c>
      <c r="Z199" s="10">
        <f t="shared" si="72"/>
        <v>1.8339999999999996</v>
      </c>
      <c r="AA199" s="15">
        <f t="shared" si="73"/>
        <v>0.13099999999999998</v>
      </c>
      <c r="AB199" s="15">
        <f t="shared" si="74"/>
        <v>0.64684873250415287</v>
      </c>
      <c r="AC199" s="10">
        <f t="shared" si="65"/>
        <v>4.6203480893153778E-2</v>
      </c>
      <c r="AD199">
        <f t="shared" si="75"/>
        <v>-0.34999999999999964</v>
      </c>
      <c r="AE199">
        <f t="shared" si="82"/>
        <v>0</v>
      </c>
      <c r="AF199">
        <f t="shared" si="83"/>
        <v>0.34999999999999964</v>
      </c>
      <c r="AG199">
        <f t="shared" si="92"/>
        <v>0.25341294776607654</v>
      </c>
      <c r="AH199">
        <f t="shared" si="92"/>
        <v>5.116796444827075E-2</v>
      </c>
      <c r="AI199">
        <f t="shared" si="76"/>
        <v>4.9525704314907681</v>
      </c>
      <c r="AJ199">
        <f t="shared" si="84"/>
        <v>83.200534768816524</v>
      </c>
      <c r="AK199" s="14">
        <f t="shared" si="66"/>
        <v>83.200534768816524</v>
      </c>
      <c r="AM199">
        <f t="shared" si="89"/>
        <v>0.38339920948616601</v>
      </c>
      <c r="AN199" s="14">
        <f t="shared" si="77"/>
        <v>-2.4390243902439046E-2</v>
      </c>
      <c r="AO199">
        <f t="shared" si="86"/>
        <v>0</v>
      </c>
      <c r="AP199" s="14">
        <f t="shared" si="87"/>
        <v>0.8</v>
      </c>
      <c r="AQ199">
        <f t="shared" si="78"/>
        <v>-1.9083969465647499E-3</v>
      </c>
      <c r="AR199">
        <f t="shared" si="79"/>
        <v>-2.2481846955874251E-2</v>
      </c>
      <c r="AS199">
        <f t="shared" si="61"/>
        <v>3.5236364960334098E-3</v>
      </c>
      <c r="AT199">
        <f t="shared" si="62"/>
        <v>2.4782080446893614E-2</v>
      </c>
      <c r="AU199" s="14">
        <f t="shared" si="67"/>
        <v>0.14218485423709012</v>
      </c>
      <c r="AV199" s="19">
        <f t="shared" si="63"/>
        <v>-0.11276879297868324</v>
      </c>
      <c r="AW199" s="19">
        <f t="shared" si="90"/>
        <v>-2.4390243902439046E-2</v>
      </c>
      <c r="AX199">
        <f t="shared" si="68"/>
        <v>0</v>
      </c>
      <c r="AY199">
        <f>IF(W199,SUMPRODUCT(INDEX(AX:AX,X199):INDEX(AX:AX,X199+Y199)),0)</f>
        <v>67</v>
      </c>
      <c r="AZ199">
        <f>IF(V199,COUNT(INDEX(AX:AX,X199):INDEX(AX:AX,ROW())),0)</f>
        <v>189</v>
      </c>
      <c r="BA199" s="14">
        <f t="shared" si="80"/>
        <v>0.35449735449735448</v>
      </c>
      <c r="BB199" s="6">
        <f t="shared" si="69"/>
        <v>33093200</v>
      </c>
      <c r="BC199" s="6">
        <f>MEDIAN(INDEX(BB:BB,X199):INDEX(BB:BB,X199+Y199-1))</f>
        <v>107908</v>
      </c>
      <c r="BD199" s="25">
        <f t="shared" si="70"/>
        <v>107908</v>
      </c>
      <c r="BE199">
        <f t="shared" si="81"/>
        <v>0</v>
      </c>
      <c r="BF199" s="6">
        <f>SUM(INDEX(BE:BE,X199):INDEX(BE:BE,X199+Y199-1))</f>
        <v>17</v>
      </c>
      <c r="BG199" s="25">
        <f t="shared" si="71"/>
        <v>17</v>
      </c>
    </row>
    <row r="200" spans="1:59" x14ac:dyDescent="0.3">
      <c r="A200" s="1">
        <v>44195</v>
      </c>
      <c r="B200">
        <v>14</v>
      </c>
      <c r="C200">
        <v>14</v>
      </c>
      <c r="D200">
        <v>13.15</v>
      </c>
      <c r="E200">
        <v>13.29</v>
      </c>
      <c r="F200">
        <v>1359200</v>
      </c>
      <c r="G200" s="29">
        <v>0.66135953732528496</v>
      </c>
      <c r="H200" s="29">
        <v>4.9763697315672303E-2</v>
      </c>
      <c r="I200" s="29">
        <v>6.3957863054928496E-2</v>
      </c>
      <c r="J200" s="29">
        <v>70.550015195282199</v>
      </c>
      <c r="K200" s="29">
        <v>0.31259259259259198</v>
      </c>
      <c r="L200" s="29">
        <v>0.6</v>
      </c>
      <c r="M200" s="29">
        <v>0.11206535321427499</v>
      </c>
      <c r="N200" s="29">
        <v>-0.101828753271443</v>
      </c>
      <c r="O200" s="29">
        <v>-7.3867595818815399E-2</v>
      </c>
      <c r="P200" s="29">
        <v>-5.0714285714285802E-2</v>
      </c>
      <c r="Q200" s="29">
        <v>0.40079365079364998</v>
      </c>
      <c r="R200" s="30">
        <v>129968</v>
      </c>
      <c r="S200" s="29">
        <v>23</v>
      </c>
      <c r="T200" s="14">
        <v>347.24400000000003</v>
      </c>
      <c r="U200" s="41"/>
      <c r="V200">
        <v>190</v>
      </c>
      <c r="W200" t="b">
        <f>V200&gt;=$C$4</f>
        <v>1</v>
      </c>
      <c r="X200">
        <f>IF(V200&lt;=$C$5,11,ROW()-$C$5+1)</f>
        <v>11</v>
      </c>
      <c r="Y200" s="14">
        <f t="shared" si="64"/>
        <v>190</v>
      </c>
      <c r="Z200" s="10">
        <f t="shared" si="72"/>
        <v>0.84999999999999964</v>
      </c>
      <c r="AA200" s="15">
        <f t="shared" si="73"/>
        <v>6.3957863054928496E-2</v>
      </c>
      <c r="AB200" s="15">
        <f t="shared" si="74"/>
        <v>0.66135953732528474</v>
      </c>
      <c r="AC200" s="10">
        <f t="shared" si="65"/>
        <v>4.9763697315672296E-2</v>
      </c>
      <c r="AD200">
        <f t="shared" si="75"/>
        <v>-0.71000000000000085</v>
      </c>
      <c r="AE200">
        <f t="shared" si="82"/>
        <v>0</v>
      </c>
      <c r="AF200">
        <f t="shared" si="83"/>
        <v>0.71000000000000085</v>
      </c>
      <c r="AG200">
        <f t="shared" si="92"/>
        <v>0.23531202292564249</v>
      </c>
      <c r="AH200">
        <f t="shared" si="92"/>
        <v>9.8227395559108616E-2</v>
      </c>
      <c r="AI200">
        <f t="shared" si="76"/>
        <v>2.3955844658839887</v>
      </c>
      <c r="AJ200">
        <f t="shared" si="84"/>
        <v>70.549988962219345</v>
      </c>
      <c r="AK200" s="14">
        <f t="shared" si="66"/>
        <v>70.549988962219345</v>
      </c>
      <c r="AM200">
        <f t="shared" si="89"/>
        <v>0.31259259259259253</v>
      </c>
      <c r="AN200" s="14">
        <f t="shared" si="77"/>
        <v>-5.0714285714285823E-2</v>
      </c>
      <c r="AO200">
        <f t="shared" si="86"/>
        <v>0</v>
      </c>
      <c r="AP200" s="14">
        <f t="shared" si="87"/>
        <v>0.6</v>
      </c>
      <c r="AQ200">
        <f t="shared" si="78"/>
        <v>1.4275455733110398E-3</v>
      </c>
      <c r="AR200">
        <f t="shared" si="79"/>
        <v>-5.2141831287596842E-2</v>
      </c>
      <c r="AS200">
        <f t="shared" si="61"/>
        <v>2.8791179857360371E-3</v>
      </c>
      <c r="AT200">
        <f t="shared" si="62"/>
        <v>2.5691419365189597E-2</v>
      </c>
      <c r="AU200" s="14">
        <f t="shared" si="67"/>
        <v>0.11206535321427501</v>
      </c>
      <c r="AV200" s="19">
        <f t="shared" si="63"/>
        <v>-0.10182875327144482</v>
      </c>
      <c r="AW200" s="19">
        <f t="shared" si="90"/>
        <v>-7.3867595818815412E-2</v>
      </c>
      <c r="AX200">
        <f t="shared" si="68"/>
        <v>0</v>
      </c>
      <c r="AY200">
        <f>IF(W200,SUMPRODUCT(INDEX(AX:AX,X200):INDEX(AX:AX,X200+Y200)),0)</f>
        <v>67</v>
      </c>
      <c r="AZ200">
        <f>IF(V200,COUNT(INDEX(AX:AX,X200):INDEX(AX:AX,ROW())),0)</f>
        <v>190</v>
      </c>
      <c r="BA200" s="14">
        <f t="shared" si="80"/>
        <v>0.35263157894736841</v>
      </c>
      <c r="BB200" s="6">
        <f t="shared" si="69"/>
        <v>18063768</v>
      </c>
      <c r="BC200" s="6">
        <f>MEDIAN(INDEX(BB:BB,X200):INDEX(BB:BB,X200+Y200-1))</f>
        <v>112374</v>
      </c>
      <c r="BD200" s="25">
        <f t="shared" si="70"/>
        <v>112374</v>
      </c>
      <c r="BE200">
        <f t="shared" si="81"/>
        <v>0</v>
      </c>
      <c r="BF200" s="6">
        <f>SUM(INDEX(BE:BE,X200):INDEX(BE:BE,X200+Y200-1))</f>
        <v>17</v>
      </c>
      <c r="BG200" s="25">
        <f t="shared" si="71"/>
        <v>17</v>
      </c>
    </row>
    <row r="201" spans="1:59" x14ac:dyDescent="0.3">
      <c r="A201" s="1">
        <v>44196</v>
      </c>
      <c r="B201">
        <v>13.23</v>
      </c>
      <c r="C201">
        <v>13.74</v>
      </c>
      <c r="D201">
        <v>12.78</v>
      </c>
      <c r="E201">
        <v>13.58</v>
      </c>
      <c r="F201">
        <v>1495600</v>
      </c>
      <c r="G201" s="29">
        <v>0.68269099894490703</v>
      </c>
      <c r="H201" s="29">
        <v>5.0271796682246503E-2</v>
      </c>
      <c r="I201" s="29">
        <v>7.0692194403534594E-2</v>
      </c>
      <c r="J201" s="29">
        <v>72.396205101266204</v>
      </c>
      <c r="K201" s="29">
        <v>0.33006856023506298</v>
      </c>
      <c r="L201" s="29">
        <v>0.6</v>
      </c>
      <c r="M201" s="29">
        <v>0.12686829955267301</v>
      </c>
      <c r="N201" s="29">
        <v>-8.9123554090800597E-2</v>
      </c>
      <c r="O201" s="29">
        <v>-5.36585365853657E-2</v>
      </c>
      <c r="P201" s="29">
        <v>2.1820917983446299E-2</v>
      </c>
      <c r="Q201" s="29">
        <v>0.39682539682539603</v>
      </c>
      <c r="R201" s="30">
        <v>156885.5</v>
      </c>
      <c r="S201" s="29">
        <v>22</v>
      </c>
      <c r="T201" s="14">
        <v>349.00799999999998</v>
      </c>
      <c r="U201" s="41"/>
      <c r="V201">
        <v>191</v>
      </c>
      <c r="W201" t="b">
        <f>V201&gt;=$C$4</f>
        <v>1</v>
      </c>
      <c r="X201">
        <f>IF(V201&lt;=$C$5,11,ROW()-$C$5+1)</f>
        <v>11</v>
      </c>
      <c r="Y201" s="14">
        <f t="shared" si="64"/>
        <v>191</v>
      </c>
      <c r="Z201" s="10">
        <f t="shared" si="72"/>
        <v>0.96000000000000085</v>
      </c>
      <c r="AA201" s="15">
        <f t="shared" si="73"/>
        <v>7.0692194403534678E-2</v>
      </c>
      <c r="AB201" s="15">
        <f t="shared" si="74"/>
        <v>0.68269099894490737</v>
      </c>
      <c r="AC201" s="10">
        <f t="shared" si="65"/>
        <v>5.0271796682246489E-2</v>
      </c>
      <c r="AD201">
        <f t="shared" si="75"/>
        <v>0.29000000000000092</v>
      </c>
      <c r="AE201">
        <f t="shared" si="82"/>
        <v>0.29000000000000092</v>
      </c>
      <c r="AF201">
        <f t="shared" si="83"/>
        <v>0</v>
      </c>
      <c r="AG201">
        <f t="shared" si="92"/>
        <v>0.23921830700238236</v>
      </c>
      <c r="AH201">
        <f t="shared" si="92"/>
        <v>9.1211153019172278E-2</v>
      </c>
      <c r="AI201">
        <f t="shared" si="76"/>
        <v>2.6226870189010709</v>
      </c>
      <c r="AJ201">
        <f t="shared" si="84"/>
        <v>72.396180106573311</v>
      </c>
      <c r="AK201" s="14">
        <f t="shared" si="66"/>
        <v>72.396180106573311</v>
      </c>
      <c r="AM201">
        <f t="shared" si="89"/>
        <v>0.33006856023506348</v>
      </c>
      <c r="AN201" s="14">
        <f t="shared" si="77"/>
        <v>2.182091798344632E-2</v>
      </c>
      <c r="AO201">
        <f t="shared" si="86"/>
        <v>1</v>
      </c>
      <c r="AP201" s="14">
        <f t="shared" si="87"/>
        <v>0.6</v>
      </c>
      <c r="AQ201">
        <f t="shared" si="78"/>
        <v>5.0800013823131263E-3</v>
      </c>
      <c r="AR201">
        <f t="shared" si="79"/>
        <v>1.6740916601133173E-2</v>
      </c>
      <c r="AS201">
        <f t="shared" si="61"/>
        <v>3.2624913286517774E-3</v>
      </c>
      <c r="AT201">
        <f t="shared" si="62"/>
        <v>2.5715575444417955E-2</v>
      </c>
      <c r="AU201" s="14">
        <f t="shared" si="67"/>
        <v>0.12686829955267293</v>
      </c>
      <c r="AV201" s="19">
        <f t="shared" si="63"/>
        <v>-8.9123554090802137E-2</v>
      </c>
      <c r="AW201" s="19">
        <f t="shared" si="90"/>
        <v>-5.365853658536579E-2</v>
      </c>
      <c r="AX201">
        <f t="shared" si="68"/>
        <v>0</v>
      </c>
      <c r="AY201">
        <f>IF(W201,SUMPRODUCT(INDEX(AX:AX,X201):INDEX(AX:AX,X201+Y201)),0)</f>
        <v>67</v>
      </c>
      <c r="AZ201">
        <f>IF(V201,COUNT(INDEX(AX:AX,X201):INDEX(AX:AX,ROW())),0)</f>
        <v>191</v>
      </c>
      <c r="BA201" s="14">
        <f t="shared" si="80"/>
        <v>0.35078534031413611</v>
      </c>
      <c r="BB201" s="6">
        <f t="shared" si="69"/>
        <v>20310248</v>
      </c>
      <c r="BC201" s="6">
        <f>MEDIAN(INDEX(BB:BB,X201):INDEX(BB:BB,X201+Y201-1))</f>
        <v>116840</v>
      </c>
      <c r="BD201" s="25">
        <f t="shared" si="70"/>
        <v>116840</v>
      </c>
      <c r="BE201">
        <f t="shared" si="81"/>
        <v>0</v>
      </c>
      <c r="BF201" s="6">
        <f>SUM(INDEX(BE:BE,X201):INDEX(BE:BE,X201+Y201-1))</f>
        <v>17</v>
      </c>
      <c r="BG201" s="25">
        <f t="shared" si="71"/>
        <v>17</v>
      </c>
    </row>
    <row r="202" spans="1:59" x14ac:dyDescent="0.3">
      <c r="A202" s="1">
        <v>44200</v>
      </c>
      <c r="B202">
        <v>13.61</v>
      </c>
      <c r="C202">
        <v>13.88</v>
      </c>
      <c r="D202">
        <v>12.41</v>
      </c>
      <c r="E202">
        <v>12.95</v>
      </c>
      <c r="F202">
        <v>1945300</v>
      </c>
      <c r="G202" s="29">
        <v>0.73892735616312799</v>
      </c>
      <c r="H202" s="29">
        <v>5.7060027502944199E-2</v>
      </c>
      <c r="I202" s="29">
        <v>0.11351351351351301</v>
      </c>
      <c r="J202" s="29">
        <v>63.136465056900803</v>
      </c>
      <c r="K202" s="29">
        <v>0.26836434867776598</v>
      </c>
      <c r="L202" s="29">
        <v>0.4</v>
      </c>
      <c r="M202" s="29">
        <v>9.6958520942315898E-2</v>
      </c>
      <c r="N202" s="29">
        <v>3.04332975895228E-2</v>
      </c>
      <c r="O202" s="29">
        <v>-9.7560975609756004E-2</v>
      </c>
      <c r="P202" s="29">
        <v>-4.6391752577319603E-2</v>
      </c>
      <c r="Q202" s="29">
        <v>0.39682539682539603</v>
      </c>
      <c r="R202" s="30">
        <v>156885.5</v>
      </c>
      <c r="S202" s="29">
        <v>22</v>
      </c>
      <c r="T202" s="14">
        <v>344.25700000000001</v>
      </c>
      <c r="U202" s="41"/>
      <c r="V202">
        <v>192</v>
      </c>
      <c r="W202" t="b">
        <f>V202&gt;=$C$4</f>
        <v>1</v>
      </c>
      <c r="X202">
        <f>IF(V202&lt;=$C$5,11,ROW()-$C$5+1)</f>
        <v>11</v>
      </c>
      <c r="Y202" s="14">
        <f t="shared" si="64"/>
        <v>192</v>
      </c>
      <c r="Z202" s="10">
        <f t="shared" si="72"/>
        <v>1.4700000000000006</v>
      </c>
      <c r="AA202" s="15">
        <f t="shared" si="73"/>
        <v>0.11351351351351358</v>
      </c>
      <c r="AB202" s="15">
        <f t="shared" si="74"/>
        <v>0.73892735616312832</v>
      </c>
      <c r="AC202" s="10">
        <f t="shared" si="65"/>
        <v>5.7060027502944276E-2</v>
      </c>
      <c r="AD202">
        <f t="shared" si="75"/>
        <v>-0.63000000000000078</v>
      </c>
      <c r="AE202">
        <f t="shared" si="82"/>
        <v>0</v>
      </c>
      <c r="AF202">
        <f t="shared" si="83"/>
        <v>0.63000000000000078</v>
      </c>
      <c r="AG202">
        <f t="shared" si="92"/>
        <v>0.22213128507364077</v>
      </c>
      <c r="AH202">
        <f t="shared" si="92"/>
        <v>0.12969607066066002</v>
      </c>
      <c r="AI202">
        <f t="shared" si="76"/>
        <v>1.7127063598929724</v>
      </c>
      <c r="AJ202">
        <f t="shared" si="84"/>
        <v>63.136445035670789</v>
      </c>
      <c r="AK202" s="14">
        <f t="shared" si="66"/>
        <v>63.136445035670789</v>
      </c>
      <c r="AM202">
        <f t="shared" si="89"/>
        <v>0.26836434867776671</v>
      </c>
      <c r="AN202" s="14">
        <f t="shared" si="77"/>
        <v>-4.6391752577319645E-2</v>
      </c>
      <c r="AO202">
        <f t="shared" si="86"/>
        <v>0</v>
      </c>
      <c r="AP202" s="14">
        <f t="shared" si="87"/>
        <v>0.4</v>
      </c>
      <c r="AQ202">
        <f t="shared" si="78"/>
        <v>-1.3612868472928974E-2</v>
      </c>
      <c r="AR202">
        <f t="shared" si="79"/>
        <v>-3.2778884104390629E-2</v>
      </c>
      <c r="AS202">
        <f t="shared" ref="AS202:AS265" si="93">AVERAGE(AR140:AR202)</f>
        <v>2.5283954310501107E-3</v>
      </c>
      <c r="AT202">
        <f t="shared" ref="AT202:AT265" si="94">_xlfn.STDEV.S(AR140:AR202)</f>
        <v>2.6077083339115192E-2</v>
      </c>
      <c r="AU202" s="14">
        <f t="shared" si="67"/>
        <v>9.6958520942315649E-2</v>
      </c>
      <c r="AV202" s="19">
        <f t="shared" ref="AV202:AV265" si="95">_xlfn.COVARIANCE.S(P140:P202,AQ140:AQ202)/_xlfn.VAR.S(AQ140:AQ202)</f>
        <v>3.0433297589523463E-2</v>
      </c>
      <c r="AW202" s="19">
        <f t="shared" si="90"/>
        <v>-9.7560975609756073E-2</v>
      </c>
      <c r="AX202">
        <f t="shared" si="68"/>
        <v>0</v>
      </c>
      <c r="AY202">
        <f>IF(W202,SUMPRODUCT(INDEX(AX:AX,X202):INDEX(AX:AX,X202+Y202)),0)</f>
        <v>67</v>
      </c>
      <c r="AZ202">
        <f>IF(V202,COUNT(INDEX(AX:AX,X202):INDEX(AX:AX,ROW())),0)</f>
        <v>192</v>
      </c>
      <c r="BA202" s="14">
        <f t="shared" si="80"/>
        <v>0.34895833333333331</v>
      </c>
      <c r="BB202" s="6">
        <f t="shared" si="69"/>
        <v>25191635</v>
      </c>
      <c r="BC202" s="6">
        <f>MEDIAN(INDEX(BB:BB,X202):INDEX(BB:BB,X202+Y202-1))</f>
        <v>117212.5</v>
      </c>
      <c r="BD202" s="25">
        <f t="shared" si="70"/>
        <v>117212.5</v>
      </c>
      <c r="BE202">
        <f t="shared" si="81"/>
        <v>0</v>
      </c>
      <c r="BF202" s="6">
        <f>SUM(INDEX(BE:BE,X202):INDEX(BE:BE,X202+Y202-1))</f>
        <v>17</v>
      </c>
      <c r="BG202" s="25">
        <f t="shared" si="71"/>
        <v>17</v>
      </c>
    </row>
    <row r="203" spans="1:59" x14ac:dyDescent="0.3">
      <c r="A203" s="1">
        <v>44201</v>
      </c>
      <c r="B203">
        <v>12.7</v>
      </c>
      <c r="C203">
        <v>13.1</v>
      </c>
      <c r="D203">
        <v>12.16</v>
      </c>
      <c r="E203">
        <v>13.09</v>
      </c>
      <c r="F203">
        <v>881300</v>
      </c>
      <c r="G203" s="29">
        <v>0.753289687865762</v>
      </c>
      <c r="H203" s="29">
        <v>5.7546958584091798E-2</v>
      </c>
      <c r="I203" s="29">
        <v>7.1810542398777599E-2</v>
      </c>
      <c r="J203" s="29">
        <v>64.231323650313698</v>
      </c>
      <c r="K203" s="29">
        <v>0.28333333333333299</v>
      </c>
      <c r="L203" s="29">
        <v>0.4</v>
      </c>
      <c r="M203" s="29">
        <v>0.10743027224667299</v>
      </c>
      <c r="N203" s="29">
        <v>3.5268572028082902E-2</v>
      </c>
      <c r="O203" s="29">
        <v>-8.7804878048780399E-2</v>
      </c>
      <c r="P203" s="29">
        <v>1.08108108108109E-2</v>
      </c>
      <c r="Q203" s="29">
        <v>0.39682539682539603</v>
      </c>
      <c r="R203" s="30">
        <v>156885.5</v>
      </c>
      <c r="S203" s="29">
        <v>22</v>
      </c>
      <c r="T203" s="14">
        <v>346.62799999999999</v>
      </c>
      <c r="U203" s="41"/>
      <c r="V203">
        <v>193</v>
      </c>
      <c r="W203" t="b">
        <f>V203&gt;=$C$4</f>
        <v>1</v>
      </c>
      <c r="X203">
        <f>IF(V203&lt;=$C$5,11,ROW()-$C$5+1)</f>
        <v>11</v>
      </c>
      <c r="Y203" s="14">
        <f t="shared" ref="Y203:Y266" si="96">ROW()-X203+1</f>
        <v>193</v>
      </c>
      <c r="Z203" s="10">
        <f t="shared" si="72"/>
        <v>0.9399999999999995</v>
      </c>
      <c r="AA203" s="15">
        <f t="shared" si="73"/>
        <v>7.1810542398777655E-2</v>
      </c>
      <c r="AB203" s="15">
        <f t="shared" si="74"/>
        <v>0.753289687865762</v>
      </c>
      <c r="AC203" s="10">
        <f t="shared" ref="AC203:AC266" si="97">AB203/E203</f>
        <v>5.7546958584091826E-2</v>
      </c>
      <c r="AD203">
        <f t="shared" si="75"/>
        <v>0.14000000000000057</v>
      </c>
      <c r="AE203">
        <f t="shared" si="82"/>
        <v>0.14000000000000057</v>
      </c>
      <c r="AF203">
        <f t="shared" si="83"/>
        <v>0</v>
      </c>
      <c r="AG203">
        <f t="shared" si="92"/>
        <v>0.2162647647112379</v>
      </c>
      <c r="AH203">
        <f t="shared" si="92"/>
        <v>0.12043206561347002</v>
      </c>
      <c r="AI203">
        <f t="shared" si="76"/>
        <v>1.795740724113672</v>
      </c>
      <c r="AJ203">
        <f t="shared" si="84"/>
        <v>64.231304019902353</v>
      </c>
      <c r="AK203" s="14">
        <f t="shared" ref="AK203:AK266" si="98">IF(AH203=0,
    IF(AG203=0, 50, 100),
    IF(AG203=0, 0, 100-(100/(1+AG203/AH203)))
)</f>
        <v>64.231304019902353</v>
      </c>
      <c r="AM203">
        <f t="shared" si="89"/>
        <v>0.28333333333333344</v>
      </c>
      <c r="AN203" s="14">
        <f t="shared" si="77"/>
        <v>1.0810810810810922E-2</v>
      </c>
      <c r="AO203">
        <f t="shared" si="86"/>
        <v>1</v>
      </c>
      <c r="AP203" s="14">
        <f t="shared" si="87"/>
        <v>0.4</v>
      </c>
      <c r="AQ203">
        <f t="shared" si="78"/>
        <v>6.8872964093684708E-3</v>
      </c>
      <c r="AR203">
        <f t="shared" si="79"/>
        <v>3.9235144014424291E-3</v>
      </c>
      <c r="AS203">
        <f t="shared" si="93"/>
        <v>2.7935852012919479E-3</v>
      </c>
      <c r="AT203">
        <f t="shared" si="94"/>
        <v>2.6003705872377669E-2</v>
      </c>
      <c r="AU203" s="14">
        <f t="shared" ref="AU203:AU266" si="99">AS203/AT203</f>
        <v>0.10743027224667322</v>
      </c>
      <c r="AV203" s="19">
        <f t="shared" si="95"/>
        <v>3.5268572028083707E-2</v>
      </c>
      <c r="AW203" s="19">
        <f t="shared" si="90"/>
        <v>-8.7804878048780455E-2</v>
      </c>
      <c r="AX203">
        <f t="shared" ref="AX203:AX266" si="100">IF(OR(F203=0,C203=D203),1,0)</f>
        <v>0</v>
      </c>
      <c r="AY203">
        <f>IF(W203,SUMPRODUCT(INDEX(AX:AX,X203):INDEX(AX:AX,X203+Y203)),0)</f>
        <v>67</v>
      </c>
      <c r="AZ203">
        <f>IF(V203,COUNT(INDEX(AX:AX,X203):INDEX(AX:AX,ROW())),0)</f>
        <v>193</v>
      </c>
      <c r="BA203" s="14">
        <f t="shared" si="80"/>
        <v>0.34715025906735753</v>
      </c>
      <c r="BB203" s="6">
        <f t="shared" ref="BB203:BB266" si="101">E203*F203</f>
        <v>11536217</v>
      </c>
      <c r="BC203" s="6">
        <f>MEDIAN(INDEX(BB:BB,X203):INDEX(BB:BB,X203+Y203-1))</f>
        <v>117585.00000000001</v>
      </c>
      <c r="BD203" s="25">
        <f t="shared" ref="BD203:BD266" si="102">IF(W203,BC203,"")</f>
        <v>117585.00000000001</v>
      </c>
      <c r="BE203">
        <f t="shared" si="81"/>
        <v>0</v>
      </c>
      <c r="BF203" s="6">
        <f>SUM(INDEX(BE:BE,X203):INDEX(BE:BE,X203+Y203-1))</f>
        <v>17</v>
      </c>
      <c r="BG203" s="25">
        <f t="shared" ref="BG203:BG266" si="103">IF(W203,BF203,"")</f>
        <v>17</v>
      </c>
    </row>
    <row r="204" spans="1:59" x14ac:dyDescent="0.3">
      <c r="A204" s="1">
        <v>44202</v>
      </c>
      <c r="B204">
        <v>12.83</v>
      </c>
      <c r="C204">
        <v>13.39</v>
      </c>
      <c r="D204">
        <v>12.63</v>
      </c>
      <c r="E204">
        <v>12.94</v>
      </c>
      <c r="F204">
        <v>1029400</v>
      </c>
      <c r="G204" s="29">
        <v>0.75376899587534996</v>
      </c>
      <c r="H204" s="29">
        <v>5.82510815977859E-2</v>
      </c>
      <c r="I204" s="29">
        <v>5.8732612055641398E-2</v>
      </c>
      <c r="J204" s="29">
        <v>62.1030764329359</v>
      </c>
      <c r="K204" s="29">
        <v>0.26800587947084697</v>
      </c>
      <c r="L204" s="29">
        <v>0.4</v>
      </c>
      <c r="M204" s="29">
        <v>9.1903444118826602E-2</v>
      </c>
      <c r="N204" s="29">
        <v>-3.58657032864278E-3</v>
      </c>
      <c r="O204" s="29">
        <v>-9.8257839721254306E-2</v>
      </c>
      <c r="P204" s="29">
        <v>-1.1459129106187901E-2</v>
      </c>
      <c r="Q204" s="29">
        <v>0.39285714285714202</v>
      </c>
      <c r="R204" s="30">
        <v>179075.5</v>
      </c>
      <c r="S204" s="29">
        <v>22</v>
      </c>
      <c r="T204" s="14">
        <v>348.7</v>
      </c>
      <c r="U204" s="41"/>
      <c r="V204">
        <v>194</v>
      </c>
      <c r="W204" t="b">
        <f>V204&gt;=$C$4</f>
        <v>1</v>
      </c>
      <c r="X204">
        <f>IF(V204&lt;=$C$5,11,ROW()-$C$5+1)</f>
        <v>11</v>
      </c>
      <c r="Y204" s="14">
        <f t="shared" si="96"/>
        <v>194</v>
      </c>
      <c r="Z204" s="10">
        <f t="shared" ref="Z204:Z267" si="104">MAX(C204-D204,ABS(C204-E203),ABS(D204-E203))</f>
        <v>0.75999999999999979</v>
      </c>
      <c r="AA204" s="15">
        <f t="shared" ref="AA204:AA267" si="105">Z204/E204</f>
        <v>5.8732612055641405E-2</v>
      </c>
      <c r="AB204" s="15">
        <f t="shared" ref="AB204:AB267" si="106">(Z204+13*AB203)/14</f>
        <v>0.7537689958753504</v>
      </c>
      <c r="AC204" s="10">
        <f t="shared" si="97"/>
        <v>5.825108159778597E-2</v>
      </c>
      <c r="AD204">
        <f t="shared" ref="AD204:AD267" si="107">E204-E203</f>
        <v>-0.15000000000000036</v>
      </c>
      <c r="AE204">
        <f t="shared" si="82"/>
        <v>0</v>
      </c>
      <c r="AF204">
        <f t="shared" si="83"/>
        <v>0.15000000000000036</v>
      </c>
      <c r="AG204">
        <f t="shared" si="92"/>
        <v>0.20081728151757808</v>
      </c>
      <c r="AH204">
        <f t="shared" si="92"/>
        <v>0.12254406092679361</v>
      </c>
      <c r="AI204">
        <f t="shared" ref="AI204:AI267" si="108">AG204/AH204</f>
        <v>1.6387353250643781</v>
      </c>
      <c r="AJ204">
        <f t="shared" si="84"/>
        <v>62.103057836025954</v>
      </c>
      <c r="AK204" s="14">
        <f t="shared" si="98"/>
        <v>62.103057836025954</v>
      </c>
      <c r="AM204">
        <f t="shared" si="89"/>
        <v>0.26800587947084753</v>
      </c>
      <c r="AN204" s="14">
        <f t="shared" ref="AN204:AN267" si="109">E204/E203-1</f>
        <v>-1.145912910618796E-2</v>
      </c>
      <c r="AO204">
        <f t="shared" si="86"/>
        <v>0</v>
      </c>
      <c r="AP204" s="14">
        <f t="shared" si="87"/>
        <v>0.4</v>
      </c>
      <c r="AQ204">
        <f t="shared" ref="AQ204:AQ267" si="110">T204/T203-1</f>
        <v>5.9775898080940415E-3</v>
      </c>
      <c r="AR204">
        <f t="shared" ref="AR204:AR267" si="111">P204-AQ204</f>
        <v>-1.7436718914281942E-2</v>
      </c>
      <c r="AS204">
        <f t="shared" si="93"/>
        <v>2.4006092274076571E-3</v>
      </c>
      <c r="AT204">
        <f t="shared" si="94"/>
        <v>2.6120993075121276E-2</v>
      </c>
      <c r="AU204" s="14">
        <f t="shared" si="99"/>
        <v>9.1903444118826311E-2</v>
      </c>
      <c r="AV204" s="19">
        <f t="shared" si="95"/>
        <v>-3.5865703286427925E-3</v>
      </c>
      <c r="AW204" s="19">
        <f t="shared" si="90"/>
        <v>-9.8257839721254348E-2</v>
      </c>
      <c r="AX204">
        <f t="shared" si="100"/>
        <v>0</v>
      </c>
      <c r="AY204">
        <f>IF(W204,SUMPRODUCT(INDEX(AX:AX,X204):INDEX(AX:AX,X204+Y204)),0)</f>
        <v>67</v>
      </c>
      <c r="AZ204">
        <f>IF(V204,COUNT(INDEX(AX:AX,X204):INDEX(AX:AX,ROW())),0)</f>
        <v>194</v>
      </c>
      <c r="BA204" s="14">
        <f t="shared" ref="BA204:BA267" si="112">IF(W204,AY204/AZ204,"")</f>
        <v>0.34536082474226804</v>
      </c>
      <c r="BB204" s="6">
        <f t="shared" si="101"/>
        <v>13320436</v>
      </c>
      <c r="BC204" s="6">
        <f>MEDIAN(INDEX(BB:BB,X204):INDEX(BB:BB,X204+Y204-1))</f>
        <v>119383.25</v>
      </c>
      <c r="BD204" s="25">
        <f t="shared" si="102"/>
        <v>119383.25</v>
      </c>
      <c r="BE204">
        <f t="shared" ref="BE204:BE267" si="113">IF(F203=F204,1,0)</f>
        <v>0</v>
      </c>
      <c r="BF204" s="6">
        <f>SUM(INDEX(BE:BE,X204):INDEX(BE:BE,X204+Y204-1))</f>
        <v>17</v>
      </c>
      <c r="BG204" s="25">
        <f t="shared" si="103"/>
        <v>17</v>
      </c>
    </row>
    <row r="205" spans="1:59" x14ac:dyDescent="0.3">
      <c r="A205" s="1">
        <v>44203</v>
      </c>
      <c r="B205">
        <v>13.02</v>
      </c>
      <c r="C205">
        <v>13.449</v>
      </c>
      <c r="D205">
        <v>12.75</v>
      </c>
      <c r="E205">
        <v>12.78</v>
      </c>
      <c r="F205">
        <v>1043700</v>
      </c>
      <c r="G205" s="29">
        <v>0.74985692474139598</v>
      </c>
      <c r="H205" s="29">
        <v>5.8674250762237597E-2</v>
      </c>
      <c r="I205" s="29">
        <v>5.4694835680751099E-2</v>
      </c>
      <c r="J205" s="29">
        <v>59.825995113256702</v>
      </c>
      <c r="K205" s="29">
        <v>0.24865657059110899</v>
      </c>
      <c r="L205" s="29">
        <v>0.4</v>
      </c>
      <c r="M205" s="29">
        <v>8.3547500830238694E-2</v>
      </c>
      <c r="N205" s="29">
        <v>-3.6287576306655203E-2</v>
      </c>
      <c r="O205" s="29">
        <v>-0.109407665505226</v>
      </c>
      <c r="P205" s="29">
        <v>-1.23647604327665E-2</v>
      </c>
      <c r="Q205" s="29">
        <v>0.38888888888888801</v>
      </c>
      <c r="R205" s="30">
        <v>182023</v>
      </c>
      <c r="S205" s="29">
        <v>22</v>
      </c>
      <c r="T205" s="14">
        <v>353.88099999999997</v>
      </c>
      <c r="U205" s="41"/>
      <c r="V205">
        <v>195</v>
      </c>
      <c r="W205" t="b">
        <f>V205&gt;=$C$4</f>
        <v>1</v>
      </c>
      <c r="X205">
        <f>IF(V205&lt;=$C$5,11,ROW()-$C$5+1)</f>
        <v>11</v>
      </c>
      <c r="Y205" s="14">
        <f t="shared" si="96"/>
        <v>195</v>
      </c>
      <c r="Z205" s="10">
        <f t="shared" si="104"/>
        <v>0.69899999999999984</v>
      </c>
      <c r="AA205" s="15">
        <f t="shared" si="105"/>
        <v>5.4694835680751161E-2</v>
      </c>
      <c r="AB205" s="15">
        <f t="shared" si="106"/>
        <v>0.74985692474139676</v>
      </c>
      <c r="AC205" s="10">
        <f t="shared" si="97"/>
        <v>5.8674250762237617E-2</v>
      </c>
      <c r="AD205">
        <f t="shared" si="107"/>
        <v>-0.16000000000000014</v>
      </c>
      <c r="AE205">
        <f t="shared" ref="AE205:AE268" si="114">MAX($AD205,0)</f>
        <v>0</v>
      </c>
      <c r="AF205">
        <f t="shared" ref="AF205:AF268" si="115">MAX(-$AD205,0)</f>
        <v>0.16000000000000014</v>
      </c>
      <c r="AG205">
        <f t="shared" si="92"/>
        <v>0.18647318998060822</v>
      </c>
      <c r="AH205">
        <f t="shared" si="92"/>
        <v>0.12521948514630837</v>
      </c>
      <c r="AI205">
        <f t="shared" si="108"/>
        <v>1.489170713030245</v>
      </c>
      <c r="AJ205">
        <f t="shared" ref="AJ205:AJ268" si="116">(100-(100/(1+AI205)))</f>
        <v>59.825977593050311</v>
      </c>
      <c r="AK205" s="14">
        <f t="shared" si="98"/>
        <v>59.825977593050311</v>
      </c>
      <c r="AM205">
        <f t="shared" si="89"/>
        <v>0.24865657059110902</v>
      </c>
      <c r="AN205" s="14">
        <f t="shared" si="109"/>
        <v>-1.2364760432766575E-2</v>
      </c>
      <c r="AO205">
        <f t="shared" si="86"/>
        <v>0</v>
      </c>
      <c r="AP205" s="14">
        <f t="shared" si="87"/>
        <v>0.4</v>
      </c>
      <c r="AQ205">
        <f t="shared" si="110"/>
        <v>1.4858044164037798E-2</v>
      </c>
      <c r="AR205">
        <f t="shared" si="111"/>
        <v>-2.7222804596804297E-2</v>
      </c>
      <c r="AS205">
        <f t="shared" si="93"/>
        <v>2.1975524043890736E-3</v>
      </c>
      <c r="AT205">
        <f t="shared" si="94"/>
        <v>2.63030298040191E-2</v>
      </c>
      <c r="AU205" s="14">
        <f t="shared" si="99"/>
        <v>8.35475008302385E-2</v>
      </c>
      <c r="AV205" s="19">
        <f t="shared" si="95"/>
        <v>-3.6287576306655564E-2</v>
      </c>
      <c r="AW205" s="19">
        <f t="shared" si="90"/>
        <v>-0.10940766550522651</v>
      </c>
      <c r="AX205">
        <f t="shared" si="100"/>
        <v>0</v>
      </c>
      <c r="AY205">
        <f>IF(W205,SUMPRODUCT(INDEX(AX:AX,X205):INDEX(AX:AX,X205+Y205)),0)</f>
        <v>67</v>
      </c>
      <c r="AZ205">
        <f>IF(V205,COUNT(INDEX(AX:AX,X205):INDEX(AX:AX,ROW())),0)</f>
        <v>195</v>
      </c>
      <c r="BA205" s="14">
        <f t="shared" si="112"/>
        <v>0.34358974358974359</v>
      </c>
      <c r="BB205" s="6">
        <f t="shared" si="101"/>
        <v>13338486</v>
      </c>
      <c r="BC205" s="6">
        <f>MEDIAN(INDEX(BB:BB,X205):INDEX(BB:BB,X205+Y205-1))</f>
        <v>121181.5</v>
      </c>
      <c r="BD205" s="25">
        <f t="shared" si="102"/>
        <v>121181.5</v>
      </c>
      <c r="BE205">
        <f t="shared" si="113"/>
        <v>0</v>
      </c>
      <c r="BF205" s="6">
        <f>SUM(INDEX(BE:BE,X205):INDEX(BE:BE,X205+Y205-1))</f>
        <v>17</v>
      </c>
      <c r="BG205" s="25">
        <f t="shared" si="103"/>
        <v>17</v>
      </c>
    </row>
    <row r="206" spans="1:59" x14ac:dyDescent="0.3">
      <c r="A206" s="1">
        <v>44204</v>
      </c>
      <c r="B206">
        <v>12.8</v>
      </c>
      <c r="C206">
        <v>12.9</v>
      </c>
      <c r="D206">
        <v>12.41</v>
      </c>
      <c r="E206">
        <v>12.69</v>
      </c>
      <c r="F206">
        <v>893800</v>
      </c>
      <c r="G206" s="29">
        <v>0.73129571583129704</v>
      </c>
      <c r="H206" s="29">
        <v>5.76277159835537E-2</v>
      </c>
      <c r="I206" s="29">
        <v>3.86130811662726E-2</v>
      </c>
      <c r="J206" s="29">
        <v>58.526059269662397</v>
      </c>
      <c r="K206" s="29">
        <v>0.23684210526315699</v>
      </c>
      <c r="L206" s="29">
        <v>0.2</v>
      </c>
      <c r="M206" s="29">
        <v>8.1421513060127501E-2</v>
      </c>
      <c r="N206" s="29">
        <v>-3.8421845880944903E-2</v>
      </c>
      <c r="O206" s="29">
        <v>-0.11567944250871</v>
      </c>
      <c r="P206" s="29">
        <v>-7.0422535211267503E-3</v>
      </c>
      <c r="Q206" s="29">
        <v>0.384920634920634</v>
      </c>
      <c r="R206" s="30">
        <v>182023</v>
      </c>
      <c r="S206" s="29">
        <v>22</v>
      </c>
      <c r="T206" s="14">
        <v>355.89699999999999</v>
      </c>
      <c r="U206" s="41"/>
      <c r="V206">
        <v>196</v>
      </c>
      <c r="W206" t="b">
        <f>V206&gt;=$C$4</f>
        <v>1</v>
      </c>
      <c r="X206">
        <f>IF(V206&lt;=$C$5,11,ROW()-$C$5+1)</f>
        <v>11</v>
      </c>
      <c r="Y206" s="14">
        <f t="shared" si="96"/>
        <v>196</v>
      </c>
      <c r="Z206" s="10">
        <f t="shared" si="104"/>
        <v>0.49000000000000021</v>
      </c>
      <c r="AA206" s="15">
        <f t="shared" si="105"/>
        <v>3.8613081166272677E-2</v>
      </c>
      <c r="AB206" s="15">
        <f t="shared" si="106"/>
        <v>0.73129571583129693</v>
      </c>
      <c r="AC206" s="10">
        <f t="shared" si="97"/>
        <v>5.7627715983553741E-2</v>
      </c>
      <c r="AD206">
        <f t="shared" si="107"/>
        <v>-8.9999999999999858E-2</v>
      </c>
      <c r="AE206">
        <f t="shared" si="114"/>
        <v>0</v>
      </c>
      <c r="AF206">
        <f t="shared" si="115"/>
        <v>8.9999999999999858E-2</v>
      </c>
      <c r="AG206">
        <f t="shared" ref="AG206:AH221" si="117">(AE206+13*AG205)/14</f>
        <v>0.17315367641056478</v>
      </c>
      <c r="AH206">
        <f t="shared" si="117"/>
        <v>0.12270380763585777</v>
      </c>
      <c r="AI206">
        <f t="shared" si="108"/>
        <v>1.4111516158033555</v>
      </c>
      <c r="AJ206">
        <f t="shared" si="116"/>
        <v>58.526042350645923</v>
      </c>
      <c r="AK206" s="14">
        <f t="shared" si="98"/>
        <v>58.526042350645923</v>
      </c>
      <c r="AM206">
        <f t="shared" si="89"/>
        <v>0.23684210526315796</v>
      </c>
      <c r="AN206" s="14">
        <f t="shared" si="109"/>
        <v>-7.0422535211267512E-3</v>
      </c>
      <c r="AO206">
        <f t="shared" ref="AO206:AO269" si="118">IF(AN206&gt;0,1,0)</f>
        <v>0</v>
      </c>
      <c r="AP206" s="14">
        <f t="shared" si="87"/>
        <v>0.2</v>
      </c>
      <c r="AQ206">
        <f t="shared" si="110"/>
        <v>5.6968302904083501E-3</v>
      </c>
      <c r="AR206">
        <f t="shared" si="111"/>
        <v>-1.2739083811535101E-2</v>
      </c>
      <c r="AS206">
        <f t="shared" si="93"/>
        <v>2.1438636153105106E-3</v>
      </c>
      <c r="AT206">
        <f t="shared" si="94"/>
        <v>2.6330432028784982E-2</v>
      </c>
      <c r="AU206" s="14">
        <f t="shared" si="99"/>
        <v>8.1421513060127307E-2</v>
      </c>
      <c r="AV206" s="19">
        <f t="shared" si="95"/>
        <v>-3.8421845880945445E-2</v>
      </c>
      <c r="AW206" s="19">
        <f t="shared" si="90"/>
        <v>-0.11567944250871076</v>
      </c>
      <c r="AX206">
        <f t="shared" si="100"/>
        <v>0</v>
      </c>
      <c r="AY206">
        <f>IF(W206,SUMPRODUCT(INDEX(AX:AX,X206):INDEX(AX:AX,X206+Y206)),0)</f>
        <v>67</v>
      </c>
      <c r="AZ206">
        <f>IF(V206,COUNT(INDEX(AX:AX,X206):INDEX(AX:AX,ROW())),0)</f>
        <v>196</v>
      </c>
      <c r="BA206" s="14">
        <f t="shared" si="112"/>
        <v>0.34183673469387754</v>
      </c>
      <c r="BB206" s="6">
        <f t="shared" si="101"/>
        <v>11342322</v>
      </c>
      <c r="BC206" s="6">
        <f>MEDIAN(INDEX(BB:BB,X206):INDEX(BB:BB,X206+Y206-1))</f>
        <v>121816.75</v>
      </c>
      <c r="BD206" s="25">
        <f t="shared" si="102"/>
        <v>121816.75</v>
      </c>
      <c r="BE206">
        <f t="shared" si="113"/>
        <v>0</v>
      </c>
      <c r="BF206" s="6">
        <f>SUM(INDEX(BE:BE,X206):INDEX(BE:BE,X206+Y206-1))</f>
        <v>17</v>
      </c>
      <c r="BG206" s="25">
        <f t="shared" si="103"/>
        <v>17</v>
      </c>
    </row>
    <row r="207" spans="1:59" x14ac:dyDescent="0.3">
      <c r="A207" s="1">
        <v>44207</v>
      </c>
      <c r="B207">
        <v>12.59</v>
      </c>
      <c r="C207">
        <v>13.19</v>
      </c>
      <c r="D207">
        <v>12.4</v>
      </c>
      <c r="E207">
        <v>12.52</v>
      </c>
      <c r="F207">
        <v>1259300</v>
      </c>
      <c r="G207" s="29">
        <v>0.73548887898620396</v>
      </c>
      <c r="H207" s="29">
        <v>5.8745118129888502E-2</v>
      </c>
      <c r="I207" s="29">
        <v>6.3099041533546202E-2</v>
      </c>
      <c r="J207" s="29">
        <v>56.048701999825497</v>
      </c>
      <c r="K207" s="29">
        <v>0.22027290448343001</v>
      </c>
      <c r="L207" s="29">
        <v>0.2</v>
      </c>
      <c r="M207" s="29">
        <v>8.3146402143545101E-2</v>
      </c>
      <c r="N207" s="29">
        <v>-9.1437978623490207E-3</v>
      </c>
      <c r="O207" s="29">
        <v>-0.12752613240418101</v>
      </c>
      <c r="P207" s="29">
        <v>-1.3396375098502699E-2</v>
      </c>
      <c r="Q207" s="29">
        <v>0.384920634920634</v>
      </c>
      <c r="R207" s="30">
        <v>182023</v>
      </c>
      <c r="S207" s="29">
        <v>22</v>
      </c>
      <c r="T207" s="14">
        <v>353.49799999999999</v>
      </c>
      <c r="U207" s="41"/>
      <c r="V207">
        <v>197</v>
      </c>
      <c r="W207" t="b">
        <f>V207&gt;=$C$4</f>
        <v>1</v>
      </c>
      <c r="X207">
        <f>IF(V207&lt;=$C$5,11,ROW()-$C$5+1)</f>
        <v>11</v>
      </c>
      <c r="Y207" s="14">
        <f t="shared" si="96"/>
        <v>197</v>
      </c>
      <c r="Z207" s="10">
        <f t="shared" si="104"/>
        <v>0.78999999999999915</v>
      </c>
      <c r="AA207" s="15">
        <f t="shared" si="105"/>
        <v>6.3099041533546257E-2</v>
      </c>
      <c r="AB207" s="15">
        <f t="shared" si="106"/>
        <v>0.73548887898620419</v>
      </c>
      <c r="AC207" s="10">
        <f t="shared" si="97"/>
        <v>5.8745118129888516E-2</v>
      </c>
      <c r="AD207">
        <f t="shared" si="107"/>
        <v>-0.16999999999999993</v>
      </c>
      <c r="AE207">
        <f t="shared" si="114"/>
        <v>0</v>
      </c>
      <c r="AF207">
        <f t="shared" si="115"/>
        <v>0.16999999999999993</v>
      </c>
      <c r="AG207">
        <f t="shared" si="117"/>
        <v>0.16078555666695302</v>
      </c>
      <c r="AH207">
        <f t="shared" si="117"/>
        <v>0.12608210709043935</v>
      </c>
      <c r="AI207">
        <f t="shared" si="108"/>
        <v>1.2752448414557405</v>
      </c>
      <c r="AJ207">
        <f t="shared" si="116"/>
        <v>56.048686199407754</v>
      </c>
      <c r="AK207" s="14">
        <f t="shared" si="98"/>
        <v>56.048686199407754</v>
      </c>
      <c r="AM207">
        <f t="shared" si="89"/>
        <v>0.22027290448343084</v>
      </c>
      <c r="AN207" s="14">
        <f t="shared" si="109"/>
        <v>-1.3396375098502777E-2</v>
      </c>
      <c r="AO207">
        <f t="shared" si="118"/>
        <v>0</v>
      </c>
      <c r="AP207" s="14">
        <f t="shared" ref="AP207:AP270" si="119">SUM(AO203:AO207) / 5</f>
        <v>0.2</v>
      </c>
      <c r="AQ207">
        <f t="shared" si="110"/>
        <v>-6.740714307791329E-3</v>
      </c>
      <c r="AR207">
        <f t="shared" si="111"/>
        <v>-6.6556607907113704E-3</v>
      </c>
      <c r="AS207">
        <f t="shared" si="93"/>
        <v>2.1878399536491662E-3</v>
      </c>
      <c r="AT207">
        <f t="shared" si="94"/>
        <v>2.6313104322566529E-2</v>
      </c>
      <c r="AU207" s="14">
        <f t="shared" si="99"/>
        <v>8.3146402143544892E-2</v>
      </c>
      <c r="AV207" s="19">
        <f t="shared" si="95"/>
        <v>-9.1437978623490346E-3</v>
      </c>
      <c r="AW207" s="19">
        <f t="shared" si="90"/>
        <v>-0.1275261324041812</v>
      </c>
      <c r="AX207">
        <f t="shared" si="100"/>
        <v>0</v>
      </c>
      <c r="AY207">
        <f>IF(W207,SUMPRODUCT(INDEX(AX:AX,X207):INDEX(AX:AX,X207+Y207)),0)</f>
        <v>67</v>
      </c>
      <c r="AZ207">
        <f>IF(V207,COUNT(INDEX(AX:AX,X207):INDEX(AX:AX,ROW())),0)</f>
        <v>197</v>
      </c>
      <c r="BA207" s="14">
        <f t="shared" si="112"/>
        <v>0.34010152284263961</v>
      </c>
      <c r="BB207" s="6">
        <f t="shared" si="101"/>
        <v>15766436</v>
      </c>
      <c r="BC207" s="6">
        <f>MEDIAN(INDEX(BB:BB,X207):INDEX(BB:BB,X207+Y207-1))</f>
        <v>122451.99999999999</v>
      </c>
      <c r="BD207" s="25">
        <f t="shared" si="102"/>
        <v>122451.99999999999</v>
      </c>
      <c r="BE207">
        <f t="shared" si="113"/>
        <v>0</v>
      </c>
      <c r="BF207" s="6">
        <f>SUM(INDEX(BE:BE,X207):INDEX(BE:BE,X207+Y207-1))</f>
        <v>17</v>
      </c>
      <c r="BG207" s="25">
        <f t="shared" si="103"/>
        <v>17</v>
      </c>
    </row>
    <row r="208" spans="1:59" x14ac:dyDescent="0.3">
      <c r="A208" s="1">
        <v>44208</v>
      </c>
      <c r="B208">
        <v>12.44</v>
      </c>
      <c r="C208">
        <v>12.75</v>
      </c>
      <c r="D208">
        <v>12.35</v>
      </c>
      <c r="E208">
        <v>12.7</v>
      </c>
      <c r="F208">
        <v>724100</v>
      </c>
      <c r="G208" s="29">
        <v>0.71152538763004702</v>
      </c>
      <c r="H208" s="29">
        <v>5.6025621073232001E-2</v>
      </c>
      <c r="I208" s="29">
        <v>3.1496062992125998E-2</v>
      </c>
      <c r="J208" s="29">
        <v>58.072408569090598</v>
      </c>
      <c r="K208" s="29">
        <v>0.22350674373795701</v>
      </c>
      <c r="L208" s="29">
        <v>0.2</v>
      </c>
      <c r="M208" s="29">
        <v>0.101639480065703</v>
      </c>
      <c r="N208" s="29">
        <v>-1.94939741717281E-3</v>
      </c>
      <c r="O208" s="29">
        <v>-0.114982578397212</v>
      </c>
      <c r="P208" s="29">
        <v>1.4376996805111701E-2</v>
      </c>
      <c r="Q208" s="29">
        <v>0.38095238095237999</v>
      </c>
      <c r="R208" s="30">
        <v>184011</v>
      </c>
      <c r="S208" s="29">
        <v>22</v>
      </c>
      <c r="T208" s="14">
        <v>353.57299999999998</v>
      </c>
      <c r="U208" s="41"/>
      <c r="V208">
        <v>198</v>
      </c>
      <c r="W208" t="b">
        <f>V208&gt;=$C$4</f>
        <v>1</v>
      </c>
      <c r="X208">
        <f>IF(V208&lt;=$C$5,11,ROW()-$C$5+1)</f>
        <v>11</v>
      </c>
      <c r="Y208" s="14">
        <f t="shared" si="96"/>
        <v>198</v>
      </c>
      <c r="Z208" s="10">
        <f t="shared" si="104"/>
        <v>0.40000000000000036</v>
      </c>
      <c r="AA208" s="15">
        <f t="shared" si="105"/>
        <v>3.1496062992126012E-2</v>
      </c>
      <c r="AB208" s="15">
        <f t="shared" si="106"/>
        <v>0.7115253876300468</v>
      </c>
      <c r="AC208" s="10">
        <f t="shared" si="97"/>
        <v>5.6025621073232036E-2</v>
      </c>
      <c r="AD208">
        <f t="shared" si="107"/>
        <v>0.17999999999999972</v>
      </c>
      <c r="AE208">
        <f t="shared" si="114"/>
        <v>0.17999999999999972</v>
      </c>
      <c r="AF208">
        <f t="shared" si="115"/>
        <v>0</v>
      </c>
      <c r="AG208">
        <f t="shared" si="117"/>
        <v>0.16215801690502779</v>
      </c>
      <c r="AH208">
        <f t="shared" si="117"/>
        <v>0.1170762422982651</v>
      </c>
      <c r="AI208">
        <f t="shared" si="108"/>
        <v>1.3850633887950701</v>
      </c>
      <c r="AJ208">
        <f t="shared" si="116"/>
        <v>58.072393182589657</v>
      </c>
      <c r="AK208" s="14">
        <f t="shared" si="98"/>
        <v>58.072393182589657</v>
      </c>
      <c r="AM208">
        <f t="shared" si="89"/>
        <v>0.22350674373795743</v>
      </c>
      <c r="AN208" s="14">
        <f t="shared" si="109"/>
        <v>1.437699680511173E-2</v>
      </c>
      <c r="AO208">
        <f t="shared" si="118"/>
        <v>1</v>
      </c>
      <c r="AP208" s="14">
        <f t="shared" si="119"/>
        <v>0.2</v>
      </c>
      <c r="AQ208">
        <f t="shared" si="110"/>
        <v>2.121652739195401E-4</v>
      </c>
      <c r="AR208">
        <f t="shared" si="111"/>
        <v>1.4164831531192161E-2</v>
      </c>
      <c r="AS208">
        <f t="shared" si="93"/>
        <v>2.6680533092577298E-3</v>
      </c>
      <c r="AT208">
        <f t="shared" si="94"/>
        <v>2.6250166840021374E-2</v>
      </c>
      <c r="AU208" s="14">
        <f t="shared" si="99"/>
        <v>0.10163948006570298</v>
      </c>
      <c r="AV208" s="19">
        <f t="shared" si="95"/>
        <v>-1.9493974171727229E-3</v>
      </c>
      <c r="AW208" s="19">
        <f t="shared" si="90"/>
        <v>-0.1149825783972126</v>
      </c>
      <c r="AX208">
        <f t="shared" si="100"/>
        <v>0</v>
      </c>
      <c r="AY208">
        <f>IF(W208,SUMPRODUCT(INDEX(AX:AX,X208):INDEX(AX:AX,X208+Y208)),0)</f>
        <v>67</v>
      </c>
      <c r="AZ208">
        <f>IF(V208,COUNT(INDEX(AX:AX,X208):INDEX(AX:AX,ROW())),0)</f>
        <v>198</v>
      </c>
      <c r="BA208" s="14">
        <f t="shared" si="112"/>
        <v>0.3383838383838384</v>
      </c>
      <c r="BB208" s="6">
        <f t="shared" si="101"/>
        <v>9196070</v>
      </c>
      <c r="BC208" s="6">
        <f>MEDIAN(INDEX(BB:BB,X208):INDEX(BB:BB,X208+Y208-1))</f>
        <v>129968</v>
      </c>
      <c r="BD208" s="25">
        <f t="shared" si="102"/>
        <v>129968</v>
      </c>
      <c r="BE208">
        <f t="shared" si="113"/>
        <v>0</v>
      </c>
      <c r="BF208" s="6">
        <f>SUM(INDEX(BE:BE,X208):INDEX(BE:BE,X208+Y208-1))</f>
        <v>17</v>
      </c>
      <c r="BG208" s="25">
        <f t="shared" si="103"/>
        <v>17</v>
      </c>
    </row>
    <row r="209" spans="1:59" x14ac:dyDescent="0.3">
      <c r="A209" s="1">
        <v>44209</v>
      </c>
      <c r="B209">
        <v>12.76</v>
      </c>
      <c r="C209">
        <v>13.35</v>
      </c>
      <c r="D209">
        <v>12.5</v>
      </c>
      <c r="E209">
        <v>13.35</v>
      </c>
      <c r="F209">
        <v>1707400</v>
      </c>
      <c r="G209" s="29">
        <v>0.72141643137075795</v>
      </c>
      <c r="H209" s="29">
        <v>5.4038683997809499E-2</v>
      </c>
      <c r="I209" s="29">
        <v>6.3670411985018702E-2</v>
      </c>
      <c r="J209" s="29">
        <v>64.439849953064893</v>
      </c>
      <c r="K209" s="29">
        <v>0.29360465116279</v>
      </c>
      <c r="L209" s="29">
        <v>0.4</v>
      </c>
      <c r="M209" s="29">
        <v>0.122915373573853</v>
      </c>
      <c r="N209" s="29">
        <v>5.94550819187116E-3</v>
      </c>
      <c r="O209" s="29">
        <v>-6.9686411149825697E-2</v>
      </c>
      <c r="P209" s="29">
        <v>5.11811023622048E-2</v>
      </c>
      <c r="Q209" s="29">
        <v>0.38095238095237999</v>
      </c>
      <c r="R209" s="30">
        <v>184011</v>
      </c>
      <c r="S209" s="29">
        <v>22</v>
      </c>
      <c r="T209" s="14">
        <v>354.52499999999998</v>
      </c>
      <c r="U209" s="41"/>
      <c r="V209">
        <v>199</v>
      </c>
      <c r="W209" t="b">
        <f>V209&gt;=$C$4</f>
        <v>1</v>
      </c>
      <c r="X209">
        <f>IF(V209&lt;=$C$5,11,ROW()-$C$5+1)</f>
        <v>11</v>
      </c>
      <c r="Y209" s="14">
        <f t="shared" si="96"/>
        <v>199</v>
      </c>
      <c r="Z209" s="10">
        <f t="shared" si="104"/>
        <v>0.84999999999999964</v>
      </c>
      <c r="AA209" s="15">
        <f t="shared" si="105"/>
        <v>6.3670411985018702E-2</v>
      </c>
      <c r="AB209" s="15">
        <f t="shared" si="106"/>
        <v>0.72141643137075773</v>
      </c>
      <c r="AC209" s="10">
        <f t="shared" si="97"/>
        <v>5.4038683997809568E-2</v>
      </c>
      <c r="AD209">
        <f t="shared" si="107"/>
        <v>0.65000000000000036</v>
      </c>
      <c r="AE209">
        <f t="shared" si="114"/>
        <v>0.65000000000000036</v>
      </c>
      <c r="AF209">
        <f t="shared" si="115"/>
        <v>0</v>
      </c>
      <c r="AG209">
        <f t="shared" si="117"/>
        <v>0.19700387284038295</v>
      </c>
      <c r="AH209">
        <f t="shared" si="117"/>
        <v>0.10871365356267473</v>
      </c>
      <c r="AI209">
        <f t="shared" si="108"/>
        <v>1.8121355173369078</v>
      </c>
      <c r="AJ209">
        <f t="shared" si="116"/>
        <v>64.43983606639982</v>
      </c>
      <c r="AK209" s="14">
        <f t="shared" si="98"/>
        <v>64.43983606639982</v>
      </c>
      <c r="AM209">
        <f t="shared" si="89"/>
        <v>0.29360465116279055</v>
      </c>
      <c r="AN209" s="14">
        <f t="shared" si="109"/>
        <v>5.1181102362204856E-2</v>
      </c>
      <c r="AO209">
        <f t="shared" si="118"/>
        <v>1</v>
      </c>
      <c r="AP209" s="14">
        <f t="shared" si="119"/>
        <v>0.4</v>
      </c>
      <c r="AQ209">
        <f t="shared" si="110"/>
        <v>2.6925132857995582E-3</v>
      </c>
      <c r="AR209">
        <f t="shared" si="111"/>
        <v>4.8488589076405242E-2</v>
      </c>
      <c r="AS209">
        <f t="shared" si="93"/>
        <v>3.3026869662031882E-3</v>
      </c>
      <c r="AT209">
        <f t="shared" si="94"/>
        <v>2.6869600361412706E-2</v>
      </c>
      <c r="AU209" s="14">
        <f t="shared" si="99"/>
        <v>0.12291537357385336</v>
      </c>
      <c r="AV209" s="19">
        <f t="shared" si="95"/>
        <v>5.9455081918713551E-3</v>
      </c>
      <c r="AW209" s="19">
        <f t="shared" si="90"/>
        <v>-6.9686411149825767E-2</v>
      </c>
      <c r="AX209">
        <f t="shared" si="100"/>
        <v>0</v>
      </c>
      <c r="AY209">
        <f>IF(W209,SUMPRODUCT(INDEX(AX:AX,X209):INDEX(AX:AX,X209+Y209)),0)</f>
        <v>67</v>
      </c>
      <c r="AZ209">
        <f>IF(V209,COUNT(INDEX(AX:AX,X209):INDEX(AX:AX,ROW())),0)</f>
        <v>199</v>
      </c>
      <c r="BA209" s="14">
        <f t="shared" si="112"/>
        <v>0.33668341708542715</v>
      </c>
      <c r="BB209" s="6">
        <f t="shared" si="101"/>
        <v>22793790</v>
      </c>
      <c r="BC209" s="6">
        <f>MEDIAN(INDEX(BB:BB,X209):INDEX(BB:BB,X209+Y209-1))</f>
        <v>137484</v>
      </c>
      <c r="BD209" s="25">
        <f t="shared" si="102"/>
        <v>137484</v>
      </c>
      <c r="BE209">
        <f t="shared" si="113"/>
        <v>0</v>
      </c>
      <c r="BF209" s="6">
        <f>SUM(INDEX(BE:BE,X209):INDEX(BE:BE,X209+Y209-1))</f>
        <v>17</v>
      </c>
      <c r="BG209" s="25">
        <f t="shared" si="103"/>
        <v>17</v>
      </c>
    </row>
    <row r="210" spans="1:59" x14ac:dyDescent="0.3">
      <c r="A210" s="1">
        <v>44210</v>
      </c>
      <c r="B210">
        <v>15.803000000000001</v>
      </c>
      <c r="C210">
        <v>15.88</v>
      </c>
      <c r="D210">
        <v>14.15</v>
      </c>
      <c r="E210">
        <v>14.46</v>
      </c>
      <c r="F210">
        <v>5192200</v>
      </c>
      <c r="G210" s="29">
        <v>0.85060097198713203</v>
      </c>
      <c r="H210" s="29">
        <v>5.8824410234241502E-2</v>
      </c>
      <c r="I210" s="29">
        <v>0.17496542185338801</v>
      </c>
      <c r="J210" s="29">
        <v>72.203269587732606</v>
      </c>
      <c r="K210" s="29">
        <v>0.40116279069767402</v>
      </c>
      <c r="L210" s="29">
        <v>0.6</v>
      </c>
      <c r="M210" s="29">
        <v>0.15924406929113399</v>
      </c>
      <c r="N210" s="29">
        <v>-6.9860840212074504E-2</v>
      </c>
      <c r="O210" s="29">
        <v>0</v>
      </c>
      <c r="P210" s="29">
        <v>8.3146067415730496E-2</v>
      </c>
      <c r="Q210" s="29">
        <v>0.38095238095237999</v>
      </c>
      <c r="R210" s="30">
        <v>184011</v>
      </c>
      <c r="S210" s="29">
        <v>22</v>
      </c>
      <c r="T210" s="14">
        <v>353.28300000000002</v>
      </c>
      <c r="U210" s="41"/>
      <c r="V210">
        <v>200</v>
      </c>
      <c r="W210" t="b">
        <f>V210&gt;=$C$4</f>
        <v>1</v>
      </c>
      <c r="X210">
        <f>IF(V210&lt;=$C$5,11,ROW()-$C$5+1)</f>
        <v>11</v>
      </c>
      <c r="Y210" s="14">
        <f t="shared" si="96"/>
        <v>200</v>
      </c>
      <c r="Z210" s="10">
        <f t="shared" si="104"/>
        <v>2.5300000000000011</v>
      </c>
      <c r="AA210" s="15">
        <f t="shared" si="105"/>
        <v>0.17496542185338873</v>
      </c>
      <c r="AB210" s="15">
        <f t="shared" si="106"/>
        <v>0.85060097198713225</v>
      </c>
      <c r="AC210" s="10">
        <f t="shared" si="97"/>
        <v>5.8824410234241509E-2</v>
      </c>
      <c r="AD210">
        <f t="shared" si="107"/>
        <v>1.1100000000000012</v>
      </c>
      <c r="AE210">
        <f t="shared" si="114"/>
        <v>1.1100000000000012</v>
      </c>
      <c r="AF210">
        <f t="shared" si="115"/>
        <v>0</v>
      </c>
      <c r="AG210">
        <f t="shared" si="117"/>
        <v>0.26221788192321283</v>
      </c>
      <c r="AH210">
        <f t="shared" si="117"/>
        <v>0.10094839259391226</v>
      </c>
      <c r="AI210">
        <f t="shared" si="108"/>
        <v>2.597543905211483</v>
      </c>
      <c r="AJ210">
        <f t="shared" si="116"/>
        <v>72.20325793518802</v>
      </c>
      <c r="AK210" s="14">
        <f t="shared" si="98"/>
        <v>72.20325793518802</v>
      </c>
      <c r="AM210">
        <f t="shared" si="89"/>
        <v>0.40116279069767447</v>
      </c>
      <c r="AN210" s="14">
        <f t="shared" si="109"/>
        <v>8.3146067415730496E-2</v>
      </c>
      <c r="AO210">
        <f t="shared" si="118"/>
        <v>1</v>
      </c>
      <c r="AP210" s="14">
        <f t="shared" si="119"/>
        <v>0.6</v>
      </c>
      <c r="AQ210">
        <f t="shared" si="110"/>
        <v>-3.5032790353288767E-3</v>
      </c>
      <c r="AR210">
        <f t="shared" si="111"/>
        <v>8.6649346451059372E-2</v>
      </c>
      <c r="AS210">
        <f t="shared" si="93"/>
        <v>4.5940187239489295E-3</v>
      </c>
      <c r="AT210">
        <f t="shared" si="94"/>
        <v>2.8848915657574834E-2</v>
      </c>
      <c r="AU210" s="14">
        <f t="shared" si="99"/>
        <v>0.15924406929113408</v>
      </c>
      <c r="AV210" s="19">
        <f t="shared" si="95"/>
        <v>-6.9860840212075809E-2</v>
      </c>
      <c r="AW210" s="19">
        <f t="shared" si="90"/>
        <v>0</v>
      </c>
      <c r="AX210">
        <f t="shared" si="100"/>
        <v>0</v>
      </c>
      <c r="AY210">
        <f>IF(W210,SUMPRODUCT(INDEX(AX:AX,X210):INDEX(AX:AX,X210+Y210)),0)</f>
        <v>67</v>
      </c>
      <c r="AZ210">
        <f>IF(V210,COUNT(INDEX(AX:AX,X210):INDEX(AX:AX,ROW())),0)</f>
        <v>200</v>
      </c>
      <c r="BA210" s="14">
        <f t="shared" si="112"/>
        <v>0.33500000000000002</v>
      </c>
      <c r="BB210" s="6">
        <f t="shared" si="101"/>
        <v>75079212</v>
      </c>
      <c r="BC210" s="6">
        <f>MEDIAN(INDEX(BB:BB,X210):INDEX(BB:BB,X210+Y210-1))</f>
        <v>156885.5</v>
      </c>
      <c r="BD210" s="25">
        <f t="shared" si="102"/>
        <v>156885.5</v>
      </c>
      <c r="BE210">
        <f t="shared" si="113"/>
        <v>0</v>
      </c>
      <c r="BF210" s="6">
        <f>SUM(INDEX(BE:BE,X210):INDEX(BE:BE,X210+Y210-1))</f>
        <v>17</v>
      </c>
      <c r="BG210" s="25">
        <f t="shared" si="103"/>
        <v>17</v>
      </c>
    </row>
    <row r="211" spans="1:59" x14ac:dyDescent="0.3">
      <c r="A211" s="1">
        <v>44211</v>
      </c>
      <c r="B211">
        <v>14.669</v>
      </c>
      <c r="C211">
        <v>14.72</v>
      </c>
      <c r="D211">
        <v>13.47</v>
      </c>
      <c r="E211">
        <v>14.5</v>
      </c>
      <c r="F211">
        <v>2065300</v>
      </c>
      <c r="G211" s="29">
        <v>0.87912947398805097</v>
      </c>
      <c r="H211" s="29">
        <v>6.0629618895727697E-2</v>
      </c>
      <c r="I211" s="29">
        <v>8.6206896551724102E-2</v>
      </c>
      <c r="J211" s="29">
        <v>72.436798593987106</v>
      </c>
      <c r="K211" s="29">
        <v>0.40503875968992198</v>
      </c>
      <c r="L211" s="29">
        <v>0.8</v>
      </c>
      <c r="M211" s="29">
        <v>0.16462667409031001</v>
      </c>
      <c r="N211" s="29">
        <v>-6.7277730211083894E-2</v>
      </c>
      <c r="O211" s="29">
        <v>0</v>
      </c>
      <c r="P211" s="29">
        <v>2.7662517289073199E-3</v>
      </c>
      <c r="Q211" s="29">
        <v>0.37698412698412698</v>
      </c>
      <c r="R211" s="30">
        <v>184011</v>
      </c>
      <c r="S211" s="29">
        <v>22</v>
      </c>
      <c r="T211" s="14">
        <v>350.70699999999999</v>
      </c>
      <c r="U211" s="41"/>
      <c r="V211">
        <v>201</v>
      </c>
      <c r="W211" t="b">
        <f>V211&gt;=$C$4</f>
        <v>1</v>
      </c>
      <c r="X211">
        <f>IF(V211&lt;=$C$5,11,ROW()-$C$5+1)</f>
        <v>11</v>
      </c>
      <c r="Y211" s="14">
        <f t="shared" si="96"/>
        <v>201</v>
      </c>
      <c r="Z211" s="10">
        <f t="shared" si="104"/>
        <v>1.25</v>
      </c>
      <c r="AA211" s="15">
        <f t="shared" si="105"/>
        <v>8.6206896551724144E-2</v>
      </c>
      <c r="AB211" s="15">
        <f t="shared" si="106"/>
        <v>0.87912947398805141</v>
      </c>
      <c r="AC211" s="10">
        <f t="shared" si="97"/>
        <v>6.0629618895727683E-2</v>
      </c>
      <c r="AD211">
        <f t="shared" si="107"/>
        <v>3.9999999999999147E-2</v>
      </c>
      <c r="AE211">
        <f t="shared" si="114"/>
        <v>3.9999999999999147E-2</v>
      </c>
      <c r="AF211">
        <f t="shared" si="115"/>
        <v>0</v>
      </c>
      <c r="AG211">
        <f t="shared" si="117"/>
        <v>0.24634517607155471</v>
      </c>
      <c r="AH211">
        <f t="shared" si="117"/>
        <v>9.3737793122918536E-2</v>
      </c>
      <c r="AI211">
        <f t="shared" si="108"/>
        <v>2.6280240644082782</v>
      </c>
      <c r="AJ211">
        <f t="shared" si="116"/>
        <v>72.436787015548703</v>
      </c>
      <c r="AK211" s="14">
        <f t="shared" si="98"/>
        <v>72.436787015548703</v>
      </c>
      <c r="AM211">
        <f t="shared" si="89"/>
        <v>0.40503875968992253</v>
      </c>
      <c r="AN211" s="14">
        <f t="shared" si="109"/>
        <v>2.7662517289073207E-3</v>
      </c>
      <c r="AO211">
        <f t="shared" si="118"/>
        <v>1</v>
      </c>
      <c r="AP211" s="14">
        <f t="shared" si="119"/>
        <v>0.8</v>
      </c>
      <c r="AQ211">
        <f t="shared" si="110"/>
        <v>-7.2916047474688162E-3</v>
      </c>
      <c r="AR211">
        <f t="shared" si="111"/>
        <v>1.0057856476376137E-2</v>
      </c>
      <c r="AS211">
        <f t="shared" si="93"/>
        <v>4.7497352434250602E-3</v>
      </c>
      <c r="AT211">
        <f t="shared" si="94"/>
        <v>2.8851553186450541E-2</v>
      </c>
      <c r="AU211" s="14">
        <f t="shared" si="99"/>
        <v>0.16462667409031076</v>
      </c>
      <c r="AV211" s="19">
        <f t="shared" si="95"/>
        <v>-6.7277730211085268E-2</v>
      </c>
      <c r="AW211" s="19">
        <f t="shared" si="90"/>
        <v>0</v>
      </c>
      <c r="AX211">
        <f t="shared" si="100"/>
        <v>0</v>
      </c>
      <c r="AY211">
        <f>IF(W211,SUMPRODUCT(INDEX(AX:AX,X211):INDEX(AX:AX,X211+Y211)),0)</f>
        <v>67</v>
      </c>
      <c r="AZ211">
        <f>IF(V211,COUNT(INDEX(AX:AX,X211):INDEX(AX:AX,ROW())),0)</f>
        <v>201</v>
      </c>
      <c r="BA211" s="14">
        <f t="shared" si="112"/>
        <v>0.33333333333333331</v>
      </c>
      <c r="BB211" s="6">
        <f t="shared" si="101"/>
        <v>29946850</v>
      </c>
      <c r="BC211" s="6">
        <f>MEDIAN(INDEX(BB:BB,X211):INDEX(BB:BB,X211+Y211-1))</f>
        <v>176287</v>
      </c>
      <c r="BD211" s="25">
        <f t="shared" si="102"/>
        <v>176287</v>
      </c>
      <c r="BE211">
        <f t="shared" si="113"/>
        <v>0</v>
      </c>
      <c r="BF211" s="6">
        <f>SUM(INDEX(BE:BE,X211):INDEX(BE:BE,X211+Y211-1))</f>
        <v>17</v>
      </c>
      <c r="BG211" s="25">
        <f t="shared" si="103"/>
        <v>17</v>
      </c>
    </row>
    <row r="212" spans="1:59" x14ac:dyDescent="0.3">
      <c r="A212" s="1">
        <v>44215</v>
      </c>
      <c r="B212">
        <v>15.57</v>
      </c>
      <c r="C212">
        <v>17.2</v>
      </c>
      <c r="D212">
        <v>15</v>
      </c>
      <c r="E212">
        <v>16.22</v>
      </c>
      <c r="F212">
        <v>4407300</v>
      </c>
      <c r="G212" s="29">
        <v>1.0091916544174699</v>
      </c>
      <c r="H212" s="29">
        <v>6.2218967596638503E-2</v>
      </c>
      <c r="I212" s="29">
        <v>0.166461159062885</v>
      </c>
      <c r="J212" s="29">
        <v>80.156730708025094</v>
      </c>
      <c r="K212" s="29">
        <v>0.41043478260869498</v>
      </c>
      <c r="L212" s="29">
        <v>1</v>
      </c>
      <c r="M212" s="29">
        <v>0.20501168862875699</v>
      </c>
      <c r="N212" s="29">
        <v>5.3881534517340901E-2</v>
      </c>
      <c r="O212" s="29">
        <v>0</v>
      </c>
      <c r="P212" s="29">
        <v>0.118620689655172</v>
      </c>
      <c r="Q212" s="29">
        <v>0.37301587301587302</v>
      </c>
      <c r="R212" s="30">
        <v>184011</v>
      </c>
      <c r="S212" s="29">
        <v>22</v>
      </c>
      <c r="T212" s="14">
        <v>353.46100000000001</v>
      </c>
      <c r="U212" s="41"/>
      <c r="V212">
        <v>202</v>
      </c>
      <c r="W212" t="b">
        <f>V212&gt;=$C$4</f>
        <v>1</v>
      </c>
      <c r="X212">
        <f>IF(V212&lt;=$C$5,11,ROW()-$C$5+1)</f>
        <v>11</v>
      </c>
      <c r="Y212" s="14">
        <f t="shared" si="96"/>
        <v>202</v>
      </c>
      <c r="Z212" s="10">
        <f t="shared" si="104"/>
        <v>2.6999999999999993</v>
      </c>
      <c r="AA212" s="15">
        <f t="shared" si="105"/>
        <v>0.16646115906288531</v>
      </c>
      <c r="AB212" s="15">
        <f t="shared" si="106"/>
        <v>1.0091916544174764</v>
      </c>
      <c r="AC212" s="10">
        <f t="shared" si="97"/>
        <v>6.2218967596638496E-2</v>
      </c>
      <c r="AD212">
        <f t="shared" si="107"/>
        <v>1.7199999999999989</v>
      </c>
      <c r="AE212">
        <f t="shared" si="114"/>
        <v>1.7199999999999989</v>
      </c>
      <c r="AF212">
        <f t="shared" si="115"/>
        <v>0</v>
      </c>
      <c r="AG212">
        <f t="shared" si="117"/>
        <v>0.35160623492358639</v>
      </c>
      <c r="AH212">
        <f t="shared" si="117"/>
        <v>8.7042236471281495E-2</v>
      </c>
      <c r="AI212">
        <f t="shared" si="108"/>
        <v>4.0394898979829694</v>
      </c>
      <c r="AJ212">
        <f t="shared" si="116"/>
        <v>80.156721806303352</v>
      </c>
      <c r="AK212" s="14">
        <f t="shared" si="98"/>
        <v>80.156721806303352</v>
      </c>
      <c r="AM212">
        <f t="shared" si="89"/>
        <v>0.41043478260869559</v>
      </c>
      <c r="AN212" s="14">
        <f t="shared" si="109"/>
        <v>0.11862068965517225</v>
      </c>
      <c r="AO212">
        <f t="shared" si="118"/>
        <v>1</v>
      </c>
      <c r="AP212" s="14">
        <f t="shared" si="119"/>
        <v>1</v>
      </c>
      <c r="AQ212">
        <f t="shared" si="110"/>
        <v>7.8527089564794927E-3</v>
      </c>
      <c r="AR212">
        <f t="shared" si="111"/>
        <v>0.11076798069869251</v>
      </c>
      <c r="AS212">
        <f t="shared" si="93"/>
        <v>6.5156619998317242E-3</v>
      </c>
      <c r="AT212">
        <f t="shared" si="94"/>
        <v>3.1781904941188655E-2</v>
      </c>
      <c r="AU212" s="14">
        <f t="shared" si="99"/>
        <v>0.20501168862875707</v>
      </c>
      <c r="AV212" s="19">
        <f t="shared" si="95"/>
        <v>5.3881534517341872E-2</v>
      </c>
      <c r="AW212" s="19">
        <f t="shared" si="90"/>
        <v>0</v>
      </c>
      <c r="AX212">
        <f t="shared" si="100"/>
        <v>0</v>
      </c>
      <c r="AY212">
        <f>IF(W212,SUMPRODUCT(INDEX(AX:AX,X212):INDEX(AX:AX,X212+Y212)),0)</f>
        <v>67</v>
      </c>
      <c r="AZ212">
        <f>IF(V212,COUNT(INDEX(AX:AX,X212):INDEX(AX:AX,ROW())),0)</f>
        <v>202</v>
      </c>
      <c r="BA212" s="14">
        <f t="shared" si="112"/>
        <v>0.3316831683168317</v>
      </c>
      <c r="BB212" s="6">
        <f t="shared" si="101"/>
        <v>71486406</v>
      </c>
      <c r="BC212" s="6">
        <f>MEDIAN(INDEX(BB:BB,X212):INDEX(BB:BB,X212+Y212-1))</f>
        <v>179075.5</v>
      </c>
      <c r="BD212" s="25">
        <f t="shared" si="102"/>
        <v>179075.5</v>
      </c>
      <c r="BE212">
        <f t="shared" si="113"/>
        <v>0</v>
      </c>
      <c r="BF212" s="6">
        <f>SUM(INDEX(BE:BE,X212):INDEX(BE:BE,X212+Y212-1))</f>
        <v>17</v>
      </c>
      <c r="BG212" s="25">
        <f t="shared" si="103"/>
        <v>17</v>
      </c>
    </row>
    <row r="213" spans="1:59" x14ac:dyDescent="0.3">
      <c r="A213" s="1">
        <v>44216</v>
      </c>
      <c r="B213">
        <v>16.23</v>
      </c>
      <c r="C213">
        <v>17.100000000000001</v>
      </c>
      <c r="D213">
        <v>15.81</v>
      </c>
      <c r="E213">
        <v>16.04</v>
      </c>
      <c r="F213">
        <v>1928600</v>
      </c>
      <c r="G213" s="29">
        <v>1.0292493933876501</v>
      </c>
      <c r="H213" s="29">
        <v>6.4167667916936205E-2</v>
      </c>
      <c r="I213" s="29">
        <v>8.0423940149625894E-2</v>
      </c>
      <c r="J213" s="29">
        <v>77.703966758609894</v>
      </c>
      <c r="K213" s="29">
        <v>0.45818181818181802</v>
      </c>
      <c r="L213" s="29">
        <v>0.8</v>
      </c>
      <c r="M213" s="29">
        <v>0.17910981088295999</v>
      </c>
      <c r="N213" s="29">
        <v>2.12236587267556E-2</v>
      </c>
      <c r="O213" s="29">
        <v>-1.1097410604192301E-2</v>
      </c>
      <c r="P213" s="29">
        <v>-1.1097410604192301E-2</v>
      </c>
      <c r="Q213" s="29">
        <v>0.37301587301587302</v>
      </c>
      <c r="R213" s="30">
        <v>184011</v>
      </c>
      <c r="S213" s="29">
        <v>22</v>
      </c>
      <c r="T213" s="14">
        <v>358.35199999999998</v>
      </c>
      <c r="U213" s="41"/>
      <c r="V213">
        <v>203</v>
      </c>
      <c r="W213" t="b">
        <f>V213&gt;=$C$4</f>
        <v>1</v>
      </c>
      <c r="X213">
        <f>IF(V213&lt;=$C$5,11,ROW()-$C$5+1)</f>
        <v>11</v>
      </c>
      <c r="Y213" s="14">
        <f t="shared" si="96"/>
        <v>203</v>
      </c>
      <c r="Z213" s="10">
        <f t="shared" si="104"/>
        <v>1.2900000000000009</v>
      </c>
      <c r="AA213" s="15">
        <f t="shared" si="105"/>
        <v>8.0423940149625991E-2</v>
      </c>
      <c r="AB213" s="15">
        <f t="shared" si="106"/>
        <v>1.0292493933876568</v>
      </c>
      <c r="AC213" s="10">
        <f t="shared" si="97"/>
        <v>6.4167667916936205E-2</v>
      </c>
      <c r="AD213">
        <f t="shared" si="107"/>
        <v>-0.17999999999999972</v>
      </c>
      <c r="AE213">
        <f t="shared" si="114"/>
        <v>0</v>
      </c>
      <c r="AF213">
        <f t="shared" si="115"/>
        <v>0.17999999999999972</v>
      </c>
      <c r="AG213">
        <f t="shared" si="117"/>
        <v>0.32649150385761594</v>
      </c>
      <c r="AH213">
        <f t="shared" si="117"/>
        <v>9.3682076723332799E-2</v>
      </c>
      <c r="AI213">
        <f t="shared" si="108"/>
        <v>3.4851010489640308</v>
      </c>
      <c r="AJ213">
        <f t="shared" si="116"/>
        <v>77.703958303660073</v>
      </c>
      <c r="AK213" s="14">
        <f t="shared" si="98"/>
        <v>77.703958303660073</v>
      </c>
      <c r="AM213">
        <f t="shared" si="89"/>
        <v>0.45818181818181802</v>
      </c>
      <c r="AN213" s="14">
        <f t="shared" si="109"/>
        <v>-1.1097410604192337E-2</v>
      </c>
      <c r="AO213">
        <f t="shared" si="118"/>
        <v>0</v>
      </c>
      <c r="AP213" s="14">
        <f t="shared" si="119"/>
        <v>0.8</v>
      </c>
      <c r="AQ213">
        <f t="shared" si="110"/>
        <v>1.3837453071201544E-2</v>
      </c>
      <c r="AR213">
        <f t="shared" si="111"/>
        <v>-2.4934863675393847E-2</v>
      </c>
      <c r="AS213">
        <f t="shared" si="93"/>
        <v>5.7196348648568375E-3</v>
      </c>
      <c r="AT213">
        <f t="shared" si="94"/>
        <v>3.1933677092620863E-2</v>
      </c>
      <c r="AU213" s="14">
        <f t="shared" si="99"/>
        <v>0.1791098108829601</v>
      </c>
      <c r="AV213" s="19">
        <f t="shared" si="95"/>
        <v>2.1223658726756033E-2</v>
      </c>
      <c r="AW213" s="19">
        <f t="shared" si="90"/>
        <v>-1.1097410604192337E-2</v>
      </c>
      <c r="AX213">
        <f t="shared" si="100"/>
        <v>0</v>
      </c>
      <c r="AY213">
        <f>IF(W213,SUMPRODUCT(INDEX(AX:AX,X213):INDEX(AX:AX,X213+Y213)),0)</f>
        <v>67</v>
      </c>
      <c r="AZ213">
        <f>IF(V213,COUNT(INDEX(AX:AX,X213):INDEX(AX:AX,ROW())),0)</f>
        <v>203</v>
      </c>
      <c r="BA213" s="14">
        <f t="shared" si="112"/>
        <v>0.33004926108374383</v>
      </c>
      <c r="BB213" s="6">
        <f t="shared" si="101"/>
        <v>30934744</v>
      </c>
      <c r="BC213" s="6">
        <f>MEDIAN(INDEX(BB:BB,X213):INDEX(BB:BB,X213+Y213-1))</f>
        <v>181864</v>
      </c>
      <c r="BD213" s="25">
        <f t="shared" si="102"/>
        <v>181864</v>
      </c>
      <c r="BE213">
        <f t="shared" si="113"/>
        <v>0</v>
      </c>
      <c r="BF213" s="6">
        <f>SUM(INDEX(BE:BE,X213):INDEX(BE:BE,X213+Y213-1))</f>
        <v>17</v>
      </c>
      <c r="BG213" s="25">
        <f t="shared" si="103"/>
        <v>17</v>
      </c>
    </row>
    <row r="214" spans="1:59" x14ac:dyDescent="0.3">
      <c r="A214" s="1">
        <v>44217</v>
      </c>
      <c r="B214">
        <v>15.85</v>
      </c>
      <c r="C214">
        <v>16.2</v>
      </c>
      <c r="D214">
        <v>15.28</v>
      </c>
      <c r="E214">
        <v>16.2</v>
      </c>
      <c r="F214">
        <v>1592100</v>
      </c>
      <c r="G214" s="29">
        <v>1.0214458652885301</v>
      </c>
      <c r="H214" s="29">
        <v>6.3052213906699905E-2</v>
      </c>
      <c r="I214" s="29">
        <v>5.6790123456790097E-2</v>
      </c>
      <c r="J214" s="29">
        <v>78.338474546516593</v>
      </c>
      <c r="K214" s="29">
        <v>0.472727272727272</v>
      </c>
      <c r="L214" s="29">
        <v>0.8</v>
      </c>
      <c r="M214" s="29">
        <v>0.18573303003357999</v>
      </c>
      <c r="N214" s="29">
        <v>2.36881651940552E-2</v>
      </c>
      <c r="O214" s="29">
        <v>-1.233045622688E-3</v>
      </c>
      <c r="P214" s="29">
        <v>9.9750623441396905E-3</v>
      </c>
      <c r="Q214" s="29">
        <v>0.36904761904761901</v>
      </c>
      <c r="R214" s="30">
        <v>184011</v>
      </c>
      <c r="S214" s="29">
        <v>22</v>
      </c>
      <c r="T214" s="14">
        <v>358.67899999999997</v>
      </c>
      <c r="U214" s="41"/>
      <c r="V214">
        <v>204</v>
      </c>
      <c r="W214" t="b">
        <f>V214&gt;=$C$4</f>
        <v>1</v>
      </c>
      <c r="X214">
        <f>IF(V214&lt;=$C$5,11,ROW()-$C$5+1)</f>
        <v>11</v>
      </c>
      <c r="Y214" s="14">
        <f t="shared" si="96"/>
        <v>204</v>
      </c>
      <c r="Z214" s="10">
        <f t="shared" si="104"/>
        <v>0.91999999999999993</v>
      </c>
      <c r="AA214" s="15">
        <f t="shared" si="105"/>
        <v>5.6790123456790124E-2</v>
      </c>
      <c r="AB214" s="15">
        <f t="shared" si="106"/>
        <v>1.0214458652885383</v>
      </c>
      <c r="AC214" s="10">
        <f t="shared" si="97"/>
        <v>6.3052213906699905E-2</v>
      </c>
      <c r="AD214">
        <f t="shared" si="107"/>
        <v>0.16000000000000014</v>
      </c>
      <c r="AE214">
        <f t="shared" si="114"/>
        <v>0.16000000000000014</v>
      </c>
      <c r="AF214">
        <f t="shared" si="115"/>
        <v>0</v>
      </c>
      <c r="AG214">
        <f t="shared" si="117"/>
        <v>0.31459925358207197</v>
      </c>
      <c r="AH214">
        <f t="shared" si="117"/>
        <v>8.6990499814523323E-2</v>
      </c>
      <c r="AI214">
        <f t="shared" si="108"/>
        <v>3.6164782850178394</v>
      </c>
      <c r="AJ214">
        <f t="shared" si="116"/>
        <v>78.338466288353061</v>
      </c>
      <c r="AK214" s="14">
        <f t="shared" si="98"/>
        <v>78.338466288353061</v>
      </c>
      <c r="AM214">
        <f t="shared" si="89"/>
        <v>0.47272727272727266</v>
      </c>
      <c r="AN214" s="14">
        <f t="shared" si="109"/>
        <v>9.9750623441396957E-3</v>
      </c>
      <c r="AO214">
        <f t="shared" si="118"/>
        <v>1</v>
      </c>
      <c r="AP214" s="14">
        <f t="shared" si="119"/>
        <v>0.8</v>
      </c>
      <c r="AQ214">
        <f t="shared" si="110"/>
        <v>9.1251060409880402E-4</v>
      </c>
      <c r="AR214">
        <f t="shared" si="111"/>
        <v>9.0625517400408865E-3</v>
      </c>
      <c r="AS214">
        <f t="shared" si="93"/>
        <v>5.9270961897031167E-3</v>
      </c>
      <c r="AT214">
        <f t="shared" si="94"/>
        <v>3.1911912429531251E-2</v>
      </c>
      <c r="AU214" s="14">
        <f t="shared" si="99"/>
        <v>0.18573303003358044</v>
      </c>
      <c r="AV214" s="19">
        <f t="shared" si="95"/>
        <v>2.3688165194055744E-2</v>
      </c>
      <c r="AW214" s="19">
        <f t="shared" si="90"/>
        <v>-1.2330456226880004E-3</v>
      </c>
      <c r="AX214">
        <f t="shared" si="100"/>
        <v>0</v>
      </c>
      <c r="AY214">
        <f>IF(W214,SUMPRODUCT(INDEX(AX:AX,X214):INDEX(AX:AX,X214+Y214)),0)</f>
        <v>67</v>
      </c>
      <c r="AZ214">
        <f>IF(V214,COUNT(INDEX(AX:AX,X214):INDEX(AX:AX,ROW())),0)</f>
        <v>204</v>
      </c>
      <c r="BA214" s="14">
        <f t="shared" si="112"/>
        <v>0.32843137254901961</v>
      </c>
      <c r="BB214" s="6">
        <f t="shared" si="101"/>
        <v>25792020</v>
      </c>
      <c r="BC214" s="6">
        <f>MEDIAN(INDEX(BB:BB,X214):INDEX(BB:BB,X214+Y214-1))</f>
        <v>183852</v>
      </c>
      <c r="BD214" s="25">
        <f t="shared" si="102"/>
        <v>183852</v>
      </c>
      <c r="BE214">
        <f t="shared" si="113"/>
        <v>0</v>
      </c>
      <c r="BF214" s="6">
        <f>SUM(INDEX(BE:BE,X214):INDEX(BE:BE,X214+Y214-1))</f>
        <v>17</v>
      </c>
      <c r="BG214" s="25">
        <f t="shared" si="103"/>
        <v>17</v>
      </c>
    </row>
    <row r="215" spans="1:59" x14ac:dyDescent="0.3">
      <c r="A215" s="1">
        <v>44218</v>
      </c>
      <c r="B215">
        <v>15.75</v>
      </c>
      <c r="C215">
        <v>16.75</v>
      </c>
      <c r="D215">
        <v>15.61</v>
      </c>
      <c r="E215">
        <v>15.88</v>
      </c>
      <c r="F215">
        <v>1964700</v>
      </c>
      <c r="G215" s="29">
        <v>1.02991401776792</v>
      </c>
      <c r="H215" s="29">
        <v>6.48560464589375E-2</v>
      </c>
      <c r="I215" s="29">
        <v>7.1788413098236803E-2</v>
      </c>
      <c r="J215" s="29">
        <v>73.814052772431495</v>
      </c>
      <c r="K215" s="29">
        <v>0.374891774891774</v>
      </c>
      <c r="L215" s="29">
        <v>0.6</v>
      </c>
      <c r="M215" s="29">
        <v>0.17757591862507599</v>
      </c>
      <c r="N215" s="29">
        <v>4.27629675941925E-2</v>
      </c>
      <c r="O215" s="29">
        <v>-2.09617755856965E-2</v>
      </c>
      <c r="P215" s="29">
        <v>-1.9753086419752999E-2</v>
      </c>
      <c r="Q215" s="29">
        <v>0.36904761904761901</v>
      </c>
      <c r="R215" s="30">
        <v>184011</v>
      </c>
      <c r="S215" s="29">
        <v>22</v>
      </c>
      <c r="T215" s="14">
        <v>357.40899999999999</v>
      </c>
      <c r="U215" s="41"/>
      <c r="V215">
        <v>205</v>
      </c>
      <c r="W215" t="b">
        <f>V215&gt;=$C$4</f>
        <v>1</v>
      </c>
      <c r="X215">
        <f>IF(V215&lt;=$C$5,11,ROW()-$C$5+1)</f>
        <v>11</v>
      </c>
      <c r="Y215" s="14">
        <f t="shared" si="96"/>
        <v>205</v>
      </c>
      <c r="Z215" s="10">
        <f t="shared" si="104"/>
        <v>1.1400000000000006</v>
      </c>
      <c r="AA215" s="15">
        <f t="shared" si="105"/>
        <v>7.1788413098236803E-2</v>
      </c>
      <c r="AB215" s="15">
        <f t="shared" si="106"/>
        <v>1.0299140177679285</v>
      </c>
      <c r="AC215" s="10">
        <f t="shared" si="97"/>
        <v>6.4856046458937555E-2</v>
      </c>
      <c r="AD215">
        <f t="shared" si="107"/>
        <v>-0.31999999999999851</v>
      </c>
      <c r="AE215">
        <f t="shared" si="114"/>
        <v>0</v>
      </c>
      <c r="AF215">
        <f t="shared" si="115"/>
        <v>0.31999999999999851</v>
      </c>
      <c r="AG215">
        <f t="shared" si="117"/>
        <v>0.29212787832620968</v>
      </c>
      <c r="AH215">
        <f t="shared" si="117"/>
        <v>0.10363403554205727</v>
      </c>
      <c r="AI215">
        <f t="shared" si="108"/>
        <v>2.8188410959607659</v>
      </c>
      <c r="AJ215">
        <f t="shared" si="116"/>
        <v>73.814045285683349</v>
      </c>
      <c r="AK215" s="14">
        <f t="shared" si="98"/>
        <v>73.814045285683349</v>
      </c>
      <c r="AM215">
        <f t="shared" si="89"/>
        <v>0.37489177489177483</v>
      </c>
      <c r="AN215" s="14">
        <f t="shared" si="109"/>
        <v>-1.9753086419753041E-2</v>
      </c>
      <c r="AO215">
        <f t="shared" si="118"/>
        <v>0</v>
      </c>
      <c r="AP215" s="14">
        <f t="shared" si="119"/>
        <v>0.6</v>
      </c>
      <c r="AQ215">
        <f t="shared" si="110"/>
        <v>-3.5407704381912319E-3</v>
      </c>
      <c r="AR215">
        <f t="shared" si="111"/>
        <v>-1.6212315981561767E-2</v>
      </c>
      <c r="AS215">
        <f t="shared" si="93"/>
        <v>5.6864016950376722E-3</v>
      </c>
      <c r="AT215">
        <f t="shared" si="94"/>
        <v>3.2022369581787828E-2</v>
      </c>
      <c r="AU215" s="14">
        <f t="shared" si="99"/>
        <v>0.17757591862507624</v>
      </c>
      <c r="AV215" s="19">
        <f t="shared" si="95"/>
        <v>4.276296759419343E-2</v>
      </c>
      <c r="AW215" s="19">
        <f t="shared" si="90"/>
        <v>-2.0961775585696563E-2</v>
      </c>
      <c r="AX215">
        <f t="shared" si="100"/>
        <v>0</v>
      </c>
      <c r="AY215">
        <f>IF(W215,SUMPRODUCT(INDEX(AX:AX,X215):INDEX(AX:AX,X215+Y215)),0)</f>
        <v>67</v>
      </c>
      <c r="AZ215">
        <f>IF(V215,COUNT(INDEX(AX:AX,X215):INDEX(AX:AX,ROW())),0)</f>
        <v>205</v>
      </c>
      <c r="BA215" s="14">
        <f t="shared" si="112"/>
        <v>0.32682926829268294</v>
      </c>
      <c r="BB215" s="6">
        <f t="shared" si="101"/>
        <v>31199436</v>
      </c>
      <c r="BC215" s="6">
        <f>MEDIAN(INDEX(BB:BB,X215):INDEX(BB:BB,X215+Y215-1))</f>
        <v>185840</v>
      </c>
      <c r="BD215" s="25">
        <f t="shared" si="102"/>
        <v>185840</v>
      </c>
      <c r="BE215">
        <f t="shared" si="113"/>
        <v>0</v>
      </c>
      <c r="BF215" s="6">
        <f>SUM(INDEX(BE:BE,X215):INDEX(BE:BE,X215+Y215-1))</f>
        <v>17</v>
      </c>
      <c r="BG215" s="25">
        <f t="shared" si="103"/>
        <v>17</v>
      </c>
    </row>
    <row r="216" spans="1:59" x14ac:dyDescent="0.3">
      <c r="A216" s="1">
        <v>44221</v>
      </c>
      <c r="B216">
        <v>16.225000000000001</v>
      </c>
      <c r="C216">
        <v>16.350000000000001</v>
      </c>
      <c r="D216">
        <v>14.62</v>
      </c>
      <c r="E216">
        <v>14.85</v>
      </c>
      <c r="F216">
        <v>1953800</v>
      </c>
      <c r="G216" s="29">
        <v>1.07992015935593</v>
      </c>
      <c r="H216" s="29">
        <v>7.27218962529248E-2</v>
      </c>
      <c r="I216" s="29">
        <v>0.116498316498316</v>
      </c>
      <c r="J216" s="29">
        <v>61.501558903714802</v>
      </c>
      <c r="K216" s="29">
        <v>0.23338870431893599</v>
      </c>
      <c r="L216" s="29">
        <v>0.4</v>
      </c>
      <c r="M216" s="29">
        <v>0.14236343261235301</v>
      </c>
      <c r="N216" s="29">
        <v>2.3432224899436398E-2</v>
      </c>
      <c r="O216" s="29">
        <v>-8.4463625154130598E-2</v>
      </c>
      <c r="P216" s="29">
        <v>-6.4861460957178901E-2</v>
      </c>
      <c r="Q216" s="29">
        <v>0.36904761904761901</v>
      </c>
      <c r="R216" s="30">
        <v>184011</v>
      </c>
      <c r="S216" s="29">
        <v>22</v>
      </c>
      <c r="T216" s="14">
        <v>358.81900000000002</v>
      </c>
      <c r="U216" s="41"/>
      <c r="V216">
        <v>206</v>
      </c>
      <c r="W216" t="b">
        <f>V216&gt;=$C$4</f>
        <v>1</v>
      </c>
      <c r="X216">
        <f>IF(V216&lt;=$C$5,11,ROW()-$C$5+1)</f>
        <v>11</v>
      </c>
      <c r="Y216" s="14">
        <f t="shared" si="96"/>
        <v>206</v>
      </c>
      <c r="Z216" s="10">
        <f t="shared" si="104"/>
        <v>1.7300000000000022</v>
      </c>
      <c r="AA216" s="15">
        <f t="shared" si="105"/>
        <v>0.11649831649831666</v>
      </c>
      <c r="AB216" s="15">
        <f t="shared" si="106"/>
        <v>1.0799201593559338</v>
      </c>
      <c r="AC216" s="10">
        <f t="shared" si="97"/>
        <v>7.2721896252924828E-2</v>
      </c>
      <c r="AD216">
        <f t="shared" si="107"/>
        <v>-1.0300000000000011</v>
      </c>
      <c r="AE216">
        <f t="shared" si="114"/>
        <v>0</v>
      </c>
      <c r="AF216">
        <f t="shared" si="115"/>
        <v>1.0300000000000011</v>
      </c>
      <c r="AG216">
        <f t="shared" si="117"/>
        <v>0.27126160130290899</v>
      </c>
      <c r="AH216">
        <f t="shared" si="117"/>
        <v>0.16980303300333896</v>
      </c>
      <c r="AI216">
        <f t="shared" si="108"/>
        <v>1.5975073972770262</v>
      </c>
      <c r="AJ216">
        <f t="shared" si="116"/>
        <v>61.501553333464898</v>
      </c>
      <c r="AK216" s="14">
        <f t="shared" si="98"/>
        <v>61.501553333464898</v>
      </c>
      <c r="AM216">
        <f t="shared" si="89"/>
        <v>0.23338870431893688</v>
      </c>
      <c r="AN216" s="14">
        <f t="shared" si="109"/>
        <v>-6.4861460957178929E-2</v>
      </c>
      <c r="AO216">
        <f t="shared" si="118"/>
        <v>0</v>
      </c>
      <c r="AP216" s="14">
        <f t="shared" si="119"/>
        <v>0.4</v>
      </c>
      <c r="AQ216">
        <f t="shared" si="110"/>
        <v>3.9450601411827879E-3</v>
      </c>
      <c r="AR216">
        <f t="shared" si="111"/>
        <v>-6.8806521098361689E-2</v>
      </c>
      <c r="AS216">
        <f t="shared" si="93"/>
        <v>4.7438218926443764E-3</v>
      </c>
      <c r="AT216">
        <f t="shared" si="94"/>
        <v>3.3321912836714845E-2</v>
      </c>
      <c r="AU216" s="14">
        <f t="shared" si="99"/>
        <v>0.14236343261235365</v>
      </c>
      <c r="AV216" s="19">
        <f t="shared" si="95"/>
        <v>2.3432224899436815E-2</v>
      </c>
      <c r="AW216" s="19">
        <f t="shared" si="90"/>
        <v>-8.4463625154130639E-2</v>
      </c>
      <c r="AX216">
        <f t="shared" si="100"/>
        <v>0</v>
      </c>
      <c r="AY216">
        <f>IF(W216,SUMPRODUCT(INDEX(AX:AX,X216):INDEX(AX:AX,X216+Y216)),0)</f>
        <v>67</v>
      </c>
      <c r="AZ216">
        <f>IF(V216,COUNT(INDEX(AX:AX,X216):INDEX(AX:AX,ROW())),0)</f>
        <v>206</v>
      </c>
      <c r="BA216" s="14">
        <f t="shared" si="112"/>
        <v>0.32524271844660196</v>
      </c>
      <c r="BB216" s="6">
        <f t="shared" si="101"/>
        <v>29013930</v>
      </c>
      <c r="BC216" s="6">
        <f>MEDIAN(INDEX(BB:BB,X216):INDEX(BB:BB,X216+Y216-1))</f>
        <v>186664</v>
      </c>
      <c r="BD216" s="25">
        <f t="shared" si="102"/>
        <v>186664</v>
      </c>
      <c r="BE216">
        <f t="shared" si="113"/>
        <v>0</v>
      </c>
      <c r="BF216" s="6">
        <f>SUM(INDEX(BE:BE,X216):INDEX(BE:BE,X216+Y216-1))</f>
        <v>17</v>
      </c>
      <c r="BG216" s="25">
        <f t="shared" si="103"/>
        <v>17</v>
      </c>
    </row>
    <row r="217" spans="1:59" x14ac:dyDescent="0.3">
      <c r="A217" s="1">
        <v>44222</v>
      </c>
      <c r="B217">
        <v>14.766</v>
      </c>
      <c r="C217">
        <v>14.88</v>
      </c>
      <c r="D217">
        <v>13.51</v>
      </c>
      <c r="E217">
        <v>14.17</v>
      </c>
      <c r="F217">
        <v>2490100</v>
      </c>
      <c r="G217" s="29">
        <v>1.1006401479733601</v>
      </c>
      <c r="H217" s="29">
        <v>7.7673969511176194E-2</v>
      </c>
      <c r="I217" s="29">
        <v>9.6683133380381106E-2</v>
      </c>
      <c r="J217" s="29">
        <v>54.981118656056999</v>
      </c>
      <c r="K217" s="29">
        <v>0.120158102766798</v>
      </c>
      <c r="L217" s="29">
        <v>0.2</v>
      </c>
      <c r="M217" s="29">
        <v>0.12042773902703</v>
      </c>
      <c r="N217" s="29">
        <v>5.5707741806359401E-2</v>
      </c>
      <c r="O217" s="29">
        <v>-0.12638717632552399</v>
      </c>
      <c r="P217" s="29">
        <v>-4.5791245791245799E-2</v>
      </c>
      <c r="Q217" s="29">
        <v>0.36904761904761901</v>
      </c>
      <c r="R217" s="30">
        <v>184011</v>
      </c>
      <c r="S217" s="29">
        <v>22</v>
      </c>
      <c r="T217" s="14">
        <v>358.25900000000001</v>
      </c>
      <c r="U217" s="41"/>
      <c r="V217">
        <v>207</v>
      </c>
      <c r="W217" t="b">
        <f>V217&gt;=$C$4</f>
        <v>1</v>
      </c>
      <c r="X217">
        <f>IF(V217&lt;=$C$5,11,ROW()-$C$5+1)</f>
        <v>11</v>
      </c>
      <c r="Y217" s="14">
        <f t="shared" si="96"/>
        <v>207</v>
      </c>
      <c r="Z217" s="10">
        <f t="shared" si="104"/>
        <v>1.370000000000001</v>
      </c>
      <c r="AA217" s="15">
        <f t="shared" si="105"/>
        <v>9.6683133380381162E-2</v>
      </c>
      <c r="AB217" s="15">
        <f t="shared" si="106"/>
        <v>1.1006401479733672</v>
      </c>
      <c r="AC217" s="10">
        <f t="shared" si="97"/>
        <v>7.7673969511176236E-2</v>
      </c>
      <c r="AD217">
        <f t="shared" si="107"/>
        <v>-0.67999999999999972</v>
      </c>
      <c r="AE217">
        <f t="shared" si="114"/>
        <v>0</v>
      </c>
      <c r="AF217">
        <f t="shared" si="115"/>
        <v>0.67999999999999972</v>
      </c>
      <c r="AG217">
        <f t="shared" si="117"/>
        <v>0.25188577263841549</v>
      </c>
      <c r="AH217">
        <f t="shared" si="117"/>
        <v>0.20624567350310044</v>
      </c>
      <c r="AI217">
        <f t="shared" si="108"/>
        <v>1.2212899711306135</v>
      </c>
      <c r="AJ217">
        <f t="shared" si="116"/>
        <v>54.981113992469417</v>
      </c>
      <c r="AK217" s="14">
        <f t="shared" si="98"/>
        <v>54.981113992469417</v>
      </c>
      <c r="AM217">
        <f t="shared" si="89"/>
        <v>0.12015810276679839</v>
      </c>
      <c r="AN217" s="14">
        <f t="shared" si="109"/>
        <v>-4.5791245791245827E-2</v>
      </c>
      <c r="AO217">
        <f t="shared" si="118"/>
        <v>0</v>
      </c>
      <c r="AP217" s="14">
        <f t="shared" si="119"/>
        <v>0.2</v>
      </c>
      <c r="AQ217">
        <f t="shared" si="110"/>
        <v>-1.5606754380341759E-3</v>
      </c>
      <c r="AR217">
        <f t="shared" si="111"/>
        <v>-4.4230570353211623E-2</v>
      </c>
      <c r="AS217">
        <f t="shared" si="93"/>
        <v>4.07992933506945E-3</v>
      </c>
      <c r="AT217">
        <f t="shared" si="94"/>
        <v>3.3878650948961912E-2</v>
      </c>
      <c r="AU217" s="14">
        <f t="shared" si="99"/>
        <v>0.12042773902703066</v>
      </c>
      <c r="AV217" s="19">
        <f t="shared" si="95"/>
        <v>5.5707741806360365E-2</v>
      </c>
      <c r="AW217" s="19">
        <f t="shared" si="90"/>
        <v>-0.12638717632552399</v>
      </c>
      <c r="AX217">
        <f t="shared" si="100"/>
        <v>0</v>
      </c>
      <c r="AY217">
        <f>IF(W217,SUMPRODUCT(INDEX(AX:AX,X217):INDEX(AX:AX,X217+Y217)),0)</f>
        <v>67</v>
      </c>
      <c r="AZ217">
        <f>IF(V217,COUNT(INDEX(AX:AX,X217):INDEX(AX:AX,ROW())),0)</f>
        <v>207</v>
      </c>
      <c r="BA217" s="14">
        <f t="shared" si="112"/>
        <v>0.32367149758454106</v>
      </c>
      <c r="BB217" s="6">
        <f t="shared" si="101"/>
        <v>35284717</v>
      </c>
      <c r="BC217" s="6">
        <f>MEDIAN(INDEX(BB:BB,X217):INDEX(BB:BB,X217+Y217-1))</f>
        <v>187488</v>
      </c>
      <c r="BD217" s="25">
        <f t="shared" si="102"/>
        <v>187488</v>
      </c>
      <c r="BE217">
        <f t="shared" si="113"/>
        <v>0</v>
      </c>
      <c r="BF217" s="6">
        <f>SUM(INDEX(BE:BE,X217):INDEX(BE:BE,X217+Y217-1))</f>
        <v>17</v>
      </c>
      <c r="BG217" s="25">
        <f t="shared" si="103"/>
        <v>17</v>
      </c>
    </row>
    <row r="218" spans="1:59" x14ac:dyDescent="0.3">
      <c r="A218" s="1">
        <v>44223</v>
      </c>
      <c r="B218">
        <v>13.417999999999999</v>
      </c>
      <c r="C218">
        <v>14.164999999999999</v>
      </c>
      <c r="D218">
        <v>12.8</v>
      </c>
      <c r="E218">
        <v>13.02</v>
      </c>
      <c r="F218">
        <v>2444400</v>
      </c>
      <c r="G218" s="29">
        <v>1.1198801374038401</v>
      </c>
      <c r="H218" s="29">
        <v>8.6012299339772696E-2</v>
      </c>
      <c r="I218" s="29">
        <v>0.105222734254992</v>
      </c>
      <c r="J218" s="29">
        <v>46.082880520402099</v>
      </c>
      <c r="K218" s="29">
        <v>-2.9806259314456001E-2</v>
      </c>
      <c r="L218" s="29">
        <v>0.2</v>
      </c>
      <c r="M218" s="29">
        <v>8.4103414575891905E-2</v>
      </c>
      <c r="N218" s="29">
        <v>0.40808444064490801</v>
      </c>
      <c r="O218" s="29">
        <v>-0.19728729963008601</v>
      </c>
      <c r="P218" s="29">
        <v>-8.1157374735356405E-2</v>
      </c>
      <c r="Q218" s="29">
        <v>0.365079365079365</v>
      </c>
      <c r="R218" s="30">
        <v>186664</v>
      </c>
      <c r="S218" s="29">
        <v>22</v>
      </c>
      <c r="T218" s="14">
        <v>349.50299999999999</v>
      </c>
      <c r="U218" s="41"/>
      <c r="V218">
        <v>208</v>
      </c>
      <c r="W218" t="b">
        <f>V218&gt;=$C$4</f>
        <v>1</v>
      </c>
      <c r="X218">
        <f>IF(V218&lt;=$C$5,11,ROW()-$C$5+1)</f>
        <v>11</v>
      </c>
      <c r="Y218" s="14">
        <f t="shared" si="96"/>
        <v>208</v>
      </c>
      <c r="Z218" s="10">
        <f t="shared" si="104"/>
        <v>1.3699999999999992</v>
      </c>
      <c r="AA218" s="15">
        <f t="shared" si="105"/>
        <v>0.10522273425499226</v>
      </c>
      <c r="AB218" s="15">
        <f t="shared" si="106"/>
        <v>1.119880137403841</v>
      </c>
      <c r="AC218" s="10">
        <f t="shared" si="97"/>
        <v>8.6012299339772738E-2</v>
      </c>
      <c r="AD218">
        <f t="shared" si="107"/>
        <v>-1.1500000000000004</v>
      </c>
      <c r="AE218">
        <f t="shared" si="114"/>
        <v>0</v>
      </c>
      <c r="AF218">
        <f t="shared" si="115"/>
        <v>1.1500000000000004</v>
      </c>
      <c r="AG218">
        <f t="shared" si="117"/>
        <v>0.23389393173567155</v>
      </c>
      <c r="AH218">
        <f t="shared" si="117"/>
        <v>0.2736566968243076</v>
      </c>
      <c r="AI218">
        <f t="shared" si="108"/>
        <v>0.85469836642015584</v>
      </c>
      <c r="AJ218">
        <f t="shared" si="116"/>
        <v>46.082876973135591</v>
      </c>
      <c r="AK218" s="14">
        <f t="shared" si="98"/>
        <v>46.082876973135591</v>
      </c>
      <c r="AM218">
        <f t="shared" si="89"/>
        <v>-2.9806259314456018E-2</v>
      </c>
      <c r="AN218" s="14">
        <f t="shared" si="109"/>
        <v>-8.1157374735356447E-2</v>
      </c>
      <c r="AO218">
        <f t="shared" si="118"/>
        <v>0</v>
      </c>
      <c r="AP218" s="14">
        <f t="shared" si="119"/>
        <v>0.2</v>
      </c>
      <c r="AQ218">
        <f t="shared" si="110"/>
        <v>-2.4440418803156505E-2</v>
      </c>
      <c r="AR218">
        <f t="shared" si="111"/>
        <v>-5.67169559321999E-2</v>
      </c>
      <c r="AS218">
        <f t="shared" si="93"/>
        <v>2.9176951883001408E-3</v>
      </c>
      <c r="AT218">
        <f t="shared" si="94"/>
        <v>3.4691756607186534E-2</v>
      </c>
      <c r="AU218" s="14">
        <f t="shared" si="99"/>
        <v>8.4103414575891752E-2</v>
      </c>
      <c r="AV218" s="19">
        <f t="shared" si="95"/>
        <v>0.40808444064491578</v>
      </c>
      <c r="AW218" s="19">
        <f t="shared" si="90"/>
        <v>-0.19728729963008629</v>
      </c>
      <c r="AX218">
        <f t="shared" si="100"/>
        <v>0</v>
      </c>
      <c r="AY218">
        <f>IF(W218,SUMPRODUCT(INDEX(AX:AX,X218):INDEX(AX:AX,X218+Y218)),0)</f>
        <v>67</v>
      </c>
      <c r="AZ218">
        <f>IF(V218,COUNT(INDEX(AX:AX,X218):INDEX(AX:AX,ROW())),0)</f>
        <v>208</v>
      </c>
      <c r="BA218" s="14">
        <f t="shared" si="112"/>
        <v>0.32211538461538464</v>
      </c>
      <c r="BB218" s="6">
        <f t="shared" si="101"/>
        <v>31826088</v>
      </c>
      <c r="BC218" s="6">
        <f>MEDIAN(INDEX(BB:BB,X218):INDEX(BB:BB,X218+Y218-1))</f>
        <v>189694</v>
      </c>
      <c r="BD218" s="25">
        <f t="shared" si="102"/>
        <v>189694</v>
      </c>
      <c r="BE218">
        <f t="shared" si="113"/>
        <v>0</v>
      </c>
      <c r="BF218" s="6">
        <f>SUM(INDEX(BE:BE,X218):INDEX(BE:BE,X218+Y218-1))</f>
        <v>17</v>
      </c>
      <c r="BG218" s="25">
        <f t="shared" si="103"/>
        <v>17</v>
      </c>
    </row>
    <row r="219" spans="1:59" x14ac:dyDescent="0.3">
      <c r="A219" s="1">
        <v>44224</v>
      </c>
      <c r="B219">
        <v>13.2</v>
      </c>
      <c r="C219">
        <v>14.41</v>
      </c>
      <c r="D219">
        <v>13.15</v>
      </c>
      <c r="E219">
        <v>14.03</v>
      </c>
      <c r="F219">
        <v>1540000</v>
      </c>
      <c r="G219" s="29">
        <v>1.13917441330356</v>
      </c>
      <c r="H219" s="29">
        <v>8.1195610356633405E-2</v>
      </c>
      <c r="I219" s="29">
        <v>9.9073414112615804E-2</v>
      </c>
      <c r="J219" s="29">
        <v>53.240498877880597</v>
      </c>
      <c r="K219" s="29">
        <v>-2.2299651567944199E-2</v>
      </c>
      <c r="L219" s="29">
        <v>0.2</v>
      </c>
      <c r="M219" s="29">
        <v>0.110935374075737</v>
      </c>
      <c r="N219" s="29">
        <v>0.48491072443128602</v>
      </c>
      <c r="O219" s="29">
        <v>-0.13501849568433999</v>
      </c>
      <c r="P219" s="29">
        <v>7.7572964669738897E-2</v>
      </c>
      <c r="Q219" s="29">
        <v>0.365079365079365</v>
      </c>
      <c r="R219" s="30">
        <v>189694</v>
      </c>
      <c r="S219" s="29">
        <v>22</v>
      </c>
      <c r="T219" s="14">
        <v>352.50900000000001</v>
      </c>
      <c r="U219" s="41"/>
      <c r="V219">
        <v>209</v>
      </c>
      <c r="W219" t="b">
        <f>V219&gt;=$C$4</f>
        <v>1</v>
      </c>
      <c r="X219">
        <f>IF(V219&lt;=$C$5,11,ROW()-$C$5+1)</f>
        <v>11</v>
      </c>
      <c r="Y219" s="14">
        <f t="shared" si="96"/>
        <v>209</v>
      </c>
      <c r="Z219" s="10">
        <f t="shared" si="104"/>
        <v>1.3900000000000006</v>
      </c>
      <c r="AA219" s="15">
        <f t="shared" si="105"/>
        <v>9.9073414112615873E-2</v>
      </c>
      <c r="AB219" s="15">
        <f t="shared" si="106"/>
        <v>1.1391744133035666</v>
      </c>
      <c r="AC219" s="10">
        <f t="shared" si="97"/>
        <v>8.1195610356633405E-2</v>
      </c>
      <c r="AD219">
        <f t="shared" si="107"/>
        <v>1.0099999999999998</v>
      </c>
      <c r="AE219">
        <f t="shared" si="114"/>
        <v>1.0099999999999998</v>
      </c>
      <c r="AF219">
        <f t="shared" si="115"/>
        <v>0</v>
      </c>
      <c r="AG219">
        <f t="shared" si="117"/>
        <v>0.28933007946883788</v>
      </c>
      <c r="AH219">
        <f t="shared" si="117"/>
        <v>0.25410978990828564</v>
      </c>
      <c r="AI219">
        <f t="shared" si="108"/>
        <v>1.1386026471993231</v>
      </c>
      <c r="AJ219">
        <f t="shared" si="116"/>
        <v>53.240495549297918</v>
      </c>
      <c r="AK219" s="14">
        <f t="shared" si="98"/>
        <v>53.240495549297918</v>
      </c>
      <c r="AM219">
        <f t="shared" si="89"/>
        <v>-2.2299651567944223E-2</v>
      </c>
      <c r="AN219" s="14">
        <f t="shared" si="109"/>
        <v>7.7572964669738953E-2</v>
      </c>
      <c r="AO219">
        <f t="shared" si="118"/>
        <v>1</v>
      </c>
      <c r="AP219" s="14">
        <f t="shared" si="119"/>
        <v>0.2</v>
      </c>
      <c r="AQ219">
        <f t="shared" si="110"/>
        <v>8.6007845426221419E-3</v>
      </c>
      <c r="AR219">
        <f t="shared" si="111"/>
        <v>6.8972180127116756E-2</v>
      </c>
      <c r="AS219">
        <f t="shared" si="93"/>
        <v>3.9577481386228377E-3</v>
      </c>
      <c r="AT219">
        <f t="shared" si="94"/>
        <v>3.5676159850696824E-2</v>
      </c>
      <c r="AU219" s="14">
        <f t="shared" si="99"/>
        <v>0.11093537407573689</v>
      </c>
      <c r="AV219" s="19">
        <f t="shared" si="95"/>
        <v>0.4849107244312954</v>
      </c>
      <c r="AW219" s="19">
        <f t="shared" si="90"/>
        <v>-0.13501849568434032</v>
      </c>
      <c r="AX219">
        <f t="shared" si="100"/>
        <v>0</v>
      </c>
      <c r="AY219">
        <f>IF(W219,SUMPRODUCT(INDEX(AX:AX,X219):INDEX(AX:AX,X219+Y219)),0)</f>
        <v>67</v>
      </c>
      <c r="AZ219">
        <f>IF(V219,COUNT(INDEX(AX:AX,X219):INDEX(AX:AX,ROW())),0)</f>
        <v>209</v>
      </c>
      <c r="BA219" s="14">
        <f t="shared" si="112"/>
        <v>0.32057416267942584</v>
      </c>
      <c r="BB219" s="6">
        <f t="shared" si="101"/>
        <v>21606200</v>
      </c>
      <c r="BC219" s="6">
        <f>MEDIAN(INDEX(BB:BB,X219):INDEX(BB:BB,X219+Y219-1))</f>
        <v>191900</v>
      </c>
      <c r="BD219" s="25">
        <f t="shared" si="102"/>
        <v>191900</v>
      </c>
      <c r="BE219">
        <f t="shared" si="113"/>
        <v>0</v>
      </c>
      <c r="BF219" s="6">
        <f>SUM(INDEX(BE:BE,X219):INDEX(BE:BE,X219+Y219-1))</f>
        <v>17</v>
      </c>
      <c r="BG219" s="25">
        <f t="shared" si="103"/>
        <v>17</v>
      </c>
    </row>
    <row r="220" spans="1:59" x14ac:dyDescent="0.3">
      <c r="A220" s="1">
        <v>44225</v>
      </c>
      <c r="B220">
        <v>13.78</v>
      </c>
      <c r="C220">
        <v>13.907999999999999</v>
      </c>
      <c r="D220">
        <v>13.14</v>
      </c>
      <c r="E220">
        <v>13.5</v>
      </c>
      <c r="F220">
        <v>1032700</v>
      </c>
      <c r="G220" s="29">
        <v>1.1213762409247401</v>
      </c>
      <c r="H220" s="29">
        <v>8.3064906735165894E-2</v>
      </c>
      <c r="I220" s="29">
        <v>6.5925925925925805E-2</v>
      </c>
      <c r="J220" s="29">
        <v>49.525092432435699</v>
      </c>
      <c r="K220" s="29">
        <v>-3.5714285714285698E-2</v>
      </c>
      <c r="L220" s="29">
        <v>0.2</v>
      </c>
      <c r="M220" s="29">
        <v>8.4468060175877005E-2</v>
      </c>
      <c r="N220" s="29">
        <v>0.77113452327449095</v>
      </c>
      <c r="O220" s="29">
        <v>-0.167694204685573</v>
      </c>
      <c r="P220" s="29">
        <v>-3.7776193870277898E-2</v>
      </c>
      <c r="Q220" s="29">
        <v>0.36111111111111099</v>
      </c>
      <c r="R220" s="30">
        <v>202262.5</v>
      </c>
      <c r="S220" s="29">
        <v>22</v>
      </c>
      <c r="T220" s="14">
        <v>345.452</v>
      </c>
      <c r="U220" s="41"/>
      <c r="V220">
        <v>210</v>
      </c>
      <c r="W220" t="b">
        <f>V220&gt;=$C$4</f>
        <v>1</v>
      </c>
      <c r="X220">
        <f>IF(V220&lt;=$C$5,11,ROW()-$C$5+1)</f>
        <v>11</v>
      </c>
      <c r="Y220" s="14">
        <f t="shared" si="96"/>
        <v>210</v>
      </c>
      <c r="Z220" s="10">
        <f t="shared" si="104"/>
        <v>0.88999999999999879</v>
      </c>
      <c r="AA220" s="15">
        <f t="shared" si="105"/>
        <v>6.5925925925925832E-2</v>
      </c>
      <c r="AB220" s="15">
        <f t="shared" si="106"/>
        <v>1.1213762409247403</v>
      </c>
      <c r="AC220" s="10">
        <f t="shared" si="97"/>
        <v>8.306490673516595E-2</v>
      </c>
      <c r="AD220">
        <f t="shared" si="107"/>
        <v>-0.52999999999999936</v>
      </c>
      <c r="AE220">
        <f t="shared" si="114"/>
        <v>0</v>
      </c>
      <c r="AF220">
        <f t="shared" si="115"/>
        <v>0.52999999999999936</v>
      </c>
      <c r="AG220">
        <f t="shared" si="117"/>
        <v>0.26866364522106373</v>
      </c>
      <c r="AH220">
        <f t="shared" si="117"/>
        <v>0.27381623348626521</v>
      </c>
      <c r="AI220">
        <f t="shared" si="108"/>
        <v>0.98118231267884293</v>
      </c>
      <c r="AJ220">
        <f t="shared" si="116"/>
        <v>49.525089457927955</v>
      </c>
      <c r="AK220" s="14">
        <f t="shared" si="98"/>
        <v>49.525089457927955</v>
      </c>
      <c r="AM220">
        <f t="shared" si="89"/>
        <v>-3.5714285714285698E-2</v>
      </c>
      <c r="AN220" s="14">
        <f t="shared" si="109"/>
        <v>-3.7776193870277974E-2</v>
      </c>
      <c r="AO220">
        <f t="shared" si="118"/>
        <v>0</v>
      </c>
      <c r="AP220" s="14">
        <f t="shared" si="119"/>
        <v>0.2</v>
      </c>
      <c r="AQ220">
        <f t="shared" si="110"/>
        <v>-2.0019347023763956E-2</v>
      </c>
      <c r="AR220">
        <f t="shared" si="111"/>
        <v>-1.7756846846513942E-2</v>
      </c>
      <c r="AS220">
        <f t="shared" si="93"/>
        <v>2.9920766013747271E-3</v>
      </c>
      <c r="AT220">
        <f t="shared" si="94"/>
        <v>3.5422579791044267E-2</v>
      </c>
      <c r="AU220" s="14">
        <f t="shared" si="99"/>
        <v>8.4468060175876866E-2</v>
      </c>
      <c r="AV220" s="19">
        <f t="shared" si="95"/>
        <v>0.77113452327450827</v>
      </c>
      <c r="AW220" s="19">
        <f t="shared" si="90"/>
        <v>-0.16769420468557328</v>
      </c>
      <c r="AX220">
        <f t="shared" si="100"/>
        <v>0</v>
      </c>
      <c r="AY220">
        <f>IF(W220,SUMPRODUCT(INDEX(AX:AX,X220):INDEX(AX:AX,X220+Y220)),0)</f>
        <v>67</v>
      </c>
      <c r="AZ220">
        <f>IF(V220,COUNT(INDEX(AX:AX,X220):INDEX(AX:AX,ROW())),0)</f>
        <v>210</v>
      </c>
      <c r="BA220" s="14">
        <f t="shared" si="112"/>
        <v>0.31904761904761902</v>
      </c>
      <c r="BB220" s="6">
        <f t="shared" si="101"/>
        <v>13941450</v>
      </c>
      <c r="BC220" s="6">
        <f>MEDIAN(INDEX(BB:BB,X220):INDEX(BB:BB,X220+Y220-1))</f>
        <v>202262.5</v>
      </c>
      <c r="BD220" s="25">
        <f t="shared" si="102"/>
        <v>202262.5</v>
      </c>
      <c r="BE220">
        <f t="shared" si="113"/>
        <v>0</v>
      </c>
      <c r="BF220" s="6">
        <f>SUM(INDEX(BE:BE,X220):INDEX(BE:BE,X220+Y220-1))</f>
        <v>17</v>
      </c>
      <c r="BG220" s="25">
        <f t="shared" si="103"/>
        <v>17</v>
      </c>
    </row>
    <row r="221" spans="1:59" x14ac:dyDescent="0.3">
      <c r="A221" s="1">
        <v>44228</v>
      </c>
      <c r="B221">
        <v>14</v>
      </c>
      <c r="C221">
        <v>14.45</v>
      </c>
      <c r="D221">
        <v>13.56</v>
      </c>
      <c r="E221">
        <v>14.45</v>
      </c>
      <c r="F221">
        <v>1207400</v>
      </c>
      <c r="G221" s="29">
        <v>1.10913508085868</v>
      </c>
      <c r="H221" s="29">
        <v>7.6756753000601197E-2</v>
      </c>
      <c r="I221" s="29">
        <v>6.5743944636678098E-2</v>
      </c>
      <c r="J221" s="29">
        <v>55.517311239039003</v>
      </c>
      <c r="K221" s="29">
        <v>8.7283671933784807E-2</v>
      </c>
      <c r="L221" s="29">
        <v>0.4</v>
      </c>
      <c r="M221" s="29">
        <v>0.118400445782776</v>
      </c>
      <c r="N221" s="29">
        <v>0.95769516017034995</v>
      </c>
      <c r="O221" s="29">
        <v>-0.109124537607891</v>
      </c>
      <c r="P221" s="29">
        <v>7.0370370370370403E-2</v>
      </c>
      <c r="Q221" s="29">
        <v>0.35714285714285698</v>
      </c>
      <c r="R221" s="30">
        <v>220668.5</v>
      </c>
      <c r="S221" s="29">
        <v>22</v>
      </c>
      <c r="T221" s="14">
        <v>351.202</v>
      </c>
      <c r="U221" s="41"/>
      <c r="V221">
        <v>211</v>
      </c>
      <c r="W221" t="b">
        <f>V221&gt;=$C$4</f>
        <v>1</v>
      </c>
      <c r="X221">
        <f>IF(V221&lt;=$C$5,11,ROW()-$C$5+1)</f>
        <v>11</v>
      </c>
      <c r="Y221" s="14">
        <f t="shared" si="96"/>
        <v>211</v>
      </c>
      <c r="Z221" s="10">
        <f t="shared" si="104"/>
        <v>0.94999999999999929</v>
      </c>
      <c r="AA221" s="15">
        <f t="shared" si="105"/>
        <v>6.5743944636678153E-2</v>
      </c>
      <c r="AB221" s="15">
        <f t="shared" si="106"/>
        <v>1.1091350808586873</v>
      </c>
      <c r="AC221" s="10">
        <f t="shared" si="97"/>
        <v>7.6756753000601197E-2</v>
      </c>
      <c r="AD221">
        <f t="shared" si="107"/>
        <v>0.94999999999999929</v>
      </c>
      <c r="AE221">
        <f t="shared" si="114"/>
        <v>0.94999999999999929</v>
      </c>
      <c r="AF221">
        <f t="shared" si="115"/>
        <v>0</v>
      </c>
      <c r="AG221">
        <f t="shared" si="117"/>
        <v>0.31733052770527337</v>
      </c>
      <c r="AH221">
        <f t="shared" si="117"/>
        <v>0.25425793109438916</v>
      </c>
      <c r="AI221">
        <f t="shared" si="108"/>
        <v>1.2480654048406834</v>
      </c>
      <c r="AJ221">
        <f t="shared" si="116"/>
        <v>55.517308444552647</v>
      </c>
      <c r="AK221" s="14">
        <f t="shared" si="98"/>
        <v>55.517308444552647</v>
      </c>
      <c r="AM221">
        <f t="shared" si="89"/>
        <v>8.7283671933784834E-2</v>
      </c>
      <c r="AN221" s="14">
        <f t="shared" si="109"/>
        <v>7.0370370370370416E-2</v>
      </c>
      <c r="AO221">
        <f t="shared" si="118"/>
        <v>1</v>
      </c>
      <c r="AP221" s="14">
        <f t="shared" si="119"/>
        <v>0.4</v>
      </c>
      <c r="AQ221">
        <f t="shared" si="110"/>
        <v>1.6644859488438302E-2</v>
      </c>
      <c r="AR221">
        <f t="shared" si="111"/>
        <v>5.3725510881932101E-2</v>
      </c>
      <c r="AS221">
        <f t="shared" si="93"/>
        <v>4.2396148860304452E-3</v>
      </c>
      <c r="AT221">
        <f t="shared" si="94"/>
        <v>3.5807423342042725E-2</v>
      </c>
      <c r="AU221" s="14">
        <f t="shared" si="99"/>
        <v>0.11840044578277621</v>
      </c>
      <c r="AV221" s="19">
        <f t="shared" si="95"/>
        <v>0.95769516017037104</v>
      </c>
      <c r="AW221" s="19">
        <f t="shared" si="90"/>
        <v>-0.10912453760789143</v>
      </c>
      <c r="AX221">
        <f t="shared" si="100"/>
        <v>0</v>
      </c>
      <c r="AY221">
        <f>IF(W221,SUMPRODUCT(INDEX(AX:AX,X221):INDEX(AX:AX,X221+Y221)),0)</f>
        <v>67</v>
      </c>
      <c r="AZ221">
        <f>IF(V221,COUNT(INDEX(AX:AX,X221):INDEX(AX:AX,ROW())),0)</f>
        <v>211</v>
      </c>
      <c r="BA221" s="14">
        <f t="shared" si="112"/>
        <v>0.31753554502369669</v>
      </c>
      <c r="BB221" s="6">
        <f t="shared" si="101"/>
        <v>17446930</v>
      </c>
      <c r="BC221" s="6">
        <f>MEDIAN(INDEX(BB:BB,X221):INDEX(BB:BB,X221+Y221-1))</f>
        <v>212625</v>
      </c>
      <c r="BD221" s="25">
        <f t="shared" si="102"/>
        <v>212625</v>
      </c>
      <c r="BE221">
        <f t="shared" si="113"/>
        <v>0</v>
      </c>
      <c r="BF221" s="6">
        <f>SUM(INDEX(BE:BE,X221):INDEX(BE:BE,X221+Y221-1))</f>
        <v>17</v>
      </c>
      <c r="BG221" s="25">
        <f t="shared" si="103"/>
        <v>17</v>
      </c>
    </row>
    <row r="222" spans="1:59" x14ac:dyDescent="0.3">
      <c r="A222" s="1">
        <v>44229</v>
      </c>
      <c r="B222">
        <v>14.7</v>
      </c>
      <c r="C222">
        <v>14.89</v>
      </c>
      <c r="D222">
        <v>14.2</v>
      </c>
      <c r="E222">
        <v>14.38</v>
      </c>
      <c r="F222">
        <v>634100</v>
      </c>
      <c r="G222" s="29">
        <v>1.0791968607973501</v>
      </c>
      <c r="H222" s="29">
        <v>7.5048460417062104E-2</v>
      </c>
      <c r="I222" s="29">
        <v>4.7983310152990302E-2</v>
      </c>
      <c r="J222" s="29">
        <v>54.999194553632201</v>
      </c>
      <c r="K222" s="29">
        <v>5.89101620029455E-2</v>
      </c>
      <c r="L222" s="29">
        <v>0.4</v>
      </c>
      <c r="M222" s="29">
        <v>0.105042941182109</v>
      </c>
      <c r="N222" s="29">
        <v>0.92184221170096603</v>
      </c>
      <c r="O222" s="29">
        <v>-0.113440197287299</v>
      </c>
      <c r="P222" s="29">
        <v>-4.8442906574392899E-3</v>
      </c>
      <c r="Q222" s="29">
        <v>0.35714285714285698</v>
      </c>
      <c r="R222" s="30">
        <v>234546</v>
      </c>
      <c r="S222" s="29">
        <v>22</v>
      </c>
      <c r="T222" s="14">
        <v>356.16800000000001</v>
      </c>
      <c r="U222" s="41"/>
      <c r="V222">
        <v>212</v>
      </c>
      <c r="W222" t="b">
        <f>V222&gt;=$C$4</f>
        <v>1</v>
      </c>
      <c r="X222">
        <f>IF(V222&lt;=$C$5,11,ROW()-$C$5+1)</f>
        <v>11</v>
      </c>
      <c r="Y222" s="14">
        <f t="shared" si="96"/>
        <v>212</v>
      </c>
      <c r="Z222" s="10">
        <f t="shared" si="104"/>
        <v>0.69000000000000128</v>
      </c>
      <c r="AA222" s="15">
        <f t="shared" si="105"/>
        <v>4.7983310152990351E-2</v>
      </c>
      <c r="AB222" s="15">
        <f t="shared" si="106"/>
        <v>1.0791968607973526</v>
      </c>
      <c r="AC222" s="10">
        <f t="shared" si="97"/>
        <v>7.5048460417062063E-2</v>
      </c>
      <c r="AD222">
        <f t="shared" si="107"/>
        <v>-6.9999999999998508E-2</v>
      </c>
      <c r="AE222">
        <f t="shared" si="114"/>
        <v>0</v>
      </c>
      <c r="AF222">
        <f t="shared" si="115"/>
        <v>6.9999999999998508E-2</v>
      </c>
      <c r="AG222">
        <f t="shared" ref="AG222:AH237" si="120">(AE222+13*AG221)/14</f>
        <v>0.29466406144061097</v>
      </c>
      <c r="AH222">
        <f t="shared" si="120"/>
        <v>0.2410966503019327</v>
      </c>
      <c r="AI222">
        <f t="shared" si="108"/>
        <v>1.2221823118305217</v>
      </c>
      <c r="AJ222">
        <f t="shared" si="116"/>
        <v>54.999191800053055</v>
      </c>
      <c r="AK222" s="14">
        <f t="shared" si="98"/>
        <v>54.999191800053055</v>
      </c>
      <c r="AM222">
        <f t="shared" si="89"/>
        <v>5.8910162002945521E-2</v>
      </c>
      <c r="AN222" s="14">
        <f t="shared" si="109"/>
        <v>-4.8442906574392985E-3</v>
      </c>
      <c r="AO222">
        <f t="shared" si="118"/>
        <v>0</v>
      </c>
      <c r="AP222" s="14">
        <f t="shared" si="119"/>
        <v>0.4</v>
      </c>
      <c r="AQ222">
        <f t="shared" si="110"/>
        <v>1.4140010592194718E-2</v>
      </c>
      <c r="AR222">
        <f t="shared" si="111"/>
        <v>-1.898430124963401E-2</v>
      </c>
      <c r="AS222">
        <f t="shared" si="93"/>
        <v>3.7728298933514047E-3</v>
      </c>
      <c r="AT222">
        <f t="shared" si="94"/>
        <v>3.5917024512961616E-2</v>
      </c>
      <c r="AU222" s="14">
        <f t="shared" si="99"/>
        <v>0.10504294118210929</v>
      </c>
      <c r="AV222" s="19">
        <f t="shared" si="95"/>
        <v>0.92184221170098579</v>
      </c>
      <c r="AW222" s="19">
        <f t="shared" si="90"/>
        <v>-0.11344019728729948</v>
      </c>
      <c r="AX222">
        <f t="shared" si="100"/>
        <v>0</v>
      </c>
      <c r="AY222">
        <f>IF(W222,SUMPRODUCT(INDEX(AX:AX,X222):INDEX(AX:AX,X222+Y222)),0)</f>
        <v>67</v>
      </c>
      <c r="AZ222">
        <f>IF(V222,COUNT(INDEX(AX:AX,X222):INDEX(AX:AX,ROW())),0)</f>
        <v>212</v>
      </c>
      <c r="BA222" s="14">
        <f t="shared" si="112"/>
        <v>0.31603773584905659</v>
      </c>
      <c r="BB222" s="6">
        <f t="shared" si="101"/>
        <v>9118358</v>
      </c>
      <c r="BC222" s="6">
        <f>MEDIAN(INDEX(BB:BB,X222):INDEX(BB:BB,X222+Y222-1))</f>
        <v>220668.5</v>
      </c>
      <c r="BD222" s="25">
        <f t="shared" si="102"/>
        <v>220668.5</v>
      </c>
      <c r="BE222">
        <f t="shared" si="113"/>
        <v>0</v>
      </c>
      <c r="BF222" s="6">
        <f>SUM(INDEX(BE:BE,X222):INDEX(BE:BE,X222+Y222-1))</f>
        <v>17</v>
      </c>
      <c r="BG222" s="25">
        <f t="shared" si="103"/>
        <v>17</v>
      </c>
    </row>
    <row r="223" spans="1:59" x14ac:dyDescent="0.3">
      <c r="A223" s="1">
        <v>44230</v>
      </c>
      <c r="B223">
        <v>14.77</v>
      </c>
      <c r="C223">
        <v>15.98</v>
      </c>
      <c r="D223">
        <v>14.51</v>
      </c>
      <c r="E223">
        <v>15.03</v>
      </c>
      <c r="F223">
        <v>1465700</v>
      </c>
      <c r="G223" s="29">
        <v>1.11639708502611</v>
      </c>
      <c r="H223" s="29">
        <v>7.4277916502070093E-2</v>
      </c>
      <c r="I223" s="29">
        <v>0.10645375914836901</v>
      </c>
      <c r="J223" s="29">
        <v>58.840422355545897</v>
      </c>
      <c r="K223" s="29">
        <v>0.16061776061776001</v>
      </c>
      <c r="L223" s="29">
        <v>0.6</v>
      </c>
      <c r="M223" s="29">
        <v>0.12875315554981601</v>
      </c>
      <c r="N223" s="29">
        <v>0.93415398149670503</v>
      </c>
      <c r="O223" s="29">
        <v>-7.3366214549938302E-2</v>
      </c>
      <c r="P223" s="29">
        <v>4.5201668984700703E-2</v>
      </c>
      <c r="Q223" s="29">
        <v>0.35317460317460297</v>
      </c>
      <c r="R223" s="30">
        <v>244190</v>
      </c>
      <c r="S223" s="29">
        <v>22</v>
      </c>
      <c r="T223" s="14">
        <v>356.44799999999998</v>
      </c>
      <c r="U223" s="41"/>
      <c r="V223">
        <v>213</v>
      </c>
      <c r="W223" t="b">
        <f>V223&gt;=$C$4</f>
        <v>1</v>
      </c>
      <c r="X223">
        <f>IF(V223&lt;=$C$5,11,ROW()-$C$5+1)</f>
        <v>11</v>
      </c>
      <c r="Y223" s="14">
        <f t="shared" si="96"/>
        <v>213</v>
      </c>
      <c r="Z223" s="10">
        <f t="shared" si="104"/>
        <v>1.5999999999999996</v>
      </c>
      <c r="AA223" s="15">
        <f t="shared" si="105"/>
        <v>0.10645375914836991</v>
      </c>
      <c r="AB223" s="15">
        <f t="shared" si="106"/>
        <v>1.1163970850261131</v>
      </c>
      <c r="AC223" s="10">
        <f t="shared" si="97"/>
        <v>7.4277916502070065E-2</v>
      </c>
      <c r="AD223">
        <f t="shared" si="107"/>
        <v>0.64999999999999858</v>
      </c>
      <c r="AE223">
        <f t="shared" si="114"/>
        <v>0.64999999999999858</v>
      </c>
      <c r="AF223">
        <f t="shared" si="115"/>
        <v>0</v>
      </c>
      <c r="AG223">
        <f t="shared" si="120"/>
        <v>0.3200451999091386</v>
      </c>
      <c r="AH223">
        <f t="shared" si="120"/>
        <v>0.2238754609946518</v>
      </c>
      <c r="AI223">
        <f t="shared" si="108"/>
        <v>1.4295680218243492</v>
      </c>
      <c r="AJ223">
        <f t="shared" si="116"/>
        <v>58.840419736463872</v>
      </c>
      <c r="AK223" s="14">
        <f t="shared" si="98"/>
        <v>58.840419736463872</v>
      </c>
      <c r="AM223">
        <f t="shared" si="89"/>
        <v>0.16061776061776056</v>
      </c>
      <c r="AN223" s="14">
        <f t="shared" si="109"/>
        <v>4.5201668984700794E-2</v>
      </c>
      <c r="AO223">
        <f t="shared" si="118"/>
        <v>1</v>
      </c>
      <c r="AP223" s="14">
        <f t="shared" si="119"/>
        <v>0.6</v>
      </c>
      <c r="AQ223">
        <f t="shared" si="110"/>
        <v>7.8614586374969875E-4</v>
      </c>
      <c r="AR223">
        <f t="shared" si="111"/>
        <v>4.4415523120951005E-2</v>
      </c>
      <c r="AS223">
        <f t="shared" si="93"/>
        <v>4.6636453684665603E-3</v>
      </c>
      <c r="AT223">
        <f t="shared" si="94"/>
        <v>3.6221600539041852E-2</v>
      </c>
      <c r="AU223" s="14">
        <f t="shared" si="99"/>
        <v>0.12875315554981615</v>
      </c>
      <c r="AV223" s="19">
        <f t="shared" si="95"/>
        <v>0.93415398149672613</v>
      </c>
      <c r="AW223" s="19">
        <f t="shared" si="90"/>
        <v>-7.3366214549938302E-2</v>
      </c>
      <c r="AX223">
        <f t="shared" si="100"/>
        <v>0</v>
      </c>
      <c r="AY223">
        <f>IF(W223,SUMPRODUCT(INDEX(AX:AX,X223):INDEX(AX:AX,X223+Y223)),0)</f>
        <v>67</v>
      </c>
      <c r="AZ223">
        <f>IF(V223,COUNT(INDEX(AX:AX,X223):INDEX(AX:AX,ROW())),0)</f>
        <v>213</v>
      </c>
      <c r="BA223" s="14">
        <f t="shared" si="112"/>
        <v>0.31455399061032863</v>
      </c>
      <c r="BB223" s="6">
        <f t="shared" si="101"/>
        <v>22029471</v>
      </c>
      <c r="BC223" s="6">
        <f>MEDIAN(INDEX(BB:BB,X223):INDEX(BB:BB,X223+Y223-1))</f>
        <v>228711.99999999997</v>
      </c>
      <c r="BD223" s="25">
        <f t="shared" si="102"/>
        <v>228711.99999999997</v>
      </c>
      <c r="BE223">
        <f t="shared" si="113"/>
        <v>0</v>
      </c>
      <c r="BF223" s="6">
        <f>SUM(INDEX(BE:BE,X223):INDEX(BE:BE,X223+Y223-1))</f>
        <v>17</v>
      </c>
      <c r="BG223" s="25">
        <f t="shared" si="103"/>
        <v>17</v>
      </c>
    </row>
    <row r="224" spans="1:59" x14ac:dyDescent="0.3">
      <c r="A224" s="1">
        <v>44231</v>
      </c>
      <c r="B224">
        <v>15.15</v>
      </c>
      <c r="C224">
        <v>17.690000000000001</v>
      </c>
      <c r="D224">
        <v>14.6</v>
      </c>
      <c r="E224">
        <v>16.5</v>
      </c>
      <c r="F224">
        <v>2976200</v>
      </c>
      <c r="G224" s="29">
        <v>1.2573687218099601</v>
      </c>
      <c r="H224" s="29">
        <v>7.6204164958179499E-2</v>
      </c>
      <c r="I224" s="29">
        <v>0.18727272727272701</v>
      </c>
      <c r="J224" s="29">
        <v>65.924464381757403</v>
      </c>
      <c r="K224" s="29">
        <v>0.26050420168067201</v>
      </c>
      <c r="L224" s="29">
        <v>0.6</v>
      </c>
      <c r="M224" s="29">
        <v>0.171340179072419</v>
      </c>
      <c r="N224" s="29">
        <v>1.1662103503771599</v>
      </c>
      <c r="O224" s="29">
        <v>0</v>
      </c>
      <c r="P224" s="29">
        <v>9.7804391217564998E-2</v>
      </c>
      <c r="Q224" s="29">
        <v>0.34920634920634902</v>
      </c>
      <c r="R224" s="30">
        <v>248125</v>
      </c>
      <c r="S224" s="29">
        <v>22</v>
      </c>
      <c r="T224" s="14">
        <v>360.49900000000002</v>
      </c>
      <c r="U224" s="41"/>
      <c r="V224">
        <v>214</v>
      </c>
      <c r="W224" t="b">
        <f>V224&gt;=$C$4</f>
        <v>1</v>
      </c>
      <c r="X224">
        <f>IF(V224&lt;=$C$5,11,ROW()-$C$5+1)</f>
        <v>11</v>
      </c>
      <c r="Y224" s="14">
        <f t="shared" si="96"/>
        <v>214</v>
      </c>
      <c r="Z224" s="10">
        <f t="shared" si="104"/>
        <v>3.0900000000000016</v>
      </c>
      <c r="AA224" s="15">
        <f t="shared" si="105"/>
        <v>0.18727272727272737</v>
      </c>
      <c r="AB224" s="15">
        <f t="shared" si="106"/>
        <v>1.2573687218099623</v>
      </c>
      <c r="AC224" s="10">
        <f t="shared" si="97"/>
        <v>7.6204164958179527E-2</v>
      </c>
      <c r="AD224">
        <f t="shared" si="107"/>
        <v>1.4700000000000006</v>
      </c>
      <c r="AE224">
        <f t="shared" si="114"/>
        <v>1.4700000000000006</v>
      </c>
      <c r="AF224">
        <f t="shared" si="115"/>
        <v>0</v>
      </c>
      <c r="AG224">
        <f t="shared" si="120"/>
        <v>0.40218482848705733</v>
      </c>
      <c r="AH224">
        <f t="shared" si="120"/>
        <v>0.20788435663789095</v>
      </c>
      <c r="AI224">
        <f t="shared" si="108"/>
        <v>1.934656532081507</v>
      </c>
      <c r="AJ224">
        <f t="shared" si="116"/>
        <v>65.924462059936019</v>
      </c>
      <c r="AK224" s="14">
        <f t="shared" si="98"/>
        <v>65.924462059936019</v>
      </c>
      <c r="AM224">
        <f t="shared" ref="AM224:AM287" si="121">E224/E203-1</f>
        <v>0.26050420168067223</v>
      </c>
      <c r="AN224" s="14">
        <f t="shared" si="109"/>
        <v>9.7804391217565012E-2</v>
      </c>
      <c r="AO224">
        <f t="shared" si="118"/>
        <v>1</v>
      </c>
      <c r="AP224" s="14">
        <f t="shared" si="119"/>
        <v>0.6</v>
      </c>
      <c r="AQ224">
        <f t="shared" si="110"/>
        <v>1.1364911571954517E-2</v>
      </c>
      <c r="AR224">
        <f t="shared" si="111"/>
        <v>8.6439479645610481E-2</v>
      </c>
      <c r="AS224">
        <f t="shared" si="93"/>
        <v>6.4186625471258155E-3</v>
      </c>
      <c r="AT224">
        <f t="shared" si="94"/>
        <v>3.7461514175334554E-2</v>
      </c>
      <c r="AU224" s="14">
        <f t="shared" si="99"/>
        <v>0.1713401790724198</v>
      </c>
      <c r="AV224" s="19">
        <f t="shared" si="95"/>
        <v>1.166210350377191</v>
      </c>
      <c r="AW224" s="19">
        <f t="shared" ref="AW224:AW287" si="122">(E224/MAX(E204:E224)-1)</f>
        <v>0</v>
      </c>
      <c r="AX224">
        <f t="shared" si="100"/>
        <v>0</v>
      </c>
      <c r="AY224">
        <f>IF(W224,SUMPRODUCT(INDEX(AX:AX,X224):INDEX(AX:AX,X224+Y224)),0)</f>
        <v>67</v>
      </c>
      <c r="AZ224">
        <f>IF(V224,COUNT(INDEX(AX:AX,X224):INDEX(AX:AX,ROW())),0)</f>
        <v>214</v>
      </c>
      <c r="BA224" s="14">
        <f t="shared" si="112"/>
        <v>0.31308411214953269</v>
      </c>
      <c r="BB224" s="6">
        <f t="shared" si="101"/>
        <v>49107300</v>
      </c>
      <c r="BC224" s="6">
        <f>MEDIAN(INDEX(BB:BB,X224):INDEX(BB:BB,X224+Y224-1))</f>
        <v>234546</v>
      </c>
      <c r="BD224" s="25">
        <f t="shared" si="102"/>
        <v>234546</v>
      </c>
      <c r="BE224">
        <f t="shared" si="113"/>
        <v>0</v>
      </c>
      <c r="BF224" s="6">
        <f>SUM(INDEX(BE:BE,X224):INDEX(BE:BE,X224+Y224-1))</f>
        <v>17</v>
      </c>
      <c r="BG224" s="25">
        <f t="shared" si="103"/>
        <v>17</v>
      </c>
    </row>
    <row r="225" spans="1:59" x14ac:dyDescent="0.3">
      <c r="A225" s="1">
        <v>44232</v>
      </c>
      <c r="B225">
        <v>16.027999999999999</v>
      </c>
      <c r="C225">
        <v>16.7</v>
      </c>
      <c r="D225">
        <v>15.64</v>
      </c>
      <c r="E225">
        <v>16.05</v>
      </c>
      <c r="F225">
        <v>1100500</v>
      </c>
      <c r="G225" s="29">
        <v>1.2432709559663899</v>
      </c>
      <c r="H225" s="29">
        <v>7.7462364857719193E-2</v>
      </c>
      <c r="I225" s="29">
        <v>6.6043613707164994E-2</v>
      </c>
      <c r="J225" s="29">
        <v>62.384747683010502</v>
      </c>
      <c r="K225" s="29">
        <v>0.24034003091190101</v>
      </c>
      <c r="L225" s="29">
        <v>0.6</v>
      </c>
      <c r="M225" s="29">
        <v>0.16702270125962801</v>
      </c>
      <c r="N225" s="29">
        <v>1.29107577579191</v>
      </c>
      <c r="O225" s="29">
        <v>-2.7272727272727199E-2</v>
      </c>
      <c r="P225" s="29">
        <v>-2.7272727272727199E-2</v>
      </c>
      <c r="Q225" s="29">
        <v>0.34523809523809501</v>
      </c>
      <c r="R225" s="30">
        <v>252645</v>
      </c>
      <c r="S225" s="29">
        <v>22</v>
      </c>
      <c r="T225" s="14">
        <v>361.91800000000001</v>
      </c>
      <c r="U225" s="41"/>
      <c r="V225">
        <v>215</v>
      </c>
      <c r="W225" t="b">
        <f>V225&gt;=$C$4</f>
        <v>1</v>
      </c>
      <c r="X225">
        <f>IF(V225&lt;=$C$5,11,ROW()-$C$5+1)</f>
        <v>11</v>
      </c>
      <c r="Y225" s="14">
        <f t="shared" si="96"/>
        <v>215</v>
      </c>
      <c r="Z225" s="10">
        <f t="shared" si="104"/>
        <v>1.0599999999999987</v>
      </c>
      <c r="AA225" s="15">
        <f t="shared" si="105"/>
        <v>6.6043613707165022E-2</v>
      </c>
      <c r="AB225" s="15">
        <f t="shared" si="106"/>
        <v>1.2432709559663935</v>
      </c>
      <c r="AC225" s="10">
        <f t="shared" si="97"/>
        <v>7.7462364857719221E-2</v>
      </c>
      <c r="AD225">
        <f t="shared" si="107"/>
        <v>-0.44999999999999929</v>
      </c>
      <c r="AE225">
        <f t="shared" si="114"/>
        <v>0</v>
      </c>
      <c r="AF225">
        <f t="shared" si="115"/>
        <v>0.44999999999999929</v>
      </c>
      <c r="AG225">
        <f t="shared" si="120"/>
        <v>0.37345734073798181</v>
      </c>
      <c r="AH225">
        <f t="shared" si="120"/>
        <v>0.22517833116375582</v>
      </c>
      <c r="AI225">
        <f t="shared" si="108"/>
        <v>1.6584959077007879</v>
      </c>
      <c r="AJ225">
        <f t="shared" si="116"/>
        <v>62.384745558444187</v>
      </c>
      <c r="AK225" s="14">
        <f t="shared" si="98"/>
        <v>62.384745558444187</v>
      </c>
      <c r="AM225">
        <f t="shared" si="121"/>
        <v>0.24034003091190126</v>
      </c>
      <c r="AN225" s="14">
        <f t="shared" si="109"/>
        <v>-2.7272727272727226E-2</v>
      </c>
      <c r="AO225">
        <f t="shared" si="118"/>
        <v>0</v>
      </c>
      <c r="AP225" s="14">
        <f t="shared" si="119"/>
        <v>0.6</v>
      </c>
      <c r="AQ225">
        <f t="shared" si="110"/>
        <v>3.9362106413609599E-3</v>
      </c>
      <c r="AR225">
        <f t="shared" si="111"/>
        <v>-3.1208937914088158E-2</v>
      </c>
      <c r="AS225">
        <f t="shared" si="93"/>
        <v>6.2779982017234642E-3</v>
      </c>
      <c r="AT225">
        <f t="shared" si="94"/>
        <v>3.7587694094137661E-2</v>
      </c>
      <c r="AU225" s="14">
        <f t="shared" si="99"/>
        <v>0.1670227012596287</v>
      </c>
      <c r="AV225" s="19">
        <f t="shared" si="95"/>
        <v>1.2910757757919524</v>
      </c>
      <c r="AW225" s="19">
        <f t="shared" si="122"/>
        <v>-2.7272727272727226E-2</v>
      </c>
      <c r="AX225">
        <f t="shared" si="100"/>
        <v>0</v>
      </c>
      <c r="AY225">
        <f>IF(W225,SUMPRODUCT(INDEX(AX:AX,X225):INDEX(AX:AX,X225+Y225)),0)</f>
        <v>67</v>
      </c>
      <c r="AZ225">
        <f>IF(V225,COUNT(INDEX(AX:AX,X225):INDEX(AX:AX,ROW())),0)</f>
        <v>215</v>
      </c>
      <c r="BA225" s="14">
        <f t="shared" si="112"/>
        <v>0.3116279069767442</v>
      </c>
      <c r="BB225" s="6">
        <f t="shared" si="101"/>
        <v>17663025</v>
      </c>
      <c r="BC225" s="6">
        <f>MEDIAN(INDEX(BB:BB,X225):INDEX(BB:BB,X225+Y225-1))</f>
        <v>240380</v>
      </c>
      <c r="BD225" s="25">
        <f t="shared" si="102"/>
        <v>240380</v>
      </c>
      <c r="BE225">
        <f t="shared" si="113"/>
        <v>0</v>
      </c>
      <c r="BF225" s="6">
        <f>SUM(INDEX(BE:BE,X225):INDEX(BE:BE,X225+Y225-1))</f>
        <v>17</v>
      </c>
      <c r="BG225" s="25">
        <f t="shared" si="103"/>
        <v>17</v>
      </c>
    </row>
    <row r="226" spans="1:59" x14ac:dyDescent="0.3">
      <c r="A226" s="1">
        <v>44235</v>
      </c>
      <c r="B226">
        <v>16.05</v>
      </c>
      <c r="C226">
        <v>20.55</v>
      </c>
      <c r="D226">
        <v>16.05</v>
      </c>
      <c r="E226">
        <v>18.61</v>
      </c>
      <c r="F226">
        <v>3466000</v>
      </c>
      <c r="G226" s="29">
        <v>1.4758944591116501</v>
      </c>
      <c r="H226" s="29">
        <v>7.9306526550867895E-2</v>
      </c>
      <c r="I226" s="29">
        <v>0.24180548092423401</v>
      </c>
      <c r="J226" s="29">
        <v>71.695576519651596</v>
      </c>
      <c r="K226" s="29">
        <v>0.45618153364632202</v>
      </c>
      <c r="L226" s="29">
        <v>0.6</v>
      </c>
      <c r="M226" s="29">
        <v>0.21597248572757599</v>
      </c>
      <c r="N226" s="29">
        <v>1.5946771517031999</v>
      </c>
      <c r="O226" s="29">
        <v>0</v>
      </c>
      <c r="P226" s="29">
        <v>0.15950155763239801</v>
      </c>
      <c r="Q226" s="29">
        <v>0.34523809523809501</v>
      </c>
      <c r="R226" s="30">
        <v>269049</v>
      </c>
      <c r="S226" s="29">
        <v>22</v>
      </c>
      <c r="T226" s="14">
        <v>364.53199999999998</v>
      </c>
      <c r="U226" s="41"/>
      <c r="V226">
        <v>216</v>
      </c>
      <c r="W226" t="b">
        <f>V226&gt;=$C$4</f>
        <v>1</v>
      </c>
      <c r="X226">
        <f>IF(V226&lt;=$C$5,11,ROW()-$C$5+1)</f>
        <v>11</v>
      </c>
      <c r="Y226" s="14">
        <f t="shared" si="96"/>
        <v>216</v>
      </c>
      <c r="Z226" s="10">
        <f t="shared" si="104"/>
        <v>4.5</v>
      </c>
      <c r="AA226" s="15">
        <f t="shared" si="105"/>
        <v>0.24180548092423429</v>
      </c>
      <c r="AB226" s="15">
        <f t="shared" si="106"/>
        <v>1.475894459111651</v>
      </c>
      <c r="AC226" s="10">
        <f t="shared" si="97"/>
        <v>7.9306526550867867E-2</v>
      </c>
      <c r="AD226">
        <f t="shared" si="107"/>
        <v>2.5599999999999987</v>
      </c>
      <c r="AE226">
        <f t="shared" si="114"/>
        <v>2.5599999999999987</v>
      </c>
      <c r="AF226">
        <f t="shared" si="115"/>
        <v>0</v>
      </c>
      <c r="AG226">
        <f t="shared" si="120"/>
        <v>0.52963895925669735</v>
      </c>
      <c r="AH226">
        <f t="shared" si="120"/>
        <v>0.20909416465205899</v>
      </c>
      <c r="AI226">
        <f t="shared" si="108"/>
        <v>2.5330164528409371</v>
      </c>
      <c r="AJ226">
        <f t="shared" si="116"/>
        <v>71.695574777301445</v>
      </c>
      <c r="AK226" s="14">
        <f t="shared" si="98"/>
        <v>71.695574777301445</v>
      </c>
      <c r="AM226">
        <f t="shared" si="121"/>
        <v>0.45618153364632241</v>
      </c>
      <c r="AN226" s="14">
        <f t="shared" si="109"/>
        <v>0.15950155763239859</v>
      </c>
      <c r="AO226">
        <f t="shared" si="118"/>
        <v>1</v>
      </c>
      <c r="AP226" s="14">
        <f t="shared" si="119"/>
        <v>0.6</v>
      </c>
      <c r="AQ226">
        <f t="shared" si="110"/>
        <v>7.2226305406195568E-3</v>
      </c>
      <c r="AR226">
        <f t="shared" si="111"/>
        <v>0.15227892709177845</v>
      </c>
      <c r="AS226">
        <f t="shared" si="93"/>
        <v>9.0047056236828415E-3</v>
      </c>
      <c r="AT226">
        <f t="shared" si="94"/>
        <v>4.1693762950162028E-2</v>
      </c>
      <c r="AU226" s="14">
        <f t="shared" si="99"/>
        <v>0.21597248572757685</v>
      </c>
      <c r="AV226" s="19">
        <f t="shared" si="95"/>
        <v>1.5946771517032454</v>
      </c>
      <c r="AW226" s="19">
        <f t="shared" si="122"/>
        <v>0</v>
      </c>
      <c r="AX226">
        <f t="shared" si="100"/>
        <v>0</v>
      </c>
      <c r="AY226">
        <f>IF(W226,SUMPRODUCT(INDEX(AX:AX,X226):INDEX(AX:AX,X226+Y226)),0)</f>
        <v>67</v>
      </c>
      <c r="AZ226">
        <f>IF(V226,COUNT(INDEX(AX:AX,X226):INDEX(AX:AX,ROW())),0)</f>
        <v>216</v>
      </c>
      <c r="BA226" s="14">
        <f t="shared" si="112"/>
        <v>0.31018518518518517</v>
      </c>
      <c r="BB226" s="6">
        <f t="shared" si="101"/>
        <v>64502260</v>
      </c>
      <c r="BC226" s="6">
        <f>MEDIAN(INDEX(BB:BB,X226):INDEX(BB:BB,X226+Y226-1))</f>
        <v>244190</v>
      </c>
      <c r="BD226" s="25">
        <f t="shared" si="102"/>
        <v>244190</v>
      </c>
      <c r="BE226">
        <f t="shared" si="113"/>
        <v>0</v>
      </c>
      <c r="BF226" s="6">
        <f>SUM(INDEX(BE:BE,X226):INDEX(BE:BE,X226+Y226-1))</f>
        <v>17</v>
      </c>
      <c r="BG226" s="25">
        <f t="shared" si="103"/>
        <v>17</v>
      </c>
    </row>
    <row r="227" spans="1:59" x14ac:dyDescent="0.3">
      <c r="A227" s="1">
        <v>44236</v>
      </c>
      <c r="B227">
        <v>17.77</v>
      </c>
      <c r="C227">
        <v>24.94</v>
      </c>
      <c r="D227">
        <v>17.399999999999999</v>
      </c>
      <c r="E227">
        <v>22.5</v>
      </c>
      <c r="F227">
        <v>9891600</v>
      </c>
      <c r="G227" s="29">
        <v>1.9090448548893899</v>
      </c>
      <c r="H227" s="29">
        <v>8.4846437995083998E-2</v>
      </c>
      <c r="I227" s="29">
        <v>0.33511111111111103</v>
      </c>
      <c r="J227" s="29">
        <v>79.855354099250803</v>
      </c>
      <c r="K227" s="29">
        <v>0.77304964539007104</v>
      </c>
      <c r="L227" s="29">
        <v>0.8</v>
      </c>
      <c r="M227" s="29">
        <v>0.25193699684363202</v>
      </c>
      <c r="N227" s="29">
        <v>1.47715445407677</v>
      </c>
      <c r="O227" s="29">
        <v>0</v>
      </c>
      <c r="P227" s="29">
        <v>0.209027404621171</v>
      </c>
      <c r="Q227" s="29">
        <v>0.34523809523809501</v>
      </c>
      <c r="R227" s="30">
        <v>269049</v>
      </c>
      <c r="S227" s="29">
        <v>22</v>
      </c>
      <c r="T227" s="14">
        <v>364.28899999999999</v>
      </c>
      <c r="U227" s="41"/>
      <c r="V227">
        <v>217</v>
      </c>
      <c r="W227" t="b">
        <f>V227&gt;=$C$4</f>
        <v>1</v>
      </c>
      <c r="X227">
        <f>IF(V227&lt;=$C$5,11,ROW()-$C$5+1)</f>
        <v>11</v>
      </c>
      <c r="Y227" s="14">
        <f t="shared" si="96"/>
        <v>217</v>
      </c>
      <c r="Z227" s="10">
        <f t="shared" si="104"/>
        <v>7.5400000000000027</v>
      </c>
      <c r="AA227" s="15">
        <f t="shared" si="105"/>
        <v>0.33511111111111125</v>
      </c>
      <c r="AB227" s="15">
        <f t="shared" si="106"/>
        <v>1.9090448548893904</v>
      </c>
      <c r="AC227" s="10">
        <f t="shared" si="97"/>
        <v>8.4846437995084012E-2</v>
      </c>
      <c r="AD227">
        <f t="shared" si="107"/>
        <v>3.8900000000000006</v>
      </c>
      <c r="AE227">
        <f t="shared" si="114"/>
        <v>3.8900000000000006</v>
      </c>
      <c r="AF227">
        <f t="shared" si="115"/>
        <v>0</v>
      </c>
      <c r="AG227">
        <f t="shared" si="120"/>
        <v>0.76966474788121897</v>
      </c>
      <c r="AH227">
        <f t="shared" si="120"/>
        <v>0.19415886717691191</v>
      </c>
      <c r="AI227">
        <f t="shared" si="108"/>
        <v>3.9640978497259298</v>
      </c>
      <c r="AJ227">
        <f t="shared" si="116"/>
        <v>79.855352769583078</v>
      </c>
      <c r="AK227" s="14">
        <f t="shared" si="98"/>
        <v>79.855352769583078</v>
      </c>
      <c r="AM227">
        <f t="shared" si="121"/>
        <v>0.77304964539007104</v>
      </c>
      <c r="AN227" s="14">
        <f t="shared" si="109"/>
        <v>0.20902740462117153</v>
      </c>
      <c r="AO227">
        <f t="shared" si="118"/>
        <v>1</v>
      </c>
      <c r="AP227" s="14">
        <f t="shared" si="119"/>
        <v>0.8</v>
      </c>
      <c r="AQ227">
        <f t="shared" si="110"/>
        <v>-6.666081441409899E-4</v>
      </c>
      <c r="AR227">
        <f t="shared" si="111"/>
        <v>0.20969401276531199</v>
      </c>
      <c r="AS227">
        <f t="shared" si="93"/>
        <v>1.2281859515788999E-2</v>
      </c>
      <c r="AT227">
        <f t="shared" si="94"/>
        <v>4.8749725803121723E-2</v>
      </c>
      <c r="AU227" s="14">
        <f t="shared" si="99"/>
        <v>0.25193699684363191</v>
      </c>
      <c r="AV227" s="19">
        <f t="shared" si="95"/>
        <v>1.4771544540768109</v>
      </c>
      <c r="AW227" s="19">
        <f t="shared" si="122"/>
        <v>0</v>
      </c>
      <c r="AX227">
        <f t="shared" si="100"/>
        <v>0</v>
      </c>
      <c r="AY227">
        <f>IF(W227,SUMPRODUCT(INDEX(AX:AX,X227):INDEX(AX:AX,X227+Y227)),0)</f>
        <v>67</v>
      </c>
      <c r="AZ227">
        <f>IF(V227,COUNT(INDEX(AX:AX,X227):INDEX(AX:AX,ROW())),0)</f>
        <v>217</v>
      </c>
      <c r="BA227" s="14">
        <f t="shared" si="112"/>
        <v>0.30875576036866359</v>
      </c>
      <c r="BB227" s="6">
        <f t="shared" si="101"/>
        <v>222561000</v>
      </c>
      <c r="BC227" s="6">
        <f>MEDIAN(INDEX(BB:BB,X227):INDEX(BB:BB,X227+Y227-1))</f>
        <v>248000</v>
      </c>
      <c r="BD227" s="25">
        <f t="shared" si="102"/>
        <v>248000</v>
      </c>
      <c r="BE227">
        <f t="shared" si="113"/>
        <v>0</v>
      </c>
      <c r="BF227" s="6">
        <f>SUM(INDEX(BE:BE,X227):INDEX(BE:BE,X227+Y227-1))</f>
        <v>17</v>
      </c>
      <c r="BG227" s="25">
        <f t="shared" si="103"/>
        <v>17</v>
      </c>
    </row>
    <row r="228" spans="1:59" x14ac:dyDescent="0.3">
      <c r="A228" s="1">
        <v>44237</v>
      </c>
      <c r="B228">
        <v>23.09</v>
      </c>
      <c r="C228">
        <v>25.37</v>
      </c>
      <c r="D228">
        <v>20.440000000000001</v>
      </c>
      <c r="E228">
        <v>21.28</v>
      </c>
      <c r="F228">
        <v>4549600</v>
      </c>
      <c r="G228" s="29">
        <v>2.1248273652544301</v>
      </c>
      <c r="H228" s="29">
        <v>9.9850910021355002E-2</v>
      </c>
      <c r="I228" s="29">
        <v>0.231672932330827</v>
      </c>
      <c r="J228" s="29">
        <v>72.769855258718394</v>
      </c>
      <c r="K228" s="29">
        <v>0.69968051118210794</v>
      </c>
      <c r="L228" s="29">
        <v>0.6</v>
      </c>
      <c r="M228" s="29">
        <v>0.23484584255207899</v>
      </c>
      <c r="N228" s="29">
        <v>1.5805946987325901</v>
      </c>
      <c r="O228" s="29">
        <v>-5.4222222222222102E-2</v>
      </c>
      <c r="P228" s="29">
        <v>-5.4222222222222102E-2</v>
      </c>
      <c r="Q228" s="29">
        <v>0.341269841269841</v>
      </c>
      <c r="R228" s="30">
        <v>269049</v>
      </c>
      <c r="S228" s="29">
        <v>22</v>
      </c>
      <c r="T228" s="14">
        <v>364.13</v>
      </c>
      <c r="U228" s="41"/>
      <c r="V228">
        <v>218</v>
      </c>
      <c r="W228" t="b">
        <f>V228&gt;=$C$4</f>
        <v>1</v>
      </c>
      <c r="X228">
        <f>IF(V228&lt;=$C$5,11,ROW()-$C$5+1)</f>
        <v>11</v>
      </c>
      <c r="Y228" s="14">
        <f t="shared" si="96"/>
        <v>218</v>
      </c>
      <c r="Z228" s="10">
        <f t="shared" si="104"/>
        <v>4.93</v>
      </c>
      <c r="AA228" s="15">
        <f t="shared" si="105"/>
        <v>0.23167293233082703</v>
      </c>
      <c r="AB228" s="15">
        <f t="shared" si="106"/>
        <v>2.1248273652544341</v>
      </c>
      <c r="AC228" s="10">
        <f t="shared" si="97"/>
        <v>9.9850910021354974E-2</v>
      </c>
      <c r="AD228">
        <f t="shared" si="107"/>
        <v>-1.2199999999999989</v>
      </c>
      <c r="AE228">
        <f t="shared" si="114"/>
        <v>0</v>
      </c>
      <c r="AF228">
        <f t="shared" si="115"/>
        <v>1.2199999999999989</v>
      </c>
      <c r="AG228">
        <f t="shared" si="120"/>
        <v>0.71468869446113192</v>
      </c>
      <c r="AH228">
        <f t="shared" si="120"/>
        <v>0.26743323380713241</v>
      </c>
      <c r="AI228">
        <f t="shared" si="108"/>
        <v>2.672400450336518</v>
      </c>
      <c r="AJ228">
        <f t="shared" si="116"/>
        <v>72.769854117941691</v>
      </c>
      <c r="AK228" s="14">
        <f t="shared" si="98"/>
        <v>72.769854117941691</v>
      </c>
      <c r="AM228">
        <f t="shared" si="121"/>
        <v>0.69968051118210872</v>
      </c>
      <c r="AN228" s="14">
        <f t="shared" si="109"/>
        <v>-5.4222222222222172E-2</v>
      </c>
      <c r="AO228">
        <f t="shared" si="118"/>
        <v>0</v>
      </c>
      <c r="AP228" s="14">
        <f t="shared" si="119"/>
        <v>0.6</v>
      </c>
      <c r="AQ228">
        <f t="shared" si="110"/>
        <v>-4.3646665147722974E-4</v>
      </c>
      <c r="AR228">
        <f t="shared" si="111"/>
        <v>-5.3785755570744873E-2</v>
      </c>
      <c r="AS228">
        <f t="shared" si="93"/>
        <v>1.1595864870157895E-2</v>
      </c>
      <c r="AT228">
        <f t="shared" si="94"/>
        <v>4.9376496275791673E-2</v>
      </c>
      <c r="AU228" s="14">
        <f t="shared" si="99"/>
        <v>0.23484584255207916</v>
      </c>
      <c r="AV228" s="19">
        <f t="shared" si="95"/>
        <v>1.5805946987326382</v>
      </c>
      <c r="AW228" s="19">
        <f t="shared" si="122"/>
        <v>-5.4222222222222172E-2</v>
      </c>
      <c r="AX228">
        <f t="shared" si="100"/>
        <v>0</v>
      </c>
      <c r="AY228">
        <f>IF(W228,SUMPRODUCT(INDEX(AX:AX,X228):INDEX(AX:AX,X228+Y228)),0)</f>
        <v>67</v>
      </c>
      <c r="AZ228">
        <f>IF(V228,COUNT(INDEX(AX:AX,X228):INDEX(AX:AX,ROW())),0)</f>
        <v>218</v>
      </c>
      <c r="BA228" s="14">
        <f t="shared" si="112"/>
        <v>0.30733944954128439</v>
      </c>
      <c r="BB228" s="6">
        <f t="shared" si="101"/>
        <v>96815488</v>
      </c>
      <c r="BC228" s="6">
        <f>MEDIAN(INDEX(BB:BB,X228):INDEX(BB:BB,X228+Y228-1))</f>
        <v>248125</v>
      </c>
      <c r="BD228" s="25">
        <f t="shared" si="102"/>
        <v>248125</v>
      </c>
      <c r="BE228">
        <f t="shared" si="113"/>
        <v>0</v>
      </c>
      <c r="BF228" s="6">
        <f>SUM(INDEX(BE:BE,X228):INDEX(BE:BE,X228+Y228-1))</f>
        <v>17</v>
      </c>
      <c r="BG228" s="25">
        <f t="shared" si="103"/>
        <v>17</v>
      </c>
    </row>
    <row r="229" spans="1:59" x14ac:dyDescent="0.3">
      <c r="A229" s="1">
        <v>44238</v>
      </c>
      <c r="B229">
        <v>21.9</v>
      </c>
      <c r="C229">
        <v>22</v>
      </c>
      <c r="D229">
        <v>19.55</v>
      </c>
      <c r="E229">
        <v>20.9</v>
      </c>
      <c r="F229">
        <v>2102400</v>
      </c>
      <c r="G229" s="29">
        <v>2.14805398202197</v>
      </c>
      <c r="H229" s="29">
        <v>0.102777702489089</v>
      </c>
      <c r="I229" s="29">
        <v>0.117224880382775</v>
      </c>
      <c r="J229" s="29">
        <v>70.666613855440502</v>
      </c>
      <c r="K229" s="29">
        <v>0.64566929133858197</v>
      </c>
      <c r="L229" s="29">
        <v>0.4</v>
      </c>
      <c r="M229" s="29">
        <v>0.22614566387228999</v>
      </c>
      <c r="N229" s="29">
        <v>1.57774333730312</v>
      </c>
      <c r="O229" s="29">
        <v>-7.1111111111111097E-2</v>
      </c>
      <c r="P229" s="29">
        <v>-1.7857142857142998E-2</v>
      </c>
      <c r="Q229" s="29">
        <v>0.33730158730158699</v>
      </c>
      <c r="R229" s="30">
        <v>287484</v>
      </c>
      <c r="S229" s="29">
        <v>22</v>
      </c>
      <c r="T229" s="14">
        <v>364.71899999999999</v>
      </c>
      <c r="U229" s="41"/>
      <c r="V229">
        <v>219</v>
      </c>
      <c r="W229" t="b">
        <f>V229&gt;=$C$4</f>
        <v>1</v>
      </c>
      <c r="X229">
        <f>IF(V229&lt;=$C$5,11,ROW()-$C$5+1)</f>
        <v>11</v>
      </c>
      <c r="Y229" s="14">
        <f t="shared" si="96"/>
        <v>219</v>
      </c>
      <c r="Z229" s="10">
        <f t="shared" si="104"/>
        <v>2.4499999999999993</v>
      </c>
      <c r="AA229" s="15">
        <f t="shared" si="105"/>
        <v>0.11722488038277509</v>
      </c>
      <c r="AB229" s="15">
        <f t="shared" si="106"/>
        <v>2.1480539820219744</v>
      </c>
      <c r="AC229" s="10">
        <f t="shared" si="97"/>
        <v>0.1027777024890897</v>
      </c>
      <c r="AD229">
        <f t="shared" si="107"/>
        <v>-0.38000000000000256</v>
      </c>
      <c r="AE229">
        <f t="shared" si="114"/>
        <v>0</v>
      </c>
      <c r="AF229">
        <f t="shared" si="115"/>
        <v>0.38000000000000256</v>
      </c>
      <c r="AG229">
        <f t="shared" si="120"/>
        <v>0.66363950199962241</v>
      </c>
      <c r="AH229">
        <f t="shared" si="120"/>
        <v>0.27547371710662316</v>
      </c>
      <c r="AI229">
        <f t="shared" si="108"/>
        <v>2.409084645061649</v>
      </c>
      <c r="AJ229">
        <f t="shared" si="116"/>
        <v>70.666612768075865</v>
      </c>
      <c r="AK229" s="14">
        <f t="shared" si="98"/>
        <v>70.666612768075865</v>
      </c>
      <c r="AM229">
        <f t="shared" si="121"/>
        <v>0.64566929133858264</v>
      </c>
      <c r="AN229" s="14">
        <f t="shared" si="109"/>
        <v>-1.7857142857143016E-2</v>
      </c>
      <c r="AO229">
        <f t="shared" si="118"/>
        <v>0</v>
      </c>
      <c r="AP229" s="14">
        <f t="shared" si="119"/>
        <v>0.4</v>
      </c>
      <c r="AQ229">
        <f t="shared" si="110"/>
        <v>1.6175541702139196E-3</v>
      </c>
      <c r="AR229">
        <f t="shared" si="111"/>
        <v>-1.9474697027356918E-2</v>
      </c>
      <c r="AS229">
        <f t="shared" si="93"/>
        <v>1.1200129669411769E-2</v>
      </c>
      <c r="AT229">
        <f t="shared" si="94"/>
        <v>4.952617475671222E-2</v>
      </c>
      <c r="AU229" s="14">
        <f t="shared" si="99"/>
        <v>0.22614566387229068</v>
      </c>
      <c r="AV229" s="19">
        <f t="shared" si="95"/>
        <v>1.5777433373031644</v>
      </c>
      <c r="AW229" s="19">
        <f t="shared" si="122"/>
        <v>-7.1111111111111125E-2</v>
      </c>
      <c r="AX229">
        <f t="shared" si="100"/>
        <v>0</v>
      </c>
      <c r="AY229">
        <f>IF(W229,SUMPRODUCT(INDEX(AX:AX,X229):INDEX(AX:AX,X229+Y229)),0)</f>
        <v>67</v>
      </c>
      <c r="AZ229">
        <f>IF(V229,COUNT(INDEX(AX:AX,X229):INDEX(AX:AX,ROW())),0)</f>
        <v>219</v>
      </c>
      <c r="BA229" s="14">
        <f t="shared" si="112"/>
        <v>0.30593607305936071</v>
      </c>
      <c r="BB229" s="6">
        <f t="shared" si="101"/>
        <v>43940160</v>
      </c>
      <c r="BC229" s="6">
        <f>MEDIAN(INDEX(BB:BB,X229):INDEX(BB:BB,X229+Y229-1))</f>
        <v>248250</v>
      </c>
      <c r="BD229" s="25">
        <f t="shared" si="102"/>
        <v>248250</v>
      </c>
      <c r="BE229">
        <f t="shared" si="113"/>
        <v>0</v>
      </c>
      <c r="BF229" s="6">
        <f>SUM(INDEX(BE:BE,X229):INDEX(BE:BE,X229+Y229-1))</f>
        <v>17</v>
      </c>
      <c r="BG229" s="25">
        <f t="shared" si="103"/>
        <v>17</v>
      </c>
    </row>
    <row r="230" spans="1:59" x14ac:dyDescent="0.3">
      <c r="A230" s="1">
        <v>44239</v>
      </c>
      <c r="B230">
        <v>20.190000000000001</v>
      </c>
      <c r="C230">
        <v>20.704999999999998</v>
      </c>
      <c r="D230">
        <v>19.010000000000002</v>
      </c>
      <c r="E230">
        <v>20.07</v>
      </c>
      <c r="F230">
        <v>1183400</v>
      </c>
      <c r="G230" s="29">
        <v>2.1296215547346899</v>
      </c>
      <c r="H230" s="29">
        <v>0.106109693808405</v>
      </c>
      <c r="I230" s="29">
        <v>9.4170403587443802E-2</v>
      </c>
      <c r="J230" s="29">
        <v>66.168134991060498</v>
      </c>
      <c r="K230" s="29">
        <v>0.50337078651685396</v>
      </c>
      <c r="L230" s="29">
        <v>0.4</v>
      </c>
      <c r="M230" s="29">
        <v>0.21230518003903101</v>
      </c>
      <c r="N230" s="29">
        <v>1.5626355803638301</v>
      </c>
      <c r="O230" s="29">
        <v>-0.107999999999999</v>
      </c>
      <c r="P230" s="29">
        <v>-3.9712918660286999E-2</v>
      </c>
      <c r="Q230" s="29">
        <v>0.33333333333333298</v>
      </c>
      <c r="R230" s="30">
        <v>287484</v>
      </c>
      <c r="S230" s="29">
        <v>22</v>
      </c>
      <c r="T230" s="14">
        <v>366.52</v>
      </c>
      <c r="U230" s="41"/>
      <c r="V230">
        <v>220</v>
      </c>
      <c r="W230" t="b">
        <f>V230&gt;=$C$4</f>
        <v>1</v>
      </c>
      <c r="X230">
        <f>IF(V230&lt;=$C$5,11,ROW()-$C$5+1)</f>
        <v>11</v>
      </c>
      <c r="Y230" s="14">
        <f t="shared" si="96"/>
        <v>220</v>
      </c>
      <c r="Z230" s="10">
        <f t="shared" si="104"/>
        <v>1.889999999999997</v>
      </c>
      <c r="AA230" s="15">
        <f t="shared" si="105"/>
        <v>9.4170403587443802E-2</v>
      </c>
      <c r="AB230" s="15">
        <f t="shared" si="106"/>
        <v>2.1296215547346904</v>
      </c>
      <c r="AC230" s="10">
        <f t="shared" si="97"/>
        <v>0.1061096938084051</v>
      </c>
      <c r="AD230">
        <f t="shared" si="107"/>
        <v>-0.82999999999999829</v>
      </c>
      <c r="AE230">
        <f t="shared" si="114"/>
        <v>0</v>
      </c>
      <c r="AF230">
        <f t="shared" si="115"/>
        <v>0.82999999999999829</v>
      </c>
      <c r="AG230">
        <f t="shared" si="120"/>
        <v>0.61623668042822088</v>
      </c>
      <c r="AH230">
        <f t="shared" si="120"/>
        <v>0.31508273731329284</v>
      </c>
      <c r="AI230">
        <f t="shared" si="108"/>
        <v>1.9557932169907641</v>
      </c>
      <c r="AJ230">
        <f t="shared" si="116"/>
        <v>66.168134013850917</v>
      </c>
      <c r="AK230" s="14">
        <f t="shared" si="98"/>
        <v>66.168134013850917</v>
      </c>
      <c r="AM230">
        <f t="shared" si="121"/>
        <v>0.50337078651685396</v>
      </c>
      <c r="AN230" s="14">
        <f t="shared" si="109"/>
        <v>-3.9712918660287033E-2</v>
      </c>
      <c r="AO230">
        <f t="shared" si="118"/>
        <v>0</v>
      </c>
      <c r="AP230" s="14">
        <f t="shared" si="119"/>
        <v>0.4</v>
      </c>
      <c r="AQ230">
        <f t="shared" si="110"/>
        <v>4.9380481960084044E-3</v>
      </c>
      <c r="AR230">
        <f t="shared" si="111"/>
        <v>-4.4650966856295403E-2</v>
      </c>
      <c r="AS230">
        <f t="shared" si="93"/>
        <v>1.0609315773551699E-2</v>
      </c>
      <c r="AT230">
        <f t="shared" si="94"/>
        <v>4.9972006201644402E-2</v>
      </c>
      <c r="AU230" s="14">
        <f t="shared" si="99"/>
        <v>0.21230518003903123</v>
      </c>
      <c r="AV230" s="19">
        <f t="shared" si="95"/>
        <v>1.5626355803638783</v>
      </c>
      <c r="AW230" s="19">
        <f t="shared" si="122"/>
        <v>-0.10799999999999998</v>
      </c>
      <c r="AX230">
        <f t="shared" si="100"/>
        <v>0</v>
      </c>
      <c r="AY230">
        <f>IF(W230,SUMPRODUCT(INDEX(AX:AX,X230):INDEX(AX:AX,X230+Y230)),0)</f>
        <v>67</v>
      </c>
      <c r="AZ230">
        <f>IF(V230,COUNT(INDEX(AX:AX,X230):INDEX(AX:AX,ROW())),0)</f>
        <v>220</v>
      </c>
      <c r="BA230" s="14">
        <f t="shared" si="112"/>
        <v>0.30454545454545456</v>
      </c>
      <c r="BB230" s="6">
        <f t="shared" si="101"/>
        <v>23750838</v>
      </c>
      <c r="BC230" s="6">
        <f>MEDIAN(INDEX(BB:BB,X230):INDEX(BB:BB,X230+Y230-1))</f>
        <v>252645</v>
      </c>
      <c r="BD230" s="25">
        <f t="shared" si="102"/>
        <v>252645</v>
      </c>
      <c r="BE230">
        <f t="shared" si="113"/>
        <v>0</v>
      </c>
      <c r="BF230" s="6">
        <f>SUM(INDEX(BE:BE,X230):INDEX(BE:BE,X230+Y230-1))</f>
        <v>17</v>
      </c>
      <c r="BG230" s="25">
        <f t="shared" si="103"/>
        <v>17</v>
      </c>
    </row>
    <row r="231" spans="1:59" x14ac:dyDescent="0.3">
      <c r="A231" s="1">
        <v>44243</v>
      </c>
      <c r="B231">
        <v>19.829000000000001</v>
      </c>
      <c r="C231">
        <v>21.72</v>
      </c>
      <c r="D231">
        <v>19.420999999999999</v>
      </c>
      <c r="E231">
        <v>20.53</v>
      </c>
      <c r="F231">
        <v>1692100</v>
      </c>
      <c r="G231" s="29">
        <v>2.14172001511078</v>
      </c>
      <c r="H231" s="29">
        <v>0.104321481495897</v>
      </c>
      <c r="I231" s="29">
        <v>0.111982464685825</v>
      </c>
      <c r="J231" s="29">
        <v>67.406494923944294</v>
      </c>
      <c r="K231" s="29">
        <v>0.41977869986168698</v>
      </c>
      <c r="L231" s="29">
        <v>0.4</v>
      </c>
      <c r="M231" s="29">
        <v>0.21540406853010299</v>
      </c>
      <c r="N231" s="29">
        <v>1.57968780370826</v>
      </c>
      <c r="O231" s="29">
        <v>-8.7555555555555498E-2</v>
      </c>
      <c r="P231" s="29">
        <v>2.29197807673144E-2</v>
      </c>
      <c r="Q231" s="29">
        <v>0.33333333333333298</v>
      </c>
      <c r="R231" s="30">
        <v>287484</v>
      </c>
      <c r="S231" s="29">
        <v>22</v>
      </c>
      <c r="T231" s="14">
        <v>366.20299999999997</v>
      </c>
      <c r="U231" s="41"/>
      <c r="V231">
        <v>221</v>
      </c>
      <c r="W231" t="b">
        <f>V231&gt;=$C$4</f>
        <v>1</v>
      </c>
      <c r="X231">
        <f>IF(V231&lt;=$C$5,11,ROW()-$C$5+1)</f>
        <v>11</v>
      </c>
      <c r="Y231" s="14">
        <f t="shared" si="96"/>
        <v>221</v>
      </c>
      <c r="Z231" s="10">
        <f t="shared" si="104"/>
        <v>2.2989999999999995</v>
      </c>
      <c r="AA231" s="15">
        <f t="shared" si="105"/>
        <v>0.11198246468582559</v>
      </c>
      <c r="AB231" s="15">
        <f t="shared" si="106"/>
        <v>2.141720015110784</v>
      </c>
      <c r="AC231" s="10">
        <f t="shared" si="97"/>
        <v>0.1043214814958979</v>
      </c>
      <c r="AD231">
        <f t="shared" si="107"/>
        <v>0.46000000000000085</v>
      </c>
      <c r="AE231">
        <f t="shared" si="114"/>
        <v>0.46000000000000085</v>
      </c>
      <c r="AF231">
        <f t="shared" si="115"/>
        <v>0</v>
      </c>
      <c r="AG231">
        <f t="shared" si="120"/>
        <v>0.60507691754049087</v>
      </c>
      <c r="AH231">
        <f t="shared" si="120"/>
        <v>0.29257682750520048</v>
      </c>
      <c r="AI231">
        <f t="shared" si="108"/>
        <v>2.0680958321271556</v>
      </c>
      <c r="AJ231">
        <f t="shared" si="116"/>
        <v>67.406493971647379</v>
      </c>
      <c r="AK231" s="14">
        <f t="shared" si="98"/>
        <v>67.406493971647379</v>
      </c>
      <c r="AM231">
        <f t="shared" si="121"/>
        <v>0.41977869986168748</v>
      </c>
      <c r="AN231" s="14">
        <f t="shared" si="109"/>
        <v>2.291978076731449E-2</v>
      </c>
      <c r="AO231">
        <f t="shared" si="118"/>
        <v>1</v>
      </c>
      <c r="AP231" s="14">
        <f t="shared" si="119"/>
        <v>0.4</v>
      </c>
      <c r="AQ231">
        <f t="shared" si="110"/>
        <v>-8.6489141110990264E-4</v>
      </c>
      <c r="AR231">
        <f t="shared" si="111"/>
        <v>2.3784672178424303E-2</v>
      </c>
      <c r="AS231">
        <f t="shared" si="93"/>
        <v>1.0769823677460915E-2</v>
      </c>
      <c r="AT231">
        <f t="shared" si="94"/>
        <v>4.9998237038664912E-2</v>
      </c>
      <c r="AU231" s="14">
        <f t="shared" si="99"/>
        <v>0.21540406853010308</v>
      </c>
      <c r="AV231" s="19">
        <f t="shared" si="95"/>
        <v>1.579687803708312</v>
      </c>
      <c r="AW231" s="19">
        <f t="shared" si="122"/>
        <v>-8.7555555555555498E-2</v>
      </c>
      <c r="AX231">
        <f t="shared" si="100"/>
        <v>0</v>
      </c>
      <c r="AY231">
        <f>IF(W231,SUMPRODUCT(INDEX(AX:AX,X231):INDEX(AX:AX,X231+Y231)),0)</f>
        <v>67</v>
      </c>
      <c r="AZ231">
        <f>IF(V231,COUNT(INDEX(AX:AX,X231):INDEX(AX:AX,ROW())),0)</f>
        <v>221</v>
      </c>
      <c r="BA231" s="14">
        <f t="shared" si="112"/>
        <v>0.30316742081447962</v>
      </c>
      <c r="BB231" s="6">
        <f t="shared" si="101"/>
        <v>34738813</v>
      </c>
      <c r="BC231" s="6">
        <f>MEDIAN(INDEX(BB:BB,X231):INDEX(BB:BB,X231+Y231-1))</f>
        <v>257039.99999999997</v>
      </c>
      <c r="BD231" s="25">
        <f t="shared" si="102"/>
        <v>257039.99999999997</v>
      </c>
      <c r="BE231">
        <f t="shared" si="113"/>
        <v>0</v>
      </c>
      <c r="BF231" s="6">
        <f>SUM(INDEX(BE:BE,X231):INDEX(BE:BE,X231+Y231-1))</f>
        <v>17</v>
      </c>
      <c r="BG231" s="25">
        <f t="shared" si="103"/>
        <v>17</v>
      </c>
    </row>
    <row r="232" spans="1:59" x14ac:dyDescent="0.3">
      <c r="A232" s="1">
        <v>44244</v>
      </c>
      <c r="B232">
        <v>20.260000000000002</v>
      </c>
      <c r="C232">
        <v>20.46</v>
      </c>
      <c r="D232">
        <v>18.5</v>
      </c>
      <c r="E232">
        <v>19.41</v>
      </c>
      <c r="F232">
        <v>1966500</v>
      </c>
      <c r="G232" s="29">
        <v>2.13374001403144</v>
      </c>
      <c r="H232" s="29">
        <v>0.10992993374711101</v>
      </c>
      <c r="I232" s="29">
        <v>0.104585265327151</v>
      </c>
      <c r="J232" s="29">
        <v>61.503583732925399</v>
      </c>
      <c r="K232" s="29">
        <v>0.338620689655172</v>
      </c>
      <c r="L232" s="29">
        <v>0.2</v>
      </c>
      <c r="M232" s="29">
        <v>0.20005529206085201</v>
      </c>
      <c r="N232" s="29">
        <v>1.69972005686797</v>
      </c>
      <c r="O232" s="29">
        <v>-0.137333333333333</v>
      </c>
      <c r="P232" s="29">
        <v>-5.4554310764734597E-2</v>
      </c>
      <c r="Q232" s="29">
        <v>0.33333333333333298</v>
      </c>
      <c r="R232" s="30">
        <v>287484</v>
      </c>
      <c r="S232" s="29">
        <v>22</v>
      </c>
      <c r="T232" s="14">
        <v>366.28699999999998</v>
      </c>
      <c r="U232" s="41"/>
      <c r="V232">
        <v>222</v>
      </c>
      <c r="W232" t="b">
        <f>V232&gt;=$C$4</f>
        <v>1</v>
      </c>
      <c r="X232">
        <f>IF(V232&lt;=$C$5,11,ROW()-$C$5+1)</f>
        <v>11</v>
      </c>
      <c r="Y232" s="14">
        <f t="shared" si="96"/>
        <v>222</v>
      </c>
      <c r="Z232" s="10">
        <f t="shared" si="104"/>
        <v>2.0300000000000011</v>
      </c>
      <c r="AA232" s="15">
        <f t="shared" si="105"/>
        <v>0.10458526532715101</v>
      </c>
      <c r="AB232" s="15">
        <f t="shared" si="106"/>
        <v>2.1337400140314426</v>
      </c>
      <c r="AC232" s="10">
        <f t="shared" si="97"/>
        <v>0.10992993374711194</v>
      </c>
      <c r="AD232">
        <f t="shared" si="107"/>
        <v>-1.120000000000001</v>
      </c>
      <c r="AE232">
        <f t="shared" si="114"/>
        <v>0</v>
      </c>
      <c r="AF232">
        <f t="shared" si="115"/>
        <v>1.120000000000001</v>
      </c>
      <c r="AG232">
        <f t="shared" si="120"/>
        <v>0.56185713771617007</v>
      </c>
      <c r="AH232">
        <f t="shared" si="120"/>
        <v>0.35167848268340052</v>
      </c>
      <c r="AI232">
        <f t="shared" si="108"/>
        <v>1.5976443410158347</v>
      </c>
      <c r="AJ232">
        <f t="shared" si="116"/>
        <v>61.50358291124104</v>
      </c>
      <c r="AK232" s="14">
        <f t="shared" si="98"/>
        <v>61.50358291124104</v>
      </c>
      <c r="AM232">
        <f t="shared" si="121"/>
        <v>0.33862068965517245</v>
      </c>
      <c r="AN232" s="14">
        <f t="shared" si="109"/>
        <v>-5.4554310764734604E-2</v>
      </c>
      <c r="AO232">
        <f t="shared" si="118"/>
        <v>0</v>
      </c>
      <c r="AP232" s="14">
        <f t="shared" si="119"/>
        <v>0.2</v>
      </c>
      <c r="AQ232">
        <f t="shared" si="110"/>
        <v>2.2938097175617678E-4</v>
      </c>
      <c r="AR232">
        <f t="shared" si="111"/>
        <v>-5.4783691736490774E-2</v>
      </c>
      <c r="AS232">
        <f t="shared" si="93"/>
        <v>1.0119978645794354E-2</v>
      </c>
      <c r="AT232">
        <f t="shared" si="94"/>
        <v>5.0585908233390153E-2</v>
      </c>
      <c r="AU232" s="14">
        <f t="shared" si="99"/>
        <v>0.20005529206085257</v>
      </c>
      <c r="AV232" s="19">
        <f t="shared" si="95"/>
        <v>1.6997200568680202</v>
      </c>
      <c r="AW232" s="19">
        <f t="shared" si="122"/>
        <v>-0.13733333333333331</v>
      </c>
      <c r="AX232">
        <f t="shared" si="100"/>
        <v>0</v>
      </c>
      <c r="AY232">
        <f>IF(W232,SUMPRODUCT(INDEX(AX:AX,X232):INDEX(AX:AX,X232+Y232)),0)</f>
        <v>67</v>
      </c>
      <c r="AZ232">
        <f>IF(V232,COUNT(INDEX(AX:AX,X232):INDEX(AX:AX,ROW())),0)</f>
        <v>222</v>
      </c>
      <c r="BA232" s="14">
        <f t="shared" si="112"/>
        <v>0.30180180180180183</v>
      </c>
      <c r="BB232" s="6">
        <f t="shared" si="101"/>
        <v>38169765</v>
      </c>
      <c r="BC232" s="6">
        <f>MEDIAN(INDEX(BB:BB,X232):INDEX(BB:BB,X232+Y232-1))</f>
        <v>269049</v>
      </c>
      <c r="BD232" s="25">
        <f t="shared" si="102"/>
        <v>269049</v>
      </c>
      <c r="BE232">
        <f t="shared" si="113"/>
        <v>0</v>
      </c>
      <c r="BF232" s="6">
        <f>SUM(INDEX(BE:BE,X232):INDEX(BE:BE,X232+Y232-1))</f>
        <v>17</v>
      </c>
      <c r="BG232" s="25">
        <f t="shared" si="103"/>
        <v>17</v>
      </c>
    </row>
    <row r="233" spans="1:59" x14ac:dyDescent="0.3">
      <c r="A233" s="1">
        <v>44245</v>
      </c>
      <c r="B233">
        <v>18.72</v>
      </c>
      <c r="C233">
        <v>19.399999999999999</v>
      </c>
      <c r="D233">
        <v>18.48</v>
      </c>
      <c r="E233">
        <v>18.95</v>
      </c>
      <c r="F233">
        <v>1172600</v>
      </c>
      <c r="G233" s="29">
        <v>2.0477585844577599</v>
      </c>
      <c r="H233" s="29">
        <v>0.108061139021518</v>
      </c>
      <c r="I233" s="29">
        <v>4.9076517150395703E-2</v>
      </c>
      <c r="J233" s="29">
        <v>59.210155276184999</v>
      </c>
      <c r="K233" s="29">
        <v>0.168310727496917</v>
      </c>
      <c r="L233" s="29">
        <v>0.2</v>
      </c>
      <c r="M233" s="29">
        <v>0.19849412484346499</v>
      </c>
      <c r="N233" s="29">
        <v>1.8312753369019601</v>
      </c>
      <c r="O233" s="29">
        <v>-0.15777777777777699</v>
      </c>
      <c r="P233" s="29">
        <v>-2.36991241628027E-2</v>
      </c>
      <c r="Q233" s="29">
        <v>0.32936507936507903</v>
      </c>
      <c r="R233" s="30">
        <v>297175</v>
      </c>
      <c r="S233" s="29">
        <v>22</v>
      </c>
      <c r="T233" s="14">
        <v>364.72800000000001</v>
      </c>
      <c r="U233" s="41"/>
      <c r="V233">
        <v>223</v>
      </c>
      <c r="W233" t="b">
        <f>V233&gt;=$C$4</f>
        <v>1</v>
      </c>
      <c r="X233">
        <f>IF(V233&lt;=$C$5,11,ROW()-$C$5+1)</f>
        <v>11</v>
      </c>
      <c r="Y233" s="14">
        <f t="shared" si="96"/>
        <v>223</v>
      </c>
      <c r="Z233" s="10">
        <f t="shared" si="104"/>
        <v>0.92999999999999972</v>
      </c>
      <c r="AA233" s="15">
        <f t="shared" si="105"/>
        <v>4.9076517150395765E-2</v>
      </c>
      <c r="AB233" s="15">
        <f t="shared" si="106"/>
        <v>2.0477585844577684</v>
      </c>
      <c r="AC233" s="10">
        <f t="shared" si="97"/>
        <v>0.10806113902151812</v>
      </c>
      <c r="AD233">
        <f t="shared" si="107"/>
        <v>-0.46000000000000085</v>
      </c>
      <c r="AE233">
        <f t="shared" si="114"/>
        <v>0</v>
      </c>
      <c r="AF233">
        <f t="shared" si="115"/>
        <v>0.46000000000000085</v>
      </c>
      <c r="AG233">
        <f t="shared" si="120"/>
        <v>0.52172448502215796</v>
      </c>
      <c r="AH233">
        <f t="shared" si="120"/>
        <v>0.35941573392030052</v>
      </c>
      <c r="AI233">
        <f t="shared" si="108"/>
        <v>1.4515905559600486</v>
      </c>
      <c r="AJ233">
        <f t="shared" si="116"/>
        <v>59.210154502802055</v>
      </c>
      <c r="AK233" s="14">
        <f t="shared" si="98"/>
        <v>59.210154502802055</v>
      </c>
      <c r="AM233">
        <f t="shared" si="121"/>
        <v>0.16831072749691733</v>
      </c>
      <c r="AN233" s="14">
        <f t="shared" si="109"/>
        <v>-2.3699124162802732E-2</v>
      </c>
      <c r="AO233">
        <f t="shared" si="118"/>
        <v>0</v>
      </c>
      <c r="AP233" s="14">
        <f t="shared" si="119"/>
        <v>0.2</v>
      </c>
      <c r="AQ233">
        <f t="shared" si="110"/>
        <v>-4.25622530966141E-3</v>
      </c>
      <c r="AR233">
        <f t="shared" si="111"/>
        <v>-1.944289885314129E-2</v>
      </c>
      <c r="AS233">
        <f t="shared" si="93"/>
        <v>1.004875107956057E-2</v>
      </c>
      <c r="AT233">
        <f t="shared" si="94"/>
        <v>5.0624929516101043E-2</v>
      </c>
      <c r="AU233" s="14">
        <f t="shared" si="99"/>
        <v>0.19849412484346488</v>
      </c>
      <c r="AV233" s="19">
        <f t="shared" si="95"/>
        <v>1.8312753369020156</v>
      </c>
      <c r="AW233" s="19">
        <f t="shared" si="122"/>
        <v>-0.15777777777777779</v>
      </c>
      <c r="AX233">
        <f t="shared" si="100"/>
        <v>0</v>
      </c>
      <c r="AY233">
        <f>IF(W233,SUMPRODUCT(INDEX(AX:AX,X233):INDEX(AX:AX,X233+Y233)),0)</f>
        <v>67</v>
      </c>
      <c r="AZ233">
        <f>IF(V233,COUNT(INDEX(AX:AX,X233):INDEX(AX:AX,ROW())),0)</f>
        <v>223</v>
      </c>
      <c r="BA233" s="14">
        <f t="shared" si="112"/>
        <v>0.30044843049327352</v>
      </c>
      <c r="BB233" s="6">
        <f t="shared" si="101"/>
        <v>22220770</v>
      </c>
      <c r="BC233" s="6">
        <f>MEDIAN(INDEX(BB:BB,X233):INDEX(BB:BB,X233+Y233-1))</f>
        <v>281058</v>
      </c>
      <c r="BD233" s="25">
        <f t="shared" si="102"/>
        <v>281058</v>
      </c>
      <c r="BE233">
        <f t="shared" si="113"/>
        <v>0</v>
      </c>
      <c r="BF233" s="6">
        <f>SUM(INDEX(BE:BE,X233):INDEX(BE:BE,X233+Y233-1))</f>
        <v>17</v>
      </c>
      <c r="BG233" s="25">
        <f t="shared" si="103"/>
        <v>17</v>
      </c>
    </row>
    <row r="234" spans="1:59" x14ac:dyDescent="0.3">
      <c r="A234" s="1">
        <v>44246</v>
      </c>
      <c r="B234">
        <v>19.29</v>
      </c>
      <c r="C234">
        <v>20.239999999999998</v>
      </c>
      <c r="D234">
        <v>18.71</v>
      </c>
      <c r="E234">
        <v>19.350000000000001</v>
      </c>
      <c r="F234">
        <v>1065600</v>
      </c>
      <c r="G234" s="29">
        <v>2.0107758284250701</v>
      </c>
      <c r="H234" s="29">
        <v>0.103916063484499</v>
      </c>
      <c r="I234" s="29">
        <v>7.9069767441860297E-2</v>
      </c>
      <c r="J234" s="29">
        <v>60.586467535131298</v>
      </c>
      <c r="K234" s="29">
        <v>0.206359102244389</v>
      </c>
      <c r="L234" s="29">
        <v>0.4</v>
      </c>
      <c r="M234" s="29">
        <v>0.203732537768302</v>
      </c>
      <c r="N234" s="29">
        <v>1.8211904687960101</v>
      </c>
      <c r="O234" s="29">
        <v>-0.13999999999999899</v>
      </c>
      <c r="P234" s="29">
        <v>2.11081794195251E-2</v>
      </c>
      <c r="Q234" s="29">
        <v>0.32539682539682502</v>
      </c>
      <c r="R234" s="30">
        <v>300767</v>
      </c>
      <c r="S234" s="29">
        <v>21</v>
      </c>
      <c r="T234" s="14">
        <v>364.084</v>
      </c>
      <c r="U234" s="41"/>
      <c r="V234">
        <v>224</v>
      </c>
      <c r="W234" t="b">
        <f>V234&gt;=$C$4</f>
        <v>1</v>
      </c>
      <c r="X234">
        <f>IF(V234&lt;=$C$5,11,ROW()-$C$5+1)</f>
        <v>11</v>
      </c>
      <c r="Y234" s="14">
        <f t="shared" si="96"/>
        <v>224</v>
      </c>
      <c r="Z234" s="10">
        <f t="shared" si="104"/>
        <v>1.5299999999999976</v>
      </c>
      <c r="AA234" s="15">
        <f t="shared" si="105"/>
        <v>7.9069767441860339E-2</v>
      </c>
      <c r="AB234" s="15">
        <f t="shared" si="106"/>
        <v>2.0107758284250705</v>
      </c>
      <c r="AC234" s="10">
        <f t="shared" si="97"/>
        <v>0.10391606348449976</v>
      </c>
      <c r="AD234">
        <f t="shared" si="107"/>
        <v>0.40000000000000213</v>
      </c>
      <c r="AE234">
        <f t="shared" si="114"/>
        <v>0.40000000000000213</v>
      </c>
      <c r="AF234">
        <f t="shared" si="115"/>
        <v>0</v>
      </c>
      <c r="AG234">
        <f t="shared" si="120"/>
        <v>0.51302987894914687</v>
      </c>
      <c r="AH234">
        <f t="shared" si="120"/>
        <v>0.33374318149742194</v>
      </c>
      <c r="AI234">
        <f t="shared" si="108"/>
        <v>1.5371995815684099</v>
      </c>
      <c r="AJ234">
        <f t="shared" si="116"/>
        <v>60.586466777602325</v>
      </c>
      <c r="AK234" s="14">
        <f t="shared" si="98"/>
        <v>60.586466777602325</v>
      </c>
      <c r="AM234">
        <f t="shared" si="121"/>
        <v>0.20635910224438914</v>
      </c>
      <c r="AN234" s="14">
        <f t="shared" si="109"/>
        <v>2.1108179419525142E-2</v>
      </c>
      <c r="AO234">
        <f t="shared" si="118"/>
        <v>1</v>
      </c>
      <c r="AP234" s="14">
        <f t="shared" si="119"/>
        <v>0.4</v>
      </c>
      <c r="AQ234">
        <f t="shared" si="110"/>
        <v>-1.7656993704897594E-3</v>
      </c>
      <c r="AR234">
        <f t="shared" si="111"/>
        <v>2.2873878790014859E-2</v>
      </c>
      <c r="AS234">
        <f t="shared" si="93"/>
        <v>1.031856845251034E-2</v>
      </c>
      <c r="AT234">
        <f t="shared" si="94"/>
        <v>5.064762146263195E-2</v>
      </c>
      <c r="AU234" s="14">
        <f t="shared" si="99"/>
        <v>0.20373253776830227</v>
      </c>
      <c r="AV234" s="19">
        <f t="shared" si="95"/>
        <v>1.8211904687960734</v>
      </c>
      <c r="AW234" s="19">
        <f t="shared" si="122"/>
        <v>-0.1399999999999999</v>
      </c>
      <c r="AX234">
        <f t="shared" si="100"/>
        <v>0</v>
      </c>
      <c r="AY234">
        <f>IF(W234,SUMPRODUCT(INDEX(AX:AX,X234):INDEX(AX:AX,X234+Y234)),0)</f>
        <v>67</v>
      </c>
      <c r="AZ234">
        <f>IF(V234,COUNT(INDEX(AX:AX,X234):INDEX(AX:AX,ROW())),0)</f>
        <v>224</v>
      </c>
      <c r="BA234" s="14">
        <f t="shared" si="112"/>
        <v>0.29910714285714285</v>
      </c>
      <c r="BB234" s="6">
        <f t="shared" si="101"/>
        <v>20619360</v>
      </c>
      <c r="BC234" s="6">
        <f>MEDIAN(INDEX(BB:BB,X234):INDEX(BB:BB,X234+Y234-1))</f>
        <v>287484</v>
      </c>
      <c r="BD234" s="25">
        <f t="shared" si="102"/>
        <v>287484</v>
      </c>
      <c r="BE234">
        <f t="shared" si="113"/>
        <v>0</v>
      </c>
      <c r="BF234" s="6">
        <f>SUM(INDEX(BE:BE,X234):INDEX(BE:BE,X234+Y234-1))</f>
        <v>17</v>
      </c>
      <c r="BG234" s="25">
        <f t="shared" si="103"/>
        <v>17</v>
      </c>
    </row>
    <row r="235" spans="1:59" x14ac:dyDescent="0.3">
      <c r="A235" s="1">
        <v>44249</v>
      </c>
      <c r="B235">
        <v>18.899999999999999</v>
      </c>
      <c r="C235">
        <v>19</v>
      </c>
      <c r="D235">
        <v>17.149999999999999</v>
      </c>
      <c r="E235">
        <v>17.52</v>
      </c>
      <c r="F235">
        <v>1635200</v>
      </c>
      <c r="G235" s="29">
        <v>2.0242918406804198</v>
      </c>
      <c r="H235" s="29">
        <v>0.11554177172833401</v>
      </c>
      <c r="I235" s="29">
        <v>0.12557077625570701</v>
      </c>
      <c r="J235" s="29">
        <v>51.9501685530782</v>
      </c>
      <c r="K235" s="29">
        <v>8.1481481481481405E-2</v>
      </c>
      <c r="L235" s="29">
        <v>0.4</v>
      </c>
      <c r="M235" s="29">
        <v>0.16583186647695899</v>
      </c>
      <c r="N235" s="29">
        <v>2.1114232275748699</v>
      </c>
      <c r="O235" s="29">
        <v>-0.22133333333333299</v>
      </c>
      <c r="P235" s="29">
        <v>-9.4573643410852795E-2</v>
      </c>
      <c r="Q235" s="29">
        <v>0.32142857142857101</v>
      </c>
      <c r="R235" s="30">
        <v>302552</v>
      </c>
      <c r="S235" s="29">
        <v>20</v>
      </c>
      <c r="T235" s="14">
        <v>361.28300000000002</v>
      </c>
      <c r="U235" s="41"/>
      <c r="V235">
        <v>225</v>
      </c>
      <c r="W235" t="b">
        <f>V235&gt;=$C$4</f>
        <v>1</v>
      </c>
      <c r="X235">
        <f>IF(V235&lt;=$C$5,11,ROW()-$C$5+1)</f>
        <v>11</v>
      </c>
      <c r="Y235" s="14">
        <f t="shared" si="96"/>
        <v>225</v>
      </c>
      <c r="Z235" s="10">
        <f t="shared" si="104"/>
        <v>2.2000000000000028</v>
      </c>
      <c r="AA235" s="15">
        <f t="shared" si="105"/>
        <v>0.12557077625570792</v>
      </c>
      <c r="AB235" s="15">
        <f t="shared" si="106"/>
        <v>2.0242918406804229</v>
      </c>
      <c r="AC235" s="10">
        <f t="shared" si="97"/>
        <v>0.11554177172833464</v>
      </c>
      <c r="AD235">
        <f t="shared" si="107"/>
        <v>-1.8300000000000018</v>
      </c>
      <c r="AE235">
        <f t="shared" si="114"/>
        <v>0</v>
      </c>
      <c r="AF235">
        <f t="shared" si="115"/>
        <v>1.8300000000000018</v>
      </c>
      <c r="AG235">
        <f t="shared" si="120"/>
        <v>0.47638488759563641</v>
      </c>
      <c r="AH235">
        <f t="shared" si="120"/>
        <v>0.44061866853332049</v>
      </c>
      <c r="AI235">
        <f t="shared" si="108"/>
        <v>1.0811727273866318</v>
      </c>
      <c r="AJ235">
        <f t="shared" si="116"/>
        <v>51.950167958633642</v>
      </c>
      <c r="AK235" s="14">
        <f t="shared" si="98"/>
        <v>51.950167958633642</v>
      </c>
      <c r="AM235">
        <f t="shared" si="121"/>
        <v>8.1481481481481488E-2</v>
      </c>
      <c r="AN235" s="14">
        <f t="shared" si="109"/>
        <v>-9.4573643410852837E-2</v>
      </c>
      <c r="AO235">
        <f t="shared" si="118"/>
        <v>0</v>
      </c>
      <c r="AP235" s="14">
        <f t="shared" si="119"/>
        <v>0.4</v>
      </c>
      <c r="AQ235">
        <f t="shared" si="110"/>
        <v>-7.6932795728458236E-3</v>
      </c>
      <c r="AR235">
        <f t="shared" si="111"/>
        <v>-8.6880363838006971E-2</v>
      </c>
      <c r="AS235">
        <f t="shared" si="93"/>
        <v>8.6383701019846406E-3</v>
      </c>
      <c r="AT235">
        <f t="shared" si="94"/>
        <v>5.209113474692053E-2</v>
      </c>
      <c r="AU235" s="14">
        <f t="shared" si="99"/>
        <v>0.16583186647695969</v>
      </c>
      <c r="AV235" s="19">
        <f t="shared" si="95"/>
        <v>2.1114232275749463</v>
      </c>
      <c r="AW235" s="19">
        <f t="shared" si="122"/>
        <v>-0.22133333333333338</v>
      </c>
      <c r="AX235">
        <f t="shared" si="100"/>
        <v>0</v>
      </c>
      <c r="AY235">
        <f>IF(W235,SUMPRODUCT(INDEX(AX:AX,X235):INDEX(AX:AX,X235+Y235)),0)</f>
        <v>67</v>
      </c>
      <c r="AZ235">
        <f>IF(V235,COUNT(INDEX(AX:AX,X235):INDEX(AX:AX,ROW())),0)</f>
        <v>225</v>
      </c>
      <c r="BA235" s="14">
        <f t="shared" si="112"/>
        <v>0.29777777777777775</v>
      </c>
      <c r="BB235" s="6">
        <f t="shared" si="101"/>
        <v>28648704</v>
      </c>
      <c r="BC235" s="6">
        <f>MEDIAN(INDEX(BB:BB,X235):INDEX(BB:BB,X235+Y235-1))</f>
        <v>293910</v>
      </c>
      <c r="BD235" s="25">
        <f t="shared" si="102"/>
        <v>293910</v>
      </c>
      <c r="BE235">
        <f t="shared" si="113"/>
        <v>0</v>
      </c>
      <c r="BF235" s="6">
        <f>SUM(INDEX(BE:BE,X235):INDEX(BE:BE,X235+Y235-1))</f>
        <v>17</v>
      </c>
      <c r="BG235" s="25">
        <f t="shared" si="103"/>
        <v>17</v>
      </c>
    </row>
    <row r="236" spans="1:59" x14ac:dyDescent="0.3">
      <c r="A236" s="1">
        <v>44250</v>
      </c>
      <c r="B236">
        <v>16.579999999999998</v>
      </c>
      <c r="C236">
        <v>16.63</v>
      </c>
      <c r="D236">
        <v>13.6</v>
      </c>
      <c r="E236">
        <v>16.399999999999999</v>
      </c>
      <c r="F236">
        <v>4461600</v>
      </c>
      <c r="G236" s="29">
        <v>2.1596995663461001</v>
      </c>
      <c r="H236" s="29">
        <v>0.13168899794793301</v>
      </c>
      <c r="I236" s="29">
        <v>0.23902439024390201</v>
      </c>
      <c r="J236" s="29">
        <v>47.488548826097002</v>
      </c>
      <c r="K236" s="29">
        <v>3.2745591939546501E-2</v>
      </c>
      <c r="L236" s="29">
        <v>0.2</v>
      </c>
      <c r="M236" s="29">
        <v>0.146569659981549</v>
      </c>
      <c r="N236" s="29">
        <v>2.13037374383797</v>
      </c>
      <c r="O236" s="29">
        <v>-0.27111111111111103</v>
      </c>
      <c r="P236" s="29">
        <v>-6.39269406392695E-2</v>
      </c>
      <c r="Q236" s="29">
        <v>0.317460317460317</v>
      </c>
      <c r="R236" s="30">
        <v>302552</v>
      </c>
      <c r="S236" s="29">
        <v>20</v>
      </c>
      <c r="T236" s="14">
        <v>361.72199999999998</v>
      </c>
      <c r="U236" s="41"/>
      <c r="V236">
        <v>226</v>
      </c>
      <c r="W236" t="b">
        <f>V236&gt;=$C$4</f>
        <v>1</v>
      </c>
      <c r="X236">
        <f>IF(V236&lt;=$C$5,11,ROW()-$C$5+1)</f>
        <v>11</v>
      </c>
      <c r="Y236" s="14">
        <f t="shared" si="96"/>
        <v>226</v>
      </c>
      <c r="Z236" s="10">
        <f t="shared" si="104"/>
        <v>3.92</v>
      </c>
      <c r="AA236" s="15">
        <f t="shared" si="105"/>
        <v>0.23902439024390246</v>
      </c>
      <c r="AB236" s="15">
        <f t="shared" si="106"/>
        <v>2.1596995663461067</v>
      </c>
      <c r="AC236" s="10">
        <f t="shared" si="97"/>
        <v>0.13168899794793335</v>
      </c>
      <c r="AD236">
        <f t="shared" si="107"/>
        <v>-1.120000000000001</v>
      </c>
      <c r="AE236">
        <f t="shared" si="114"/>
        <v>0</v>
      </c>
      <c r="AF236">
        <f t="shared" si="115"/>
        <v>1.120000000000001</v>
      </c>
      <c r="AG236">
        <f t="shared" si="120"/>
        <v>0.44235739562451953</v>
      </c>
      <c r="AH236">
        <f t="shared" si="120"/>
        <v>0.48914590649522621</v>
      </c>
      <c r="AI236">
        <f t="shared" si="108"/>
        <v>0.90434651450739822</v>
      </c>
      <c r="AJ236">
        <f t="shared" si="116"/>
        <v>47.488548308726664</v>
      </c>
      <c r="AK236" s="14">
        <f t="shared" si="98"/>
        <v>47.488548308726664</v>
      </c>
      <c r="AM236">
        <f t="shared" si="121"/>
        <v>3.2745591939546514E-2</v>
      </c>
      <c r="AN236" s="14">
        <f t="shared" si="109"/>
        <v>-6.3926940639269514E-2</v>
      </c>
      <c r="AO236">
        <f t="shared" si="118"/>
        <v>0</v>
      </c>
      <c r="AP236" s="14">
        <f t="shared" si="119"/>
        <v>0.2</v>
      </c>
      <c r="AQ236">
        <f t="shared" si="110"/>
        <v>1.2151139134692901E-3</v>
      </c>
      <c r="AR236">
        <f t="shared" si="111"/>
        <v>-6.514205455273879E-2</v>
      </c>
      <c r="AS236">
        <f t="shared" si="93"/>
        <v>7.749347586475437E-3</v>
      </c>
      <c r="AT236">
        <f t="shared" si="94"/>
        <v>5.2871430468290397E-2</v>
      </c>
      <c r="AU236" s="14">
        <f t="shared" si="99"/>
        <v>0.14656965998154906</v>
      </c>
      <c r="AV236" s="19">
        <f t="shared" si="95"/>
        <v>2.1303737438380361</v>
      </c>
      <c r="AW236" s="19">
        <f t="shared" si="122"/>
        <v>-0.27111111111111119</v>
      </c>
      <c r="AX236">
        <f t="shared" si="100"/>
        <v>0</v>
      </c>
      <c r="AY236">
        <f>IF(W236,SUMPRODUCT(INDEX(AX:AX,X236):INDEX(AX:AX,X236+Y236)),0)</f>
        <v>67</v>
      </c>
      <c r="AZ236">
        <f>IF(V236,COUNT(INDEX(AX:AX,X236):INDEX(AX:AX,ROW())),0)</f>
        <v>226</v>
      </c>
      <c r="BA236" s="14">
        <f t="shared" si="112"/>
        <v>0.29646017699115046</v>
      </c>
      <c r="BB236" s="6">
        <f t="shared" si="101"/>
        <v>73170240</v>
      </c>
      <c r="BC236" s="6">
        <f>MEDIAN(INDEX(BB:BB,X236):INDEX(BB:BB,X236+Y236-1))</f>
        <v>297175</v>
      </c>
      <c r="BD236" s="25">
        <f t="shared" si="102"/>
        <v>297175</v>
      </c>
      <c r="BE236">
        <f t="shared" si="113"/>
        <v>0</v>
      </c>
      <c r="BF236" s="6">
        <f>SUM(INDEX(BE:BE,X236):INDEX(BE:BE,X236+Y236-1))</f>
        <v>17</v>
      </c>
      <c r="BG236" s="25">
        <f t="shared" si="103"/>
        <v>17</v>
      </c>
    </row>
    <row r="237" spans="1:59" x14ac:dyDescent="0.3">
      <c r="A237" s="1">
        <v>44251</v>
      </c>
      <c r="B237">
        <v>16.12</v>
      </c>
      <c r="C237">
        <v>16.75</v>
      </c>
      <c r="D237">
        <v>15.29</v>
      </c>
      <c r="E237">
        <v>15.49</v>
      </c>
      <c r="F237">
        <v>2776600</v>
      </c>
      <c r="G237" s="29">
        <v>2.1097210258928101</v>
      </c>
      <c r="H237" s="29">
        <v>0.136198904189335</v>
      </c>
      <c r="I237" s="29">
        <v>9.4254357650096807E-2</v>
      </c>
      <c r="J237" s="29">
        <v>44.169340163655498</v>
      </c>
      <c r="K237" s="29">
        <v>4.3097643097643003E-2</v>
      </c>
      <c r="L237" s="29">
        <v>0.2</v>
      </c>
      <c r="M237" s="29">
        <v>0.12118808050228699</v>
      </c>
      <c r="N237" s="29">
        <v>1.9472169922113001</v>
      </c>
      <c r="O237" s="29">
        <v>-0.31155555555555497</v>
      </c>
      <c r="P237" s="29">
        <v>-5.5487804878048698E-2</v>
      </c>
      <c r="Q237" s="29">
        <v>0.31349206349206299</v>
      </c>
      <c r="R237" s="30">
        <v>302552</v>
      </c>
      <c r="S237" s="29">
        <v>20</v>
      </c>
      <c r="T237" s="14">
        <v>365.70800000000003</v>
      </c>
      <c r="U237" s="41"/>
      <c r="V237">
        <v>227</v>
      </c>
      <c r="W237" t="b">
        <f>V237&gt;=$C$4</f>
        <v>1</v>
      </c>
      <c r="X237">
        <f>IF(V237&lt;=$C$5,11,ROW()-$C$5+1)</f>
        <v>11</v>
      </c>
      <c r="Y237" s="14">
        <f t="shared" si="96"/>
        <v>227</v>
      </c>
      <c r="Z237" s="10">
        <f t="shared" si="104"/>
        <v>1.4600000000000009</v>
      </c>
      <c r="AA237" s="15">
        <f t="shared" si="105"/>
        <v>9.425435765009689E-2</v>
      </c>
      <c r="AB237" s="15">
        <f t="shared" si="106"/>
        <v>2.1097210258928132</v>
      </c>
      <c r="AC237" s="10">
        <f t="shared" si="97"/>
        <v>0.13619890418933592</v>
      </c>
      <c r="AD237">
        <f t="shared" si="107"/>
        <v>-0.90999999999999837</v>
      </c>
      <c r="AE237">
        <f t="shared" si="114"/>
        <v>0</v>
      </c>
      <c r="AF237">
        <f t="shared" si="115"/>
        <v>0.90999999999999837</v>
      </c>
      <c r="AG237">
        <f t="shared" si="120"/>
        <v>0.41076043879419671</v>
      </c>
      <c r="AH237">
        <f t="shared" si="120"/>
        <v>0.51920691317413847</v>
      </c>
      <c r="AI237">
        <f t="shared" si="108"/>
        <v>0.79113052690889429</v>
      </c>
      <c r="AJ237">
        <f t="shared" si="116"/>
        <v>44.169339700452497</v>
      </c>
      <c r="AK237" s="14">
        <f t="shared" si="98"/>
        <v>44.169339700452497</v>
      </c>
      <c r="AM237">
        <f t="shared" si="121"/>
        <v>4.3097643097643079E-2</v>
      </c>
      <c r="AN237" s="14">
        <f t="shared" si="109"/>
        <v>-5.5487804878048719E-2</v>
      </c>
      <c r="AO237">
        <f t="shared" si="118"/>
        <v>0</v>
      </c>
      <c r="AP237" s="14">
        <f t="shared" si="119"/>
        <v>0.2</v>
      </c>
      <c r="AQ237">
        <f t="shared" si="110"/>
        <v>1.1019512222093297E-2</v>
      </c>
      <c r="AR237">
        <f t="shared" si="111"/>
        <v>-6.6507317100141988E-2</v>
      </c>
      <c r="AS237">
        <f t="shared" si="93"/>
        <v>6.5064465377177713E-3</v>
      </c>
      <c r="AT237">
        <f t="shared" si="94"/>
        <v>5.3688832356701729E-2</v>
      </c>
      <c r="AU237" s="14">
        <f t="shared" si="99"/>
        <v>0.1211880805022872</v>
      </c>
      <c r="AV237" s="19">
        <f t="shared" si="95"/>
        <v>1.9472169922113658</v>
      </c>
      <c r="AW237" s="19">
        <f t="shared" si="122"/>
        <v>-0.31155555555555559</v>
      </c>
      <c r="AX237">
        <f t="shared" si="100"/>
        <v>0</v>
      </c>
      <c r="AY237">
        <f>IF(W237,SUMPRODUCT(INDEX(AX:AX,X237):INDEX(AX:AX,X237+Y237)),0)</f>
        <v>67</v>
      </c>
      <c r="AZ237">
        <f>IF(V237,COUNT(INDEX(AX:AX,X237):INDEX(AX:AX,ROW())),0)</f>
        <v>227</v>
      </c>
      <c r="BA237" s="14">
        <f t="shared" si="112"/>
        <v>0.29515418502202645</v>
      </c>
      <c r="BB237" s="6">
        <f t="shared" si="101"/>
        <v>43009534</v>
      </c>
      <c r="BC237" s="6">
        <f>MEDIAN(INDEX(BB:BB,X237):INDEX(BB:BB,X237+Y237-1))</f>
        <v>300440</v>
      </c>
      <c r="BD237" s="25">
        <f t="shared" si="102"/>
        <v>300440</v>
      </c>
      <c r="BE237">
        <f t="shared" si="113"/>
        <v>0</v>
      </c>
      <c r="BF237" s="6">
        <f>SUM(INDEX(BE:BE,X237):INDEX(BE:BE,X237+Y237-1))</f>
        <v>17</v>
      </c>
      <c r="BG237" s="25">
        <f t="shared" si="103"/>
        <v>17</v>
      </c>
    </row>
    <row r="238" spans="1:59" x14ac:dyDescent="0.3">
      <c r="A238" s="1">
        <v>44252</v>
      </c>
      <c r="B238">
        <v>15.74</v>
      </c>
      <c r="C238">
        <v>15.78</v>
      </c>
      <c r="D238">
        <v>13.8</v>
      </c>
      <c r="E238">
        <v>13.97</v>
      </c>
      <c r="F238">
        <v>2208600</v>
      </c>
      <c r="G238" s="29">
        <v>2.1004552383290398</v>
      </c>
      <c r="H238" s="29">
        <v>0.15035470567852799</v>
      </c>
      <c r="I238" s="29">
        <v>0.14173228346456601</v>
      </c>
      <c r="J238" s="29">
        <v>39.2362401562823</v>
      </c>
      <c r="K238" s="29">
        <v>-1.4114326040931499E-2</v>
      </c>
      <c r="L238" s="29">
        <v>0.2</v>
      </c>
      <c r="M238" s="29">
        <v>0.10061003031334401</v>
      </c>
      <c r="N238" s="29">
        <v>2.2950034260288699</v>
      </c>
      <c r="O238" s="29">
        <v>-0.37911111111111101</v>
      </c>
      <c r="P238" s="29">
        <v>-9.8127824402840499E-2</v>
      </c>
      <c r="Q238" s="29">
        <v>0.31349206349206299</v>
      </c>
      <c r="R238" s="30">
        <v>302552</v>
      </c>
      <c r="S238" s="29">
        <v>20</v>
      </c>
      <c r="T238" s="14">
        <v>356.89600000000002</v>
      </c>
      <c r="U238" s="41"/>
      <c r="V238">
        <v>228</v>
      </c>
      <c r="W238" t="b">
        <f>V238&gt;=$C$4</f>
        <v>1</v>
      </c>
      <c r="X238">
        <f>IF(V238&lt;=$C$5,11,ROW()-$C$5+1)</f>
        <v>11</v>
      </c>
      <c r="Y238" s="14">
        <f t="shared" si="96"/>
        <v>228</v>
      </c>
      <c r="Z238" s="10">
        <f t="shared" si="104"/>
        <v>1.9799999999999986</v>
      </c>
      <c r="AA238" s="15">
        <f t="shared" si="105"/>
        <v>0.14173228346456682</v>
      </c>
      <c r="AB238" s="15">
        <f t="shared" si="106"/>
        <v>2.1004552383290407</v>
      </c>
      <c r="AC238" s="10">
        <f t="shared" si="97"/>
        <v>0.15035470567852832</v>
      </c>
      <c r="AD238">
        <f t="shared" si="107"/>
        <v>-1.5199999999999996</v>
      </c>
      <c r="AE238">
        <f t="shared" si="114"/>
        <v>0</v>
      </c>
      <c r="AF238">
        <f t="shared" si="115"/>
        <v>1.5199999999999996</v>
      </c>
      <c r="AG238">
        <f t="shared" ref="AG238:AH253" si="123">(AE238+13*AG237)/14</f>
        <v>0.3814204074517541</v>
      </c>
      <c r="AH238">
        <f t="shared" si="123"/>
        <v>0.59069213366170004</v>
      </c>
      <c r="AI238">
        <f t="shared" si="108"/>
        <v>0.64571777024916399</v>
      </c>
      <c r="AJ238">
        <f t="shared" si="116"/>
        <v>39.236239768584461</v>
      </c>
      <c r="AK238" s="14">
        <f t="shared" si="98"/>
        <v>39.236239768584461</v>
      </c>
      <c r="AM238">
        <f t="shared" si="121"/>
        <v>-1.4114326040931546E-2</v>
      </c>
      <c r="AN238" s="14">
        <f t="shared" si="109"/>
        <v>-9.8127824402840513E-2</v>
      </c>
      <c r="AO238">
        <f t="shared" si="118"/>
        <v>0</v>
      </c>
      <c r="AP238" s="14">
        <f t="shared" si="119"/>
        <v>0.2</v>
      </c>
      <c r="AQ238">
        <f t="shared" si="110"/>
        <v>-2.4095726645301796E-2</v>
      </c>
      <c r="AR238">
        <f t="shared" si="111"/>
        <v>-7.4032097757538703E-2</v>
      </c>
      <c r="AS238">
        <f t="shared" si="93"/>
        <v>5.4936691807447582E-3</v>
      </c>
      <c r="AT238">
        <f t="shared" si="94"/>
        <v>5.4603593335923177E-2</v>
      </c>
      <c r="AU238" s="14">
        <f t="shared" si="99"/>
        <v>0.10061003031334435</v>
      </c>
      <c r="AV238" s="19">
        <f t="shared" si="95"/>
        <v>2.2950034260289343</v>
      </c>
      <c r="AW238" s="19">
        <f t="shared" si="122"/>
        <v>-0.37911111111111107</v>
      </c>
      <c r="AX238">
        <f t="shared" si="100"/>
        <v>0</v>
      </c>
      <c r="AY238">
        <f>IF(W238,SUMPRODUCT(INDEX(AX:AX,X238):INDEX(AX:AX,X238+Y238)),0)</f>
        <v>67</v>
      </c>
      <c r="AZ238">
        <f>IF(V238,COUNT(INDEX(AX:AX,X238):INDEX(AX:AX,ROW())),0)</f>
        <v>228</v>
      </c>
      <c r="BA238" s="14">
        <f t="shared" si="112"/>
        <v>0.29385964912280704</v>
      </c>
      <c r="BB238" s="6">
        <f t="shared" si="101"/>
        <v>30854142</v>
      </c>
      <c r="BC238" s="6">
        <f>MEDIAN(INDEX(BB:BB,X238):INDEX(BB:BB,X238+Y238-1))</f>
        <v>300767</v>
      </c>
      <c r="BD238" s="25">
        <f t="shared" si="102"/>
        <v>300767</v>
      </c>
      <c r="BE238">
        <f t="shared" si="113"/>
        <v>0</v>
      </c>
      <c r="BF238" s="6">
        <f>SUM(INDEX(BE:BE,X238):INDEX(BE:BE,X238+Y238-1))</f>
        <v>17</v>
      </c>
      <c r="BG238" s="25">
        <f t="shared" si="103"/>
        <v>17</v>
      </c>
    </row>
    <row r="239" spans="1:59" x14ac:dyDescent="0.3">
      <c r="A239" s="1">
        <v>44253</v>
      </c>
      <c r="B239">
        <v>14.21</v>
      </c>
      <c r="C239">
        <v>15.584</v>
      </c>
      <c r="D239">
        <v>13.02</v>
      </c>
      <c r="E239">
        <v>13.84</v>
      </c>
      <c r="F239">
        <v>2843200</v>
      </c>
      <c r="G239" s="29">
        <v>2.13356557844839</v>
      </c>
      <c r="H239" s="29">
        <v>0.15415936260465199</v>
      </c>
      <c r="I239" s="29">
        <v>0.185260115606936</v>
      </c>
      <c r="J239" s="29">
        <v>38.836731559243603</v>
      </c>
      <c r="K239" s="29">
        <v>6.2980030721966299E-2</v>
      </c>
      <c r="L239" s="29">
        <v>0</v>
      </c>
      <c r="M239" s="29">
        <v>0.104703594215033</v>
      </c>
      <c r="N239" s="29">
        <v>2.4530322242212699</v>
      </c>
      <c r="O239" s="29">
        <v>-0.384888888888888</v>
      </c>
      <c r="P239" s="29">
        <v>-9.3056549749463893E-3</v>
      </c>
      <c r="Q239" s="29">
        <v>0.31349206349206299</v>
      </c>
      <c r="R239" s="30">
        <v>302552</v>
      </c>
      <c r="S239" s="29">
        <v>20</v>
      </c>
      <c r="T239" s="14">
        <v>355.05700000000002</v>
      </c>
      <c r="U239" s="41"/>
      <c r="V239">
        <v>229</v>
      </c>
      <c r="W239" t="b">
        <f>V239&gt;=$C$4</f>
        <v>1</v>
      </c>
      <c r="X239">
        <f>IF(V239&lt;=$C$5,11,ROW()-$C$5+1)</f>
        <v>11</v>
      </c>
      <c r="Y239" s="14">
        <f t="shared" si="96"/>
        <v>229</v>
      </c>
      <c r="Z239" s="10">
        <f t="shared" si="104"/>
        <v>2.5640000000000001</v>
      </c>
      <c r="AA239" s="15">
        <f t="shared" si="105"/>
        <v>0.18526011560693642</v>
      </c>
      <c r="AB239" s="15">
        <f t="shared" si="106"/>
        <v>2.1335655784483949</v>
      </c>
      <c r="AC239" s="10">
        <f t="shared" si="97"/>
        <v>0.15415936260465282</v>
      </c>
      <c r="AD239">
        <f t="shared" si="107"/>
        <v>-0.13000000000000078</v>
      </c>
      <c r="AE239">
        <f t="shared" si="114"/>
        <v>0</v>
      </c>
      <c r="AF239">
        <f t="shared" si="115"/>
        <v>0.13000000000000078</v>
      </c>
      <c r="AG239">
        <f t="shared" si="123"/>
        <v>0.35417609263377164</v>
      </c>
      <c r="AH239">
        <f t="shared" si="123"/>
        <v>0.55778555268586438</v>
      </c>
      <c r="AI239">
        <f t="shared" si="108"/>
        <v>0.63496820763523387</v>
      </c>
      <c r="AJ239">
        <f t="shared" si="116"/>
        <v>38.83673117739896</v>
      </c>
      <c r="AK239" s="14">
        <f t="shared" si="98"/>
        <v>38.83673117739896</v>
      </c>
      <c r="AM239">
        <f t="shared" si="121"/>
        <v>6.298003072196634E-2</v>
      </c>
      <c r="AN239" s="14">
        <f t="shared" si="109"/>
        <v>-9.3056549749463979E-3</v>
      </c>
      <c r="AO239">
        <f t="shared" si="118"/>
        <v>0</v>
      </c>
      <c r="AP239" s="14">
        <f t="shared" si="119"/>
        <v>0</v>
      </c>
      <c r="AQ239">
        <f t="shared" si="110"/>
        <v>-5.152761588810173E-3</v>
      </c>
      <c r="AR239">
        <f t="shared" si="111"/>
        <v>-4.1528933861362163E-3</v>
      </c>
      <c r="AS239">
        <f t="shared" si="93"/>
        <v>5.7101952023618247E-3</v>
      </c>
      <c r="AT239">
        <f t="shared" si="94"/>
        <v>5.4536763949426671E-2</v>
      </c>
      <c r="AU239" s="14">
        <f t="shared" si="99"/>
        <v>0.10470359421503325</v>
      </c>
      <c r="AV239" s="19">
        <f t="shared" si="95"/>
        <v>2.4530322242213396</v>
      </c>
      <c r="AW239" s="19">
        <f t="shared" si="122"/>
        <v>-0.38488888888888895</v>
      </c>
      <c r="AX239">
        <f t="shared" si="100"/>
        <v>0</v>
      </c>
      <c r="AY239">
        <f>IF(W239,SUMPRODUCT(INDEX(AX:AX,X239):INDEX(AX:AX,X239+Y239)),0)</f>
        <v>67</v>
      </c>
      <c r="AZ239">
        <f>IF(V239,COUNT(INDEX(AX:AX,X239):INDEX(AX:AX,ROW())),0)</f>
        <v>229</v>
      </c>
      <c r="BA239" s="14">
        <f t="shared" si="112"/>
        <v>0.29257641921397382</v>
      </c>
      <c r="BB239" s="6">
        <f t="shared" si="101"/>
        <v>39349888</v>
      </c>
      <c r="BC239" s="6">
        <f>MEDIAN(INDEX(BB:BB,X239):INDEX(BB:BB,X239+Y239-1))</f>
        <v>301094</v>
      </c>
      <c r="BD239" s="25">
        <f t="shared" si="102"/>
        <v>301094</v>
      </c>
      <c r="BE239">
        <f t="shared" si="113"/>
        <v>0</v>
      </c>
      <c r="BF239" s="6">
        <f>SUM(INDEX(BE:BE,X239):INDEX(BE:BE,X239+Y239-1))</f>
        <v>17</v>
      </c>
      <c r="BG239" s="25">
        <f t="shared" si="103"/>
        <v>17</v>
      </c>
    </row>
    <row r="240" spans="1:59" x14ac:dyDescent="0.3">
      <c r="A240" s="1">
        <v>44256</v>
      </c>
      <c r="B240">
        <v>14.44</v>
      </c>
      <c r="C240">
        <v>16.100000000000001</v>
      </c>
      <c r="D240">
        <v>13.78</v>
      </c>
      <c r="E240">
        <v>15.22</v>
      </c>
      <c r="F240">
        <v>2331300</v>
      </c>
      <c r="G240" s="29">
        <v>2.1468823228449301</v>
      </c>
      <c r="H240" s="29">
        <v>0.141056657217144</v>
      </c>
      <c r="I240" s="29">
        <v>0.15243101182654401</v>
      </c>
      <c r="J240" s="29">
        <v>45.213921839169203</v>
      </c>
      <c r="K240" s="29">
        <v>8.4818246614397796E-2</v>
      </c>
      <c r="L240" s="29">
        <v>0.2</v>
      </c>
      <c r="M240" s="29">
        <v>0.124047323953039</v>
      </c>
      <c r="N240" s="29">
        <v>2.6283279583930401</v>
      </c>
      <c r="O240" s="29">
        <v>-0.32355555555555499</v>
      </c>
      <c r="P240" s="29">
        <v>9.9710982658959502E-2</v>
      </c>
      <c r="Q240" s="29">
        <v>0.30952380952380898</v>
      </c>
      <c r="R240" s="30">
        <v>308359</v>
      </c>
      <c r="S240" s="29">
        <v>20</v>
      </c>
      <c r="T240" s="14">
        <v>363.66399999999999</v>
      </c>
      <c r="U240" s="41"/>
      <c r="V240">
        <v>230</v>
      </c>
      <c r="W240" t="b">
        <f>V240&gt;=$C$4</f>
        <v>1</v>
      </c>
      <c r="X240">
        <f>IF(V240&lt;=$C$5,11,ROW()-$C$5+1)</f>
        <v>11</v>
      </c>
      <c r="Y240" s="14">
        <f t="shared" si="96"/>
        <v>230</v>
      </c>
      <c r="Z240" s="10">
        <f t="shared" si="104"/>
        <v>2.3200000000000021</v>
      </c>
      <c r="AA240" s="15">
        <f t="shared" si="105"/>
        <v>0.15243101182654414</v>
      </c>
      <c r="AB240" s="15">
        <f t="shared" si="106"/>
        <v>2.1468823228449381</v>
      </c>
      <c r="AC240" s="10">
        <f t="shared" si="97"/>
        <v>0.14105665721714442</v>
      </c>
      <c r="AD240">
        <f t="shared" si="107"/>
        <v>1.3800000000000008</v>
      </c>
      <c r="AE240">
        <f t="shared" si="114"/>
        <v>1.3800000000000008</v>
      </c>
      <c r="AF240">
        <f t="shared" si="115"/>
        <v>0</v>
      </c>
      <c r="AG240">
        <f t="shared" si="123"/>
        <v>0.4274492288742166</v>
      </c>
      <c r="AH240">
        <f t="shared" si="123"/>
        <v>0.51794372749401696</v>
      </c>
      <c r="AI240">
        <f t="shared" si="108"/>
        <v>0.82528121528251208</v>
      </c>
      <c r="AJ240">
        <f t="shared" si="116"/>
        <v>45.213921469891275</v>
      </c>
      <c r="AK240" s="14">
        <f t="shared" si="98"/>
        <v>45.213921469891275</v>
      </c>
      <c r="AM240">
        <f t="shared" si="121"/>
        <v>8.4818246614397852E-2</v>
      </c>
      <c r="AN240" s="14">
        <f t="shared" si="109"/>
        <v>9.9710982658959502E-2</v>
      </c>
      <c r="AO240">
        <f t="shared" si="118"/>
        <v>1</v>
      </c>
      <c r="AP240" s="14">
        <f t="shared" si="119"/>
        <v>0.2</v>
      </c>
      <c r="AQ240">
        <f t="shared" si="110"/>
        <v>2.4241178177025091E-2</v>
      </c>
      <c r="AR240">
        <f t="shared" si="111"/>
        <v>7.546980448193441E-2</v>
      </c>
      <c r="AS240">
        <f t="shared" si="93"/>
        <v>6.8522492376273895E-3</v>
      </c>
      <c r="AT240">
        <f t="shared" si="94"/>
        <v>5.523899282358951E-2</v>
      </c>
      <c r="AU240" s="14">
        <f t="shared" si="99"/>
        <v>0.12404732395303873</v>
      </c>
      <c r="AV240" s="19">
        <f t="shared" si="95"/>
        <v>2.6283279583931098</v>
      </c>
      <c r="AW240" s="19">
        <f t="shared" si="122"/>
        <v>-0.32355555555555549</v>
      </c>
      <c r="AX240">
        <f t="shared" si="100"/>
        <v>0</v>
      </c>
      <c r="AY240">
        <f>IF(W240,SUMPRODUCT(INDEX(AX:AX,X240):INDEX(AX:AX,X240+Y240)),0)</f>
        <v>67</v>
      </c>
      <c r="AZ240">
        <f>IF(V240,COUNT(INDEX(AX:AX,X240):INDEX(AX:AX,ROW())),0)</f>
        <v>230</v>
      </c>
      <c r="BA240" s="14">
        <f t="shared" si="112"/>
        <v>0.29130434782608694</v>
      </c>
      <c r="BB240" s="6">
        <f t="shared" si="101"/>
        <v>35482386</v>
      </c>
      <c r="BC240" s="6">
        <f>MEDIAN(INDEX(BB:BB,X240):INDEX(BB:BB,X240+Y240-1))</f>
        <v>302552</v>
      </c>
      <c r="BD240" s="25">
        <f t="shared" si="102"/>
        <v>302552</v>
      </c>
      <c r="BE240">
        <f t="shared" si="113"/>
        <v>0</v>
      </c>
      <c r="BF240" s="6">
        <f>SUM(INDEX(BE:BE,X240):INDEX(BE:BE,X240+Y240-1))</f>
        <v>17</v>
      </c>
      <c r="BG240" s="25">
        <f t="shared" si="103"/>
        <v>17</v>
      </c>
    </row>
    <row r="241" spans="1:59" x14ac:dyDescent="0.3">
      <c r="A241" s="1">
        <v>44257</v>
      </c>
      <c r="B241">
        <v>15.01</v>
      </c>
      <c r="C241">
        <v>15.7</v>
      </c>
      <c r="D241">
        <v>13.18</v>
      </c>
      <c r="E241">
        <v>13.3</v>
      </c>
      <c r="F241">
        <v>3519000</v>
      </c>
      <c r="G241" s="29">
        <v>2.1735335854988702</v>
      </c>
      <c r="H241" s="29">
        <v>0.16342357785705799</v>
      </c>
      <c r="I241" s="29">
        <v>0.18947368421052599</v>
      </c>
      <c r="J241" s="29">
        <v>39.104838951969803</v>
      </c>
      <c r="K241" s="29">
        <v>-1.4814814814814699E-2</v>
      </c>
      <c r="L241" s="29">
        <v>0.2</v>
      </c>
      <c r="M241" s="29">
        <v>8.7360599067342906E-2</v>
      </c>
      <c r="N241" s="29">
        <v>2.8375098298636798</v>
      </c>
      <c r="O241" s="29">
        <v>-0.40888888888888802</v>
      </c>
      <c r="P241" s="29">
        <v>-0.126149802890933</v>
      </c>
      <c r="Q241" s="29">
        <v>0.30555555555555503</v>
      </c>
      <c r="R241" s="30">
        <v>323284.5</v>
      </c>
      <c r="S241" s="29">
        <v>19</v>
      </c>
      <c r="T241" s="14">
        <v>360.82600000000002</v>
      </c>
      <c r="U241" s="41"/>
      <c r="V241">
        <v>231</v>
      </c>
      <c r="W241" t="b">
        <f>V241&gt;=$C$4</f>
        <v>1</v>
      </c>
      <c r="X241">
        <f>IF(V241&lt;=$C$5,11,ROW()-$C$5+1)</f>
        <v>11</v>
      </c>
      <c r="Y241" s="14">
        <f t="shared" si="96"/>
        <v>231</v>
      </c>
      <c r="Z241" s="10">
        <f t="shared" si="104"/>
        <v>2.5199999999999996</v>
      </c>
      <c r="AA241" s="15">
        <f t="shared" si="105"/>
        <v>0.18947368421052627</v>
      </c>
      <c r="AB241" s="15">
        <f t="shared" si="106"/>
        <v>2.1735335854988711</v>
      </c>
      <c r="AC241" s="10">
        <f t="shared" si="97"/>
        <v>0.16342357785705797</v>
      </c>
      <c r="AD241">
        <f t="shared" si="107"/>
        <v>-1.92</v>
      </c>
      <c r="AE241">
        <f t="shared" si="114"/>
        <v>0</v>
      </c>
      <c r="AF241">
        <f t="shared" si="115"/>
        <v>1.92</v>
      </c>
      <c r="AG241">
        <f t="shared" si="123"/>
        <v>0.39691714109748683</v>
      </c>
      <c r="AH241">
        <f t="shared" si="123"/>
        <v>0.61809060410158723</v>
      </c>
      <c r="AI241">
        <f t="shared" si="108"/>
        <v>0.6421665989801244</v>
      </c>
      <c r="AJ241">
        <f t="shared" si="116"/>
        <v>39.104838655161124</v>
      </c>
      <c r="AK241" s="14">
        <f t="shared" si="98"/>
        <v>39.104838655161124</v>
      </c>
      <c r="AM241">
        <f t="shared" si="121"/>
        <v>-1.4814814814814725E-2</v>
      </c>
      <c r="AN241" s="14">
        <f t="shared" si="109"/>
        <v>-0.12614980289093303</v>
      </c>
      <c r="AO241">
        <f t="shared" si="118"/>
        <v>0</v>
      </c>
      <c r="AP241" s="14">
        <f t="shared" si="119"/>
        <v>0.2</v>
      </c>
      <c r="AQ241">
        <f t="shared" si="110"/>
        <v>-7.8039069030753083E-3</v>
      </c>
      <c r="AR241">
        <f t="shared" si="111"/>
        <v>-0.11834589598785769</v>
      </c>
      <c r="AS241">
        <f t="shared" si="93"/>
        <v>5.0179107872424696E-3</v>
      </c>
      <c r="AT241">
        <f t="shared" si="94"/>
        <v>5.7439061096345938E-2</v>
      </c>
      <c r="AU241" s="14">
        <f t="shared" si="99"/>
        <v>8.7360599067342531E-2</v>
      </c>
      <c r="AV241" s="19">
        <f t="shared" si="95"/>
        <v>2.8375098298637575</v>
      </c>
      <c r="AW241" s="19">
        <f t="shared" si="122"/>
        <v>-0.40888888888888886</v>
      </c>
      <c r="AX241">
        <f t="shared" si="100"/>
        <v>0</v>
      </c>
      <c r="AY241">
        <f>IF(W241,SUMPRODUCT(INDEX(AX:AX,X241):INDEX(AX:AX,X241+Y241)),0)</f>
        <v>67</v>
      </c>
      <c r="AZ241">
        <f>IF(V241,COUNT(INDEX(AX:AX,X241):INDEX(AX:AX,ROW())),0)</f>
        <v>231</v>
      </c>
      <c r="BA241" s="14">
        <f t="shared" si="112"/>
        <v>0.29004329004329005</v>
      </c>
      <c r="BB241" s="6">
        <f t="shared" si="101"/>
        <v>46802700</v>
      </c>
      <c r="BC241" s="6">
        <f>MEDIAN(INDEX(BB:BB,X241):INDEX(BB:BB,X241+Y241-1))</f>
        <v>304010</v>
      </c>
      <c r="BD241" s="25">
        <f t="shared" si="102"/>
        <v>304010</v>
      </c>
      <c r="BE241">
        <f t="shared" si="113"/>
        <v>0</v>
      </c>
      <c r="BF241" s="6">
        <f>SUM(INDEX(BE:BE,X241):INDEX(BE:BE,X241+Y241-1))</f>
        <v>17</v>
      </c>
      <c r="BG241" s="25">
        <f t="shared" si="103"/>
        <v>17</v>
      </c>
    </row>
    <row r="242" spans="1:59" x14ac:dyDescent="0.3">
      <c r="A242" s="1">
        <v>44258</v>
      </c>
      <c r="B242">
        <v>13.5</v>
      </c>
      <c r="C242">
        <v>13.896000000000001</v>
      </c>
      <c r="D242">
        <v>12.48</v>
      </c>
      <c r="E242">
        <v>12.52</v>
      </c>
      <c r="F242">
        <v>2028500</v>
      </c>
      <c r="G242" s="29">
        <v>2.1194240436775198</v>
      </c>
      <c r="H242" s="29">
        <v>0.16928307058127101</v>
      </c>
      <c r="I242" s="29">
        <v>0.113099041533546</v>
      </c>
      <c r="J242" s="29">
        <v>36.922259007050599</v>
      </c>
      <c r="K242" s="29">
        <v>-0.13356401384083</v>
      </c>
      <c r="L242" s="29">
        <v>0.2</v>
      </c>
      <c r="M242" s="29">
        <v>7.3009304608932707E-2</v>
      </c>
      <c r="N242" s="29">
        <v>2.91722330519565</v>
      </c>
      <c r="O242" s="29">
        <v>-0.44355555555555498</v>
      </c>
      <c r="P242" s="29">
        <v>-5.8646616541353502E-2</v>
      </c>
      <c r="Q242" s="29">
        <v>0.30158730158730102</v>
      </c>
      <c r="R242" s="30">
        <v>338700</v>
      </c>
      <c r="S242" s="29">
        <v>18</v>
      </c>
      <c r="T242" s="14">
        <v>356.04700000000003</v>
      </c>
      <c r="U242" s="41"/>
      <c r="V242">
        <v>232</v>
      </c>
      <c r="W242" t="b">
        <f>V242&gt;=$C$4</f>
        <v>1</v>
      </c>
      <c r="X242">
        <f>IF(V242&lt;=$C$5,11,ROW()-$C$5+1)</f>
        <v>11</v>
      </c>
      <c r="Y242" s="14">
        <f t="shared" si="96"/>
        <v>232</v>
      </c>
      <c r="Z242" s="10">
        <f t="shared" si="104"/>
        <v>1.4160000000000004</v>
      </c>
      <c r="AA242" s="15">
        <f t="shared" si="105"/>
        <v>0.11309904153354636</v>
      </c>
      <c r="AB242" s="15">
        <f t="shared" si="106"/>
        <v>2.1194240436775234</v>
      </c>
      <c r="AC242" s="10">
        <f t="shared" si="97"/>
        <v>0.16928307058127184</v>
      </c>
      <c r="AD242">
        <f t="shared" si="107"/>
        <v>-0.78000000000000114</v>
      </c>
      <c r="AE242">
        <f t="shared" si="114"/>
        <v>0</v>
      </c>
      <c r="AF242">
        <f t="shared" si="115"/>
        <v>0.78000000000000114</v>
      </c>
      <c r="AG242">
        <f t="shared" si="123"/>
        <v>0.36856591673338063</v>
      </c>
      <c r="AH242">
        <f t="shared" si="123"/>
        <v>0.62965556095147401</v>
      </c>
      <c r="AI242">
        <f t="shared" si="108"/>
        <v>0.58534528969527366</v>
      </c>
      <c r="AJ242">
        <f t="shared" si="116"/>
        <v>36.922258734422805</v>
      </c>
      <c r="AK242" s="14">
        <f t="shared" si="98"/>
        <v>36.922258734422805</v>
      </c>
      <c r="AM242">
        <f t="shared" si="121"/>
        <v>-0.13356401384083039</v>
      </c>
      <c r="AN242" s="14">
        <f t="shared" si="109"/>
        <v>-5.8646616541353502E-2</v>
      </c>
      <c r="AO242">
        <f t="shared" si="118"/>
        <v>0</v>
      </c>
      <c r="AP242" s="14">
        <f t="shared" si="119"/>
        <v>0.2</v>
      </c>
      <c r="AQ242">
        <f t="shared" si="110"/>
        <v>-1.324461097592744E-2</v>
      </c>
      <c r="AR242">
        <f t="shared" si="111"/>
        <v>-4.5402005565426062E-2</v>
      </c>
      <c r="AS242">
        <f t="shared" si="93"/>
        <v>4.2191545832302715E-3</v>
      </c>
      <c r="AT242">
        <f t="shared" si="94"/>
        <v>5.7789272282893114E-2</v>
      </c>
      <c r="AU242" s="14">
        <f t="shared" si="99"/>
        <v>7.3009304608932291E-2</v>
      </c>
      <c r="AV242" s="19">
        <f t="shared" si="95"/>
        <v>2.9172233051957286</v>
      </c>
      <c r="AW242" s="19">
        <f t="shared" si="122"/>
        <v>-0.44355555555555559</v>
      </c>
      <c r="AX242">
        <f t="shared" si="100"/>
        <v>0</v>
      </c>
      <c r="AY242">
        <f>IF(W242,SUMPRODUCT(INDEX(AX:AX,X242):INDEX(AX:AX,X242+Y242)),0)</f>
        <v>67</v>
      </c>
      <c r="AZ242">
        <f>IF(V242,COUNT(INDEX(AX:AX,X242):INDEX(AX:AX,ROW())),0)</f>
        <v>232</v>
      </c>
      <c r="BA242" s="14">
        <f t="shared" si="112"/>
        <v>0.28879310344827586</v>
      </c>
      <c r="BB242" s="6">
        <f t="shared" si="101"/>
        <v>25396820</v>
      </c>
      <c r="BC242" s="6">
        <f>MEDIAN(INDEX(BB:BB,X242):INDEX(BB:BB,X242+Y242-1))</f>
        <v>308359</v>
      </c>
      <c r="BD242" s="25">
        <f t="shared" si="102"/>
        <v>308359</v>
      </c>
      <c r="BE242">
        <f t="shared" si="113"/>
        <v>0</v>
      </c>
      <c r="BF242" s="6">
        <f>SUM(INDEX(BE:BE,X242):INDEX(BE:BE,X242+Y242-1))</f>
        <v>17</v>
      </c>
      <c r="BG242" s="25">
        <f t="shared" si="103"/>
        <v>17</v>
      </c>
    </row>
    <row r="243" spans="1:59" x14ac:dyDescent="0.3">
      <c r="A243" s="1">
        <v>44259</v>
      </c>
      <c r="B243">
        <v>12.416</v>
      </c>
      <c r="C243">
        <v>13</v>
      </c>
      <c r="D243">
        <v>11.21</v>
      </c>
      <c r="E243">
        <v>12.49</v>
      </c>
      <c r="F243">
        <v>3595100</v>
      </c>
      <c r="G243" s="29">
        <v>2.0958937548434098</v>
      </c>
      <c r="H243" s="29">
        <v>0.16780574498345999</v>
      </c>
      <c r="I243" s="29">
        <v>0.143314651721377</v>
      </c>
      <c r="J243" s="29">
        <v>36.837098857856397</v>
      </c>
      <c r="K243" s="29">
        <v>-0.131432545201669</v>
      </c>
      <c r="L243" s="29">
        <v>0.2</v>
      </c>
      <c r="M243" s="29">
        <v>7.6451320592881997E-2</v>
      </c>
      <c r="N243" s="29">
        <v>2.8902680608424398</v>
      </c>
      <c r="O243" s="29">
        <v>-0.444888888888888</v>
      </c>
      <c r="P243" s="29">
        <v>-2.3961661341852501E-3</v>
      </c>
      <c r="Q243" s="29">
        <v>0.29761904761904701</v>
      </c>
      <c r="R243" s="30">
        <v>345509.5</v>
      </c>
      <c r="S243" s="29">
        <v>17</v>
      </c>
      <c r="T243" s="14">
        <v>351.64100000000002</v>
      </c>
      <c r="U243" s="41"/>
      <c r="V243">
        <v>233</v>
      </c>
      <c r="W243" t="b">
        <f>V243&gt;=$C$4</f>
        <v>1</v>
      </c>
      <c r="X243">
        <f>IF(V243&lt;=$C$5,11,ROW()-$C$5+1)</f>
        <v>11</v>
      </c>
      <c r="Y243" s="14">
        <f t="shared" si="96"/>
        <v>233</v>
      </c>
      <c r="Z243" s="10">
        <f t="shared" si="104"/>
        <v>1.7899999999999991</v>
      </c>
      <c r="AA243" s="15">
        <f t="shared" si="105"/>
        <v>0.14331465172137703</v>
      </c>
      <c r="AB243" s="15">
        <f t="shared" si="106"/>
        <v>2.0958937548434142</v>
      </c>
      <c r="AC243" s="10">
        <f t="shared" si="97"/>
        <v>0.1678057449834599</v>
      </c>
      <c r="AD243">
        <f t="shared" si="107"/>
        <v>-2.9999999999999361E-2</v>
      </c>
      <c r="AE243">
        <f t="shared" si="114"/>
        <v>0</v>
      </c>
      <c r="AF243">
        <f t="shared" si="115"/>
        <v>2.9999999999999361E-2</v>
      </c>
      <c r="AG243">
        <f t="shared" si="123"/>
        <v>0.3422397798238534</v>
      </c>
      <c r="AH243">
        <f t="shared" si="123"/>
        <v>0.58682302088351157</v>
      </c>
      <c r="AI243">
        <f t="shared" si="108"/>
        <v>0.58320782867138121</v>
      </c>
      <c r="AJ243">
        <f t="shared" si="116"/>
        <v>36.837098586153765</v>
      </c>
      <c r="AK243" s="14">
        <f t="shared" si="98"/>
        <v>36.837098586153765</v>
      </c>
      <c r="AM243">
        <f t="shared" si="121"/>
        <v>-0.13143254520166903</v>
      </c>
      <c r="AN243" s="14">
        <f t="shared" si="109"/>
        <v>-2.3961661341852514E-3</v>
      </c>
      <c r="AO243">
        <f t="shared" si="118"/>
        <v>0</v>
      </c>
      <c r="AP243" s="14">
        <f t="shared" si="119"/>
        <v>0.2</v>
      </c>
      <c r="AQ243">
        <f t="shared" si="110"/>
        <v>-1.2374770746558794E-2</v>
      </c>
      <c r="AR243">
        <f t="shared" si="111"/>
        <v>9.9786046123735445E-3</v>
      </c>
      <c r="AS243">
        <f t="shared" si="93"/>
        <v>4.4179057174228639E-3</v>
      </c>
      <c r="AT243">
        <f t="shared" si="94"/>
        <v>5.7787173369431816E-2</v>
      </c>
      <c r="AU243" s="14">
        <f t="shared" si="99"/>
        <v>7.6451320592881636E-2</v>
      </c>
      <c r="AV243" s="19">
        <f t="shared" si="95"/>
        <v>2.8902680608425162</v>
      </c>
      <c r="AW243" s="19">
        <f t="shared" si="122"/>
        <v>-0.44488888888888889</v>
      </c>
      <c r="AX243">
        <f t="shared" si="100"/>
        <v>0</v>
      </c>
      <c r="AY243">
        <f>IF(W243,SUMPRODUCT(INDEX(AX:AX,X243):INDEX(AX:AX,X243+Y243)),0)</f>
        <v>67</v>
      </c>
      <c r="AZ243">
        <f>IF(V243,COUNT(INDEX(AX:AX,X243):INDEX(AX:AX,ROW())),0)</f>
        <v>233</v>
      </c>
      <c r="BA243" s="14">
        <f t="shared" si="112"/>
        <v>0.28755364806866951</v>
      </c>
      <c r="BB243" s="6">
        <f t="shared" si="101"/>
        <v>44902799</v>
      </c>
      <c r="BC243" s="6">
        <f>MEDIAN(INDEX(BB:BB,X243):INDEX(BB:BB,X243+Y243-1))</f>
        <v>312708</v>
      </c>
      <c r="BD243" s="25">
        <f t="shared" si="102"/>
        <v>312708</v>
      </c>
      <c r="BE243">
        <f t="shared" si="113"/>
        <v>0</v>
      </c>
      <c r="BF243" s="6">
        <f>SUM(INDEX(BE:BE,X243):INDEX(BE:BE,X243+Y243-1))</f>
        <v>17</v>
      </c>
      <c r="BG243" s="25">
        <f t="shared" si="103"/>
        <v>17</v>
      </c>
    </row>
    <row r="244" spans="1:59" x14ac:dyDescent="0.3">
      <c r="A244" s="1">
        <v>44260</v>
      </c>
      <c r="B244">
        <v>12.49</v>
      </c>
      <c r="C244">
        <v>12.99</v>
      </c>
      <c r="D244">
        <v>11.01</v>
      </c>
      <c r="E244">
        <v>12.89</v>
      </c>
      <c r="F244">
        <v>2350600</v>
      </c>
      <c r="G244" s="29">
        <v>2.0876156294974502</v>
      </c>
      <c r="H244" s="29">
        <v>0.161956216407871</v>
      </c>
      <c r="I244" s="29">
        <v>0.153607447633824</v>
      </c>
      <c r="J244" s="29">
        <v>38.861905099064103</v>
      </c>
      <c r="K244" s="29">
        <v>-0.14238190286094399</v>
      </c>
      <c r="L244" s="29">
        <v>0.4</v>
      </c>
      <c r="M244" s="29">
        <v>8.0766303426397998E-2</v>
      </c>
      <c r="N244" s="29">
        <v>2.8119675471541901</v>
      </c>
      <c r="O244" s="29">
        <v>-0.427111111111111</v>
      </c>
      <c r="P244" s="29">
        <v>3.2025620496397102E-2</v>
      </c>
      <c r="Q244" s="29">
        <v>0.29761904761904701</v>
      </c>
      <c r="R244" s="30">
        <v>345509.5</v>
      </c>
      <c r="S244" s="29">
        <v>17</v>
      </c>
      <c r="T244" s="14">
        <v>358.10899999999998</v>
      </c>
      <c r="U244" s="41"/>
      <c r="V244">
        <v>234</v>
      </c>
      <c r="W244" t="b">
        <f>V244&gt;=$C$4</f>
        <v>1</v>
      </c>
      <c r="X244">
        <f>IF(V244&lt;=$C$5,11,ROW()-$C$5+1)</f>
        <v>11</v>
      </c>
      <c r="Y244" s="14">
        <f t="shared" si="96"/>
        <v>234</v>
      </c>
      <c r="Z244" s="10">
        <f t="shared" si="104"/>
        <v>1.9800000000000004</v>
      </c>
      <c r="AA244" s="15">
        <f t="shared" si="105"/>
        <v>0.1536074476338247</v>
      </c>
      <c r="AB244" s="15">
        <f t="shared" si="106"/>
        <v>2.0876156294974559</v>
      </c>
      <c r="AC244" s="10">
        <f t="shared" si="97"/>
        <v>0.16195621640787089</v>
      </c>
      <c r="AD244">
        <f t="shared" si="107"/>
        <v>0.40000000000000036</v>
      </c>
      <c r="AE244">
        <f t="shared" si="114"/>
        <v>0.40000000000000036</v>
      </c>
      <c r="AF244">
        <f t="shared" si="115"/>
        <v>0</v>
      </c>
      <c r="AG244">
        <f t="shared" si="123"/>
        <v>0.34636550983643533</v>
      </c>
      <c r="AH244">
        <f t="shared" si="123"/>
        <v>0.54490709082040356</v>
      </c>
      <c r="AI244">
        <f t="shared" si="108"/>
        <v>0.63564140689553672</v>
      </c>
      <c r="AJ244">
        <f t="shared" si="116"/>
        <v>38.861904829249234</v>
      </c>
      <c r="AK244" s="14">
        <f t="shared" si="98"/>
        <v>38.861904829249234</v>
      </c>
      <c r="AM244">
        <f t="shared" si="121"/>
        <v>-0.14238190286094465</v>
      </c>
      <c r="AN244" s="14">
        <f t="shared" si="109"/>
        <v>3.2025620496397122E-2</v>
      </c>
      <c r="AO244">
        <f t="shared" si="118"/>
        <v>1</v>
      </c>
      <c r="AP244" s="14">
        <f t="shared" si="119"/>
        <v>0.4</v>
      </c>
      <c r="AQ244">
        <f t="shared" si="110"/>
        <v>1.8393759544535371E-2</v>
      </c>
      <c r="AR244">
        <f t="shared" si="111"/>
        <v>1.3631860951861731E-2</v>
      </c>
      <c r="AS244">
        <f t="shared" si="93"/>
        <v>4.6676894534614507E-3</v>
      </c>
      <c r="AT244">
        <f t="shared" si="94"/>
        <v>5.7792535444130065E-2</v>
      </c>
      <c r="AU244" s="14">
        <f t="shared" si="99"/>
        <v>8.0766303426397665E-2</v>
      </c>
      <c r="AV244" s="19">
        <f t="shared" si="95"/>
        <v>2.8119675471542527</v>
      </c>
      <c r="AW244" s="19">
        <f t="shared" si="122"/>
        <v>-0.42711111111111111</v>
      </c>
      <c r="AX244">
        <f t="shared" si="100"/>
        <v>0</v>
      </c>
      <c r="AY244">
        <f>IF(W244,SUMPRODUCT(INDEX(AX:AX,X244):INDEX(AX:AX,X244+Y244)),0)</f>
        <v>67</v>
      </c>
      <c r="AZ244">
        <f>IF(V244,COUNT(INDEX(AX:AX,X244):INDEX(AX:AX,ROW())),0)</f>
        <v>234</v>
      </c>
      <c r="BA244" s="14">
        <f t="shared" si="112"/>
        <v>0.28632478632478631</v>
      </c>
      <c r="BB244" s="6">
        <f t="shared" si="101"/>
        <v>30299234</v>
      </c>
      <c r="BC244" s="6">
        <f>MEDIAN(INDEX(BB:BB,X244):INDEX(BB:BB,X244+Y244-1))</f>
        <v>323284.5</v>
      </c>
      <c r="BD244" s="25">
        <f t="shared" si="102"/>
        <v>323284.5</v>
      </c>
      <c r="BE244">
        <f t="shared" si="113"/>
        <v>0</v>
      </c>
      <c r="BF244" s="6">
        <f>SUM(INDEX(BE:BE,X244):INDEX(BE:BE,X244+Y244-1))</f>
        <v>17</v>
      </c>
      <c r="BG244" s="25">
        <f t="shared" si="103"/>
        <v>17</v>
      </c>
    </row>
    <row r="245" spans="1:59" x14ac:dyDescent="0.3">
      <c r="A245" s="1">
        <v>44263</v>
      </c>
      <c r="B245">
        <v>12.66</v>
      </c>
      <c r="C245">
        <v>13.37</v>
      </c>
      <c r="D245">
        <v>11.66</v>
      </c>
      <c r="E245">
        <v>11.76</v>
      </c>
      <c r="F245">
        <v>1523000</v>
      </c>
      <c r="G245" s="29">
        <v>2.0606430845333499</v>
      </c>
      <c r="H245" s="29">
        <v>0.175224752086169</v>
      </c>
      <c r="I245" s="29">
        <v>0.14540816326530601</v>
      </c>
      <c r="J245" s="29">
        <v>35.408612006386903</v>
      </c>
      <c r="K245" s="29">
        <v>-0.28727272727272701</v>
      </c>
      <c r="L245" s="29">
        <v>0.2</v>
      </c>
      <c r="M245" s="29">
        <v>5.72222760036106E-2</v>
      </c>
      <c r="N245" s="29">
        <v>2.8931961468365399</v>
      </c>
      <c r="O245" s="29">
        <v>-0.477333333333333</v>
      </c>
      <c r="P245" s="29">
        <v>-8.7664856477889894E-2</v>
      </c>
      <c r="Q245" s="29">
        <v>0.29761904761904701</v>
      </c>
      <c r="R245" s="30">
        <v>345509.5</v>
      </c>
      <c r="S245" s="29">
        <v>17</v>
      </c>
      <c r="T245" s="14">
        <v>356.327</v>
      </c>
      <c r="U245" s="41"/>
      <c r="V245">
        <v>235</v>
      </c>
      <c r="W245" t="b">
        <f>V245&gt;=$C$4</f>
        <v>1</v>
      </c>
      <c r="X245">
        <f>IF(V245&lt;=$C$5,11,ROW()-$C$5+1)</f>
        <v>11</v>
      </c>
      <c r="Y245" s="14">
        <f t="shared" si="96"/>
        <v>235</v>
      </c>
      <c r="Z245" s="10">
        <f t="shared" si="104"/>
        <v>1.7099999999999991</v>
      </c>
      <c r="AA245" s="15">
        <f t="shared" si="105"/>
        <v>0.14540816326530603</v>
      </c>
      <c r="AB245" s="15">
        <f t="shared" si="106"/>
        <v>2.0606430845333521</v>
      </c>
      <c r="AC245" s="10">
        <f t="shared" si="97"/>
        <v>0.17522475208616939</v>
      </c>
      <c r="AD245">
        <f t="shared" si="107"/>
        <v>-1.1300000000000008</v>
      </c>
      <c r="AE245">
        <f t="shared" si="114"/>
        <v>0</v>
      </c>
      <c r="AF245">
        <f t="shared" si="115"/>
        <v>1.1300000000000008</v>
      </c>
      <c r="AG245">
        <f t="shared" si="123"/>
        <v>0.32162511627668994</v>
      </c>
      <c r="AH245">
        <f t="shared" si="123"/>
        <v>0.5866994414760891</v>
      </c>
      <c r="AI245">
        <f t="shared" si="108"/>
        <v>0.54819400452726996</v>
      </c>
      <c r="AJ245">
        <f t="shared" si="116"/>
        <v>35.408611771149253</v>
      </c>
      <c r="AK245" s="14">
        <f t="shared" si="98"/>
        <v>35.408611771149253</v>
      </c>
      <c r="AM245">
        <f t="shared" si="121"/>
        <v>-0.28727272727272724</v>
      </c>
      <c r="AN245" s="14">
        <f t="shared" si="109"/>
        <v>-8.7664856477889908E-2</v>
      </c>
      <c r="AO245">
        <f t="shared" si="118"/>
        <v>0</v>
      </c>
      <c r="AP245" s="14">
        <f t="shared" si="119"/>
        <v>0.2</v>
      </c>
      <c r="AQ245">
        <f t="shared" si="110"/>
        <v>-4.9761385499944577E-3</v>
      </c>
      <c r="AR245">
        <f t="shared" si="111"/>
        <v>-8.2688717927895436E-2</v>
      </c>
      <c r="AS245">
        <f t="shared" si="93"/>
        <v>3.3663402985372164E-3</v>
      </c>
      <c r="AT245">
        <f t="shared" si="94"/>
        <v>5.8829192643872333E-2</v>
      </c>
      <c r="AU245" s="14">
        <f t="shared" si="99"/>
        <v>5.7222276003610184E-2</v>
      </c>
      <c r="AV245" s="19">
        <f t="shared" si="95"/>
        <v>2.8931961468366123</v>
      </c>
      <c r="AW245" s="19">
        <f t="shared" si="122"/>
        <v>-0.47733333333333339</v>
      </c>
      <c r="AX245">
        <f t="shared" si="100"/>
        <v>0</v>
      </c>
      <c r="AY245">
        <f>IF(W245,SUMPRODUCT(INDEX(AX:AX,X245):INDEX(AX:AX,X245+Y245)),0)</f>
        <v>67</v>
      </c>
      <c r="AZ245">
        <f>IF(V245,COUNT(INDEX(AX:AX,X245):INDEX(AX:AX,ROW())),0)</f>
        <v>235</v>
      </c>
      <c r="BA245" s="14">
        <f t="shared" si="112"/>
        <v>0.28510638297872343</v>
      </c>
      <c r="BB245" s="6">
        <f t="shared" si="101"/>
        <v>17910480</v>
      </c>
      <c r="BC245" s="6">
        <f>MEDIAN(INDEX(BB:BB,X245):INDEX(BB:BB,X245+Y245-1))</f>
        <v>333861</v>
      </c>
      <c r="BD245" s="25">
        <f t="shared" si="102"/>
        <v>333861</v>
      </c>
      <c r="BE245">
        <f t="shared" si="113"/>
        <v>0</v>
      </c>
      <c r="BF245" s="6">
        <f>SUM(INDEX(BE:BE,X245):INDEX(BE:BE,X245+Y245-1))</f>
        <v>17</v>
      </c>
      <c r="BG245" s="25">
        <f t="shared" si="103"/>
        <v>17</v>
      </c>
    </row>
    <row r="246" spans="1:59" x14ac:dyDescent="0.3">
      <c r="A246" s="1">
        <v>44264</v>
      </c>
      <c r="B246">
        <v>12.27</v>
      </c>
      <c r="C246">
        <v>12.33</v>
      </c>
      <c r="D246">
        <v>11.81</v>
      </c>
      <c r="E246">
        <v>11.95</v>
      </c>
      <c r="F246">
        <v>1625700</v>
      </c>
      <c r="G246" s="29">
        <v>1.9541685784952501</v>
      </c>
      <c r="H246" s="29">
        <v>0.16352875133851499</v>
      </c>
      <c r="I246" s="29">
        <v>4.7698744769874499E-2</v>
      </c>
      <c r="J246" s="29">
        <v>36.431460772470302</v>
      </c>
      <c r="K246" s="29">
        <v>-0.25545171339563799</v>
      </c>
      <c r="L246" s="29">
        <v>0.4</v>
      </c>
      <c r="M246" s="29">
        <v>5.99414644218745E-2</v>
      </c>
      <c r="N246" s="29">
        <v>2.8643055665282202</v>
      </c>
      <c r="O246" s="29">
        <v>-0.46888888888888802</v>
      </c>
      <c r="P246" s="29">
        <v>1.6156462585033799E-2</v>
      </c>
      <c r="Q246" s="29">
        <v>0.293650793650793</v>
      </c>
      <c r="R246" s="30">
        <v>345509.5</v>
      </c>
      <c r="S246" s="29">
        <v>17</v>
      </c>
      <c r="T246" s="14">
        <v>361.41399999999999</v>
      </c>
      <c r="U246" s="41"/>
      <c r="V246">
        <v>236</v>
      </c>
      <c r="W246" t="b">
        <f>V246&gt;=$C$4</f>
        <v>1</v>
      </c>
      <c r="X246">
        <f>IF(V246&lt;=$C$5,11,ROW()-$C$5+1)</f>
        <v>11</v>
      </c>
      <c r="Y246" s="14">
        <f t="shared" si="96"/>
        <v>236</v>
      </c>
      <c r="Z246" s="10">
        <f t="shared" si="104"/>
        <v>0.57000000000000028</v>
      </c>
      <c r="AA246" s="15">
        <f t="shared" si="105"/>
        <v>4.7698744769874506E-2</v>
      </c>
      <c r="AB246" s="15">
        <f t="shared" si="106"/>
        <v>1.9541685784952556</v>
      </c>
      <c r="AC246" s="10">
        <f t="shared" si="97"/>
        <v>0.16352875133851513</v>
      </c>
      <c r="AD246">
        <f t="shared" si="107"/>
        <v>0.1899999999999995</v>
      </c>
      <c r="AE246">
        <f t="shared" si="114"/>
        <v>0.1899999999999995</v>
      </c>
      <c r="AF246">
        <f t="shared" si="115"/>
        <v>0</v>
      </c>
      <c r="AG246">
        <f t="shared" si="123"/>
        <v>0.31222332225692634</v>
      </c>
      <c r="AH246">
        <f t="shared" si="123"/>
        <v>0.54479233851351128</v>
      </c>
      <c r="AI246">
        <f t="shared" si="108"/>
        <v>0.57310520024720013</v>
      </c>
      <c r="AJ246">
        <f t="shared" si="116"/>
        <v>36.431460537867494</v>
      </c>
      <c r="AK246" s="14">
        <f t="shared" si="98"/>
        <v>36.431460537867494</v>
      </c>
      <c r="AM246">
        <f t="shared" si="121"/>
        <v>-0.25545171339563866</v>
      </c>
      <c r="AN246" s="14">
        <f t="shared" si="109"/>
        <v>1.6156462585033893E-2</v>
      </c>
      <c r="AO246">
        <f t="shared" si="118"/>
        <v>1</v>
      </c>
      <c r="AP246" s="14">
        <f t="shared" si="119"/>
        <v>0.4</v>
      </c>
      <c r="AQ246">
        <f t="shared" si="110"/>
        <v>1.4276212580017766E-2</v>
      </c>
      <c r="AR246">
        <f t="shared" si="111"/>
        <v>1.8802500050160327E-3</v>
      </c>
      <c r="AS246">
        <f t="shared" si="93"/>
        <v>3.5252269390557791E-3</v>
      </c>
      <c r="AT246">
        <f t="shared" si="94"/>
        <v>5.8811158069894211E-2</v>
      </c>
      <c r="AU246" s="14">
        <f t="shared" si="99"/>
        <v>5.9941464421874126E-2</v>
      </c>
      <c r="AV246" s="19">
        <f t="shared" si="95"/>
        <v>2.8643055665282899</v>
      </c>
      <c r="AW246" s="19">
        <f t="shared" si="122"/>
        <v>-0.46888888888888891</v>
      </c>
      <c r="AX246">
        <f t="shared" si="100"/>
        <v>0</v>
      </c>
      <c r="AY246">
        <f>IF(W246,SUMPRODUCT(INDEX(AX:AX,X246):INDEX(AX:AX,X246+Y246)),0)</f>
        <v>67</v>
      </c>
      <c r="AZ246">
        <f>IF(V246,COUNT(INDEX(AX:AX,X246):INDEX(AX:AX,ROW())),0)</f>
        <v>236</v>
      </c>
      <c r="BA246" s="14">
        <f t="shared" si="112"/>
        <v>0.28389830508474578</v>
      </c>
      <c r="BB246" s="6">
        <f t="shared" si="101"/>
        <v>19427115</v>
      </c>
      <c r="BC246" s="6">
        <f>MEDIAN(INDEX(BB:BB,X246):INDEX(BB:BB,X246+Y246-1))</f>
        <v>338700</v>
      </c>
      <c r="BD246" s="25">
        <f t="shared" si="102"/>
        <v>338700</v>
      </c>
      <c r="BE246">
        <f t="shared" si="113"/>
        <v>0</v>
      </c>
      <c r="BF246" s="6">
        <f>SUM(INDEX(BE:BE,X246):INDEX(BE:BE,X246+Y246-1))</f>
        <v>17</v>
      </c>
      <c r="BG246" s="25">
        <f t="shared" si="103"/>
        <v>17</v>
      </c>
    </row>
    <row r="247" spans="1:59" x14ac:dyDescent="0.3">
      <c r="A247" s="1">
        <v>44265</v>
      </c>
      <c r="B247">
        <v>12.32</v>
      </c>
      <c r="C247">
        <v>12.425000000000001</v>
      </c>
      <c r="D247">
        <v>11.53</v>
      </c>
      <c r="E247">
        <v>11.94</v>
      </c>
      <c r="F247">
        <v>2245600</v>
      </c>
      <c r="G247" s="29">
        <v>1.8785136800313</v>
      </c>
      <c r="H247" s="29">
        <v>0.15732945393896999</v>
      </c>
      <c r="I247" s="29">
        <v>7.4958123953098907E-2</v>
      </c>
      <c r="J247" s="29">
        <v>36.398790343141002</v>
      </c>
      <c r="K247" s="29">
        <v>-0.35840945728103102</v>
      </c>
      <c r="L247" s="29">
        <v>0.4</v>
      </c>
      <c r="M247" s="29">
        <v>5.66726401992277E-2</v>
      </c>
      <c r="N247" s="29">
        <v>2.84840451175593</v>
      </c>
      <c r="O247" s="29">
        <v>-0.46933333333333299</v>
      </c>
      <c r="P247" s="29">
        <v>-8.36820083682021E-4</v>
      </c>
      <c r="Q247" s="29">
        <v>0.293650793650793</v>
      </c>
      <c r="R247" s="30">
        <v>345509.5</v>
      </c>
      <c r="S247" s="29">
        <v>17</v>
      </c>
      <c r="T247" s="14">
        <v>363.66399999999999</v>
      </c>
      <c r="U247" s="41"/>
      <c r="V247">
        <v>237</v>
      </c>
      <c r="W247" t="b">
        <f>V247&gt;=$C$4</f>
        <v>1</v>
      </c>
      <c r="X247">
        <f>IF(V247&lt;=$C$5,11,ROW()-$C$5+1)</f>
        <v>11</v>
      </c>
      <c r="Y247" s="14">
        <f t="shared" si="96"/>
        <v>237</v>
      </c>
      <c r="Z247" s="10">
        <f t="shared" si="104"/>
        <v>0.89500000000000135</v>
      </c>
      <c r="AA247" s="15">
        <f t="shared" si="105"/>
        <v>7.4958123953098948E-2</v>
      </c>
      <c r="AB247" s="15">
        <f t="shared" si="106"/>
        <v>1.8785136800313091</v>
      </c>
      <c r="AC247" s="10">
        <f t="shared" si="97"/>
        <v>0.15732945393897063</v>
      </c>
      <c r="AD247">
        <f t="shared" si="107"/>
        <v>-9.9999999999997868E-3</v>
      </c>
      <c r="AE247">
        <f t="shared" si="114"/>
        <v>0</v>
      </c>
      <c r="AF247">
        <f t="shared" si="115"/>
        <v>9.9999999999997868E-3</v>
      </c>
      <c r="AG247">
        <f t="shared" si="123"/>
        <v>0.28992165638143158</v>
      </c>
      <c r="AH247">
        <f t="shared" si="123"/>
        <v>0.50659288576254613</v>
      </c>
      <c r="AI247">
        <f t="shared" si="108"/>
        <v>0.57229713351585787</v>
      </c>
      <c r="AJ247">
        <f t="shared" si="116"/>
        <v>36.39879010884718</v>
      </c>
      <c r="AK247" s="14">
        <f t="shared" si="98"/>
        <v>36.39879010884718</v>
      </c>
      <c r="AM247">
        <f t="shared" si="121"/>
        <v>-0.35840945728103168</v>
      </c>
      <c r="AN247" s="14">
        <f t="shared" si="109"/>
        <v>-8.3682008368202165E-4</v>
      </c>
      <c r="AO247">
        <f t="shared" si="118"/>
        <v>0</v>
      </c>
      <c r="AP247" s="14">
        <f t="shared" si="119"/>
        <v>0.4</v>
      </c>
      <c r="AQ247">
        <f t="shared" si="110"/>
        <v>6.2255474331376348E-3</v>
      </c>
      <c r="AR247">
        <f t="shared" si="111"/>
        <v>-7.0623675168196556E-3</v>
      </c>
      <c r="AS247">
        <f t="shared" si="93"/>
        <v>3.333819879521189E-3</v>
      </c>
      <c r="AT247">
        <f t="shared" si="94"/>
        <v>5.8825914370699187E-2</v>
      </c>
      <c r="AU247" s="14">
        <f t="shared" si="99"/>
        <v>5.6672640199227291E-2</v>
      </c>
      <c r="AV247" s="19">
        <f t="shared" si="95"/>
        <v>2.8484045117559997</v>
      </c>
      <c r="AW247" s="19">
        <f t="shared" si="122"/>
        <v>-0.46933333333333338</v>
      </c>
      <c r="AX247">
        <f t="shared" si="100"/>
        <v>0</v>
      </c>
      <c r="AY247">
        <f>IF(W247,SUMPRODUCT(INDEX(AX:AX,X247):INDEX(AX:AX,X247+Y247)),0)</f>
        <v>67</v>
      </c>
      <c r="AZ247">
        <f>IF(V247,COUNT(INDEX(AX:AX,X247):INDEX(AX:AX,ROW())),0)</f>
        <v>237</v>
      </c>
      <c r="BA247" s="14">
        <f t="shared" si="112"/>
        <v>0.28270042194092826</v>
      </c>
      <c r="BB247" s="6">
        <f t="shared" si="101"/>
        <v>26812464</v>
      </c>
      <c r="BC247" s="6">
        <f>MEDIAN(INDEX(BB:BB,X247):INDEX(BB:BB,X247+Y247-1))</f>
        <v>343539</v>
      </c>
      <c r="BD247" s="25">
        <f t="shared" si="102"/>
        <v>343539</v>
      </c>
      <c r="BE247">
        <f t="shared" si="113"/>
        <v>0</v>
      </c>
      <c r="BF247" s="6">
        <f>SUM(INDEX(BE:BE,X247):INDEX(BE:BE,X247+Y247-1))</f>
        <v>17</v>
      </c>
      <c r="BG247" s="25">
        <f t="shared" si="103"/>
        <v>17</v>
      </c>
    </row>
    <row r="248" spans="1:59" x14ac:dyDescent="0.3">
      <c r="A248" s="1">
        <v>44266</v>
      </c>
      <c r="B248">
        <v>12.49</v>
      </c>
      <c r="C248">
        <v>13.37</v>
      </c>
      <c r="D248">
        <v>12.2</v>
      </c>
      <c r="E248">
        <v>13.3</v>
      </c>
      <c r="F248">
        <v>1470800</v>
      </c>
      <c r="G248" s="29">
        <v>1.8464769886004999</v>
      </c>
      <c r="H248" s="29">
        <v>0.13883285628575201</v>
      </c>
      <c r="I248" s="29">
        <v>0.107518796992481</v>
      </c>
      <c r="J248" s="29">
        <v>43.7824814518548</v>
      </c>
      <c r="K248" s="29">
        <v>-0.40888888888888802</v>
      </c>
      <c r="L248" s="29">
        <v>0.6</v>
      </c>
      <c r="M248" s="29">
        <v>8.2910821450028496E-2</v>
      </c>
      <c r="N248" s="29">
        <v>2.9860167335840102</v>
      </c>
      <c r="O248" s="29">
        <v>-0.375</v>
      </c>
      <c r="P248" s="29">
        <v>0.113902847571189</v>
      </c>
      <c r="Q248" s="29">
        <v>0.28968253968253899</v>
      </c>
      <c r="R248" s="30">
        <v>350826</v>
      </c>
      <c r="S248" s="29">
        <v>17</v>
      </c>
      <c r="T248" s="14">
        <v>367.351</v>
      </c>
      <c r="U248" s="41"/>
      <c r="V248">
        <v>238</v>
      </c>
      <c r="W248" t="b">
        <f>V248&gt;=$C$4</f>
        <v>1</v>
      </c>
      <c r="X248">
        <f>IF(V248&lt;=$C$5,11,ROW()-$C$5+1)</f>
        <v>11</v>
      </c>
      <c r="Y248" s="14">
        <f t="shared" si="96"/>
        <v>238</v>
      </c>
      <c r="Z248" s="10">
        <f t="shared" si="104"/>
        <v>1.4299999999999997</v>
      </c>
      <c r="AA248" s="15">
        <f t="shared" si="105"/>
        <v>0.10751879699248118</v>
      </c>
      <c r="AB248" s="15">
        <f t="shared" si="106"/>
        <v>1.8464769886005015</v>
      </c>
      <c r="AC248" s="10">
        <f t="shared" si="97"/>
        <v>0.13883285628575198</v>
      </c>
      <c r="AD248">
        <f t="shared" si="107"/>
        <v>1.3600000000000012</v>
      </c>
      <c r="AE248">
        <f t="shared" si="114"/>
        <v>1.3600000000000012</v>
      </c>
      <c r="AF248">
        <f t="shared" si="115"/>
        <v>0</v>
      </c>
      <c r="AG248">
        <f t="shared" si="123"/>
        <v>0.36635582378275799</v>
      </c>
      <c r="AH248">
        <f t="shared" si="123"/>
        <v>0.47040767963664998</v>
      </c>
      <c r="AI248">
        <f t="shared" si="108"/>
        <v>0.77880493801830952</v>
      </c>
      <c r="AJ248">
        <f t="shared" si="116"/>
        <v>43.782481225060167</v>
      </c>
      <c r="AK248" s="14">
        <f t="shared" si="98"/>
        <v>43.782481225060167</v>
      </c>
      <c r="AM248">
        <f t="shared" si="121"/>
        <v>-0.40888888888888886</v>
      </c>
      <c r="AN248" s="14">
        <f t="shared" si="109"/>
        <v>0.1139028475711894</v>
      </c>
      <c r="AO248">
        <f t="shared" si="118"/>
        <v>1</v>
      </c>
      <c r="AP248" s="14">
        <f t="shared" si="119"/>
        <v>0.6</v>
      </c>
      <c r="AQ248">
        <f t="shared" si="110"/>
        <v>1.0138479475559903E-2</v>
      </c>
      <c r="AR248">
        <f t="shared" si="111"/>
        <v>0.1037643680956291</v>
      </c>
      <c r="AS248">
        <f t="shared" si="93"/>
        <v>4.9885540303724598E-3</v>
      </c>
      <c r="AT248">
        <f t="shared" si="94"/>
        <v>6.016770721996955E-2</v>
      </c>
      <c r="AU248" s="14">
        <f t="shared" si="99"/>
        <v>8.2910821450028066E-2</v>
      </c>
      <c r="AV248" s="19">
        <f t="shared" si="95"/>
        <v>2.9860167335840826</v>
      </c>
      <c r="AW248" s="19">
        <f t="shared" si="122"/>
        <v>-0.375</v>
      </c>
      <c r="AX248">
        <f t="shared" si="100"/>
        <v>0</v>
      </c>
      <c r="AY248">
        <f>IF(W248,SUMPRODUCT(INDEX(AX:AX,X248):INDEX(AX:AX,X248+Y248)),0)</f>
        <v>67</v>
      </c>
      <c r="AZ248">
        <f>IF(V248,COUNT(INDEX(AX:AX,X248):INDEX(AX:AX,ROW())),0)</f>
        <v>238</v>
      </c>
      <c r="BA248" s="14">
        <f t="shared" si="112"/>
        <v>0.28151260504201681</v>
      </c>
      <c r="BB248" s="6">
        <f t="shared" si="101"/>
        <v>19561640</v>
      </c>
      <c r="BC248" s="6">
        <f>MEDIAN(INDEX(BB:BB,X248):INDEX(BB:BB,X248+Y248-1))</f>
        <v>345509.5</v>
      </c>
      <c r="BD248" s="25">
        <f t="shared" si="102"/>
        <v>345509.5</v>
      </c>
      <c r="BE248">
        <f t="shared" si="113"/>
        <v>0</v>
      </c>
      <c r="BF248" s="6">
        <f>SUM(INDEX(BE:BE,X248):INDEX(BE:BE,X248+Y248-1))</f>
        <v>17</v>
      </c>
      <c r="BG248" s="25">
        <f t="shared" si="103"/>
        <v>17</v>
      </c>
    </row>
    <row r="249" spans="1:59" x14ac:dyDescent="0.3">
      <c r="A249" s="1">
        <v>44267</v>
      </c>
      <c r="B249">
        <v>12.56</v>
      </c>
      <c r="C249">
        <v>14.5</v>
      </c>
      <c r="D249">
        <v>12.55</v>
      </c>
      <c r="E249">
        <v>13.8</v>
      </c>
      <c r="F249">
        <v>1575400</v>
      </c>
      <c r="G249" s="29">
        <v>1.8538714894147501</v>
      </c>
      <c r="H249" s="29">
        <v>0.13433851372570599</v>
      </c>
      <c r="I249" s="29">
        <v>0.141304347826086</v>
      </c>
      <c r="J249" s="29">
        <v>46.252945794054703</v>
      </c>
      <c r="K249" s="29">
        <v>-0.35150375939849599</v>
      </c>
      <c r="L249" s="29">
        <v>0.6</v>
      </c>
      <c r="M249" s="29">
        <v>8.9917033745893202E-2</v>
      </c>
      <c r="N249" s="29">
        <v>3.0311375083598699</v>
      </c>
      <c r="O249" s="29">
        <v>-0.33971291866028602</v>
      </c>
      <c r="P249" s="29">
        <v>3.7593984962405999E-2</v>
      </c>
      <c r="Q249" s="29">
        <v>0.28968253968253899</v>
      </c>
      <c r="R249" s="30">
        <v>350826</v>
      </c>
      <c r="S249" s="29">
        <v>17</v>
      </c>
      <c r="T249" s="14">
        <v>367.846</v>
      </c>
      <c r="U249" s="41"/>
      <c r="V249">
        <v>239</v>
      </c>
      <c r="W249" t="b">
        <f>V249&gt;=$C$4</f>
        <v>1</v>
      </c>
      <c r="X249">
        <f>IF(V249&lt;=$C$5,11,ROW()-$C$5+1)</f>
        <v>11</v>
      </c>
      <c r="Y249" s="14">
        <f t="shared" si="96"/>
        <v>239</v>
      </c>
      <c r="Z249" s="10">
        <f t="shared" si="104"/>
        <v>1.9499999999999993</v>
      </c>
      <c r="AA249" s="15">
        <f t="shared" si="105"/>
        <v>0.14130434782608689</v>
      </c>
      <c r="AB249" s="15">
        <f t="shared" si="106"/>
        <v>1.8538714894147514</v>
      </c>
      <c r="AC249" s="10">
        <f t="shared" si="97"/>
        <v>0.13433851372570663</v>
      </c>
      <c r="AD249">
        <f t="shared" si="107"/>
        <v>0.5</v>
      </c>
      <c r="AE249">
        <f t="shared" si="114"/>
        <v>0.5</v>
      </c>
      <c r="AF249">
        <f t="shared" si="115"/>
        <v>0</v>
      </c>
      <c r="AG249">
        <f t="shared" si="123"/>
        <v>0.37590183636970387</v>
      </c>
      <c r="AH249">
        <f t="shared" si="123"/>
        <v>0.43680713109117503</v>
      </c>
      <c r="AI249">
        <f t="shared" si="108"/>
        <v>0.86056707781000408</v>
      </c>
      <c r="AJ249">
        <f t="shared" si="116"/>
        <v>46.252945570924631</v>
      </c>
      <c r="AK249" s="14">
        <f t="shared" si="98"/>
        <v>46.252945570924631</v>
      </c>
      <c r="AM249">
        <f t="shared" si="121"/>
        <v>-0.35150375939849621</v>
      </c>
      <c r="AN249" s="14">
        <f t="shared" si="109"/>
        <v>3.7593984962406068E-2</v>
      </c>
      <c r="AO249">
        <f t="shared" si="118"/>
        <v>1</v>
      </c>
      <c r="AP249" s="14">
        <f t="shared" si="119"/>
        <v>0.6</v>
      </c>
      <c r="AQ249">
        <f t="shared" si="110"/>
        <v>1.3474851028036916E-3</v>
      </c>
      <c r="AR249">
        <f t="shared" si="111"/>
        <v>3.6246499859602307E-2</v>
      </c>
      <c r="AS249">
        <f t="shared" si="93"/>
        <v>5.4215318600899327E-3</v>
      </c>
      <c r="AT249">
        <f t="shared" si="94"/>
        <v>6.0294825510050568E-2</v>
      </c>
      <c r="AU249" s="14">
        <f t="shared" si="99"/>
        <v>8.9917033745892758E-2</v>
      </c>
      <c r="AV249" s="19">
        <f t="shared" si="95"/>
        <v>3.0311375083599397</v>
      </c>
      <c r="AW249" s="19">
        <f t="shared" si="122"/>
        <v>-0.33971291866028697</v>
      </c>
      <c r="AX249">
        <f t="shared" si="100"/>
        <v>0</v>
      </c>
      <c r="AY249">
        <f>IF(W249,SUMPRODUCT(INDEX(AX:AX,X249):INDEX(AX:AX,X249+Y249)),0)</f>
        <v>67</v>
      </c>
      <c r="AZ249">
        <f>IF(V249,COUNT(INDEX(AX:AX,X249):INDEX(AX:AX,ROW())),0)</f>
        <v>239</v>
      </c>
      <c r="BA249" s="14">
        <f t="shared" si="112"/>
        <v>0.28033472803347281</v>
      </c>
      <c r="BB249" s="6">
        <f t="shared" si="101"/>
        <v>21740520</v>
      </c>
      <c r="BC249" s="6">
        <f>MEDIAN(INDEX(BB:BB,X249):INDEX(BB:BB,X249+Y249-1))</f>
        <v>347480</v>
      </c>
      <c r="BD249" s="25">
        <f t="shared" si="102"/>
        <v>347480</v>
      </c>
      <c r="BE249">
        <f t="shared" si="113"/>
        <v>0</v>
      </c>
      <c r="BF249" s="6">
        <f>SUM(INDEX(BE:BE,X249):INDEX(BE:BE,X249+Y249-1))</f>
        <v>17</v>
      </c>
      <c r="BG249" s="25">
        <f t="shared" si="103"/>
        <v>17</v>
      </c>
    </row>
    <row r="250" spans="1:59" x14ac:dyDescent="0.3">
      <c r="A250" s="1">
        <v>44270</v>
      </c>
      <c r="B250">
        <v>14.13</v>
      </c>
      <c r="C250">
        <v>14.4</v>
      </c>
      <c r="D250">
        <v>13.27</v>
      </c>
      <c r="E250">
        <v>13.6</v>
      </c>
      <c r="F250">
        <v>1318100</v>
      </c>
      <c r="G250" s="29">
        <v>1.8021663830279799</v>
      </c>
      <c r="H250" s="29">
        <v>0.13251223404617499</v>
      </c>
      <c r="I250" s="29">
        <v>8.3088235294117699E-2</v>
      </c>
      <c r="J250" s="29">
        <v>45.393642210535397</v>
      </c>
      <c r="K250" s="29">
        <v>-0.34928229665071697</v>
      </c>
      <c r="L250" s="29">
        <v>0.6</v>
      </c>
      <c r="M250" s="29">
        <v>8.1257783481409496E-2</v>
      </c>
      <c r="N250" s="29">
        <v>3.0044181856082202</v>
      </c>
      <c r="O250" s="29">
        <v>-0.33755479785679499</v>
      </c>
      <c r="P250" s="29">
        <v>-1.4492753623188401E-2</v>
      </c>
      <c r="Q250" s="29">
        <v>0.28968253968253899</v>
      </c>
      <c r="R250" s="30">
        <v>355761</v>
      </c>
      <c r="S250" s="29">
        <v>17</v>
      </c>
      <c r="T250" s="14">
        <v>370.03899999999999</v>
      </c>
      <c r="U250" s="41"/>
      <c r="V250">
        <v>240</v>
      </c>
      <c r="W250" t="b">
        <f>V250&gt;=$C$4</f>
        <v>1</v>
      </c>
      <c r="X250">
        <f>IF(V250&lt;=$C$5,11,ROW()-$C$5+1)</f>
        <v>11</v>
      </c>
      <c r="Y250" s="14">
        <f t="shared" si="96"/>
        <v>240</v>
      </c>
      <c r="Z250" s="10">
        <f t="shared" si="104"/>
        <v>1.1300000000000008</v>
      </c>
      <c r="AA250" s="15">
        <f t="shared" si="105"/>
        <v>8.3088235294117713E-2</v>
      </c>
      <c r="AB250" s="15">
        <f t="shared" si="106"/>
        <v>1.8021663830279837</v>
      </c>
      <c r="AC250" s="10">
        <f t="shared" si="97"/>
        <v>0.13251223404617526</v>
      </c>
      <c r="AD250">
        <f t="shared" si="107"/>
        <v>-0.20000000000000107</v>
      </c>
      <c r="AE250">
        <f t="shared" si="114"/>
        <v>0</v>
      </c>
      <c r="AF250">
        <f t="shared" si="115"/>
        <v>0.20000000000000107</v>
      </c>
      <c r="AG250">
        <f t="shared" si="123"/>
        <v>0.34905170520043927</v>
      </c>
      <c r="AH250">
        <f t="shared" si="123"/>
        <v>0.41989233601323406</v>
      </c>
      <c r="AI250">
        <f t="shared" si="108"/>
        <v>0.83128858343686929</v>
      </c>
      <c r="AJ250">
        <f t="shared" si="116"/>
        <v>45.393641993702005</v>
      </c>
      <c r="AK250" s="14">
        <f t="shared" si="98"/>
        <v>45.393641993702005</v>
      </c>
      <c r="AM250">
        <f t="shared" si="121"/>
        <v>-0.34928229665071764</v>
      </c>
      <c r="AN250" s="14">
        <f t="shared" si="109"/>
        <v>-1.449275362318847E-2</v>
      </c>
      <c r="AO250">
        <f t="shared" si="118"/>
        <v>0</v>
      </c>
      <c r="AP250" s="14">
        <f t="shared" si="119"/>
        <v>0.6</v>
      </c>
      <c r="AQ250">
        <f t="shared" si="110"/>
        <v>5.9617339865052354E-3</v>
      </c>
      <c r="AR250">
        <f t="shared" si="111"/>
        <v>-2.0454487609693636E-2</v>
      </c>
      <c r="AS250">
        <f t="shared" si="93"/>
        <v>4.9060411477760317E-3</v>
      </c>
      <c r="AT250">
        <f t="shared" si="94"/>
        <v>6.0376261049484348E-2</v>
      </c>
      <c r="AU250" s="14">
        <f t="shared" si="99"/>
        <v>8.1257783481409079E-2</v>
      </c>
      <c r="AV250" s="19">
        <f t="shared" si="95"/>
        <v>3.0044181856082832</v>
      </c>
      <c r="AW250" s="19">
        <f t="shared" si="122"/>
        <v>-0.33755479785679499</v>
      </c>
      <c r="AX250">
        <f t="shared" si="100"/>
        <v>0</v>
      </c>
      <c r="AY250">
        <f>IF(W250,SUMPRODUCT(INDEX(AX:AX,X250):INDEX(AX:AX,X250+Y250)),0)</f>
        <v>67</v>
      </c>
      <c r="AZ250">
        <f>IF(V250,COUNT(INDEX(AX:AX,X250):INDEX(AX:AX,ROW())),0)</f>
        <v>240</v>
      </c>
      <c r="BA250" s="14">
        <f t="shared" si="112"/>
        <v>0.27916666666666667</v>
      </c>
      <c r="BB250" s="6">
        <f t="shared" si="101"/>
        <v>17926160</v>
      </c>
      <c r="BC250" s="6">
        <f>MEDIAN(INDEX(BB:BB,X250):INDEX(BB:BB,X250+Y250-1))</f>
        <v>352415</v>
      </c>
      <c r="BD250" s="25">
        <f t="shared" si="102"/>
        <v>352415</v>
      </c>
      <c r="BE250">
        <f t="shared" si="113"/>
        <v>0</v>
      </c>
      <c r="BF250" s="6">
        <f>SUM(INDEX(BE:BE,X250):INDEX(BE:BE,X250+Y250-1))</f>
        <v>17</v>
      </c>
      <c r="BG250" s="25">
        <f t="shared" si="103"/>
        <v>17</v>
      </c>
    </row>
    <row r="251" spans="1:59" x14ac:dyDescent="0.3">
      <c r="A251" s="1">
        <v>44271</v>
      </c>
      <c r="B251">
        <v>13.49</v>
      </c>
      <c r="C251">
        <v>13.5</v>
      </c>
      <c r="D251">
        <v>12.54</v>
      </c>
      <c r="E251">
        <v>12.94</v>
      </c>
      <c r="F251">
        <v>1024500</v>
      </c>
      <c r="G251" s="29">
        <v>1.7491544985259799</v>
      </c>
      <c r="H251" s="29">
        <v>0.135174227088561</v>
      </c>
      <c r="I251" s="29">
        <v>8.1916537867078795E-2</v>
      </c>
      <c r="J251" s="29">
        <v>42.582170954641299</v>
      </c>
      <c r="K251" s="29">
        <v>-0.35525660189337299</v>
      </c>
      <c r="L251" s="29">
        <v>0.4</v>
      </c>
      <c r="M251" s="29">
        <v>6.9641680799500102E-2</v>
      </c>
      <c r="N251" s="29">
        <v>3.0245814449220898</v>
      </c>
      <c r="O251" s="29">
        <v>-0.36970287384315598</v>
      </c>
      <c r="P251" s="29">
        <v>-4.8529411764705897E-2</v>
      </c>
      <c r="Q251" s="29">
        <v>0.28968253968253899</v>
      </c>
      <c r="R251" s="30">
        <v>355761</v>
      </c>
      <c r="S251" s="29">
        <v>17</v>
      </c>
      <c r="T251" s="14">
        <v>369.57299999999998</v>
      </c>
      <c r="U251" s="41"/>
      <c r="V251">
        <v>241</v>
      </c>
      <c r="W251" t="b">
        <f>V251&gt;=$C$4</f>
        <v>1</v>
      </c>
      <c r="X251">
        <f>IF(V251&lt;=$C$5,11,ROW()-$C$5+1)</f>
        <v>11</v>
      </c>
      <c r="Y251" s="14">
        <f t="shared" si="96"/>
        <v>241</v>
      </c>
      <c r="Z251" s="10">
        <f t="shared" si="104"/>
        <v>1.0600000000000005</v>
      </c>
      <c r="AA251" s="15">
        <f t="shared" si="105"/>
        <v>8.1916537867078865E-2</v>
      </c>
      <c r="AB251" s="15">
        <f t="shared" si="106"/>
        <v>1.7491544985259846</v>
      </c>
      <c r="AC251" s="10">
        <f t="shared" si="97"/>
        <v>0.13517422708856142</v>
      </c>
      <c r="AD251">
        <f t="shared" si="107"/>
        <v>-0.66000000000000014</v>
      </c>
      <c r="AE251">
        <f t="shared" si="114"/>
        <v>0</v>
      </c>
      <c r="AF251">
        <f t="shared" si="115"/>
        <v>0.66000000000000014</v>
      </c>
      <c r="AG251">
        <f t="shared" si="123"/>
        <v>0.32411944054326502</v>
      </c>
      <c r="AH251">
        <f t="shared" si="123"/>
        <v>0.43704288344086023</v>
      </c>
      <c r="AI251">
        <f t="shared" si="108"/>
        <v>0.74161930744977844</v>
      </c>
      <c r="AJ251">
        <f t="shared" si="116"/>
        <v>42.582170757840196</v>
      </c>
      <c r="AK251" s="14">
        <f t="shared" si="98"/>
        <v>42.582170757840196</v>
      </c>
      <c r="AM251">
        <f t="shared" si="121"/>
        <v>-0.35525660189337327</v>
      </c>
      <c r="AN251" s="14">
        <f t="shared" si="109"/>
        <v>-4.8529411764705932E-2</v>
      </c>
      <c r="AO251">
        <f t="shared" si="118"/>
        <v>0</v>
      </c>
      <c r="AP251" s="14">
        <f t="shared" si="119"/>
        <v>0.4</v>
      </c>
      <c r="AQ251">
        <f t="shared" si="110"/>
        <v>-1.2593267196160385E-3</v>
      </c>
      <c r="AR251">
        <f t="shared" si="111"/>
        <v>-4.7270085045089859E-2</v>
      </c>
      <c r="AS251">
        <f t="shared" si="93"/>
        <v>4.2288480009784486E-3</v>
      </c>
      <c r="AT251">
        <f t="shared" si="94"/>
        <v>6.0722945690432489E-2</v>
      </c>
      <c r="AU251" s="14">
        <f t="shared" si="99"/>
        <v>6.9641680799499589E-2</v>
      </c>
      <c r="AV251" s="19">
        <f t="shared" si="95"/>
        <v>3.024581444922156</v>
      </c>
      <c r="AW251" s="19">
        <f t="shared" si="122"/>
        <v>-0.36970287384315637</v>
      </c>
      <c r="AX251">
        <f t="shared" si="100"/>
        <v>0</v>
      </c>
      <c r="AY251">
        <f>IF(W251,SUMPRODUCT(INDEX(AX:AX,X251):INDEX(AX:AX,X251+Y251)),0)</f>
        <v>67</v>
      </c>
      <c r="AZ251">
        <f>IF(V251,COUNT(INDEX(AX:AX,X251):INDEX(AX:AX,ROW())),0)</f>
        <v>241</v>
      </c>
      <c r="BA251" s="14">
        <f t="shared" si="112"/>
        <v>0.27800829875518673</v>
      </c>
      <c r="BB251" s="6">
        <f t="shared" si="101"/>
        <v>13257030</v>
      </c>
      <c r="BC251" s="6">
        <f>MEDIAN(INDEX(BB:BB,X251):INDEX(BB:BB,X251+Y251-1))</f>
        <v>357350.00000000006</v>
      </c>
      <c r="BD251" s="25">
        <f t="shared" si="102"/>
        <v>357350.00000000006</v>
      </c>
      <c r="BE251">
        <f t="shared" si="113"/>
        <v>0</v>
      </c>
      <c r="BF251" s="6">
        <f>SUM(INDEX(BE:BE,X251):INDEX(BE:BE,X251+Y251-1))</f>
        <v>17</v>
      </c>
      <c r="BG251" s="25">
        <f t="shared" si="103"/>
        <v>17</v>
      </c>
    </row>
    <row r="252" spans="1:59" x14ac:dyDescent="0.3">
      <c r="A252" s="1">
        <v>44272</v>
      </c>
      <c r="B252">
        <v>12.3</v>
      </c>
      <c r="C252">
        <v>13.55</v>
      </c>
      <c r="D252">
        <v>12.14</v>
      </c>
      <c r="E252">
        <v>13</v>
      </c>
      <c r="F252">
        <v>1595500</v>
      </c>
      <c r="G252" s="29">
        <v>1.7249291772027</v>
      </c>
      <c r="H252" s="29">
        <v>0.132686859784823</v>
      </c>
      <c r="I252" s="29">
        <v>0.108461538461538</v>
      </c>
      <c r="J252" s="29">
        <v>42.928231387672199</v>
      </c>
      <c r="K252" s="29">
        <v>-0.36678032148075901</v>
      </c>
      <c r="L252" s="29">
        <v>0.6</v>
      </c>
      <c r="M252" s="29">
        <v>6.8791180189036197E-2</v>
      </c>
      <c r="N252" s="29">
        <v>3.03510531442382</v>
      </c>
      <c r="O252" s="29">
        <v>-0.330242143225141</v>
      </c>
      <c r="P252" s="29">
        <v>4.6367851622874899E-3</v>
      </c>
      <c r="Q252" s="29">
        <v>0.28968253968253899</v>
      </c>
      <c r="R252" s="30">
        <v>355761</v>
      </c>
      <c r="S252" s="29">
        <v>17</v>
      </c>
      <c r="T252" s="14">
        <v>370.83300000000003</v>
      </c>
      <c r="U252" s="41"/>
      <c r="V252">
        <v>242</v>
      </c>
      <c r="W252" t="b">
        <f>V252&gt;=$C$4</f>
        <v>1</v>
      </c>
      <c r="X252">
        <f>IF(V252&lt;=$C$5,11,ROW()-$C$5+1)</f>
        <v>11</v>
      </c>
      <c r="Y252" s="14">
        <f t="shared" si="96"/>
        <v>242</v>
      </c>
      <c r="Z252" s="10">
        <f t="shared" si="104"/>
        <v>1.4100000000000001</v>
      </c>
      <c r="AA252" s="15">
        <f t="shared" si="105"/>
        <v>0.10846153846153847</v>
      </c>
      <c r="AB252" s="15">
        <f t="shared" si="106"/>
        <v>1.7249291772027</v>
      </c>
      <c r="AC252" s="10">
        <f t="shared" si="97"/>
        <v>0.13268685978482309</v>
      </c>
      <c r="AD252">
        <f t="shared" si="107"/>
        <v>6.0000000000000497E-2</v>
      </c>
      <c r="AE252">
        <f t="shared" si="114"/>
        <v>6.0000000000000497E-2</v>
      </c>
      <c r="AF252">
        <f t="shared" si="115"/>
        <v>0</v>
      </c>
      <c r="AG252">
        <f t="shared" si="123"/>
        <v>0.30525376621874617</v>
      </c>
      <c r="AH252">
        <f t="shared" si="123"/>
        <v>0.40582553462365595</v>
      </c>
      <c r="AI252">
        <f t="shared" si="108"/>
        <v>0.75217979199318885</v>
      </c>
      <c r="AJ252">
        <f t="shared" si="116"/>
        <v>42.928231191249388</v>
      </c>
      <c r="AK252" s="14">
        <f t="shared" si="98"/>
        <v>42.928231191249388</v>
      </c>
      <c r="AM252">
        <f t="shared" si="121"/>
        <v>-0.3667803214807599</v>
      </c>
      <c r="AN252" s="14">
        <f t="shared" si="109"/>
        <v>4.6367851622874934E-3</v>
      </c>
      <c r="AO252">
        <f t="shared" si="118"/>
        <v>1</v>
      </c>
      <c r="AP252" s="14">
        <f t="shared" si="119"/>
        <v>0.6</v>
      </c>
      <c r="AQ252">
        <f t="shared" si="110"/>
        <v>3.4093399680172887E-3</v>
      </c>
      <c r="AR252">
        <f t="shared" si="111"/>
        <v>1.2274451942702012E-3</v>
      </c>
      <c r="AS252">
        <f t="shared" si="93"/>
        <v>4.1772833105957682E-3</v>
      </c>
      <c r="AT252">
        <f t="shared" si="94"/>
        <v>6.0724111711948227E-2</v>
      </c>
      <c r="AU252" s="14">
        <f t="shared" si="99"/>
        <v>6.879118018903578E-2</v>
      </c>
      <c r="AV252" s="19">
        <f t="shared" si="95"/>
        <v>3.0351053144238924</v>
      </c>
      <c r="AW252" s="19">
        <f t="shared" si="122"/>
        <v>-0.33024214322514167</v>
      </c>
      <c r="AX252">
        <f t="shared" si="100"/>
        <v>0</v>
      </c>
      <c r="AY252">
        <f>IF(W252,SUMPRODUCT(INDEX(AX:AX,X252):INDEX(AX:AX,X252+Y252)),0)</f>
        <v>67</v>
      </c>
      <c r="AZ252">
        <f>IF(V252,COUNT(INDEX(AX:AX,X252):INDEX(AX:AX,ROW())),0)</f>
        <v>242</v>
      </c>
      <c r="BA252" s="14">
        <f t="shared" si="112"/>
        <v>0.27685950413223143</v>
      </c>
      <c r="BB252" s="6">
        <f t="shared" si="101"/>
        <v>20741500</v>
      </c>
      <c r="BC252" s="6">
        <f>MEDIAN(INDEX(BB:BB,X252):INDEX(BB:BB,X252+Y252-1))</f>
        <v>403859</v>
      </c>
      <c r="BD252" s="25">
        <f t="shared" si="102"/>
        <v>403859</v>
      </c>
      <c r="BE252">
        <f t="shared" si="113"/>
        <v>0</v>
      </c>
      <c r="BF252" s="6">
        <f>SUM(INDEX(BE:BE,X252):INDEX(BE:BE,X252+Y252-1))</f>
        <v>17</v>
      </c>
      <c r="BG252" s="25">
        <f t="shared" si="103"/>
        <v>17</v>
      </c>
    </row>
    <row r="253" spans="1:59" x14ac:dyDescent="0.3">
      <c r="A253" s="1">
        <v>44273</v>
      </c>
      <c r="B253">
        <v>12.66</v>
      </c>
      <c r="C253">
        <v>13.048999999999999</v>
      </c>
      <c r="D253">
        <v>12.21</v>
      </c>
      <c r="E253">
        <v>12.35</v>
      </c>
      <c r="F253">
        <v>1077700</v>
      </c>
      <c r="G253" s="29">
        <v>1.66164852168822</v>
      </c>
      <c r="H253" s="29">
        <v>0.13454643900309399</v>
      </c>
      <c r="I253" s="29">
        <v>6.7935222672064602E-2</v>
      </c>
      <c r="J253" s="29">
        <v>40.108010719879701</v>
      </c>
      <c r="K253" s="29">
        <v>-0.36373003606388399</v>
      </c>
      <c r="L253" s="29">
        <v>0.4</v>
      </c>
      <c r="M253" s="29">
        <v>6.2886888672597702E-2</v>
      </c>
      <c r="N253" s="29">
        <v>3.14924489798819</v>
      </c>
      <c r="O253" s="29">
        <v>-0.36175710594315202</v>
      </c>
      <c r="P253" s="29">
        <v>-0.05</v>
      </c>
      <c r="Q253" s="29">
        <v>0.28968253968253899</v>
      </c>
      <c r="R253" s="30">
        <v>355761</v>
      </c>
      <c r="S253" s="29">
        <v>17</v>
      </c>
      <c r="T253" s="14">
        <v>365.43700000000001</v>
      </c>
      <c r="U253" s="41"/>
      <c r="V253">
        <v>243</v>
      </c>
      <c r="W253" t="b">
        <f>V253&gt;=$C$4</f>
        <v>1</v>
      </c>
      <c r="X253">
        <f>IF(V253&lt;=$C$5,11,ROW()-$C$5+1)</f>
        <v>11</v>
      </c>
      <c r="Y253" s="14">
        <f t="shared" si="96"/>
        <v>243</v>
      </c>
      <c r="Z253" s="10">
        <f t="shared" si="104"/>
        <v>0.83899999999999864</v>
      </c>
      <c r="AA253" s="15">
        <f t="shared" si="105"/>
        <v>6.7935222672064671E-2</v>
      </c>
      <c r="AB253" s="15">
        <f t="shared" si="106"/>
        <v>1.6616485216882213</v>
      </c>
      <c r="AC253" s="10">
        <f t="shared" si="97"/>
        <v>0.13454643900309485</v>
      </c>
      <c r="AD253">
        <f t="shared" si="107"/>
        <v>-0.65000000000000036</v>
      </c>
      <c r="AE253">
        <f t="shared" si="114"/>
        <v>0</v>
      </c>
      <c r="AF253">
        <f t="shared" si="115"/>
        <v>0.65000000000000036</v>
      </c>
      <c r="AG253">
        <f t="shared" si="123"/>
        <v>0.28344992577455003</v>
      </c>
      <c r="AH253">
        <f t="shared" si="123"/>
        <v>0.42326656786482342</v>
      </c>
      <c r="AI253">
        <f t="shared" si="108"/>
        <v>0.66967237030890203</v>
      </c>
      <c r="AJ253">
        <f t="shared" si="116"/>
        <v>40.108010542511856</v>
      </c>
      <c r="AK253" s="14">
        <f t="shared" si="98"/>
        <v>40.108010542511856</v>
      </c>
      <c r="AM253">
        <f t="shared" si="121"/>
        <v>-0.36373003606388465</v>
      </c>
      <c r="AN253" s="14">
        <f t="shared" si="109"/>
        <v>-5.0000000000000044E-2</v>
      </c>
      <c r="AO253">
        <f t="shared" si="118"/>
        <v>0</v>
      </c>
      <c r="AP253" s="14">
        <f t="shared" si="119"/>
        <v>0.4</v>
      </c>
      <c r="AQ253">
        <f t="shared" si="110"/>
        <v>-1.4551024315527461E-2</v>
      </c>
      <c r="AR253">
        <f t="shared" si="111"/>
        <v>-3.5448975684472542E-2</v>
      </c>
      <c r="AS253">
        <f t="shared" si="93"/>
        <v>3.829171614867647E-3</v>
      </c>
      <c r="AT253">
        <f t="shared" si="94"/>
        <v>6.0889824503850748E-2</v>
      </c>
      <c r="AU253" s="14">
        <f t="shared" si="99"/>
        <v>6.2886888672597258E-2</v>
      </c>
      <c r="AV253" s="19">
        <f t="shared" si="95"/>
        <v>3.1492448979882597</v>
      </c>
      <c r="AW253" s="19">
        <f t="shared" si="122"/>
        <v>-0.36175710594315247</v>
      </c>
      <c r="AX253">
        <f t="shared" si="100"/>
        <v>0</v>
      </c>
      <c r="AY253">
        <f>IF(W253,SUMPRODUCT(INDEX(AX:AX,X253):INDEX(AX:AX,X253+Y253)),0)</f>
        <v>67</v>
      </c>
      <c r="AZ253">
        <f>IF(V253,COUNT(INDEX(AX:AX,X253):INDEX(AX:AX,ROW())),0)</f>
        <v>243</v>
      </c>
      <c r="BA253" s="14">
        <f t="shared" si="112"/>
        <v>0.27572016460905352</v>
      </c>
      <c r="BB253" s="6">
        <f t="shared" si="101"/>
        <v>13309595</v>
      </c>
      <c r="BC253" s="6">
        <f>MEDIAN(INDEX(BB:BB,X253):INDEX(BB:BB,X253+Y253-1))</f>
        <v>450368</v>
      </c>
      <c r="BD253" s="25">
        <f t="shared" si="102"/>
        <v>450368</v>
      </c>
      <c r="BE253">
        <f t="shared" si="113"/>
        <v>0</v>
      </c>
      <c r="BF253" s="6">
        <f>SUM(INDEX(BE:BE,X253):INDEX(BE:BE,X253+Y253-1))</f>
        <v>17</v>
      </c>
      <c r="BG253" s="25">
        <f t="shared" si="103"/>
        <v>17</v>
      </c>
    </row>
    <row r="254" spans="1:59" x14ac:dyDescent="0.3">
      <c r="A254" s="1">
        <v>44274</v>
      </c>
      <c r="B254">
        <v>12.49</v>
      </c>
      <c r="C254">
        <v>12.66</v>
      </c>
      <c r="D254">
        <v>12.05</v>
      </c>
      <c r="E254">
        <v>12.48</v>
      </c>
      <c r="F254">
        <v>861900</v>
      </c>
      <c r="G254" s="29">
        <v>1.5865307701390601</v>
      </c>
      <c r="H254" s="29">
        <v>0.127125862991912</v>
      </c>
      <c r="I254" s="29">
        <v>4.8878205128205003E-2</v>
      </c>
      <c r="J254" s="29">
        <v>40.943654798681301</v>
      </c>
      <c r="K254" s="29">
        <v>-0.34142480211081699</v>
      </c>
      <c r="L254" s="29">
        <v>0.4</v>
      </c>
      <c r="M254" s="29">
        <v>3.7708960044114503E-2</v>
      </c>
      <c r="N254" s="29">
        <v>3.1302764841881499</v>
      </c>
      <c r="O254" s="29">
        <v>-0.35503875968992199</v>
      </c>
      <c r="P254" s="29">
        <v>1.05263157894737E-2</v>
      </c>
      <c r="Q254" s="29">
        <v>0.28571428571428498</v>
      </c>
      <c r="R254" s="30">
        <v>355761</v>
      </c>
      <c r="S254" s="29">
        <v>17</v>
      </c>
      <c r="T254" s="14">
        <v>364.76100000000002</v>
      </c>
      <c r="U254" s="41"/>
      <c r="V254">
        <v>244</v>
      </c>
      <c r="W254" t="b">
        <f>V254&gt;=$C$4</f>
        <v>1</v>
      </c>
      <c r="X254">
        <f>IF(V254&lt;=$C$5,11,ROW()-$C$5+1)</f>
        <v>11</v>
      </c>
      <c r="Y254" s="14">
        <f t="shared" si="96"/>
        <v>244</v>
      </c>
      <c r="Z254" s="10">
        <f t="shared" si="104"/>
        <v>0.60999999999999943</v>
      </c>
      <c r="AA254" s="15">
        <f t="shared" si="105"/>
        <v>4.8878205128205079E-2</v>
      </c>
      <c r="AB254" s="15">
        <f t="shared" si="106"/>
        <v>1.5865307701390627</v>
      </c>
      <c r="AC254" s="10">
        <f t="shared" si="97"/>
        <v>0.12712586299191209</v>
      </c>
      <c r="AD254">
        <f t="shared" si="107"/>
        <v>0.13000000000000078</v>
      </c>
      <c r="AE254">
        <f t="shared" si="114"/>
        <v>0.13000000000000078</v>
      </c>
      <c r="AF254">
        <f t="shared" si="115"/>
        <v>0</v>
      </c>
      <c r="AG254">
        <f t="shared" ref="AG254:AH269" si="124">(AE254+13*AG253)/14</f>
        <v>0.27248921679065369</v>
      </c>
      <c r="AH254">
        <f t="shared" si="124"/>
        <v>0.39303324158876457</v>
      </c>
      <c r="AI254">
        <f t="shared" si="108"/>
        <v>0.69329814366124898</v>
      </c>
      <c r="AJ254">
        <f t="shared" si="116"/>
        <v>40.943654621991136</v>
      </c>
      <c r="AK254" s="14">
        <f t="shared" si="98"/>
        <v>40.943654621991136</v>
      </c>
      <c r="AM254">
        <f t="shared" si="121"/>
        <v>-0.34142480211081794</v>
      </c>
      <c r="AN254" s="14">
        <f t="shared" si="109"/>
        <v>1.0526315789473717E-2</v>
      </c>
      <c r="AO254">
        <f t="shared" si="118"/>
        <v>1</v>
      </c>
      <c r="AP254" s="14">
        <f t="shared" si="119"/>
        <v>0.4</v>
      </c>
      <c r="AQ254">
        <f t="shared" si="110"/>
        <v>-1.8498400545100546E-3</v>
      </c>
      <c r="AR254">
        <f t="shared" si="111"/>
        <v>1.2376155843983754E-2</v>
      </c>
      <c r="AS254">
        <f t="shared" si="93"/>
        <v>2.2355848471012707E-3</v>
      </c>
      <c r="AT254">
        <f t="shared" si="94"/>
        <v>5.9285242671395628E-2</v>
      </c>
      <c r="AU254" s="14">
        <f t="shared" si="99"/>
        <v>3.7708960044114177E-2</v>
      </c>
      <c r="AV254" s="19">
        <f t="shared" si="95"/>
        <v>3.1302764841882178</v>
      </c>
      <c r="AW254" s="19">
        <f t="shared" si="122"/>
        <v>-0.35503875968992249</v>
      </c>
      <c r="AX254">
        <f t="shared" si="100"/>
        <v>0</v>
      </c>
      <c r="AY254">
        <f>IF(W254,SUMPRODUCT(INDEX(AX:AX,X254):INDEX(AX:AX,X254+Y254)),0)</f>
        <v>67</v>
      </c>
      <c r="AZ254">
        <f>IF(V254,COUNT(INDEX(AX:AX,X254):INDEX(AX:AX,ROW())),0)</f>
        <v>244</v>
      </c>
      <c r="BA254" s="14">
        <f t="shared" si="112"/>
        <v>0.27459016393442626</v>
      </c>
      <c r="BB254" s="6">
        <f t="shared" si="101"/>
        <v>10756512</v>
      </c>
      <c r="BC254" s="6">
        <f>MEDIAN(INDEX(BB:BB,X254):INDEX(BB:BB,X254+Y254-1))</f>
        <v>460409.25</v>
      </c>
      <c r="BD254" s="25">
        <f t="shared" si="102"/>
        <v>460409.25</v>
      </c>
      <c r="BE254">
        <f t="shared" si="113"/>
        <v>0</v>
      </c>
      <c r="BF254" s="6">
        <f>SUM(INDEX(BE:BE,X254):INDEX(BE:BE,X254+Y254-1))</f>
        <v>17</v>
      </c>
      <c r="BG254" s="25">
        <f t="shared" si="103"/>
        <v>17</v>
      </c>
    </row>
    <row r="255" spans="1:59" x14ac:dyDescent="0.3">
      <c r="A255" s="1">
        <v>44277</v>
      </c>
      <c r="B255">
        <v>12.646000000000001</v>
      </c>
      <c r="C255">
        <v>13.85</v>
      </c>
      <c r="D255">
        <v>12.646000000000001</v>
      </c>
      <c r="E255">
        <v>13.65</v>
      </c>
      <c r="F255">
        <v>1586300</v>
      </c>
      <c r="G255" s="29">
        <v>1.5710642865577</v>
      </c>
      <c r="H255" s="29">
        <v>0.11509628472950099</v>
      </c>
      <c r="I255" s="29">
        <v>0.1003663003663</v>
      </c>
      <c r="J255" s="29">
        <v>47.9786158633569</v>
      </c>
      <c r="K255" s="29">
        <v>-0.29457364341085202</v>
      </c>
      <c r="L255" s="29">
        <v>0.6</v>
      </c>
      <c r="M255" s="29">
        <v>7.3131888202322595E-2</v>
      </c>
      <c r="N255" s="29">
        <v>3.2654339702447399</v>
      </c>
      <c r="O255" s="29">
        <v>-0.22089041095890399</v>
      </c>
      <c r="P255" s="29">
        <v>9.375E-2</v>
      </c>
      <c r="Q255" s="29">
        <v>0.28174603174603102</v>
      </c>
      <c r="R255" s="30">
        <v>355761</v>
      </c>
      <c r="S255" s="29">
        <v>17</v>
      </c>
      <c r="T255" s="14">
        <v>367.67399999999998</v>
      </c>
      <c r="U255" s="41"/>
      <c r="V255">
        <v>245</v>
      </c>
      <c r="W255" t="b">
        <f>V255&gt;=$C$4</f>
        <v>1</v>
      </c>
      <c r="X255">
        <f>IF(V255&lt;=$C$5,11,ROW()-$C$5+1)</f>
        <v>11</v>
      </c>
      <c r="Y255" s="14">
        <f t="shared" si="96"/>
        <v>245</v>
      </c>
      <c r="Z255" s="10">
        <f t="shared" si="104"/>
        <v>1.3699999999999992</v>
      </c>
      <c r="AA255" s="15">
        <f t="shared" si="105"/>
        <v>0.1003663003663003</v>
      </c>
      <c r="AB255" s="15">
        <f t="shared" si="106"/>
        <v>1.5710642865577011</v>
      </c>
      <c r="AC255" s="10">
        <f t="shared" si="97"/>
        <v>0.11509628472950191</v>
      </c>
      <c r="AD255">
        <f t="shared" si="107"/>
        <v>1.17</v>
      </c>
      <c r="AE255">
        <f t="shared" si="114"/>
        <v>1.17</v>
      </c>
      <c r="AF255">
        <f t="shared" si="115"/>
        <v>0</v>
      </c>
      <c r="AG255">
        <f t="shared" si="124"/>
        <v>0.33659712987703561</v>
      </c>
      <c r="AH255">
        <f t="shared" si="124"/>
        <v>0.36495943861813851</v>
      </c>
      <c r="AI255">
        <f t="shared" si="108"/>
        <v>0.92228640846091736</v>
      </c>
      <c r="AJ255">
        <f t="shared" si="116"/>
        <v>47.978615694388012</v>
      </c>
      <c r="AK255" s="14">
        <f t="shared" si="98"/>
        <v>47.978615694388012</v>
      </c>
      <c r="AM255">
        <f t="shared" si="121"/>
        <v>-0.29457364341085279</v>
      </c>
      <c r="AN255" s="14">
        <f t="shared" si="109"/>
        <v>9.375E-2</v>
      </c>
      <c r="AO255">
        <f t="shared" si="118"/>
        <v>1</v>
      </c>
      <c r="AP255" s="14">
        <f t="shared" si="119"/>
        <v>0.6</v>
      </c>
      <c r="AQ255">
        <f t="shared" si="110"/>
        <v>7.9860511403355705E-3</v>
      </c>
      <c r="AR255">
        <f t="shared" si="111"/>
        <v>8.5763948859664429E-2</v>
      </c>
      <c r="AS255">
        <f t="shared" si="93"/>
        <v>4.3758065151493089E-3</v>
      </c>
      <c r="AT255">
        <f t="shared" si="94"/>
        <v>5.9834452831895452E-2</v>
      </c>
      <c r="AU255" s="14">
        <f t="shared" si="99"/>
        <v>7.3131888202322359E-2</v>
      </c>
      <c r="AV255" s="19">
        <f t="shared" si="95"/>
        <v>3.2654339702448176</v>
      </c>
      <c r="AW255" s="19">
        <f t="shared" si="122"/>
        <v>-0.22089041095890405</v>
      </c>
      <c r="AX255">
        <f t="shared" si="100"/>
        <v>0</v>
      </c>
      <c r="AY255">
        <f>IF(W255,SUMPRODUCT(INDEX(AX:AX,X255):INDEX(AX:AX,X255+Y255)),0)</f>
        <v>67</v>
      </c>
      <c r="AZ255">
        <f>IF(V255,COUNT(INDEX(AX:AX,X255):INDEX(AX:AX,ROW())),0)</f>
        <v>245</v>
      </c>
      <c r="BA255" s="14">
        <f t="shared" si="112"/>
        <v>0.27346938775510204</v>
      </c>
      <c r="BB255" s="6">
        <f t="shared" si="101"/>
        <v>21652995</v>
      </c>
      <c r="BC255" s="6">
        <f>MEDIAN(INDEX(BB:BB,X255):INDEX(BB:BB,X255+Y255-1))</f>
        <v>470450.5</v>
      </c>
      <c r="BD255" s="25">
        <f t="shared" si="102"/>
        <v>470450.5</v>
      </c>
      <c r="BE255">
        <f t="shared" si="113"/>
        <v>0</v>
      </c>
      <c r="BF255" s="6">
        <f>SUM(INDEX(BE:BE,X255):INDEX(BE:BE,X255+Y255-1))</f>
        <v>17</v>
      </c>
      <c r="BG255" s="25">
        <f t="shared" si="103"/>
        <v>17</v>
      </c>
    </row>
    <row r="256" spans="1:59" x14ac:dyDescent="0.3">
      <c r="A256" s="1">
        <v>44278</v>
      </c>
      <c r="B256">
        <v>13.39</v>
      </c>
      <c r="C256">
        <v>13.4</v>
      </c>
      <c r="D256">
        <v>12.66</v>
      </c>
      <c r="E256">
        <v>12.89</v>
      </c>
      <c r="F256">
        <v>1078300</v>
      </c>
      <c r="G256" s="29">
        <v>1.5295596946607199</v>
      </c>
      <c r="H256" s="29">
        <v>0.118662505404245</v>
      </c>
      <c r="I256" s="29">
        <v>7.6803723816912306E-2</v>
      </c>
      <c r="J256" s="29">
        <v>44.288041025918901</v>
      </c>
      <c r="K256" s="29">
        <v>-0.26426940639269397</v>
      </c>
      <c r="L256" s="29">
        <v>0.6</v>
      </c>
      <c r="M256" s="29">
        <v>5.9035483810243101E-2</v>
      </c>
      <c r="N256" s="29">
        <v>3.3248699522233802</v>
      </c>
      <c r="O256" s="29">
        <v>-0.21402439024390199</v>
      </c>
      <c r="P256" s="29">
        <v>-5.5677655677655702E-2</v>
      </c>
      <c r="Q256" s="29">
        <v>0.27777777777777701</v>
      </c>
      <c r="R256" s="30">
        <v>403859</v>
      </c>
      <c r="S256" s="29">
        <v>17</v>
      </c>
      <c r="T256" s="14">
        <v>364.78</v>
      </c>
      <c r="U256" s="41"/>
      <c r="V256">
        <v>246</v>
      </c>
      <c r="W256" t="b">
        <f>V256&gt;=$C$4</f>
        <v>1</v>
      </c>
      <c r="X256">
        <f>IF(V256&lt;=$C$5,11,ROW()-$C$5+1)</f>
        <v>11</v>
      </c>
      <c r="Y256" s="14">
        <f t="shared" si="96"/>
        <v>246</v>
      </c>
      <c r="Z256" s="10">
        <f t="shared" si="104"/>
        <v>0.99000000000000021</v>
      </c>
      <c r="AA256" s="15">
        <f t="shared" si="105"/>
        <v>7.6803723816912348E-2</v>
      </c>
      <c r="AB256" s="15">
        <f t="shared" si="106"/>
        <v>1.5295596946607226</v>
      </c>
      <c r="AC256" s="10">
        <f t="shared" si="97"/>
        <v>0.11866250540424535</v>
      </c>
      <c r="AD256">
        <f t="shared" si="107"/>
        <v>-0.75999999999999979</v>
      </c>
      <c r="AE256">
        <f t="shared" si="114"/>
        <v>0</v>
      </c>
      <c r="AF256">
        <f t="shared" si="115"/>
        <v>0.75999999999999979</v>
      </c>
      <c r="AG256">
        <f t="shared" si="124"/>
        <v>0.31255447774296163</v>
      </c>
      <c r="AH256">
        <f t="shared" si="124"/>
        <v>0.3931766215739857</v>
      </c>
      <c r="AI256">
        <f t="shared" si="108"/>
        <v>0.79494675062755971</v>
      </c>
      <c r="AJ256">
        <f t="shared" si="116"/>
        <v>44.288040876400693</v>
      </c>
      <c r="AK256" s="14">
        <f t="shared" si="98"/>
        <v>44.288040876400693</v>
      </c>
      <c r="AM256">
        <f t="shared" si="121"/>
        <v>-0.26426940639269403</v>
      </c>
      <c r="AN256" s="14">
        <f t="shared" si="109"/>
        <v>-5.5677655677655702E-2</v>
      </c>
      <c r="AO256">
        <f t="shared" si="118"/>
        <v>0</v>
      </c>
      <c r="AP256" s="14">
        <f t="shared" si="119"/>
        <v>0.6</v>
      </c>
      <c r="AQ256">
        <f t="shared" si="110"/>
        <v>-7.8711032055570618E-3</v>
      </c>
      <c r="AR256">
        <f t="shared" si="111"/>
        <v>-4.780655247209864E-2</v>
      </c>
      <c r="AS256">
        <f t="shared" si="93"/>
        <v>3.5536182789472127E-3</v>
      </c>
      <c r="AT256">
        <f t="shared" si="94"/>
        <v>6.019461601042473E-2</v>
      </c>
      <c r="AU256" s="14">
        <f t="shared" si="99"/>
        <v>5.9035483810242824E-2</v>
      </c>
      <c r="AV256" s="19">
        <f t="shared" si="95"/>
        <v>3.3248699522234575</v>
      </c>
      <c r="AW256" s="19">
        <f t="shared" si="122"/>
        <v>-0.2140243902439023</v>
      </c>
      <c r="AX256">
        <f t="shared" si="100"/>
        <v>0</v>
      </c>
      <c r="AY256">
        <f>IF(W256,SUMPRODUCT(INDEX(AX:AX,X256):INDEX(AX:AX,X256+Y256)),0)</f>
        <v>67</v>
      </c>
      <c r="AZ256">
        <f>IF(V256,COUNT(INDEX(AX:AX,X256):INDEX(AX:AX,ROW())),0)</f>
        <v>246</v>
      </c>
      <c r="BA256" s="14">
        <f t="shared" si="112"/>
        <v>0.27235772357723576</v>
      </c>
      <c r="BB256" s="6">
        <f t="shared" si="101"/>
        <v>13899287</v>
      </c>
      <c r="BC256" s="6">
        <f>MEDIAN(INDEX(BB:BB,X256):INDEX(BB:BB,X256+Y256-1))</f>
        <v>488737.25</v>
      </c>
      <c r="BD256" s="25">
        <f t="shared" si="102"/>
        <v>488737.25</v>
      </c>
      <c r="BE256">
        <f t="shared" si="113"/>
        <v>0</v>
      </c>
      <c r="BF256" s="6">
        <f>SUM(INDEX(BE:BE,X256):INDEX(BE:BE,X256+Y256-1))</f>
        <v>17</v>
      </c>
      <c r="BG256" s="25">
        <f t="shared" si="103"/>
        <v>17</v>
      </c>
    </row>
    <row r="257" spans="1:59" x14ac:dyDescent="0.3">
      <c r="A257" s="1">
        <v>44279</v>
      </c>
      <c r="B257">
        <v>12.81</v>
      </c>
      <c r="C257">
        <v>12.96</v>
      </c>
      <c r="D257">
        <v>11.8</v>
      </c>
      <c r="E257">
        <v>12</v>
      </c>
      <c r="F257">
        <v>1058000</v>
      </c>
      <c r="G257" s="29">
        <v>1.5031625736135199</v>
      </c>
      <c r="H257" s="29">
        <v>0.125263547801127</v>
      </c>
      <c r="I257" s="29">
        <v>9.6666666666666595E-2</v>
      </c>
      <c r="J257" s="29">
        <v>40.371667657120803</v>
      </c>
      <c r="K257" s="29">
        <v>-0.26829268292682901</v>
      </c>
      <c r="L257" s="29">
        <v>0.4</v>
      </c>
      <c r="M257" s="29">
        <v>2.7928040404656199E-2</v>
      </c>
      <c r="N257" s="29">
        <v>3.4293498679790302</v>
      </c>
      <c r="O257" s="29">
        <v>-0.225306649451258</v>
      </c>
      <c r="P257" s="29">
        <v>-6.9045771916214194E-2</v>
      </c>
      <c r="Q257" s="29">
        <v>0.27777777777777701</v>
      </c>
      <c r="R257" s="30">
        <v>460409.25</v>
      </c>
      <c r="S257" s="29">
        <v>17</v>
      </c>
      <c r="T257" s="14">
        <v>362.92500000000001</v>
      </c>
      <c r="U257" s="41"/>
      <c r="V257">
        <v>247</v>
      </c>
      <c r="W257" t="b">
        <f>V257&gt;=$C$4</f>
        <v>1</v>
      </c>
      <c r="X257">
        <f>IF(V257&lt;=$C$5,11,ROW()-$C$5+1)</f>
        <v>11</v>
      </c>
      <c r="Y257" s="14">
        <f t="shared" si="96"/>
        <v>247</v>
      </c>
      <c r="Z257" s="10">
        <f t="shared" si="104"/>
        <v>1.1600000000000001</v>
      </c>
      <c r="AA257" s="15">
        <f t="shared" si="105"/>
        <v>9.6666666666666679E-2</v>
      </c>
      <c r="AB257" s="15">
        <f t="shared" si="106"/>
        <v>1.5031625736135281</v>
      </c>
      <c r="AC257" s="10">
        <f t="shared" si="97"/>
        <v>0.12526354780112733</v>
      </c>
      <c r="AD257">
        <f t="shared" si="107"/>
        <v>-0.89000000000000057</v>
      </c>
      <c r="AE257">
        <f t="shared" si="114"/>
        <v>0</v>
      </c>
      <c r="AF257">
        <f t="shared" si="115"/>
        <v>0.89000000000000057</v>
      </c>
      <c r="AG257">
        <f t="shared" si="124"/>
        <v>0.29022915790417869</v>
      </c>
      <c r="AH257">
        <f t="shared" si="124"/>
        <v>0.42866400574727248</v>
      </c>
      <c r="AI257">
        <f t="shared" si="108"/>
        <v>0.67705511545863062</v>
      </c>
      <c r="AJ257">
        <f t="shared" si="116"/>
        <v>40.37166752706716</v>
      </c>
      <c r="AK257" s="14">
        <f t="shared" si="98"/>
        <v>40.37166752706716</v>
      </c>
      <c r="AM257">
        <f t="shared" si="121"/>
        <v>-0.26829268292682917</v>
      </c>
      <c r="AN257" s="14">
        <f t="shared" si="109"/>
        <v>-6.9045771916214194E-2</v>
      </c>
      <c r="AO257">
        <f t="shared" si="118"/>
        <v>0</v>
      </c>
      <c r="AP257" s="14">
        <f t="shared" si="119"/>
        <v>0.4</v>
      </c>
      <c r="AQ257">
        <f t="shared" si="110"/>
        <v>-5.0852568671526654E-3</v>
      </c>
      <c r="AR257">
        <f t="shared" si="111"/>
        <v>-6.3960515049061528E-2</v>
      </c>
      <c r="AS257">
        <f t="shared" si="93"/>
        <v>1.6879761075716166E-3</v>
      </c>
      <c r="AT257">
        <f t="shared" si="94"/>
        <v>6.0440191403125357E-2</v>
      </c>
      <c r="AU257" s="14">
        <f t="shared" si="99"/>
        <v>2.7928040404655827E-2</v>
      </c>
      <c r="AV257" s="19">
        <f t="shared" si="95"/>
        <v>3.429349867979103</v>
      </c>
      <c r="AW257" s="19">
        <f t="shared" si="122"/>
        <v>-0.22530664945125889</v>
      </c>
      <c r="AX257">
        <f t="shared" si="100"/>
        <v>0</v>
      </c>
      <c r="AY257">
        <f>IF(W257,SUMPRODUCT(INDEX(AX:AX,X257):INDEX(AX:AX,X257+Y257)),0)</f>
        <v>67</v>
      </c>
      <c r="AZ257">
        <f>IF(V257,COUNT(INDEX(AX:AX,X257):INDEX(AX:AX,ROW())),0)</f>
        <v>247</v>
      </c>
      <c r="BA257" s="14">
        <f t="shared" si="112"/>
        <v>0.27125506072874495</v>
      </c>
      <c r="BB257" s="6">
        <f t="shared" si="101"/>
        <v>12696000</v>
      </c>
      <c r="BC257" s="6">
        <f>MEDIAN(INDEX(BB:BB,X257):INDEX(BB:BB,X257+Y257-1))</f>
        <v>507024</v>
      </c>
      <c r="BD257" s="25">
        <f t="shared" si="102"/>
        <v>507024</v>
      </c>
      <c r="BE257">
        <f t="shared" si="113"/>
        <v>0</v>
      </c>
      <c r="BF257" s="6">
        <f>SUM(INDEX(BE:BE,X257):INDEX(BE:BE,X257+Y257-1))</f>
        <v>17</v>
      </c>
      <c r="BG257" s="25">
        <f t="shared" si="103"/>
        <v>17</v>
      </c>
    </row>
    <row r="258" spans="1:59" x14ac:dyDescent="0.3">
      <c r="A258" s="1">
        <v>44280</v>
      </c>
      <c r="B258">
        <v>11.5</v>
      </c>
      <c r="C258">
        <v>12.33</v>
      </c>
      <c r="D258">
        <v>11.16</v>
      </c>
      <c r="E258">
        <v>12.03</v>
      </c>
      <c r="F258">
        <v>1621700</v>
      </c>
      <c r="G258" s="29">
        <v>1.4793652469268399</v>
      </c>
      <c r="H258" s="29">
        <v>0.122973004732073</v>
      </c>
      <c r="I258" s="29">
        <v>9.7256857855361506E-2</v>
      </c>
      <c r="J258" s="29">
        <v>40.562465883370599</v>
      </c>
      <c r="K258" s="29">
        <v>-0.22336991607488699</v>
      </c>
      <c r="L258" s="29">
        <v>0.6</v>
      </c>
      <c r="M258" s="29">
        <v>1.5584988917075901E-2</v>
      </c>
      <c r="N258" s="29">
        <v>3.4396088520172499</v>
      </c>
      <c r="O258" s="29">
        <v>-0.20959264126149801</v>
      </c>
      <c r="P258" s="29">
        <v>2.4999999999999402E-3</v>
      </c>
      <c r="Q258" s="29">
        <v>0.27777777777777701</v>
      </c>
      <c r="R258" s="30">
        <v>460409.25</v>
      </c>
      <c r="S258" s="29">
        <v>17</v>
      </c>
      <c r="T258" s="14">
        <v>364.96699999999998</v>
      </c>
      <c r="U258" s="41"/>
      <c r="V258">
        <v>248</v>
      </c>
      <c r="W258" t="b">
        <f>V258&gt;=$C$4</f>
        <v>1</v>
      </c>
      <c r="X258">
        <f>IF(V258&lt;=$C$5,11,ROW()-$C$5+1)</f>
        <v>11</v>
      </c>
      <c r="Y258" s="14">
        <f t="shared" si="96"/>
        <v>248</v>
      </c>
      <c r="Z258" s="10">
        <f t="shared" si="104"/>
        <v>1.17</v>
      </c>
      <c r="AA258" s="15">
        <f t="shared" si="105"/>
        <v>9.7256857855361589E-2</v>
      </c>
      <c r="AB258" s="15">
        <f t="shared" si="106"/>
        <v>1.4793652469268477</v>
      </c>
      <c r="AC258" s="10">
        <f t="shared" si="97"/>
        <v>0.1229730047320738</v>
      </c>
      <c r="AD258">
        <f t="shared" si="107"/>
        <v>2.9999999999999361E-2</v>
      </c>
      <c r="AE258">
        <f t="shared" si="114"/>
        <v>2.9999999999999361E-2</v>
      </c>
      <c r="AF258">
        <f t="shared" si="115"/>
        <v>0</v>
      </c>
      <c r="AG258">
        <f t="shared" si="124"/>
        <v>0.27164136091102303</v>
      </c>
      <c r="AH258">
        <f t="shared" si="124"/>
        <v>0.39804514819389591</v>
      </c>
      <c r="AI258">
        <f t="shared" si="108"/>
        <v>0.6824385679453151</v>
      </c>
      <c r="AJ258">
        <f t="shared" si="116"/>
        <v>40.562465753429912</v>
      </c>
      <c r="AK258" s="14">
        <f t="shared" si="98"/>
        <v>40.562465753429912</v>
      </c>
      <c r="AM258">
        <f t="shared" si="121"/>
        <v>-0.2233699160748871</v>
      </c>
      <c r="AN258" s="14">
        <f t="shared" si="109"/>
        <v>2.4999999999999467E-3</v>
      </c>
      <c r="AO258">
        <f t="shared" si="118"/>
        <v>1</v>
      </c>
      <c r="AP258" s="14">
        <f t="shared" si="119"/>
        <v>0.6</v>
      </c>
      <c r="AQ258">
        <f t="shared" si="110"/>
        <v>5.6265068540330976E-3</v>
      </c>
      <c r="AR258">
        <f t="shared" si="111"/>
        <v>-3.1265068540331574E-3</v>
      </c>
      <c r="AS258">
        <f t="shared" si="93"/>
        <v>9.3818430340793333E-4</v>
      </c>
      <c r="AT258">
        <f t="shared" si="94"/>
        <v>6.0197944855771922E-2</v>
      </c>
      <c r="AU258" s="14">
        <f t="shared" si="99"/>
        <v>1.5584988917075597E-2</v>
      </c>
      <c r="AV258" s="19">
        <f t="shared" si="95"/>
        <v>3.4396088520173218</v>
      </c>
      <c r="AW258" s="19">
        <f t="shared" si="122"/>
        <v>-0.20959264126149812</v>
      </c>
      <c r="AX258">
        <f t="shared" si="100"/>
        <v>0</v>
      </c>
      <c r="AY258">
        <f>IF(W258,SUMPRODUCT(INDEX(AX:AX,X258):INDEX(AX:AX,X258+Y258)),0)</f>
        <v>67</v>
      </c>
      <c r="AZ258">
        <f>IF(V258,COUNT(INDEX(AX:AX,X258):INDEX(AX:AX,ROW())),0)</f>
        <v>248</v>
      </c>
      <c r="BA258" s="14">
        <f t="shared" si="112"/>
        <v>0.27016129032258063</v>
      </c>
      <c r="BB258" s="6">
        <f t="shared" si="101"/>
        <v>19509051</v>
      </c>
      <c r="BC258" s="6">
        <f>MEDIAN(INDEX(BB:BB,X258):INDEX(BB:BB,X258+Y258-1))</f>
        <v>510052</v>
      </c>
      <c r="BD258" s="25">
        <f t="shared" si="102"/>
        <v>510052</v>
      </c>
      <c r="BE258">
        <f t="shared" si="113"/>
        <v>0</v>
      </c>
      <c r="BF258" s="6">
        <f>SUM(INDEX(BE:BE,X258):INDEX(BE:BE,X258+Y258-1))</f>
        <v>17</v>
      </c>
      <c r="BG258" s="25">
        <f t="shared" si="103"/>
        <v>17</v>
      </c>
    </row>
    <row r="259" spans="1:59" x14ac:dyDescent="0.3">
      <c r="A259" s="1">
        <v>44281</v>
      </c>
      <c r="B259">
        <v>12.34</v>
      </c>
      <c r="C259">
        <v>12.47</v>
      </c>
      <c r="D259">
        <v>11.81</v>
      </c>
      <c r="E259">
        <v>12.39</v>
      </c>
      <c r="F259">
        <v>842600</v>
      </c>
      <c r="G259" s="29">
        <v>1.4208391578606401</v>
      </c>
      <c r="H259" s="29">
        <v>0.114676283927412</v>
      </c>
      <c r="I259" s="29">
        <v>5.32687651331719E-2</v>
      </c>
      <c r="J259" s="29">
        <v>42.922678792188798</v>
      </c>
      <c r="K259" s="29">
        <v>-0.11309949892627</v>
      </c>
      <c r="L259" s="29">
        <v>0.6</v>
      </c>
      <c r="M259" s="29">
        <v>6.1343892596588297E-3</v>
      </c>
      <c r="N259" s="29">
        <v>3.3828821854392199</v>
      </c>
      <c r="O259" s="29">
        <v>-0.18593955321944799</v>
      </c>
      <c r="P259" s="29">
        <v>2.9925187032419E-2</v>
      </c>
      <c r="Q259" s="29">
        <v>0.27777777777777701</v>
      </c>
      <c r="R259" s="30">
        <v>488737.25</v>
      </c>
      <c r="S259" s="29">
        <v>17</v>
      </c>
      <c r="T259" s="14">
        <v>370.84899999999999</v>
      </c>
      <c r="U259" s="41"/>
      <c r="V259">
        <v>249</v>
      </c>
      <c r="W259" t="b">
        <f>V259&gt;=$C$4</f>
        <v>1</v>
      </c>
      <c r="X259">
        <f>IF(V259&lt;=$C$5,11,ROW()-$C$5+1)</f>
        <v>11</v>
      </c>
      <c r="Y259" s="14">
        <f t="shared" si="96"/>
        <v>249</v>
      </c>
      <c r="Z259" s="10">
        <f t="shared" si="104"/>
        <v>0.66000000000000014</v>
      </c>
      <c r="AA259" s="15">
        <f t="shared" si="105"/>
        <v>5.3268765133171921E-2</v>
      </c>
      <c r="AB259" s="15">
        <f t="shared" si="106"/>
        <v>1.4208391578606443</v>
      </c>
      <c r="AC259" s="10">
        <f t="shared" si="97"/>
        <v>0.11467628392741278</v>
      </c>
      <c r="AD259">
        <f t="shared" si="107"/>
        <v>0.36000000000000121</v>
      </c>
      <c r="AE259">
        <f t="shared" si="114"/>
        <v>0.36000000000000121</v>
      </c>
      <c r="AF259">
        <f t="shared" si="115"/>
        <v>0</v>
      </c>
      <c r="AG259">
        <f t="shared" si="124"/>
        <v>0.27795269227452146</v>
      </c>
      <c r="AH259">
        <f t="shared" si="124"/>
        <v>0.36961335189433192</v>
      </c>
      <c r="AI259">
        <f t="shared" si="108"/>
        <v>0.75200933854246921</v>
      </c>
      <c r="AJ259">
        <f t="shared" si="116"/>
        <v>42.9226786638067</v>
      </c>
      <c r="AK259" s="14">
        <f t="shared" si="98"/>
        <v>42.9226786638067</v>
      </c>
      <c r="AM259">
        <f t="shared" si="121"/>
        <v>-0.11309949892627058</v>
      </c>
      <c r="AN259" s="14">
        <f t="shared" si="109"/>
        <v>2.9925187032419087E-2</v>
      </c>
      <c r="AO259">
        <f t="shared" si="118"/>
        <v>1</v>
      </c>
      <c r="AP259" s="14">
        <f t="shared" si="119"/>
        <v>0.6</v>
      </c>
      <c r="AQ259">
        <f t="shared" si="110"/>
        <v>1.6116525603684817E-2</v>
      </c>
      <c r="AR259">
        <f t="shared" si="111"/>
        <v>1.3808661428734183E-2</v>
      </c>
      <c r="AS259">
        <f t="shared" si="93"/>
        <v>3.6743297757689997E-4</v>
      </c>
      <c r="AT259">
        <f t="shared" si="94"/>
        <v>5.9897238669422044E-2</v>
      </c>
      <c r="AU259" s="14">
        <f t="shared" si="99"/>
        <v>6.1343892596584263E-3</v>
      </c>
      <c r="AV259" s="19">
        <f t="shared" si="95"/>
        <v>3.382882185439287</v>
      </c>
      <c r="AW259" s="19">
        <f t="shared" si="122"/>
        <v>-0.18593955321944811</v>
      </c>
      <c r="AX259">
        <f t="shared" si="100"/>
        <v>0</v>
      </c>
      <c r="AY259">
        <f>IF(W259,SUMPRODUCT(INDEX(AX:AX,X259):INDEX(AX:AX,X259+Y259)),0)</f>
        <v>67</v>
      </c>
      <c r="AZ259">
        <f>IF(V259,COUNT(INDEX(AX:AX,X259):INDEX(AX:AX,ROW())),0)</f>
        <v>249</v>
      </c>
      <c r="BA259" s="14">
        <f t="shared" si="112"/>
        <v>0.26907630522088355</v>
      </c>
      <c r="BB259" s="6">
        <f t="shared" si="101"/>
        <v>10439814</v>
      </c>
      <c r="BC259" s="6">
        <f>MEDIAN(INDEX(BB:BB,X259):INDEX(BB:BB,X259+Y259-1))</f>
        <v>513080</v>
      </c>
      <c r="BD259" s="25">
        <f t="shared" si="102"/>
        <v>513080</v>
      </c>
      <c r="BE259">
        <f t="shared" si="113"/>
        <v>0</v>
      </c>
      <c r="BF259" s="6">
        <f>SUM(INDEX(BE:BE,X259):INDEX(BE:BE,X259+Y259-1))</f>
        <v>17</v>
      </c>
      <c r="BG259" s="25">
        <f t="shared" si="103"/>
        <v>17</v>
      </c>
    </row>
    <row r="260" spans="1:59" x14ac:dyDescent="0.3">
      <c r="A260" s="1">
        <v>44284</v>
      </c>
      <c r="B260">
        <v>12.51</v>
      </c>
      <c r="C260">
        <v>12.9</v>
      </c>
      <c r="D260">
        <v>11.63</v>
      </c>
      <c r="E260">
        <v>11.71</v>
      </c>
      <c r="F260">
        <v>1301800</v>
      </c>
      <c r="G260" s="29">
        <v>1.4100649322991701</v>
      </c>
      <c r="H260" s="29">
        <v>0.12041545109301199</v>
      </c>
      <c r="I260" s="29">
        <v>0.108454312553373</v>
      </c>
      <c r="J260" s="29">
        <v>39.714691177513302</v>
      </c>
      <c r="K260" s="29">
        <v>-0.15390173410404601</v>
      </c>
      <c r="L260" s="29">
        <v>0.4</v>
      </c>
      <c r="M260" s="29">
        <v>-2.3396393065175498E-2</v>
      </c>
      <c r="N260" s="29">
        <v>3.3747276217204698</v>
      </c>
      <c r="O260" s="29">
        <v>-0.23061760840998599</v>
      </c>
      <c r="P260" s="29">
        <v>-5.4882970137207401E-2</v>
      </c>
      <c r="Q260" s="29">
        <v>0.273809523809523</v>
      </c>
      <c r="R260" s="30">
        <v>510052</v>
      </c>
      <c r="S260" s="29">
        <v>17</v>
      </c>
      <c r="T260" s="14">
        <v>370.661</v>
      </c>
      <c r="U260" s="41"/>
      <c r="V260">
        <v>250</v>
      </c>
      <c r="W260" t="b">
        <f>V260&gt;=$C$4</f>
        <v>1</v>
      </c>
      <c r="X260">
        <f>IF(V260&lt;=$C$5,11,ROW()-$C$5+1)</f>
        <v>11</v>
      </c>
      <c r="Y260" s="14">
        <f t="shared" si="96"/>
        <v>250</v>
      </c>
      <c r="Z260" s="10">
        <f t="shared" si="104"/>
        <v>1.2699999999999996</v>
      </c>
      <c r="AA260" s="15">
        <f t="shared" si="105"/>
        <v>0.10845431255337314</v>
      </c>
      <c r="AB260" s="15">
        <f t="shared" si="106"/>
        <v>1.4100649322991696</v>
      </c>
      <c r="AC260" s="10">
        <f t="shared" si="97"/>
        <v>0.12041545109301191</v>
      </c>
      <c r="AD260">
        <f t="shared" si="107"/>
        <v>-0.67999999999999972</v>
      </c>
      <c r="AE260">
        <f t="shared" si="114"/>
        <v>0</v>
      </c>
      <c r="AF260">
        <f t="shared" si="115"/>
        <v>0.67999999999999972</v>
      </c>
      <c r="AG260">
        <f t="shared" si="124"/>
        <v>0.25809892854062705</v>
      </c>
      <c r="AH260">
        <f t="shared" si="124"/>
        <v>0.39178382675902246</v>
      </c>
      <c r="AI260">
        <f t="shared" si="108"/>
        <v>0.65877892580639363</v>
      </c>
      <c r="AJ260">
        <f t="shared" si="116"/>
        <v>39.714691063255273</v>
      </c>
      <c r="AK260" s="14">
        <f t="shared" si="98"/>
        <v>39.714691063255273</v>
      </c>
      <c r="AM260">
        <f t="shared" si="121"/>
        <v>-0.15390173410404617</v>
      </c>
      <c r="AN260" s="14">
        <f t="shared" si="109"/>
        <v>-5.4882970137207443E-2</v>
      </c>
      <c r="AO260">
        <f t="shared" si="118"/>
        <v>0</v>
      </c>
      <c r="AP260" s="14">
        <f t="shared" si="119"/>
        <v>0.4</v>
      </c>
      <c r="AQ260">
        <f t="shared" si="110"/>
        <v>-5.0694487513780473E-4</v>
      </c>
      <c r="AR260">
        <f t="shared" si="111"/>
        <v>-5.4376025262069597E-2</v>
      </c>
      <c r="AS260">
        <f t="shared" si="93"/>
        <v>-1.4001035418199465E-3</v>
      </c>
      <c r="AT260">
        <f t="shared" si="94"/>
        <v>5.9842708998760569E-2</v>
      </c>
      <c r="AU260" s="14">
        <f t="shared" si="99"/>
        <v>-2.3396393065175988E-2</v>
      </c>
      <c r="AV260" s="19">
        <f t="shared" si="95"/>
        <v>3.37472762172054</v>
      </c>
      <c r="AW260" s="19">
        <f t="shared" si="122"/>
        <v>-0.2306176084099868</v>
      </c>
      <c r="AX260">
        <f t="shared" si="100"/>
        <v>0</v>
      </c>
      <c r="AY260">
        <f>IF(W260,SUMPRODUCT(INDEX(AX:AX,X260):INDEX(AX:AX,X260+Y260)),0)</f>
        <v>67</v>
      </c>
      <c r="AZ260">
        <f>IF(V260,COUNT(INDEX(AX:AX,X260):INDEX(AX:AX,ROW())),0)</f>
        <v>250</v>
      </c>
      <c r="BA260" s="14">
        <f t="shared" si="112"/>
        <v>0.26800000000000002</v>
      </c>
      <c r="BB260" s="6">
        <f t="shared" si="101"/>
        <v>15244078.000000002</v>
      </c>
      <c r="BC260" s="6">
        <f>MEDIAN(INDEX(BB:BB,X260):INDEX(BB:BB,X260+Y260-1))</f>
        <v>514066</v>
      </c>
      <c r="BD260" s="25">
        <f t="shared" si="102"/>
        <v>514066</v>
      </c>
      <c r="BE260">
        <f t="shared" si="113"/>
        <v>0</v>
      </c>
      <c r="BF260" s="6">
        <f>SUM(INDEX(BE:BE,X260):INDEX(BE:BE,X260+Y260-1))</f>
        <v>17</v>
      </c>
      <c r="BG260" s="25">
        <f t="shared" si="103"/>
        <v>17</v>
      </c>
    </row>
    <row r="261" spans="1:59" x14ac:dyDescent="0.3">
      <c r="A261" s="1">
        <v>44285</v>
      </c>
      <c r="B261">
        <v>11.49</v>
      </c>
      <c r="C261">
        <v>11.765000000000001</v>
      </c>
      <c r="D261">
        <v>11.09</v>
      </c>
      <c r="E261">
        <v>11.45</v>
      </c>
      <c r="F261">
        <v>991100</v>
      </c>
      <c r="G261" s="29">
        <v>1.3575602942778</v>
      </c>
      <c r="H261" s="29">
        <v>0.118564217840856</v>
      </c>
      <c r="I261" s="29">
        <v>5.8951965065502203E-2</v>
      </c>
      <c r="J261" s="29">
        <v>38.528970514674597</v>
      </c>
      <c r="K261" s="29">
        <v>-0.247700394218134</v>
      </c>
      <c r="L261" s="29">
        <v>0.4</v>
      </c>
      <c r="M261" s="29">
        <v>-4.5054953416497498E-2</v>
      </c>
      <c r="N261" s="29">
        <v>3.32300970668416</v>
      </c>
      <c r="O261" s="29">
        <v>-0.170289855072463</v>
      </c>
      <c r="P261" s="29">
        <v>-2.2203245089666999E-2</v>
      </c>
      <c r="Q261" s="29">
        <v>0.26984126984126899</v>
      </c>
      <c r="R261" s="30">
        <v>514066</v>
      </c>
      <c r="S261" s="29">
        <v>17</v>
      </c>
      <c r="T261" s="14">
        <v>369.678</v>
      </c>
      <c r="U261" s="41"/>
      <c r="V261">
        <v>251</v>
      </c>
      <c r="W261" t="b">
        <f>V261&gt;=$C$4</f>
        <v>1</v>
      </c>
      <c r="X261">
        <f>IF(V261&lt;=$C$5,11,ROW()-$C$5+1)</f>
        <v>11</v>
      </c>
      <c r="Y261" s="14">
        <f t="shared" si="96"/>
        <v>251</v>
      </c>
      <c r="Z261" s="10">
        <f t="shared" si="104"/>
        <v>0.67500000000000071</v>
      </c>
      <c r="AA261" s="15">
        <f t="shared" si="105"/>
        <v>5.8951965065502251E-2</v>
      </c>
      <c r="AB261" s="15">
        <f t="shared" si="106"/>
        <v>1.3575602942778005</v>
      </c>
      <c r="AC261" s="10">
        <f t="shared" si="97"/>
        <v>0.11856421784085594</v>
      </c>
      <c r="AD261">
        <f t="shared" si="107"/>
        <v>-0.26000000000000156</v>
      </c>
      <c r="AE261">
        <f t="shared" si="114"/>
        <v>0</v>
      </c>
      <c r="AF261">
        <f t="shared" si="115"/>
        <v>0.26000000000000156</v>
      </c>
      <c r="AG261">
        <f t="shared" si="124"/>
        <v>0.23966329078772514</v>
      </c>
      <c r="AH261">
        <f t="shared" si="124"/>
        <v>0.38237069627623527</v>
      </c>
      <c r="AI261">
        <f t="shared" si="108"/>
        <v>0.62678257806290072</v>
      </c>
      <c r="AJ261">
        <f t="shared" si="116"/>
        <v>38.528970405451787</v>
      </c>
      <c r="AK261" s="14">
        <f t="shared" si="98"/>
        <v>38.528970405451787</v>
      </c>
      <c r="AM261">
        <f t="shared" si="121"/>
        <v>-0.24770039421813417</v>
      </c>
      <c r="AN261" s="14">
        <f t="shared" si="109"/>
        <v>-2.220324508966709E-2</v>
      </c>
      <c r="AO261">
        <f t="shared" si="118"/>
        <v>0</v>
      </c>
      <c r="AP261" s="14">
        <f t="shared" si="119"/>
        <v>0.4</v>
      </c>
      <c r="AQ261">
        <f t="shared" si="110"/>
        <v>-2.6520189607215361E-3</v>
      </c>
      <c r="AR261">
        <f t="shared" si="111"/>
        <v>-1.9551226128945463E-2</v>
      </c>
      <c r="AS261">
        <f t="shared" si="93"/>
        <v>-2.6740773076771914E-3</v>
      </c>
      <c r="AT261">
        <f t="shared" si="94"/>
        <v>5.9351460936102315E-2</v>
      </c>
      <c r="AU261" s="14">
        <f t="shared" si="99"/>
        <v>-4.5054953416498011E-2</v>
      </c>
      <c r="AV261" s="19">
        <f t="shared" si="95"/>
        <v>3.3230097066842323</v>
      </c>
      <c r="AW261" s="19">
        <f t="shared" si="122"/>
        <v>-0.17028985507246386</v>
      </c>
      <c r="AX261">
        <f t="shared" si="100"/>
        <v>0</v>
      </c>
      <c r="AY261">
        <f>IF(W261,SUMPRODUCT(INDEX(AX:AX,X261):INDEX(AX:AX,X261+Y261)),0)</f>
        <v>67</v>
      </c>
      <c r="AZ261">
        <f>IF(V261,COUNT(INDEX(AX:AX,X261):INDEX(AX:AX,ROW())),0)</f>
        <v>251</v>
      </c>
      <c r="BA261" s="14">
        <f t="shared" si="112"/>
        <v>0.26693227091633465</v>
      </c>
      <c r="BB261" s="6">
        <f t="shared" si="101"/>
        <v>11348095</v>
      </c>
      <c r="BC261" s="6">
        <f>MEDIAN(INDEX(BB:BB,X261):INDEX(BB:BB,X261+Y261-1))</f>
        <v>515052</v>
      </c>
      <c r="BD261" s="25">
        <f t="shared" si="102"/>
        <v>515052</v>
      </c>
      <c r="BE261">
        <f t="shared" si="113"/>
        <v>0</v>
      </c>
      <c r="BF261" s="6">
        <f>SUM(INDEX(BE:BE,X261):INDEX(BE:BE,X261+Y261-1))</f>
        <v>17</v>
      </c>
      <c r="BG261" s="25">
        <f t="shared" si="103"/>
        <v>17</v>
      </c>
    </row>
    <row r="262" spans="1:59" s="5" customFormat="1" x14ac:dyDescent="0.3">
      <c r="A262" s="7">
        <v>44286</v>
      </c>
      <c r="B262" s="5">
        <v>11.28</v>
      </c>
      <c r="C262" s="5">
        <v>11.94</v>
      </c>
      <c r="D262" s="5">
        <v>11.183</v>
      </c>
      <c r="E262" s="5">
        <v>11.67</v>
      </c>
      <c r="F262" s="5">
        <v>1220200</v>
      </c>
      <c r="G262" s="29">
        <v>1.3146631304008101</v>
      </c>
      <c r="H262" s="29">
        <v>0.112653224541629</v>
      </c>
      <c r="I262" s="29">
        <v>6.4867180805484106E-2</v>
      </c>
      <c r="J262" s="29">
        <v>40.157059506158099</v>
      </c>
      <c r="K262" s="29">
        <v>-0.122556390977443</v>
      </c>
      <c r="L262" s="29">
        <v>0.6</v>
      </c>
      <c r="M262" s="29">
        <v>-3.49952479762436E-2</v>
      </c>
      <c r="N262" s="29">
        <v>3.3216917611756802</v>
      </c>
      <c r="O262" s="29">
        <v>-0.15434782608695599</v>
      </c>
      <c r="P262" s="29">
        <v>1.92139737991265E-2</v>
      </c>
      <c r="Q262" s="29">
        <v>0.26587301587301498</v>
      </c>
      <c r="R262" s="30">
        <v>519068</v>
      </c>
      <c r="S262" s="29">
        <v>17</v>
      </c>
      <c r="T262" s="20">
        <v>371.17599999999999</v>
      </c>
      <c r="U262" s="41"/>
      <c r="V262" s="5">
        <v>252</v>
      </c>
      <c r="W262" s="5" t="b">
        <f>V262&gt;=$C$4</f>
        <v>1</v>
      </c>
      <c r="X262" s="5">
        <f>IF(V262&lt;=$C$5,11,ROW()-$C$5+1)</f>
        <v>11</v>
      </c>
      <c r="Y262" s="20">
        <f t="shared" si="96"/>
        <v>252</v>
      </c>
      <c r="Z262" s="13">
        <f t="shared" si="104"/>
        <v>0.75699999999999967</v>
      </c>
      <c r="AA262" s="18">
        <f t="shared" si="105"/>
        <v>6.486718080548412E-2</v>
      </c>
      <c r="AB262" s="18">
        <f t="shared" si="106"/>
        <v>1.3146631304008147</v>
      </c>
      <c r="AC262" s="13">
        <f t="shared" si="97"/>
        <v>0.11265322454162936</v>
      </c>
      <c r="AD262" s="5">
        <f t="shared" si="107"/>
        <v>0.22000000000000064</v>
      </c>
      <c r="AE262" s="5">
        <f t="shared" si="114"/>
        <v>0.22000000000000064</v>
      </c>
      <c r="AF262" s="5">
        <f t="shared" si="115"/>
        <v>0</v>
      </c>
      <c r="AG262" s="5">
        <f t="shared" si="124"/>
        <v>0.23825877001717338</v>
      </c>
      <c r="AH262" s="5">
        <f t="shared" si="124"/>
        <v>0.35505850368507558</v>
      </c>
      <c r="AI262" s="5">
        <f t="shared" si="108"/>
        <v>0.67104087789571865</v>
      </c>
      <c r="AJ262" s="5">
        <f t="shared" si="116"/>
        <v>40.157059397657356</v>
      </c>
      <c r="AK262" s="20">
        <f t="shared" si="98"/>
        <v>40.157059397657356</v>
      </c>
      <c r="AM262" s="5">
        <f t="shared" si="121"/>
        <v>-0.12255639097744364</v>
      </c>
      <c r="AN262" s="20">
        <f t="shared" si="109"/>
        <v>1.9213973799126594E-2</v>
      </c>
      <c r="AO262" s="5">
        <f t="shared" si="118"/>
        <v>1</v>
      </c>
      <c r="AP262" s="20">
        <f t="shared" si="119"/>
        <v>0.6</v>
      </c>
      <c r="AQ262" s="5">
        <f t="shared" si="110"/>
        <v>4.0521751361994873E-3</v>
      </c>
      <c r="AR262" s="5">
        <f t="shared" si="111"/>
        <v>1.5161798662927013E-2</v>
      </c>
      <c r="AS262" s="5">
        <f t="shared" si="93"/>
        <v>-2.0765591232517738E-3</v>
      </c>
      <c r="AT262" s="5">
        <f t="shared" si="94"/>
        <v>5.9338317152700541E-2</v>
      </c>
      <c r="AU262" s="20">
        <f t="shared" si="99"/>
        <v>-3.4995247976244093E-2</v>
      </c>
      <c r="AV262" s="24">
        <f t="shared" si="95"/>
        <v>3.321691761175749</v>
      </c>
      <c r="AW262" s="19">
        <f t="shared" si="122"/>
        <v>-0.15434782608695652</v>
      </c>
      <c r="AX262" s="5">
        <f t="shared" si="100"/>
        <v>0</v>
      </c>
      <c r="AY262" s="5">
        <f>IF(W262,SUMPRODUCT(INDEX(AX:AX,X262):INDEX(AX:AX,X262+Y262)),0)</f>
        <v>67</v>
      </c>
      <c r="AZ262" s="5">
        <f>IF(V262,COUNT(INDEX(AX:AX,X262):INDEX(AX:AX,ROW())),0)</f>
        <v>252</v>
      </c>
      <c r="BA262" s="20">
        <f t="shared" si="112"/>
        <v>0.26587301587301587</v>
      </c>
      <c r="BB262" s="8">
        <f t="shared" si="101"/>
        <v>14239734</v>
      </c>
      <c r="BC262" s="8">
        <f>MEDIAN(INDEX(BB:BB,X262):INDEX(BB:BB,X262+Y262-1))</f>
        <v>519068</v>
      </c>
      <c r="BD262" s="26">
        <f t="shared" si="102"/>
        <v>519068</v>
      </c>
      <c r="BE262" s="5">
        <f t="shared" si="113"/>
        <v>0</v>
      </c>
      <c r="BF262" s="8">
        <f>SUM(INDEX(BE:BE,X262):INDEX(BE:BE,X262+Y262-1))</f>
        <v>17</v>
      </c>
      <c r="BG262" s="26">
        <f t="shared" si="103"/>
        <v>17</v>
      </c>
    </row>
    <row r="263" spans="1:59" x14ac:dyDescent="0.3">
      <c r="A263" s="1">
        <v>44287</v>
      </c>
      <c r="B263">
        <v>11.67</v>
      </c>
      <c r="C263">
        <v>11.8</v>
      </c>
      <c r="D263">
        <v>11.03</v>
      </c>
      <c r="E263">
        <v>11.39</v>
      </c>
      <c r="F263">
        <v>1651500</v>
      </c>
      <c r="G263" s="29">
        <v>1.27575862108647</v>
      </c>
      <c r="H263" s="29">
        <v>0.112006902641481</v>
      </c>
      <c r="I263" s="29">
        <v>6.7603160667252096E-2</v>
      </c>
      <c r="J263" s="29">
        <v>38.750353455924497</v>
      </c>
      <c r="K263" s="29">
        <v>-9.0255591054312995E-2</v>
      </c>
      <c r="L263" s="29">
        <v>0.4</v>
      </c>
      <c r="M263" s="29">
        <v>-3.0455359448000902E-2</v>
      </c>
      <c r="N263" s="29">
        <v>3.2349164710701102</v>
      </c>
      <c r="O263" s="29">
        <v>-0.17463768115941999</v>
      </c>
      <c r="P263" s="29">
        <v>-2.3993144815766799E-2</v>
      </c>
      <c r="Q263" s="29">
        <v>0.26587301587301498</v>
      </c>
      <c r="R263" s="30">
        <v>528827</v>
      </c>
      <c r="S263" s="29">
        <v>17</v>
      </c>
      <c r="T263" s="14">
        <v>375.185</v>
      </c>
      <c r="U263" s="41"/>
      <c r="V263">
        <v>253</v>
      </c>
      <c r="W263" t="b">
        <f>V263&gt;=$C$4</f>
        <v>1</v>
      </c>
      <c r="X263">
        <f>IF(V263&lt;=$C$5,11,ROW()-$C$5+1)</f>
        <v>12</v>
      </c>
      <c r="Y263" s="14">
        <f t="shared" si="96"/>
        <v>252</v>
      </c>
      <c r="Z263" s="10">
        <f t="shared" si="104"/>
        <v>0.77000000000000135</v>
      </c>
      <c r="AA263" s="15">
        <f t="shared" si="105"/>
        <v>6.7603160667252096E-2</v>
      </c>
      <c r="AB263" s="15">
        <f t="shared" si="106"/>
        <v>1.2757586210864709</v>
      </c>
      <c r="AC263" s="10">
        <f t="shared" si="97"/>
        <v>0.11200690264148119</v>
      </c>
      <c r="AD263">
        <f t="shared" si="107"/>
        <v>-0.27999999999999936</v>
      </c>
      <c r="AE263">
        <f t="shared" si="114"/>
        <v>0</v>
      </c>
      <c r="AF263">
        <f t="shared" si="115"/>
        <v>0.27999999999999936</v>
      </c>
      <c r="AG263">
        <f t="shared" si="124"/>
        <v>0.22124028644451815</v>
      </c>
      <c r="AH263">
        <f t="shared" si="124"/>
        <v>0.34969718199328442</v>
      </c>
      <c r="AI263">
        <f t="shared" si="108"/>
        <v>0.63266248010190385</v>
      </c>
      <c r="AJ263">
        <f t="shared" si="116"/>
        <v>38.75035335303447</v>
      </c>
      <c r="AK263" s="14">
        <f t="shared" si="98"/>
        <v>38.75035335303447</v>
      </c>
      <c r="AM263">
        <f t="shared" si="121"/>
        <v>-9.0255591054313022E-2</v>
      </c>
      <c r="AN263" s="14">
        <f t="shared" si="109"/>
        <v>-2.3993144815766865E-2</v>
      </c>
      <c r="AO263">
        <f t="shared" si="118"/>
        <v>0</v>
      </c>
      <c r="AP263" s="14">
        <f t="shared" si="119"/>
        <v>0.4</v>
      </c>
      <c r="AQ263">
        <f t="shared" si="110"/>
        <v>1.0800806086600501E-2</v>
      </c>
      <c r="AR263">
        <f t="shared" si="111"/>
        <v>-3.4793950902367296E-2</v>
      </c>
      <c r="AS263">
        <f t="shared" si="93"/>
        <v>-1.8011959425338448E-3</v>
      </c>
      <c r="AT263">
        <f t="shared" si="94"/>
        <v>5.9142166606477073E-2</v>
      </c>
      <c r="AU263" s="14">
        <f t="shared" si="99"/>
        <v>-3.0455359448001408E-2</v>
      </c>
      <c r="AV263" s="19">
        <f t="shared" si="95"/>
        <v>3.2349164710701768</v>
      </c>
      <c r="AW263" s="19">
        <f t="shared" si="122"/>
        <v>-0.17463768115942024</v>
      </c>
      <c r="AX263">
        <f t="shared" si="100"/>
        <v>0</v>
      </c>
      <c r="AY263">
        <f>IF(W263,SUMPRODUCT(INDEX(AX:AX,X263):INDEX(AX:AX,X263+Y263)),0)</f>
        <v>67</v>
      </c>
      <c r="AZ263">
        <f>IF(V263,COUNT(INDEX(AX:AX,X263):INDEX(AX:AX,ROW())),0)</f>
        <v>252</v>
      </c>
      <c r="BA263" s="14">
        <f t="shared" si="112"/>
        <v>0.26587301587301587</v>
      </c>
      <c r="BB263" s="6">
        <f t="shared" si="101"/>
        <v>18810585</v>
      </c>
      <c r="BC263" s="6">
        <f>MEDIAN(INDEX(BB:BB,X263):INDEX(BB:BB,X263+Y263-1))</f>
        <v>528827</v>
      </c>
      <c r="BD263" s="25">
        <f t="shared" si="102"/>
        <v>528827</v>
      </c>
      <c r="BE263">
        <f t="shared" si="113"/>
        <v>0</v>
      </c>
      <c r="BF263" s="6">
        <f>SUM(INDEX(BE:BE,X263):INDEX(BE:BE,X263+Y263-1))</f>
        <v>17</v>
      </c>
      <c r="BG263" s="25">
        <f t="shared" si="103"/>
        <v>17</v>
      </c>
    </row>
    <row r="264" spans="1:59" x14ac:dyDescent="0.3">
      <c r="A264" s="1">
        <v>44291</v>
      </c>
      <c r="B264">
        <v>11.69</v>
      </c>
      <c r="C264">
        <v>12.88</v>
      </c>
      <c r="D264">
        <v>11.13</v>
      </c>
      <c r="E264">
        <v>12.63</v>
      </c>
      <c r="F264">
        <v>1304300</v>
      </c>
      <c r="G264" s="29">
        <v>1.3096330052945799</v>
      </c>
      <c r="H264" s="29">
        <v>0.10369224111596</v>
      </c>
      <c r="I264" s="29">
        <v>0.138558986539984</v>
      </c>
      <c r="J264" s="29">
        <v>47.518296356715602</v>
      </c>
      <c r="K264" s="29">
        <v>1.12089671737389E-2</v>
      </c>
      <c r="L264" s="29">
        <v>0.4</v>
      </c>
      <c r="M264" s="29">
        <v>-9.3924485346767693E-3</v>
      </c>
      <c r="N264" s="29">
        <v>3.3705941289879302</v>
      </c>
      <c r="O264" s="29">
        <v>-8.4782608695652101E-2</v>
      </c>
      <c r="P264" s="29">
        <v>0.10886742756804201</v>
      </c>
      <c r="Q264" s="29">
        <v>0.26190476190476097</v>
      </c>
      <c r="R264" s="30">
        <v>528827</v>
      </c>
      <c r="S264" s="29">
        <v>17</v>
      </c>
      <c r="T264" s="14">
        <v>380.57</v>
      </c>
      <c r="U264" s="41"/>
      <c r="V264">
        <v>254</v>
      </c>
      <c r="W264" t="b">
        <f>V264&gt;=$C$4</f>
        <v>1</v>
      </c>
      <c r="X264">
        <f>IF(V264&lt;=$C$5,11,ROW()-$C$5+1)</f>
        <v>13</v>
      </c>
      <c r="Y264" s="14">
        <f t="shared" si="96"/>
        <v>252</v>
      </c>
      <c r="Z264" s="10">
        <f t="shared" si="104"/>
        <v>1.75</v>
      </c>
      <c r="AA264" s="15">
        <f t="shared" si="105"/>
        <v>0.13855898653998416</v>
      </c>
      <c r="AB264" s="15">
        <f t="shared" si="106"/>
        <v>1.3096330052945802</v>
      </c>
      <c r="AC264" s="10">
        <f t="shared" si="97"/>
        <v>0.10369224111596041</v>
      </c>
      <c r="AD264">
        <f t="shared" si="107"/>
        <v>1.2400000000000002</v>
      </c>
      <c r="AE264">
        <f t="shared" si="114"/>
        <v>1.2400000000000002</v>
      </c>
      <c r="AF264">
        <f t="shared" si="115"/>
        <v>0</v>
      </c>
      <c r="AG264">
        <f t="shared" si="124"/>
        <v>0.2940088374127669</v>
      </c>
      <c r="AH264">
        <f t="shared" si="124"/>
        <v>0.32471881185090695</v>
      </c>
      <c r="AI264">
        <f t="shared" si="108"/>
        <v>0.90542594602667992</v>
      </c>
      <c r="AJ264">
        <f t="shared" si="116"/>
        <v>47.518296258888142</v>
      </c>
      <c r="AK264" s="14">
        <f t="shared" si="98"/>
        <v>47.518296258888142</v>
      </c>
      <c r="AM264">
        <f t="shared" si="121"/>
        <v>1.1208967173738982E-2</v>
      </c>
      <c r="AN264" s="14">
        <f t="shared" si="109"/>
        <v>0.10886742756804213</v>
      </c>
      <c r="AO264">
        <f t="shared" si="118"/>
        <v>1</v>
      </c>
      <c r="AP264" s="14">
        <f t="shared" si="119"/>
        <v>0.4</v>
      </c>
      <c r="AQ264">
        <f t="shared" si="110"/>
        <v>1.4352919226514826E-2</v>
      </c>
      <c r="AR264">
        <f t="shared" si="111"/>
        <v>9.4514508341527179E-2</v>
      </c>
      <c r="AS264">
        <f t="shared" si="93"/>
        <v>-5.6669448633711486E-4</v>
      </c>
      <c r="AT264">
        <f t="shared" si="94"/>
        <v>6.0335117540954539E-2</v>
      </c>
      <c r="AU264" s="14">
        <f t="shared" si="99"/>
        <v>-9.392448534677196E-3</v>
      </c>
      <c r="AV264" s="19">
        <f t="shared" si="95"/>
        <v>3.3705941289880013</v>
      </c>
      <c r="AW264" s="19">
        <f t="shared" si="122"/>
        <v>-8.4782608695652129E-2</v>
      </c>
      <c r="AX264">
        <f t="shared" si="100"/>
        <v>0</v>
      </c>
      <c r="AY264">
        <f>IF(W264,SUMPRODUCT(INDEX(AX:AX,X264):INDEX(AX:AX,X264+Y264)),0)</f>
        <v>66</v>
      </c>
      <c r="AZ264">
        <f>IF(V264,COUNT(INDEX(AX:AX,X264):INDEX(AX:AX,ROW())),0)</f>
        <v>252</v>
      </c>
      <c r="BA264" s="14">
        <f t="shared" si="112"/>
        <v>0.26190476190476192</v>
      </c>
      <c r="BB264" s="6">
        <f t="shared" si="101"/>
        <v>16473309.000000002</v>
      </c>
      <c r="BC264" s="6">
        <f>MEDIAN(INDEX(BB:BB,X264):INDEX(BB:BB,X264+Y264-1))</f>
        <v>528827</v>
      </c>
      <c r="BD264" s="25">
        <f t="shared" si="102"/>
        <v>528827</v>
      </c>
      <c r="BE264">
        <f t="shared" si="113"/>
        <v>0</v>
      </c>
      <c r="BF264" s="6">
        <f>SUM(INDEX(BE:BE,X264):INDEX(BE:BE,X264+Y264-1))</f>
        <v>17</v>
      </c>
      <c r="BG264" s="25">
        <f t="shared" si="103"/>
        <v>17</v>
      </c>
    </row>
    <row r="265" spans="1:59" x14ac:dyDescent="0.3">
      <c r="A265" s="1">
        <v>44292</v>
      </c>
      <c r="B265">
        <v>12.19</v>
      </c>
      <c r="C265">
        <v>12.19</v>
      </c>
      <c r="D265">
        <v>11.53</v>
      </c>
      <c r="E265">
        <v>11.6</v>
      </c>
      <c r="F265">
        <v>1308800</v>
      </c>
      <c r="G265" s="29">
        <v>1.29465921920211</v>
      </c>
      <c r="H265" s="29">
        <v>0.11160855337949201</v>
      </c>
      <c r="I265" s="29">
        <v>9.4827586206896602E-2</v>
      </c>
      <c r="J265" s="29">
        <v>42.124119459073299</v>
      </c>
      <c r="K265" s="29">
        <v>-0.100077579519007</v>
      </c>
      <c r="L265" s="29">
        <v>0.4</v>
      </c>
      <c r="M265" s="29">
        <v>-2.1809329006409799E-2</v>
      </c>
      <c r="N265" s="29">
        <v>3.4079527579209601</v>
      </c>
      <c r="O265" s="29">
        <v>-0.15942028985507201</v>
      </c>
      <c r="P265" s="29">
        <v>-8.1551860649247895E-2</v>
      </c>
      <c r="Q265" s="29">
        <v>0.26190476190476097</v>
      </c>
      <c r="R265" s="30">
        <v>528827</v>
      </c>
      <c r="S265" s="29">
        <v>17</v>
      </c>
      <c r="T265" s="14">
        <v>380.34500000000003</v>
      </c>
      <c r="U265" s="41"/>
      <c r="V265">
        <v>255</v>
      </c>
      <c r="W265" t="b">
        <f>V265&gt;=$C$4</f>
        <v>1</v>
      </c>
      <c r="X265">
        <f>IF(V265&lt;=$C$5,11,ROW()-$C$5+1)</f>
        <v>14</v>
      </c>
      <c r="Y265" s="14">
        <f t="shared" si="96"/>
        <v>252</v>
      </c>
      <c r="Z265" s="10">
        <f t="shared" si="104"/>
        <v>1.1000000000000014</v>
      </c>
      <c r="AA265" s="15">
        <f t="shared" si="105"/>
        <v>9.4827586206896672E-2</v>
      </c>
      <c r="AB265" s="15">
        <f t="shared" si="106"/>
        <v>1.2946592192021102</v>
      </c>
      <c r="AC265" s="10">
        <f t="shared" si="97"/>
        <v>0.11160855337949227</v>
      </c>
      <c r="AD265">
        <f t="shared" si="107"/>
        <v>-1.0300000000000011</v>
      </c>
      <c r="AE265">
        <f t="shared" si="114"/>
        <v>0</v>
      </c>
      <c r="AF265">
        <f t="shared" si="115"/>
        <v>1.0300000000000011</v>
      </c>
      <c r="AG265">
        <f t="shared" si="124"/>
        <v>0.27300820616899785</v>
      </c>
      <c r="AH265">
        <f t="shared" si="124"/>
        <v>0.37509603957584225</v>
      </c>
      <c r="AI265">
        <f t="shared" si="108"/>
        <v>0.72783548042180046</v>
      </c>
      <c r="AJ265">
        <f t="shared" si="116"/>
        <v>42.124119377622726</v>
      </c>
      <c r="AK265" s="14">
        <f t="shared" si="98"/>
        <v>42.124119377622726</v>
      </c>
      <c r="AM265">
        <f t="shared" si="121"/>
        <v>-0.10007757951900709</v>
      </c>
      <c r="AN265" s="14">
        <f t="shared" si="109"/>
        <v>-8.1551860649247909E-2</v>
      </c>
      <c r="AO265">
        <f t="shared" si="118"/>
        <v>0</v>
      </c>
      <c r="AP265" s="14">
        <f t="shared" si="119"/>
        <v>0.4</v>
      </c>
      <c r="AQ265">
        <f t="shared" si="110"/>
        <v>-5.9121843550458131E-4</v>
      </c>
      <c r="AR265">
        <f t="shared" si="111"/>
        <v>-8.0960642213743314E-2</v>
      </c>
      <c r="AS265">
        <f t="shared" si="93"/>
        <v>-1.3314842975966797E-3</v>
      </c>
      <c r="AT265">
        <f t="shared" si="94"/>
        <v>6.1051135374468816E-2</v>
      </c>
      <c r="AU265" s="14">
        <f t="shared" si="99"/>
        <v>-2.1809329006410218E-2</v>
      </c>
      <c r="AV265" s="19">
        <f t="shared" si="95"/>
        <v>3.4079527579210325</v>
      </c>
      <c r="AW265" s="19">
        <f t="shared" si="122"/>
        <v>-0.15942028985507251</v>
      </c>
      <c r="AX265">
        <f t="shared" si="100"/>
        <v>0</v>
      </c>
      <c r="AY265">
        <f>IF(W265,SUMPRODUCT(INDEX(AX:AX,X265):INDEX(AX:AX,X265+Y265)),0)</f>
        <v>66</v>
      </c>
      <c r="AZ265">
        <f>IF(V265,COUNT(INDEX(AX:AX,X265):INDEX(AX:AX,ROW())),0)</f>
        <v>252</v>
      </c>
      <c r="BA265" s="14">
        <f t="shared" si="112"/>
        <v>0.26190476190476192</v>
      </c>
      <c r="BB265" s="6">
        <f t="shared" si="101"/>
        <v>15182080</v>
      </c>
      <c r="BC265" s="6">
        <f>MEDIAN(INDEX(BB:BB,X265):INDEX(BB:BB,X265+Y265-1))</f>
        <v>528827</v>
      </c>
      <c r="BD265" s="25">
        <f t="shared" si="102"/>
        <v>528827</v>
      </c>
      <c r="BE265">
        <f t="shared" si="113"/>
        <v>0</v>
      </c>
      <c r="BF265" s="6">
        <f>SUM(INDEX(BE:BE,X265):INDEX(BE:BE,X265+Y265-1))</f>
        <v>17</v>
      </c>
      <c r="BG265" s="25">
        <f t="shared" si="103"/>
        <v>17</v>
      </c>
    </row>
    <row r="266" spans="1:59" x14ac:dyDescent="0.3">
      <c r="A266" s="1">
        <v>44293</v>
      </c>
      <c r="B266">
        <v>11.63</v>
      </c>
      <c r="C266">
        <v>12.47</v>
      </c>
      <c r="D266">
        <v>11.31</v>
      </c>
      <c r="E266">
        <v>11.81</v>
      </c>
      <c r="F266">
        <v>2954800</v>
      </c>
      <c r="G266" s="29">
        <v>1.2850407035448099</v>
      </c>
      <c r="H266" s="29">
        <v>0.108809543060526</v>
      </c>
      <c r="I266" s="29">
        <v>9.8221845893310705E-2</v>
      </c>
      <c r="J266" s="29">
        <v>43.531581532279901</v>
      </c>
      <c r="K266" s="29">
        <v>4.2517006802722497E-3</v>
      </c>
      <c r="L266" s="29">
        <v>0.6</v>
      </c>
      <c r="M266" s="29">
        <v>-1.8411287896592399E-2</v>
      </c>
      <c r="N266" s="29">
        <v>3.4134311927896399</v>
      </c>
      <c r="O266" s="29">
        <v>-0.14420289855072399</v>
      </c>
      <c r="P266" s="29">
        <v>1.8103448275862102E-2</v>
      </c>
      <c r="Q266" s="29">
        <v>0.25793650793650702</v>
      </c>
      <c r="R266" s="30">
        <v>536357</v>
      </c>
      <c r="S266" s="29">
        <v>17</v>
      </c>
      <c r="T266" s="14">
        <v>380.78500000000003</v>
      </c>
      <c r="U266" s="41"/>
      <c r="V266">
        <v>256</v>
      </c>
      <c r="W266" t="b">
        <f>V266&gt;=$C$4</f>
        <v>1</v>
      </c>
      <c r="X266">
        <f>IF(V266&lt;=$C$5,11,ROW()-$C$5+1)</f>
        <v>15</v>
      </c>
      <c r="Y266" s="14">
        <f t="shared" si="96"/>
        <v>252</v>
      </c>
      <c r="Z266" s="10">
        <f t="shared" si="104"/>
        <v>1.1600000000000001</v>
      </c>
      <c r="AA266" s="15">
        <f t="shared" si="105"/>
        <v>9.8221845893310761E-2</v>
      </c>
      <c r="AB266" s="15">
        <f t="shared" si="106"/>
        <v>1.2850407035448168</v>
      </c>
      <c r="AC266" s="10">
        <f t="shared" si="97"/>
        <v>0.1088095430605264</v>
      </c>
      <c r="AD266">
        <f t="shared" si="107"/>
        <v>0.21000000000000085</v>
      </c>
      <c r="AE266">
        <f t="shared" si="114"/>
        <v>0.21000000000000085</v>
      </c>
      <c r="AF266">
        <f t="shared" si="115"/>
        <v>0</v>
      </c>
      <c r="AG266">
        <f t="shared" si="124"/>
        <v>0.26850762001406953</v>
      </c>
      <c r="AH266">
        <f t="shared" si="124"/>
        <v>0.34830346532042494</v>
      </c>
      <c r="AI266">
        <f t="shared" si="108"/>
        <v>0.77090137408496207</v>
      </c>
      <c r="AJ266">
        <f t="shared" si="116"/>
        <v>43.531581451468043</v>
      </c>
      <c r="AK266" s="14">
        <f t="shared" si="98"/>
        <v>43.531581451468043</v>
      </c>
      <c r="AM266">
        <f t="shared" si="121"/>
        <v>4.2517006802722523E-3</v>
      </c>
      <c r="AN266" s="14">
        <f t="shared" si="109"/>
        <v>1.8103448275862188E-2</v>
      </c>
      <c r="AO266">
        <f t="shared" si="118"/>
        <v>1</v>
      </c>
      <c r="AP266" s="14">
        <f t="shared" si="119"/>
        <v>0.6</v>
      </c>
      <c r="AQ266">
        <f t="shared" si="110"/>
        <v>1.1568444438601055E-3</v>
      </c>
      <c r="AR266">
        <f t="shared" si="111"/>
        <v>1.6946603832001996E-2</v>
      </c>
      <c r="AS266">
        <f t="shared" ref="AS266:AS310" si="125">AVERAGE(AR204:AR266)</f>
        <v>-1.1247685923497037E-3</v>
      </c>
      <c r="AT266">
        <f t="shared" ref="AT266:AT310" si="126">_xlfn.STDEV.S(AR204:AR266)</f>
        <v>6.1091250034596825E-2</v>
      </c>
      <c r="AU266" s="14">
        <f t="shared" si="99"/>
        <v>-1.8411287896592909E-2</v>
      </c>
      <c r="AV266" s="19">
        <f t="shared" ref="AV266:AV310" si="127">_xlfn.COVARIANCE.S(P204:P266,AQ204:AQ266)/_xlfn.VAR.S(AQ204:AQ266)</f>
        <v>3.4134311927897181</v>
      </c>
      <c r="AW266" s="19">
        <f t="shared" si="122"/>
        <v>-0.14420289855072466</v>
      </c>
      <c r="AX266">
        <f t="shared" si="100"/>
        <v>0</v>
      </c>
      <c r="AY266">
        <f>IF(W266,SUMPRODUCT(INDEX(AX:AX,X266):INDEX(AX:AX,X266+Y266)),0)</f>
        <v>65</v>
      </c>
      <c r="AZ266">
        <f>IF(V266,COUNT(INDEX(AX:AX,X266):INDEX(AX:AX,ROW())),0)</f>
        <v>252</v>
      </c>
      <c r="BA266" s="14">
        <f t="shared" si="112"/>
        <v>0.25793650793650796</v>
      </c>
      <c r="BB266" s="6">
        <f t="shared" si="101"/>
        <v>34896188</v>
      </c>
      <c r="BC266" s="6">
        <f>MEDIAN(INDEX(BB:BB,X266):INDEX(BB:BB,X266+Y266-1))</f>
        <v>536357</v>
      </c>
      <c r="BD266" s="25">
        <f t="shared" si="102"/>
        <v>536357</v>
      </c>
      <c r="BE266">
        <f t="shared" si="113"/>
        <v>0</v>
      </c>
      <c r="BF266" s="6">
        <f>SUM(INDEX(BE:BE,X266):INDEX(BE:BE,X266+Y266-1))</f>
        <v>17</v>
      </c>
      <c r="BG266" s="25">
        <f t="shared" si="103"/>
        <v>17</v>
      </c>
    </row>
    <row r="267" spans="1:59" x14ac:dyDescent="0.3">
      <c r="A267" s="1">
        <v>44294</v>
      </c>
      <c r="B267">
        <v>11.916</v>
      </c>
      <c r="C267">
        <v>12.105</v>
      </c>
      <c r="D267">
        <v>10.5</v>
      </c>
      <c r="E267">
        <v>10.78</v>
      </c>
      <c r="F267">
        <v>2140400</v>
      </c>
      <c r="G267" s="29">
        <v>1.3078949390059</v>
      </c>
      <c r="H267" s="29">
        <v>0.121326061132272</v>
      </c>
      <c r="I267" s="29">
        <v>0.14888682745825599</v>
      </c>
      <c r="J267" s="29">
        <v>38.576361280901303</v>
      </c>
      <c r="K267" s="29">
        <v>-9.7907949790794896E-2</v>
      </c>
      <c r="L267" s="29">
        <v>0.4</v>
      </c>
      <c r="M267" s="29">
        <v>-3.7146311302704099E-2</v>
      </c>
      <c r="N267" s="29">
        <v>3.3796856673640501</v>
      </c>
      <c r="O267" s="29">
        <v>-0.21884057971014501</v>
      </c>
      <c r="P267" s="29">
        <v>-8.7214225232853604E-2</v>
      </c>
      <c r="Q267" s="29">
        <v>0.25396825396825301</v>
      </c>
      <c r="R267" s="30">
        <v>549572</v>
      </c>
      <c r="S267" s="29">
        <v>17</v>
      </c>
      <c r="T267" s="14">
        <v>382.59300000000002</v>
      </c>
      <c r="U267" s="41"/>
      <c r="V267">
        <v>257</v>
      </c>
      <c r="W267" t="b">
        <f>V267&gt;=$C$4</f>
        <v>1</v>
      </c>
      <c r="X267">
        <f>IF(V267&lt;=$C$5,11,ROW()-$C$5+1)</f>
        <v>16</v>
      </c>
      <c r="Y267" s="14">
        <f t="shared" ref="Y267:Y310" si="128">ROW()-X267+1</f>
        <v>252</v>
      </c>
      <c r="Z267" s="10">
        <f t="shared" si="104"/>
        <v>1.6050000000000004</v>
      </c>
      <c r="AA267" s="15">
        <f t="shared" si="105"/>
        <v>0.14888682745825607</v>
      </c>
      <c r="AB267" s="15">
        <f t="shared" si="106"/>
        <v>1.3078949390059014</v>
      </c>
      <c r="AC267" s="10">
        <f t="shared" ref="AC267:AC310" si="129">AB267/E267</f>
        <v>0.12132606113227286</v>
      </c>
      <c r="AD267">
        <f t="shared" si="107"/>
        <v>-1.0300000000000011</v>
      </c>
      <c r="AE267">
        <f t="shared" si="114"/>
        <v>0</v>
      </c>
      <c r="AF267">
        <f t="shared" si="115"/>
        <v>1.0300000000000011</v>
      </c>
      <c r="AG267">
        <f t="shared" si="124"/>
        <v>0.24932850429877887</v>
      </c>
      <c r="AH267">
        <f t="shared" si="124"/>
        <v>0.39699607494039463</v>
      </c>
      <c r="AI267">
        <f t="shared" si="108"/>
        <v>0.62803770625745681</v>
      </c>
      <c r="AJ267">
        <f t="shared" si="116"/>
        <v>38.576361213475444</v>
      </c>
      <c r="AK267" s="14">
        <f t="shared" ref="AK267:AK310" si="130">IF(AH267=0,
    IF(AG267=0, 50, 100),
    IF(AG267=0, 0, 100-(100/(1+AG267/AH267)))
)</f>
        <v>38.576361213475444</v>
      </c>
      <c r="AM267">
        <f t="shared" si="121"/>
        <v>-9.7907949790794979E-2</v>
      </c>
      <c r="AN267" s="14">
        <f t="shared" si="109"/>
        <v>-8.7214225232853604E-2</v>
      </c>
      <c r="AO267">
        <f t="shared" si="118"/>
        <v>0</v>
      </c>
      <c r="AP267" s="14">
        <f t="shared" si="119"/>
        <v>0.4</v>
      </c>
      <c r="AQ267">
        <f t="shared" si="110"/>
        <v>4.7480861903699267E-3</v>
      </c>
      <c r="AR267">
        <f t="shared" si="111"/>
        <v>-9.1962311423223531E-2</v>
      </c>
      <c r="AS267">
        <f t="shared" si="125"/>
        <v>-2.3077145051900463E-3</v>
      </c>
      <c r="AT267">
        <f t="shared" si="126"/>
        <v>6.2124997725467868E-2</v>
      </c>
      <c r="AU267" s="14">
        <f t="shared" ref="AU267:AU310" si="131">AS267/AT267</f>
        <v>-3.7146311302704627E-2</v>
      </c>
      <c r="AV267" s="19">
        <f t="shared" si="127"/>
        <v>3.3796856673641233</v>
      </c>
      <c r="AW267" s="19">
        <f t="shared" si="122"/>
        <v>-0.21884057971014503</v>
      </c>
      <c r="AX267">
        <f t="shared" ref="AX267:AX310" si="132">IF(OR(F267=0,C267=D267),1,0)</f>
        <v>0</v>
      </c>
      <c r="AY267">
        <f>IF(W267,SUMPRODUCT(INDEX(AX:AX,X267):INDEX(AX:AX,X267+Y267)),0)</f>
        <v>64</v>
      </c>
      <c r="AZ267">
        <f>IF(V267,COUNT(INDEX(AX:AX,X267):INDEX(AX:AX,ROW())),0)</f>
        <v>252</v>
      </c>
      <c r="BA267" s="14">
        <f t="shared" si="112"/>
        <v>0.25396825396825395</v>
      </c>
      <c r="BB267" s="6">
        <f t="shared" ref="BB267:BB310" si="133">E267*F267</f>
        <v>23073512</v>
      </c>
      <c r="BC267" s="6">
        <f>MEDIAN(INDEX(BB:BB,X267):INDEX(BB:BB,X267+Y267-1))</f>
        <v>549572</v>
      </c>
      <c r="BD267" s="25">
        <f t="shared" ref="BD267:BD310" si="134">IF(W267,BC267,"")</f>
        <v>549572</v>
      </c>
      <c r="BE267">
        <f t="shared" si="113"/>
        <v>0</v>
      </c>
      <c r="BF267" s="6">
        <f>SUM(INDEX(BE:BE,X267):INDEX(BE:BE,X267+Y267-1))</f>
        <v>17</v>
      </c>
      <c r="BG267" s="25">
        <f t="shared" ref="BG267:BG310" si="135">IF(W267,BF267,"")</f>
        <v>17</v>
      </c>
    </row>
    <row r="268" spans="1:59" x14ac:dyDescent="0.3">
      <c r="A268" s="1">
        <v>44295</v>
      </c>
      <c r="B268">
        <v>10.62</v>
      </c>
      <c r="C268">
        <v>10.62</v>
      </c>
      <c r="D268">
        <v>9.75</v>
      </c>
      <c r="E268">
        <v>10</v>
      </c>
      <c r="F268">
        <v>1949500</v>
      </c>
      <c r="G268" s="29">
        <v>1.2880453005054799</v>
      </c>
      <c r="H268" s="29">
        <v>0.12880453005054801</v>
      </c>
      <c r="I268" s="29">
        <v>0.102999999999999</v>
      </c>
      <c r="J268" s="29">
        <v>35.299423529227802</v>
      </c>
      <c r="K268" s="29">
        <v>-0.16247906197654899</v>
      </c>
      <c r="L268" s="29">
        <v>0.4</v>
      </c>
      <c r="M268" s="29">
        <v>-4.9983236831594197E-2</v>
      </c>
      <c r="N268" s="29">
        <v>3.4196528380315798</v>
      </c>
      <c r="O268" s="29">
        <v>-0.27536231884057899</v>
      </c>
      <c r="P268" s="29">
        <v>-7.2356215213357999E-2</v>
      </c>
      <c r="Q268" s="29">
        <v>0.25</v>
      </c>
      <c r="R268" s="30">
        <v>572148</v>
      </c>
      <c r="S268" s="29">
        <v>17</v>
      </c>
      <c r="T268" s="14">
        <v>385.37400000000002</v>
      </c>
      <c r="U268" s="41"/>
      <c r="V268">
        <v>258</v>
      </c>
      <c r="W268" t="b">
        <f>V268&gt;=$C$4</f>
        <v>1</v>
      </c>
      <c r="X268">
        <f>IF(V268&lt;=$C$5,11,ROW()-$C$5+1)</f>
        <v>17</v>
      </c>
      <c r="Y268" s="14">
        <f t="shared" si="128"/>
        <v>252</v>
      </c>
      <c r="Z268" s="10">
        <f t="shared" ref="Z268:Z310" si="136">MAX(C268-D268,ABS(C268-E267),ABS(D268-E267))</f>
        <v>1.0299999999999994</v>
      </c>
      <c r="AA268" s="15">
        <f t="shared" ref="AA268:AA310" si="137">Z268/E268</f>
        <v>0.10299999999999994</v>
      </c>
      <c r="AB268" s="15">
        <f t="shared" ref="AB268:AB310" si="138">(Z268+13*AB267)/14</f>
        <v>1.2880453005054799</v>
      </c>
      <c r="AC268" s="10">
        <f t="shared" si="129"/>
        <v>0.12880453005054798</v>
      </c>
      <c r="AD268">
        <f t="shared" ref="AD268:AD310" si="139">E268-E267</f>
        <v>-0.77999999999999936</v>
      </c>
      <c r="AE268">
        <f t="shared" si="114"/>
        <v>0</v>
      </c>
      <c r="AF268">
        <f t="shared" si="115"/>
        <v>0.77999999999999936</v>
      </c>
      <c r="AG268">
        <f t="shared" si="124"/>
        <v>0.23151932542029469</v>
      </c>
      <c r="AH268">
        <f t="shared" si="124"/>
        <v>0.4243534981589378</v>
      </c>
      <c r="AI268">
        <f t="shared" ref="AI268:AI310" si="140">AG268/AH268</f>
        <v>0.54558128170203324</v>
      </c>
      <c r="AJ268">
        <f t="shared" si="116"/>
        <v>35.299423470063331</v>
      </c>
      <c r="AK268" s="14">
        <f t="shared" si="130"/>
        <v>35.299423470063331</v>
      </c>
      <c r="AM268">
        <f t="shared" si="121"/>
        <v>-0.16247906197654938</v>
      </c>
      <c r="AN268" s="14">
        <f t="shared" ref="AN268:AN310" si="141">E268/E267-1</f>
        <v>-7.2356215213357999E-2</v>
      </c>
      <c r="AO268">
        <f t="shared" si="118"/>
        <v>0</v>
      </c>
      <c r="AP268" s="14">
        <f t="shared" si="119"/>
        <v>0.4</v>
      </c>
      <c r="AQ268">
        <f t="shared" ref="AQ268:AQ310" si="142">T268/T267-1</f>
        <v>7.2688209141307247E-3</v>
      </c>
      <c r="AR268">
        <f t="shared" ref="AR268:AR310" si="143">P268-AQ268</f>
        <v>-7.9625036127488724E-2</v>
      </c>
      <c r="AS268">
        <f t="shared" si="125"/>
        <v>-3.1394959580580508E-3</v>
      </c>
      <c r="AT268">
        <f t="shared" si="126"/>
        <v>6.2810977380991784E-2</v>
      </c>
      <c r="AU268" s="14">
        <f t="shared" si="131"/>
        <v>-4.998323683159471E-2</v>
      </c>
      <c r="AV268" s="19">
        <f t="shared" si="127"/>
        <v>3.4196528380316584</v>
      </c>
      <c r="AW268" s="19">
        <f t="shared" si="122"/>
        <v>-0.27536231884057971</v>
      </c>
      <c r="AX268">
        <f t="shared" si="132"/>
        <v>0</v>
      </c>
      <c r="AY268">
        <f>IF(W268,SUMPRODUCT(INDEX(AX:AX,X268):INDEX(AX:AX,X268+Y268)),0)</f>
        <v>63</v>
      </c>
      <c r="AZ268">
        <f>IF(V268,COUNT(INDEX(AX:AX,X268):INDEX(AX:AX,ROW())),0)</f>
        <v>252</v>
      </c>
      <c r="BA268" s="14">
        <f t="shared" ref="BA268:BA310" si="144">IF(W268,AY268/AZ268,"")</f>
        <v>0.25</v>
      </c>
      <c r="BB268" s="6">
        <f t="shared" si="133"/>
        <v>19495000</v>
      </c>
      <c r="BC268" s="6">
        <f>MEDIAN(INDEX(BB:BB,X268):INDEX(BB:BB,X268+Y268-1))</f>
        <v>572148</v>
      </c>
      <c r="BD268" s="25">
        <f t="shared" si="134"/>
        <v>572148</v>
      </c>
      <c r="BE268">
        <f t="shared" ref="BE268:BE310" si="145">IF(F267=F268,1,0)</f>
        <v>0</v>
      </c>
      <c r="BF268" s="6">
        <f>SUM(INDEX(BE:BE,X268):INDEX(BE:BE,X268+Y268-1))</f>
        <v>17</v>
      </c>
      <c r="BG268" s="25">
        <f t="shared" si="135"/>
        <v>17</v>
      </c>
    </row>
    <row r="269" spans="1:59" x14ac:dyDescent="0.3">
      <c r="A269" s="1">
        <v>44298</v>
      </c>
      <c r="B269">
        <v>10.1</v>
      </c>
      <c r="C269">
        <v>10.15</v>
      </c>
      <c r="D269">
        <v>9.33</v>
      </c>
      <c r="E269">
        <v>9.69</v>
      </c>
      <c r="F269">
        <v>1193400</v>
      </c>
      <c r="G269" s="29">
        <v>1.2546134933265101</v>
      </c>
      <c r="H269" s="29">
        <v>0.12947507671068201</v>
      </c>
      <c r="I269" s="29">
        <v>8.4623323013415894E-2</v>
      </c>
      <c r="J269" s="29">
        <v>34.061036029771898</v>
      </c>
      <c r="K269" s="29">
        <v>-0.27142857142857102</v>
      </c>
      <c r="L269" s="29">
        <v>0.2</v>
      </c>
      <c r="M269" s="29">
        <v>-5.4612445379378899E-2</v>
      </c>
      <c r="N269" s="29">
        <v>3.43931959378533</v>
      </c>
      <c r="O269" s="29">
        <v>-0.29782608695652102</v>
      </c>
      <c r="P269" s="29">
        <v>-3.1E-2</v>
      </c>
      <c r="Q269" s="29">
        <v>0.24603174603174599</v>
      </c>
      <c r="R269" s="30">
        <v>589380</v>
      </c>
      <c r="S269" s="29">
        <v>17</v>
      </c>
      <c r="T269" s="14">
        <v>385.51499999999999</v>
      </c>
      <c r="U269" s="41"/>
      <c r="V269">
        <v>259</v>
      </c>
      <c r="W269" t="b">
        <f>V269&gt;=$C$4</f>
        <v>1</v>
      </c>
      <c r="X269">
        <f>IF(V269&lt;=$C$5,11,ROW()-$C$5+1)</f>
        <v>18</v>
      </c>
      <c r="Y269" s="14">
        <f t="shared" si="128"/>
        <v>252</v>
      </c>
      <c r="Z269" s="10">
        <f t="shared" si="136"/>
        <v>0.82000000000000028</v>
      </c>
      <c r="AA269" s="15">
        <f t="shared" si="137"/>
        <v>8.4623323013415921E-2</v>
      </c>
      <c r="AB269" s="15">
        <f t="shared" si="138"/>
        <v>1.2546134933265169</v>
      </c>
      <c r="AC269" s="10">
        <f t="shared" si="129"/>
        <v>0.12947507671068287</v>
      </c>
      <c r="AD269">
        <f t="shared" si="139"/>
        <v>-0.3100000000000005</v>
      </c>
      <c r="AE269">
        <f t="shared" ref="AE269:AE310" si="146">MAX($AD269,0)</f>
        <v>0</v>
      </c>
      <c r="AF269">
        <f t="shared" ref="AF269:AF310" si="147">MAX(-$AD269,0)</f>
        <v>0.3100000000000005</v>
      </c>
      <c r="AG269">
        <f t="shared" si="124"/>
        <v>0.21498223074741649</v>
      </c>
      <c r="AH269">
        <f t="shared" si="124"/>
        <v>0.41618539114758513</v>
      </c>
      <c r="AI269">
        <f t="shared" si="140"/>
        <v>0.51655400530668982</v>
      </c>
      <c r="AJ269">
        <f t="shared" ref="AJ269:AJ310" si="148">(100-(100/(1+AI269)))</f>
        <v>34.061035973607034</v>
      </c>
      <c r="AK269" s="14">
        <f t="shared" si="130"/>
        <v>34.061035973607034</v>
      </c>
      <c r="AM269">
        <f t="shared" si="121"/>
        <v>-0.27142857142857146</v>
      </c>
      <c r="AN269" s="14">
        <f t="shared" si="141"/>
        <v>-3.1000000000000028E-2</v>
      </c>
      <c r="AO269">
        <f t="shared" si="118"/>
        <v>0</v>
      </c>
      <c r="AP269" s="14">
        <f t="shared" si="119"/>
        <v>0.2</v>
      </c>
      <c r="AQ269">
        <f t="shared" si="142"/>
        <v>3.6587834155898946E-4</v>
      </c>
      <c r="AR269">
        <f t="shared" si="143"/>
        <v>-3.1365878341558989E-2</v>
      </c>
      <c r="AS269">
        <f t="shared" si="125"/>
        <v>-3.4351593632965254E-3</v>
      </c>
      <c r="AT269">
        <f t="shared" si="126"/>
        <v>6.2900669241842316E-2</v>
      </c>
      <c r="AU269" s="14">
        <f t="shared" si="131"/>
        <v>-5.4612445379379433E-2</v>
      </c>
      <c r="AV269" s="19">
        <f t="shared" si="127"/>
        <v>3.4393195937854055</v>
      </c>
      <c r="AW269" s="19">
        <f t="shared" si="122"/>
        <v>-0.2978260869565218</v>
      </c>
      <c r="AX269">
        <f t="shared" si="132"/>
        <v>0</v>
      </c>
      <c r="AY269">
        <f>IF(W269,SUMPRODUCT(INDEX(AX:AX,X269):INDEX(AX:AX,X269+Y269)),0)</f>
        <v>62</v>
      </c>
      <c r="AZ269">
        <f>IF(V269,COUNT(INDEX(AX:AX,X269):INDEX(AX:AX,ROW())),0)</f>
        <v>252</v>
      </c>
      <c r="BA269" s="14">
        <f t="shared" si="144"/>
        <v>0.24603174603174602</v>
      </c>
      <c r="BB269" s="6">
        <f t="shared" si="133"/>
        <v>11564046</v>
      </c>
      <c r="BC269" s="6">
        <f>MEDIAN(INDEX(BB:BB,X269):INDEX(BB:BB,X269+Y269-1))</f>
        <v>589380</v>
      </c>
      <c r="BD269" s="25">
        <f t="shared" si="134"/>
        <v>589380</v>
      </c>
      <c r="BE269">
        <f t="shared" si="145"/>
        <v>0</v>
      </c>
      <c r="BF269" s="6">
        <f>SUM(INDEX(BE:BE,X269):INDEX(BE:BE,X269+Y269-1))</f>
        <v>17</v>
      </c>
      <c r="BG269" s="25">
        <f t="shared" si="135"/>
        <v>17</v>
      </c>
    </row>
    <row r="270" spans="1:59" x14ac:dyDescent="0.3">
      <c r="A270" s="1">
        <v>44299</v>
      </c>
      <c r="B270">
        <v>9.5399999999999991</v>
      </c>
      <c r="C270">
        <v>9.65</v>
      </c>
      <c r="D270">
        <v>8.52</v>
      </c>
      <c r="E270">
        <v>8.76</v>
      </c>
      <c r="F270">
        <v>2221600</v>
      </c>
      <c r="G270" s="29">
        <v>1.24856967237462</v>
      </c>
      <c r="H270" s="29">
        <v>0.142530784517651</v>
      </c>
      <c r="I270" s="29">
        <v>0.133561643835616</v>
      </c>
      <c r="J270" s="29">
        <v>30.593478006504</v>
      </c>
      <c r="K270" s="29">
        <v>-0.36521739130434699</v>
      </c>
      <c r="L270" s="29">
        <v>0.2</v>
      </c>
      <c r="M270" s="29">
        <v>-7.6512663910895201E-2</v>
      </c>
      <c r="N270" s="29">
        <v>3.4368819046567398</v>
      </c>
      <c r="O270" s="29">
        <v>-0.35824175824175802</v>
      </c>
      <c r="P270" s="29">
        <v>-9.5975232198142399E-2</v>
      </c>
      <c r="Q270" s="29">
        <v>0.24206349206349201</v>
      </c>
      <c r="R270" s="30">
        <v>602752</v>
      </c>
      <c r="S270" s="29">
        <v>16</v>
      </c>
      <c r="T270" s="14">
        <v>386.65699999999998</v>
      </c>
      <c r="U270" s="41"/>
      <c r="V270">
        <v>260</v>
      </c>
      <c r="W270" t="b">
        <f>V270&gt;=$C$4</f>
        <v>1</v>
      </c>
      <c r="X270">
        <f>IF(V270&lt;=$C$5,11,ROW()-$C$5+1)</f>
        <v>19</v>
      </c>
      <c r="Y270" s="14">
        <f t="shared" si="128"/>
        <v>252</v>
      </c>
      <c r="Z270" s="10">
        <f t="shared" si="136"/>
        <v>1.17</v>
      </c>
      <c r="AA270" s="15">
        <f t="shared" si="137"/>
        <v>0.13356164383561644</v>
      </c>
      <c r="AB270" s="15">
        <f t="shared" si="138"/>
        <v>1.2485696723746231</v>
      </c>
      <c r="AC270" s="10">
        <f t="shared" si="129"/>
        <v>0.14253078451765105</v>
      </c>
      <c r="AD270">
        <f t="shared" si="139"/>
        <v>-0.92999999999999972</v>
      </c>
      <c r="AE270">
        <f t="shared" si="146"/>
        <v>0</v>
      </c>
      <c r="AF270">
        <f t="shared" si="147"/>
        <v>0.92999999999999972</v>
      </c>
      <c r="AG270">
        <f t="shared" ref="AG270:AH285" si="149">(AE270+13*AG269)/14</f>
        <v>0.19962635712260104</v>
      </c>
      <c r="AH270">
        <f t="shared" si="149"/>
        <v>0.45288643463704331</v>
      </c>
      <c r="AI270">
        <f t="shared" si="140"/>
        <v>0.44078678859654419</v>
      </c>
      <c r="AJ270">
        <f t="shared" si="148"/>
        <v>30.593477958380646</v>
      </c>
      <c r="AK270" s="14">
        <f t="shared" si="130"/>
        <v>30.593477958380646</v>
      </c>
      <c r="AM270">
        <f t="shared" si="121"/>
        <v>-0.36521739130434783</v>
      </c>
      <c r="AN270" s="14">
        <f t="shared" si="141"/>
        <v>-9.5975232198142413E-2</v>
      </c>
      <c r="AO270">
        <f t="shared" ref="AO270:AO310" si="150">IF(AN270&gt;0,1,0)</f>
        <v>0</v>
      </c>
      <c r="AP270" s="14">
        <f t="shared" si="119"/>
        <v>0.2</v>
      </c>
      <c r="AQ270">
        <f t="shared" si="142"/>
        <v>2.9622712475518842E-3</v>
      </c>
      <c r="AR270">
        <f t="shared" si="143"/>
        <v>-9.8937503445694283E-2</v>
      </c>
      <c r="AS270">
        <f t="shared" si="125"/>
        <v>-4.8999505165502229E-3</v>
      </c>
      <c r="AT270">
        <f t="shared" si="126"/>
        <v>6.4041039301109035E-2</v>
      </c>
      <c r="AU270" s="14">
        <f t="shared" si="131"/>
        <v>-7.651266391089577E-2</v>
      </c>
      <c r="AV270" s="19">
        <f t="shared" si="127"/>
        <v>3.4368819046568198</v>
      </c>
      <c r="AW270" s="19">
        <f t="shared" si="122"/>
        <v>-0.3582417582417583</v>
      </c>
      <c r="AX270">
        <f t="shared" si="132"/>
        <v>0</v>
      </c>
      <c r="AY270">
        <f>IF(W270,SUMPRODUCT(INDEX(AX:AX,X270):INDEX(AX:AX,X270+Y270)),0)</f>
        <v>61</v>
      </c>
      <c r="AZ270">
        <f>IF(V270,COUNT(INDEX(AX:AX,X270):INDEX(AX:AX,ROW())),0)</f>
        <v>252</v>
      </c>
      <c r="BA270" s="14">
        <f t="shared" si="144"/>
        <v>0.24206349206349206</v>
      </c>
      <c r="BB270" s="6">
        <f t="shared" si="133"/>
        <v>19461216</v>
      </c>
      <c r="BC270" s="6">
        <f>MEDIAN(INDEX(BB:BB,X270):INDEX(BB:BB,X270+Y270-1))</f>
        <v>602752</v>
      </c>
      <c r="BD270" s="25">
        <f t="shared" si="134"/>
        <v>602752</v>
      </c>
      <c r="BE270">
        <f t="shared" si="145"/>
        <v>0</v>
      </c>
      <c r="BF270" s="6">
        <f>SUM(INDEX(BE:BE,X270):INDEX(BE:BE,X270+Y270-1))</f>
        <v>16</v>
      </c>
      <c r="BG270" s="25">
        <f t="shared" si="135"/>
        <v>16</v>
      </c>
    </row>
    <row r="271" spans="1:59" x14ac:dyDescent="0.3">
      <c r="A271" s="1">
        <v>44300</v>
      </c>
      <c r="B271">
        <v>8.8000000000000007</v>
      </c>
      <c r="C271">
        <v>8.82</v>
      </c>
      <c r="D271">
        <v>8.1</v>
      </c>
      <c r="E271">
        <v>8.5299999999999994</v>
      </c>
      <c r="F271">
        <v>1618200</v>
      </c>
      <c r="G271" s="29">
        <v>1.2108146957764301</v>
      </c>
      <c r="H271" s="29">
        <v>0.141947795518925</v>
      </c>
      <c r="I271" s="29">
        <v>8.4407971864009404E-2</v>
      </c>
      <c r="J271" s="29">
        <v>29.785860715819801</v>
      </c>
      <c r="K271" s="29">
        <v>-0.372794117647058</v>
      </c>
      <c r="L271" s="29">
        <v>0</v>
      </c>
      <c r="M271" s="29">
        <v>-8.5695687554494401E-2</v>
      </c>
      <c r="N271" s="29">
        <v>3.44673005382678</v>
      </c>
      <c r="O271" s="29">
        <v>-0.37509157509157498</v>
      </c>
      <c r="P271" s="29">
        <v>-2.62557077625571E-2</v>
      </c>
      <c r="Q271" s="29">
        <v>0.24206349206349201</v>
      </c>
      <c r="R271" s="30">
        <v>612040</v>
      </c>
      <c r="S271" s="29">
        <v>16</v>
      </c>
      <c r="T271" s="14">
        <v>385.33699999999999</v>
      </c>
      <c r="U271" s="41"/>
      <c r="V271">
        <v>261</v>
      </c>
      <c r="W271" t="b">
        <f>V271&gt;=$C$4</f>
        <v>1</v>
      </c>
      <c r="X271">
        <f>IF(V271&lt;=$C$5,11,ROW()-$C$5+1)</f>
        <v>20</v>
      </c>
      <c r="Y271" s="14">
        <f t="shared" si="128"/>
        <v>252</v>
      </c>
      <c r="Z271" s="10">
        <f t="shared" si="136"/>
        <v>0.72000000000000064</v>
      </c>
      <c r="AA271" s="15">
        <f t="shared" si="137"/>
        <v>8.440797186400946E-2</v>
      </c>
      <c r="AB271" s="15">
        <f t="shared" si="138"/>
        <v>1.2108146957764359</v>
      </c>
      <c r="AC271" s="10">
        <f t="shared" si="129"/>
        <v>0.14194779551892567</v>
      </c>
      <c r="AD271">
        <f t="shared" si="139"/>
        <v>-0.23000000000000043</v>
      </c>
      <c r="AE271">
        <f t="shared" si="146"/>
        <v>0</v>
      </c>
      <c r="AF271">
        <f t="shared" si="147"/>
        <v>0.23000000000000043</v>
      </c>
      <c r="AG271">
        <f t="shared" si="149"/>
        <v>0.18536733161384383</v>
      </c>
      <c r="AH271">
        <f t="shared" si="149"/>
        <v>0.43696597502011164</v>
      </c>
      <c r="AI271">
        <f t="shared" si="140"/>
        <v>0.42421456637513294</v>
      </c>
      <c r="AJ271">
        <f t="shared" si="148"/>
        <v>29.785860669493829</v>
      </c>
      <c r="AK271" s="14">
        <f t="shared" si="130"/>
        <v>29.785860669493829</v>
      </c>
      <c r="AM271">
        <f t="shared" si="121"/>
        <v>-0.37279411764705883</v>
      </c>
      <c r="AN271" s="14">
        <f t="shared" si="141"/>
        <v>-2.6255707762557146E-2</v>
      </c>
      <c r="AO271">
        <f t="shared" si="150"/>
        <v>0</v>
      </c>
      <c r="AP271" s="14">
        <f t="shared" ref="AP271:AP310" si="151">SUM(AO267:AO271) / 5</f>
        <v>0</v>
      </c>
      <c r="AQ271">
        <f t="shared" si="142"/>
        <v>-3.4138784504095243E-3</v>
      </c>
      <c r="AR271">
        <f t="shared" si="143"/>
        <v>-2.2841829312147576E-2</v>
      </c>
      <c r="AS271">
        <f t="shared" si="125"/>
        <v>-5.4873578315238697E-3</v>
      </c>
      <c r="AT271">
        <f t="shared" si="126"/>
        <v>6.4033068502243926E-2</v>
      </c>
      <c r="AU271" s="14">
        <f t="shared" si="131"/>
        <v>-8.5695687554494984E-2</v>
      </c>
      <c r="AV271" s="19">
        <f t="shared" si="127"/>
        <v>3.4467300538268528</v>
      </c>
      <c r="AW271" s="19">
        <f t="shared" si="122"/>
        <v>-0.3750915750915752</v>
      </c>
      <c r="AX271">
        <f t="shared" si="132"/>
        <v>0</v>
      </c>
      <c r="AY271">
        <f>IF(W271,SUMPRODUCT(INDEX(AX:AX,X271):INDEX(AX:AX,X271+Y271)),0)</f>
        <v>61</v>
      </c>
      <c r="AZ271">
        <f>IF(V271,COUNT(INDEX(AX:AX,X271):INDEX(AX:AX,ROW())),0)</f>
        <v>252</v>
      </c>
      <c r="BA271" s="14">
        <f t="shared" si="144"/>
        <v>0.24206349206349206</v>
      </c>
      <c r="BB271" s="6">
        <f t="shared" si="133"/>
        <v>13803245.999999998</v>
      </c>
      <c r="BC271" s="6">
        <f>MEDIAN(INDEX(BB:BB,X271):INDEX(BB:BB,X271+Y271-1))</f>
        <v>612040</v>
      </c>
      <c r="BD271" s="25">
        <f t="shared" si="134"/>
        <v>612040</v>
      </c>
      <c r="BE271">
        <f t="shared" si="145"/>
        <v>0</v>
      </c>
      <c r="BF271" s="6">
        <f>SUM(INDEX(BE:BE,X271):INDEX(BE:BE,X271+Y271-1))</f>
        <v>16</v>
      </c>
      <c r="BG271" s="25">
        <f t="shared" si="135"/>
        <v>16</v>
      </c>
    </row>
    <row r="272" spans="1:59" x14ac:dyDescent="0.3">
      <c r="A272" s="1">
        <v>44301</v>
      </c>
      <c r="B272">
        <v>8.65</v>
      </c>
      <c r="C272">
        <v>9.1199999999999992</v>
      </c>
      <c r="D272">
        <v>8.15</v>
      </c>
      <c r="E272">
        <v>8.4499999999999993</v>
      </c>
      <c r="F272">
        <v>1171800</v>
      </c>
      <c r="G272" s="29">
        <v>1.1936136460781099</v>
      </c>
      <c r="H272" s="29">
        <v>0.14125605279030901</v>
      </c>
      <c r="I272" s="29">
        <v>0.11479289940828299</v>
      </c>
      <c r="J272" s="29">
        <v>29.494211787579399</v>
      </c>
      <c r="K272" s="29">
        <v>-0.346986089644513</v>
      </c>
      <c r="L272" s="29">
        <v>0</v>
      </c>
      <c r="M272" s="29">
        <v>-0.103267875876893</v>
      </c>
      <c r="N272" s="29">
        <v>3.3764571213720398</v>
      </c>
      <c r="O272" s="29">
        <v>-0.38095238095238099</v>
      </c>
      <c r="P272" s="29">
        <v>-9.3786635404454703E-3</v>
      </c>
      <c r="Q272" s="29">
        <v>0.238095238095238</v>
      </c>
      <c r="R272" s="30">
        <v>623910</v>
      </c>
      <c r="S272" s="29">
        <v>16</v>
      </c>
      <c r="T272" s="14">
        <v>389.476</v>
      </c>
      <c r="U272" s="41"/>
      <c r="V272">
        <v>262</v>
      </c>
      <c r="W272" t="b">
        <f>V272&gt;=$C$4</f>
        <v>1</v>
      </c>
      <c r="X272">
        <f>IF(V272&lt;=$C$5,11,ROW()-$C$5+1)</f>
        <v>21</v>
      </c>
      <c r="Y272" s="14">
        <f t="shared" si="128"/>
        <v>252</v>
      </c>
      <c r="Z272" s="10">
        <f t="shared" si="136"/>
        <v>0.96999999999999886</v>
      </c>
      <c r="AA272" s="15">
        <f t="shared" si="137"/>
        <v>0.1147928994082839</v>
      </c>
      <c r="AB272" s="15">
        <f t="shared" si="138"/>
        <v>1.1936136460781188</v>
      </c>
      <c r="AC272" s="10">
        <f t="shared" si="129"/>
        <v>0.14125605279030992</v>
      </c>
      <c r="AD272">
        <f t="shared" si="139"/>
        <v>-8.0000000000000071E-2</v>
      </c>
      <c r="AE272">
        <f t="shared" si="146"/>
        <v>0</v>
      </c>
      <c r="AF272">
        <f t="shared" si="147"/>
        <v>8.0000000000000071E-2</v>
      </c>
      <c r="AG272">
        <f t="shared" si="149"/>
        <v>0.17212680792714072</v>
      </c>
      <c r="AH272">
        <f t="shared" si="149"/>
        <v>0.41146840537581797</v>
      </c>
      <c r="AI272">
        <f t="shared" si="140"/>
        <v>0.41832326778511053</v>
      </c>
      <c r="AJ272">
        <f t="shared" si="148"/>
        <v>29.494211741895398</v>
      </c>
      <c r="AK272" s="14">
        <f t="shared" si="130"/>
        <v>29.494211741895398</v>
      </c>
      <c r="AM272">
        <f t="shared" si="121"/>
        <v>-0.34698608964451316</v>
      </c>
      <c r="AN272" s="14">
        <f t="shared" si="141"/>
        <v>-9.3786635404454755E-3</v>
      </c>
      <c r="AO272">
        <f t="shared" si="150"/>
        <v>0</v>
      </c>
      <c r="AP272" s="14">
        <f t="shared" si="151"/>
        <v>0</v>
      </c>
      <c r="AQ272">
        <f t="shared" si="142"/>
        <v>1.0741247271868648E-2</v>
      </c>
      <c r="AR272">
        <f t="shared" si="143"/>
        <v>-2.0119910812314117E-2</v>
      </c>
      <c r="AS272">
        <f t="shared" si="125"/>
        <v>-6.5763816392813207E-3</v>
      </c>
      <c r="AT272">
        <f t="shared" si="126"/>
        <v>6.3682743384022286E-2</v>
      </c>
      <c r="AU272" s="14">
        <f t="shared" si="131"/>
        <v>-0.10326787587689423</v>
      </c>
      <c r="AV272" s="19">
        <f t="shared" si="127"/>
        <v>3.3764571213721166</v>
      </c>
      <c r="AW272" s="19">
        <f t="shared" si="122"/>
        <v>-0.38095238095238104</v>
      </c>
      <c r="AX272">
        <f t="shared" si="132"/>
        <v>0</v>
      </c>
      <c r="AY272">
        <f>IF(W272,SUMPRODUCT(INDEX(AX:AX,X272):INDEX(AX:AX,X272+Y272)),0)</f>
        <v>60</v>
      </c>
      <c r="AZ272">
        <f>IF(V272,COUNT(INDEX(AX:AX,X272):INDEX(AX:AX,ROW())),0)</f>
        <v>252</v>
      </c>
      <c r="BA272" s="14">
        <f t="shared" si="144"/>
        <v>0.23809523809523808</v>
      </c>
      <c r="BB272" s="6">
        <f t="shared" si="133"/>
        <v>9901710</v>
      </c>
      <c r="BC272" s="6">
        <f>MEDIAN(INDEX(BB:BB,X272):INDEX(BB:BB,X272+Y272-1))</f>
        <v>623910</v>
      </c>
      <c r="BD272" s="25">
        <f t="shared" si="134"/>
        <v>623910</v>
      </c>
      <c r="BE272">
        <f t="shared" si="145"/>
        <v>0</v>
      </c>
      <c r="BF272" s="6">
        <f>SUM(INDEX(BE:BE,X272):INDEX(BE:BE,X272+Y272-1))</f>
        <v>16</v>
      </c>
      <c r="BG272" s="25">
        <f t="shared" si="135"/>
        <v>16</v>
      </c>
    </row>
    <row r="273" spans="1:59" x14ac:dyDescent="0.3">
      <c r="A273" s="1">
        <v>44302</v>
      </c>
      <c r="B273">
        <v>8.49</v>
      </c>
      <c r="C273">
        <v>8.49</v>
      </c>
      <c r="D273">
        <v>7.61</v>
      </c>
      <c r="E273">
        <v>7.81</v>
      </c>
      <c r="F273">
        <v>1774500</v>
      </c>
      <c r="G273" s="29">
        <v>1.17121267135825</v>
      </c>
      <c r="H273" s="29">
        <v>0.149963210161108</v>
      </c>
      <c r="I273" s="29">
        <v>0.11267605633802801</v>
      </c>
      <c r="J273" s="29">
        <v>27.199706228232401</v>
      </c>
      <c r="K273" s="29">
        <v>-0.399230769230769</v>
      </c>
      <c r="L273" s="29">
        <v>0</v>
      </c>
      <c r="M273" s="29">
        <v>-0.14570238856297199</v>
      </c>
      <c r="N273" s="29">
        <v>3.44848436609858</v>
      </c>
      <c r="O273" s="29">
        <v>-0.42783882783882698</v>
      </c>
      <c r="P273" s="29">
        <v>-7.5739644970414105E-2</v>
      </c>
      <c r="Q273" s="29">
        <v>0.23412698412698399</v>
      </c>
      <c r="R273" s="30">
        <v>635475</v>
      </c>
      <c r="S273" s="29">
        <v>15</v>
      </c>
      <c r="T273" s="14">
        <v>390.77800000000002</v>
      </c>
      <c r="U273" s="41"/>
      <c r="V273">
        <v>263</v>
      </c>
      <c r="W273" t="b">
        <f>V273&gt;=$C$4</f>
        <v>1</v>
      </c>
      <c r="X273">
        <f>IF(V273&lt;=$C$5,11,ROW()-$C$5+1)</f>
        <v>22</v>
      </c>
      <c r="Y273" s="14">
        <f t="shared" si="128"/>
        <v>252</v>
      </c>
      <c r="Z273" s="10">
        <f t="shared" si="136"/>
        <v>0.87999999999999989</v>
      </c>
      <c r="AA273" s="15">
        <f t="shared" si="137"/>
        <v>0.11267605633802816</v>
      </c>
      <c r="AB273" s="15">
        <f t="shared" si="138"/>
        <v>1.1712126713582531</v>
      </c>
      <c r="AC273" s="10">
        <f t="shared" si="129"/>
        <v>0.14996321016110797</v>
      </c>
      <c r="AD273">
        <f t="shared" si="139"/>
        <v>-0.63999999999999968</v>
      </c>
      <c r="AE273">
        <f t="shared" si="146"/>
        <v>0</v>
      </c>
      <c r="AF273">
        <f t="shared" si="147"/>
        <v>0.63999999999999968</v>
      </c>
      <c r="AG273">
        <f t="shared" si="149"/>
        <v>0.15983203593234493</v>
      </c>
      <c r="AH273">
        <f t="shared" si="149"/>
        <v>0.42779209070611662</v>
      </c>
      <c r="AI273">
        <f t="shared" si="140"/>
        <v>0.37362082984873574</v>
      </c>
      <c r="AJ273">
        <f t="shared" si="148"/>
        <v>27.199706187469445</v>
      </c>
      <c r="AK273" s="14">
        <f t="shared" si="130"/>
        <v>27.199706187469445</v>
      </c>
      <c r="AM273">
        <f t="shared" si="121"/>
        <v>-0.39923076923076928</v>
      </c>
      <c r="AN273" s="14">
        <f t="shared" si="141"/>
        <v>-7.5739644970414188E-2</v>
      </c>
      <c r="AO273">
        <f t="shared" si="150"/>
        <v>0</v>
      </c>
      <c r="AP273" s="14">
        <f t="shared" si="151"/>
        <v>0</v>
      </c>
      <c r="AQ273">
        <f t="shared" si="142"/>
        <v>3.3429530959545595E-3</v>
      </c>
      <c r="AR273">
        <f t="shared" si="143"/>
        <v>-7.9082598066368665E-2</v>
      </c>
      <c r="AS273">
        <f t="shared" si="125"/>
        <v>-9.2070474252722405E-3</v>
      </c>
      <c r="AT273">
        <f t="shared" si="126"/>
        <v>6.3190778930113073E-2</v>
      </c>
      <c r="AU273" s="14">
        <f t="shared" si="131"/>
        <v>-0.14570238856297266</v>
      </c>
      <c r="AV273" s="19">
        <f t="shared" si="127"/>
        <v>3.4484843660986551</v>
      </c>
      <c r="AW273" s="19">
        <f t="shared" si="122"/>
        <v>-0.42783882783882787</v>
      </c>
      <c r="AX273">
        <f t="shared" si="132"/>
        <v>0</v>
      </c>
      <c r="AY273">
        <f>IF(W273,SUMPRODUCT(INDEX(AX:AX,X273):INDEX(AX:AX,X273+Y273)),0)</f>
        <v>59</v>
      </c>
      <c r="AZ273">
        <f>IF(V273,COUNT(INDEX(AX:AX,X273):INDEX(AX:AX,ROW())),0)</f>
        <v>252</v>
      </c>
      <c r="BA273" s="14">
        <f t="shared" si="144"/>
        <v>0.23412698412698413</v>
      </c>
      <c r="BB273" s="6">
        <f t="shared" si="133"/>
        <v>13858845</v>
      </c>
      <c r="BC273" s="6">
        <f>MEDIAN(INDEX(BB:BB,X273):INDEX(BB:BB,X273+Y273-1))</f>
        <v>635475</v>
      </c>
      <c r="BD273" s="25">
        <f t="shared" si="134"/>
        <v>635475</v>
      </c>
      <c r="BE273">
        <f t="shared" si="145"/>
        <v>0</v>
      </c>
      <c r="BF273" s="6">
        <f>SUM(INDEX(BE:BE,X273):INDEX(BE:BE,X273+Y273-1))</f>
        <v>15</v>
      </c>
      <c r="BG273" s="25">
        <f t="shared" si="135"/>
        <v>15</v>
      </c>
    </row>
    <row r="274" spans="1:59" x14ac:dyDescent="0.3">
      <c r="A274" s="1">
        <v>44305</v>
      </c>
      <c r="B274">
        <v>7.7720000000000002</v>
      </c>
      <c r="C274">
        <v>7.98</v>
      </c>
      <c r="D274">
        <v>7.12</v>
      </c>
      <c r="E274">
        <v>7.15</v>
      </c>
      <c r="F274">
        <v>2038000</v>
      </c>
      <c r="G274" s="29">
        <v>1.1489831948326601</v>
      </c>
      <c r="H274" s="29">
        <v>0.16069695032624601</v>
      </c>
      <c r="I274" s="29">
        <v>0.12027972027972</v>
      </c>
      <c r="J274" s="29">
        <v>25.036607024441899</v>
      </c>
      <c r="K274" s="29">
        <v>-0.42105263157894701</v>
      </c>
      <c r="L274" s="29">
        <v>0</v>
      </c>
      <c r="M274" s="29">
        <v>-0.16672852366607699</v>
      </c>
      <c r="N274" s="29">
        <v>3.5766383098303201</v>
      </c>
      <c r="O274" s="29">
        <v>-0.476190476190476</v>
      </c>
      <c r="P274" s="29">
        <v>-8.4507042253521E-2</v>
      </c>
      <c r="Q274" s="29">
        <v>0.23015873015873001</v>
      </c>
      <c r="R274" s="30">
        <v>645495</v>
      </c>
      <c r="S274" s="29">
        <v>15</v>
      </c>
      <c r="T274" s="14">
        <v>388.858</v>
      </c>
      <c r="U274" s="41"/>
      <c r="V274">
        <v>264</v>
      </c>
      <c r="W274" t="b">
        <f>V274&gt;=$C$4</f>
        <v>1</v>
      </c>
      <c r="X274">
        <f>IF(V274&lt;=$C$5,11,ROW()-$C$5+1)</f>
        <v>23</v>
      </c>
      <c r="Y274" s="14">
        <f t="shared" si="128"/>
        <v>252</v>
      </c>
      <c r="Z274" s="10">
        <f t="shared" si="136"/>
        <v>0.86000000000000032</v>
      </c>
      <c r="AA274" s="15">
        <f t="shared" si="137"/>
        <v>0.12027972027972032</v>
      </c>
      <c r="AB274" s="15">
        <f t="shared" si="138"/>
        <v>1.1489831948326636</v>
      </c>
      <c r="AC274" s="10">
        <f t="shared" si="129"/>
        <v>0.16069695032624665</v>
      </c>
      <c r="AD274">
        <f t="shared" si="139"/>
        <v>-0.65999999999999925</v>
      </c>
      <c r="AE274">
        <f t="shared" si="146"/>
        <v>0</v>
      </c>
      <c r="AF274">
        <f t="shared" si="147"/>
        <v>0.65999999999999925</v>
      </c>
      <c r="AG274">
        <f t="shared" si="149"/>
        <v>0.14841546193717742</v>
      </c>
      <c r="AH274">
        <f t="shared" si="149"/>
        <v>0.44437836994139396</v>
      </c>
      <c r="AI274">
        <f t="shared" si="140"/>
        <v>0.33398444203472577</v>
      </c>
      <c r="AJ274">
        <f t="shared" si="148"/>
        <v>25.036606988106954</v>
      </c>
      <c r="AK274" s="14">
        <f t="shared" si="130"/>
        <v>25.036606988106954</v>
      </c>
      <c r="AM274">
        <f t="shared" si="121"/>
        <v>-0.42105263157894735</v>
      </c>
      <c r="AN274" s="14">
        <f t="shared" si="141"/>
        <v>-8.4507042253521014E-2</v>
      </c>
      <c r="AO274">
        <f t="shared" si="150"/>
        <v>0</v>
      </c>
      <c r="AP274" s="14">
        <f t="shared" si="151"/>
        <v>0</v>
      </c>
      <c r="AQ274">
        <f t="shared" si="142"/>
        <v>-4.9132755682255169E-3</v>
      </c>
      <c r="AR274">
        <f t="shared" si="143"/>
        <v>-7.9593766685295483E-2</v>
      </c>
      <c r="AS274">
        <f t="shared" si="125"/>
        <v>-1.0630089062759092E-2</v>
      </c>
      <c r="AT274">
        <f t="shared" si="126"/>
        <v>6.3756871523968403E-2</v>
      </c>
      <c r="AU274" s="14">
        <f t="shared" si="131"/>
        <v>-0.16672852366607849</v>
      </c>
      <c r="AV274" s="19">
        <f t="shared" si="127"/>
        <v>3.5766383098303933</v>
      </c>
      <c r="AW274" s="19">
        <f t="shared" si="122"/>
        <v>-0.47619047619047616</v>
      </c>
      <c r="AX274">
        <f t="shared" si="132"/>
        <v>0</v>
      </c>
      <c r="AY274">
        <f>IF(W274,SUMPRODUCT(INDEX(AX:AX,X274):INDEX(AX:AX,X274+Y274)),0)</f>
        <v>58</v>
      </c>
      <c r="AZ274">
        <f>IF(V274,COUNT(INDEX(AX:AX,X274):INDEX(AX:AX,ROW())),0)</f>
        <v>252</v>
      </c>
      <c r="BA274" s="14">
        <f t="shared" si="144"/>
        <v>0.23015873015873015</v>
      </c>
      <c r="BB274" s="6">
        <f t="shared" si="133"/>
        <v>14571700</v>
      </c>
      <c r="BC274" s="6">
        <f>MEDIAN(INDEX(BB:BB,X274):INDEX(BB:BB,X274+Y274-1))</f>
        <v>645495</v>
      </c>
      <c r="BD274" s="25">
        <f t="shared" si="134"/>
        <v>645495</v>
      </c>
      <c r="BE274">
        <f t="shared" si="145"/>
        <v>0</v>
      </c>
      <c r="BF274" s="6">
        <f>SUM(INDEX(BE:BE,X274):INDEX(BE:BE,X274+Y274-1))</f>
        <v>15</v>
      </c>
      <c r="BG274" s="25">
        <f t="shared" si="135"/>
        <v>15</v>
      </c>
    </row>
    <row r="275" spans="1:59" x14ac:dyDescent="0.3">
      <c r="A275" s="1">
        <v>44306</v>
      </c>
      <c r="B275">
        <v>7.36</v>
      </c>
      <c r="C275">
        <v>8.25</v>
      </c>
      <c r="D275">
        <v>7.1950000000000003</v>
      </c>
      <c r="E275">
        <v>8.01</v>
      </c>
      <c r="F275">
        <v>2645900</v>
      </c>
      <c r="G275" s="29">
        <v>1.1454843952017499</v>
      </c>
      <c r="H275" s="29">
        <v>0.14300679091158</v>
      </c>
      <c r="I275" s="29">
        <v>0.13732833957553001</v>
      </c>
      <c r="J275" s="29">
        <v>32.562419670644204</v>
      </c>
      <c r="K275" s="29">
        <v>-0.35817307692307698</v>
      </c>
      <c r="L275" s="29">
        <v>0.2</v>
      </c>
      <c r="M275" s="29">
        <v>-0.16114790587060601</v>
      </c>
      <c r="N275" s="29">
        <v>3.21098494835846</v>
      </c>
      <c r="O275" s="29">
        <v>-0.413186813186813</v>
      </c>
      <c r="P275" s="29">
        <v>0.12027972027972</v>
      </c>
      <c r="Q275" s="29">
        <v>0.226190476190476</v>
      </c>
      <c r="R275" s="30">
        <v>674724</v>
      </c>
      <c r="S275" s="29">
        <v>15</v>
      </c>
      <c r="T275" s="14">
        <v>386.01100000000002</v>
      </c>
      <c r="U275" s="41"/>
      <c r="V275">
        <v>265</v>
      </c>
      <c r="W275" t="b">
        <f>V275&gt;=$C$4</f>
        <v>1</v>
      </c>
      <c r="X275">
        <f>IF(V275&lt;=$C$5,11,ROW()-$C$5+1)</f>
        <v>24</v>
      </c>
      <c r="Y275" s="14">
        <f t="shared" si="128"/>
        <v>252</v>
      </c>
      <c r="Z275" s="10">
        <f t="shared" si="136"/>
        <v>1.0999999999999996</v>
      </c>
      <c r="AA275" s="15">
        <f t="shared" si="137"/>
        <v>0.13732833957553053</v>
      </c>
      <c r="AB275" s="15">
        <f t="shared" si="138"/>
        <v>1.145484395201759</v>
      </c>
      <c r="AC275" s="10">
        <f t="shared" si="129"/>
        <v>0.14300679091158042</v>
      </c>
      <c r="AD275">
        <f t="shared" si="139"/>
        <v>0.85999999999999943</v>
      </c>
      <c r="AE275">
        <f t="shared" si="146"/>
        <v>0.85999999999999943</v>
      </c>
      <c r="AF275">
        <f t="shared" si="147"/>
        <v>0</v>
      </c>
      <c r="AG275">
        <f t="shared" si="149"/>
        <v>0.1992429289416647</v>
      </c>
      <c r="AH275">
        <f t="shared" si="149"/>
        <v>0.41263705780272292</v>
      </c>
      <c r="AI275">
        <f t="shared" si="140"/>
        <v>0.48285272777638039</v>
      </c>
      <c r="AJ275">
        <f t="shared" si="148"/>
        <v>32.562419634244108</v>
      </c>
      <c r="AK275" s="14">
        <f t="shared" si="130"/>
        <v>32.562419634244108</v>
      </c>
      <c r="AM275">
        <f t="shared" si="121"/>
        <v>-0.35817307692307698</v>
      </c>
      <c r="AN275" s="14">
        <f t="shared" si="141"/>
        <v>0.12027972027972011</v>
      </c>
      <c r="AO275">
        <f t="shared" si="150"/>
        <v>1</v>
      </c>
      <c r="AP275" s="14">
        <f t="shared" si="151"/>
        <v>0.2</v>
      </c>
      <c r="AQ275">
        <f t="shared" si="142"/>
        <v>-7.3214386742718185E-3</v>
      </c>
      <c r="AR275">
        <f t="shared" si="143"/>
        <v>0.12760115895399182</v>
      </c>
      <c r="AS275">
        <f t="shared" si="125"/>
        <v>-1.0362895757119425E-2</v>
      </c>
      <c r="AT275">
        <f t="shared" si="126"/>
        <v>6.4306735487088693E-2</v>
      </c>
      <c r="AU275" s="14">
        <f t="shared" si="131"/>
        <v>-0.16114790587060751</v>
      </c>
      <c r="AV275" s="19">
        <f t="shared" si="127"/>
        <v>3.2109849483585333</v>
      </c>
      <c r="AW275" s="19">
        <f t="shared" si="122"/>
        <v>-0.41318681318681327</v>
      </c>
      <c r="AX275">
        <f t="shared" si="132"/>
        <v>0</v>
      </c>
      <c r="AY275">
        <f>IF(W275,SUMPRODUCT(INDEX(AX:AX,X275):INDEX(AX:AX,X275+Y275)),0)</f>
        <v>57</v>
      </c>
      <c r="AZ275">
        <f>IF(V275,COUNT(INDEX(AX:AX,X275):INDEX(AX:AX,ROW())),0)</f>
        <v>252</v>
      </c>
      <c r="BA275" s="14">
        <f t="shared" si="144"/>
        <v>0.22619047619047619</v>
      </c>
      <c r="BB275" s="6">
        <f t="shared" si="133"/>
        <v>21193659</v>
      </c>
      <c r="BC275" s="6">
        <f>MEDIAN(INDEX(BB:BB,X275):INDEX(BB:BB,X275+Y275-1))</f>
        <v>674724</v>
      </c>
      <c r="BD275" s="25">
        <f t="shared" si="134"/>
        <v>674724</v>
      </c>
      <c r="BE275">
        <f t="shared" si="145"/>
        <v>0</v>
      </c>
      <c r="BF275" s="6">
        <f>SUM(INDEX(BE:BE,X275):INDEX(BE:BE,X275+Y275-1))</f>
        <v>15</v>
      </c>
      <c r="BG275" s="25">
        <f t="shared" si="135"/>
        <v>15</v>
      </c>
    </row>
    <row r="276" spans="1:59" x14ac:dyDescent="0.3">
      <c r="A276" s="1">
        <v>44307</v>
      </c>
      <c r="B276">
        <v>7.98</v>
      </c>
      <c r="C276">
        <v>8.8699999999999992</v>
      </c>
      <c r="D276">
        <v>7.81</v>
      </c>
      <c r="E276">
        <v>8.07</v>
      </c>
      <c r="F276">
        <v>2357300</v>
      </c>
      <c r="G276" s="29">
        <v>1.1393783669730599</v>
      </c>
      <c r="H276" s="29">
        <v>0.14118691040558301</v>
      </c>
      <c r="I276" s="29">
        <v>0.13135068153655499</v>
      </c>
      <c r="J276" s="29">
        <v>33.067290242854199</v>
      </c>
      <c r="K276" s="29">
        <v>-0.40879120879120801</v>
      </c>
      <c r="L276" s="29">
        <v>0.4</v>
      </c>
      <c r="M276" s="29">
        <v>-0.155525717488289</v>
      </c>
      <c r="N276" s="29">
        <v>3.290478023585</v>
      </c>
      <c r="O276" s="29">
        <v>-0.37393328161365402</v>
      </c>
      <c r="P276" s="29">
        <v>7.4906367041198598E-3</v>
      </c>
      <c r="Q276" s="29">
        <v>0.22222222222222199</v>
      </c>
      <c r="R276" s="30">
        <v>721278</v>
      </c>
      <c r="S276" s="29">
        <v>14</v>
      </c>
      <c r="T276" s="14">
        <v>389.66399999999999</v>
      </c>
      <c r="U276" s="41"/>
      <c r="V276">
        <v>266</v>
      </c>
      <c r="W276" t="b">
        <f>V276&gt;=$C$4</f>
        <v>1</v>
      </c>
      <c r="X276">
        <f>IF(V276&lt;=$C$5,11,ROW()-$C$5+1)</f>
        <v>25</v>
      </c>
      <c r="Y276" s="14">
        <f t="shared" si="128"/>
        <v>252</v>
      </c>
      <c r="Z276" s="10">
        <f t="shared" si="136"/>
        <v>1.0599999999999996</v>
      </c>
      <c r="AA276" s="15">
        <f t="shared" si="137"/>
        <v>0.1313506815365551</v>
      </c>
      <c r="AB276" s="15">
        <f t="shared" si="138"/>
        <v>1.1393783669730619</v>
      </c>
      <c r="AC276" s="10">
        <f t="shared" si="129"/>
        <v>0.14118691040558387</v>
      </c>
      <c r="AD276">
        <f t="shared" si="139"/>
        <v>6.0000000000000497E-2</v>
      </c>
      <c r="AE276">
        <f t="shared" si="146"/>
        <v>6.0000000000000497E-2</v>
      </c>
      <c r="AF276">
        <f t="shared" si="147"/>
        <v>0</v>
      </c>
      <c r="AG276">
        <f t="shared" si="149"/>
        <v>0.18929700544583156</v>
      </c>
      <c r="AH276">
        <f t="shared" si="149"/>
        <v>0.38316298224538553</v>
      </c>
      <c r="AI276">
        <f t="shared" si="140"/>
        <v>0.49403782259060147</v>
      </c>
      <c r="AJ276">
        <f t="shared" si="148"/>
        <v>33.067290206479498</v>
      </c>
      <c r="AK276" s="14">
        <f t="shared" si="130"/>
        <v>33.067290206479498</v>
      </c>
      <c r="AM276">
        <f t="shared" si="121"/>
        <v>-0.40879120879120878</v>
      </c>
      <c r="AN276" s="14">
        <f t="shared" si="141"/>
        <v>7.4906367041198685E-3</v>
      </c>
      <c r="AO276">
        <f t="shared" si="150"/>
        <v>1</v>
      </c>
      <c r="AP276" s="14">
        <f t="shared" si="151"/>
        <v>0.4</v>
      </c>
      <c r="AQ276">
        <f t="shared" si="142"/>
        <v>9.4634608858295E-3</v>
      </c>
      <c r="AR276">
        <f t="shared" si="143"/>
        <v>-1.9728241817096401E-3</v>
      </c>
      <c r="AS276">
        <f t="shared" si="125"/>
        <v>-9.9984189397593539E-3</v>
      </c>
      <c r="AT276">
        <f t="shared" si="126"/>
        <v>6.4287881780787398E-2</v>
      </c>
      <c r="AU276" s="14">
        <f t="shared" si="131"/>
        <v>-0.15552571748829042</v>
      </c>
      <c r="AV276" s="19">
        <f t="shared" si="127"/>
        <v>3.2904780235850688</v>
      </c>
      <c r="AW276" s="19">
        <f t="shared" si="122"/>
        <v>-0.37393328161365402</v>
      </c>
      <c r="AX276">
        <f t="shared" si="132"/>
        <v>0</v>
      </c>
      <c r="AY276">
        <f>IF(W276,SUMPRODUCT(INDEX(AX:AX,X276):INDEX(AX:AX,X276+Y276)),0)</f>
        <v>56</v>
      </c>
      <c r="AZ276">
        <f>IF(V276,COUNT(INDEX(AX:AX,X276):INDEX(AX:AX,ROW())),0)</f>
        <v>252</v>
      </c>
      <c r="BA276" s="14">
        <f t="shared" si="144"/>
        <v>0.22222222222222221</v>
      </c>
      <c r="BB276" s="6">
        <f t="shared" si="133"/>
        <v>19023411</v>
      </c>
      <c r="BC276" s="6">
        <f>MEDIAN(INDEX(BB:BB,X276):INDEX(BB:BB,X276+Y276-1))</f>
        <v>721278</v>
      </c>
      <c r="BD276" s="25">
        <f t="shared" si="134"/>
        <v>721278</v>
      </c>
      <c r="BE276">
        <f t="shared" si="145"/>
        <v>0</v>
      </c>
      <c r="BF276" s="6">
        <f>SUM(INDEX(BE:BE,X276):INDEX(BE:BE,X276+Y276-1))</f>
        <v>14</v>
      </c>
      <c r="BG276" s="25">
        <f t="shared" si="135"/>
        <v>14</v>
      </c>
    </row>
    <row r="277" spans="1:59" x14ac:dyDescent="0.3">
      <c r="A277" s="1">
        <v>44308</v>
      </c>
      <c r="B277">
        <v>8.1</v>
      </c>
      <c r="C277">
        <v>8.9499999999999993</v>
      </c>
      <c r="D277">
        <v>8.1</v>
      </c>
      <c r="E277">
        <v>8.75</v>
      </c>
      <c r="F277">
        <v>1347700</v>
      </c>
      <c r="G277" s="29">
        <v>1.1208513407606999</v>
      </c>
      <c r="H277" s="29">
        <v>0.12809729608693701</v>
      </c>
      <c r="I277" s="29">
        <v>0.10057142857142801</v>
      </c>
      <c r="J277" s="29">
        <v>38.671126198122899</v>
      </c>
      <c r="K277" s="29">
        <v>-0.32117920868890598</v>
      </c>
      <c r="L277" s="29">
        <v>0.6</v>
      </c>
      <c r="M277" s="29">
        <v>-0.13209622899314999</v>
      </c>
      <c r="N277" s="29">
        <v>3.0616543730793602</v>
      </c>
      <c r="O277" s="29">
        <v>-0.30720506730007902</v>
      </c>
      <c r="P277" s="29">
        <v>8.4262701363072998E-2</v>
      </c>
      <c r="Q277" s="29">
        <v>0.21825396825396801</v>
      </c>
      <c r="R277" s="30">
        <v>759534</v>
      </c>
      <c r="S277" s="29">
        <v>13</v>
      </c>
      <c r="T277" s="14">
        <v>386.10500000000002</v>
      </c>
      <c r="U277" s="41"/>
      <c r="V277">
        <v>267</v>
      </c>
      <c r="W277" t="b">
        <f>V277&gt;=$C$4</f>
        <v>1</v>
      </c>
      <c r="X277">
        <f>IF(V277&lt;=$C$5,11,ROW()-$C$5+1)</f>
        <v>26</v>
      </c>
      <c r="Y277" s="14">
        <f t="shared" si="128"/>
        <v>252</v>
      </c>
      <c r="Z277" s="10">
        <f t="shared" si="136"/>
        <v>0.87999999999999901</v>
      </c>
      <c r="AA277" s="15">
        <f t="shared" si="137"/>
        <v>0.10057142857142846</v>
      </c>
      <c r="AB277" s="15">
        <f t="shared" si="138"/>
        <v>1.1208513407607004</v>
      </c>
      <c r="AC277" s="10">
        <f t="shared" si="129"/>
        <v>0.12809729608693718</v>
      </c>
      <c r="AD277">
        <f t="shared" si="139"/>
        <v>0.67999999999999972</v>
      </c>
      <c r="AE277">
        <f t="shared" si="146"/>
        <v>0.67999999999999972</v>
      </c>
      <c r="AF277">
        <f t="shared" si="147"/>
        <v>0</v>
      </c>
      <c r="AG277">
        <f t="shared" si="149"/>
        <v>0.22434721934255783</v>
      </c>
      <c r="AH277">
        <f t="shared" si="149"/>
        <v>0.35579419779928656</v>
      </c>
      <c r="AI277">
        <f t="shared" si="140"/>
        <v>0.63055333878468234</v>
      </c>
      <c r="AJ277">
        <f t="shared" si="148"/>
        <v>38.671126162279329</v>
      </c>
      <c r="AK277" s="14">
        <f t="shared" si="130"/>
        <v>38.671126162279329</v>
      </c>
      <c r="AM277">
        <f t="shared" si="121"/>
        <v>-0.32117920868890615</v>
      </c>
      <c r="AN277" s="14">
        <f t="shared" si="141"/>
        <v>8.4262701363073012E-2</v>
      </c>
      <c r="AO277">
        <f t="shared" si="150"/>
        <v>1</v>
      </c>
      <c r="AP277" s="14">
        <f t="shared" si="151"/>
        <v>0.6</v>
      </c>
      <c r="AQ277">
        <f t="shared" si="142"/>
        <v>-9.1335098957049388E-3</v>
      </c>
      <c r="AR277">
        <f t="shared" si="143"/>
        <v>9.3396211258777936E-2</v>
      </c>
      <c r="AS277">
        <f t="shared" si="125"/>
        <v>-8.6597894235889254E-3</v>
      </c>
      <c r="AT277">
        <f t="shared" si="126"/>
        <v>6.5556674021617245E-2</v>
      </c>
      <c r="AU277" s="14">
        <f t="shared" si="131"/>
        <v>-0.13209622899315132</v>
      </c>
      <c r="AV277" s="19">
        <f t="shared" si="127"/>
        <v>3.0616543730794286</v>
      </c>
      <c r="AW277" s="19">
        <f t="shared" si="122"/>
        <v>-0.30720506730007924</v>
      </c>
      <c r="AX277">
        <f t="shared" si="132"/>
        <v>0</v>
      </c>
      <c r="AY277">
        <f>IF(W277,SUMPRODUCT(INDEX(AX:AX,X277):INDEX(AX:AX,X277+Y277)),0)</f>
        <v>55</v>
      </c>
      <c r="AZ277">
        <f>IF(V277,COUNT(INDEX(AX:AX,X277):INDEX(AX:AX,ROW())),0)</f>
        <v>252</v>
      </c>
      <c r="BA277" s="14">
        <f t="shared" si="144"/>
        <v>0.21825396825396826</v>
      </c>
      <c r="BB277" s="6">
        <f t="shared" si="133"/>
        <v>11792375</v>
      </c>
      <c r="BC277" s="6">
        <f>MEDIAN(INDEX(BB:BB,X277):INDEX(BB:BB,X277+Y277-1))</f>
        <v>759534</v>
      </c>
      <c r="BD277" s="25">
        <f t="shared" si="134"/>
        <v>759534</v>
      </c>
      <c r="BE277">
        <f t="shared" si="145"/>
        <v>0</v>
      </c>
      <c r="BF277" s="6">
        <f>SUM(INDEX(BE:BE,X277):INDEX(BE:BE,X277+Y277-1))</f>
        <v>13</v>
      </c>
      <c r="BG277" s="25">
        <f t="shared" si="135"/>
        <v>13</v>
      </c>
    </row>
    <row r="278" spans="1:59" x14ac:dyDescent="0.3">
      <c r="A278" s="1">
        <v>44309</v>
      </c>
      <c r="B278">
        <v>8.8119999999999994</v>
      </c>
      <c r="C278">
        <v>9.84</v>
      </c>
      <c r="D278">
        <v>8.6</v>
      </c>
      <c r="E278">
        <v>9.49</v>
      </c>
      <c r="F278">
        <v>1619300</v>
      </c>
      <c r="G278" s="29">
        <v>1.1293619592777899</v>
      </c>
      <c r="H278" s="29">
        <v>0.119005475160989</v>
      </c>
      <c r="I278" s="29">
        <v>0.13066385669125299</v>
      </c>
      <c r="J278" s="29">
        <v>44.150992420427997</v>
      </c>
      <c r="K278" s="29">
        <v>-0.209166666666666</v>
      </c>
      <c r="L278" s="29">
        <v>0.8</v>
      </c>
      <c r="M278" s="29">
        <v>-0.108976918852626</v>
      </c>
      <c r="N278" s="29">
        <v>3.1648388612348</v>
      </c>
      <c r="O278" s="29">
        <v>-0.24861441013460001</v>
      </c>
      <c r="P278" s="29">
        <v>8.4571428571428506E-2</v>
      </c>
      <c r="Q278" s="29">
        <v>0.21825396825396801</v>
      </c>
      <c r="R278" s="30">
        <v>805062</v>
      </c>
      <c r="S278" s="29">
        <v>13</v>
      </c>
      <c r="T278" s="14">
        <v>390.291</v>
      </c>
      <c r="U278" s="41"/>
      <c r="V278">
        <v>268</v>
      </c>
      <c r="W278" t="b">
        <f>V278&gt;=$C$4</f>
        <v>1</v>
      </c>
      <c r="X278">
        <f>IF(V278&lt;=$C$5,11,ROW()-$C$5+1)</f>
        <v>27</v>
      </c>
      <c r="Y278" s="14">
        <f t="shared" si="128"/>
        <v>252</v>
      </c>
      <c r="Z278" s="10">
        <f t="shared" si="136"/>
        <v>1.2400000000000002</v>
      </c>
      <c r="AA278" s="15">
        <f t="shared" si="137"/>
        <v>0.13066385669125397</v>
      </c>
      <c r="AB278" s="15">
        <f t="shared" si="138"/>
        <v>1.1293619592777933</v>
      </c>
      <c r="AC278" s="10">
        <f t="shared" si="129"/>
        <v>0.1190054751609898</v>
      </c>
      <c r="AD278">
        <f t="shared" si="139"/>
        <v>0.74000000000000021</v>
      </c>
      <c r="AE278">
        <f t="shared" si="146"/>
        <v>0.74000000000000021</v>
      </c>
      <c r="AF278">
        <f t="shared" si="147"/>
        <v>0</v>
      </c>
      <c r="AG278">
        <f t="shared" si="149"/>
        <v>0.26117956081808941</v>
      </c>
      <c r="AH278">
        <f t="shared" si="149"/>
        <v>0.33038032652790894</v>
      </c>
      <c r="AI278">
        <f t="shared" si="140"/>
        <v>0.79054211115693118</v>
      </c>
      <c r="AJ278">
        <f t="shared" si="148"/>
        <v>44.150992385548228</v>
      </c>
      <c r="AK278" s="14">
        <f t="shared" si="130"/>
        <v>44.150992385548228</v>
      </c>
      <c r="AM278">
        <f t="shared" si="121"/>
        <v>-0.20916666666666661</v>
      </c>
      <c r="AN278" s="14">
        <f t="shared" si="141"/>
        <v>8.457142857142852E-2</v>
      </c>
      <c r="AO278">
        <f t="shared" si="150"/>
        <v>1</v>
      </c>
      <c r="AP278" s="14">
        <f t="shared" si="151"/>
        <v>0.8</v>
      </c>
      <c r="AQ278">
        <f t="shared" si="142"/>
        <v>1.0841610442755112E-2</v>
      </c>
      <c r="AR278">
        <f t="shared" si="143"/>
        <v>7.3729818128673394E-2</v>
      </c>
      <c r="AS278">
        <f t="shared" si="125"/>
        <v>-7.2321365012042397E-3</v>
      </c>
      <c r="AT278">
        <f t="shared" si="126"/>
        <v>6.6363928961732363E-2</v>
      </c>
      <c r="AU278" s="14">
        <f t="shared" si="131"/>
        <v>-0.10897691885262743</v>
      </c>
      <c r="AV278" s="19">
        <f t="shared" si="127"/>
        <v>3.164838861234863</v>
      </c>
      <c r="AW278" s="19">
        <f t="shared" si="122"/>
        <v>-0.24861441013460017</v>
      </c>
      <c r="AX278">
        <f t="shared" si="132"/>
        <v>0</v>
      </c>
      <c r="AY278">
        <f>IF(W278,SUMPRODUCT(INDEX(AX:AX,X278):INDEX(AX:AX,X278+Y278)),0)</f>
        <v>55</v>
      </c>
      <c r="AZ278">
        <f>IF(V278,COUNT(INDEX(AX:AX,X278):INDEX(AX:AX,ROW())),0)</f>
        <v>252</v>
      </c>
      <c r="BA278" s="14">
        <f t="shared" si="144"/>
        <v>0.21825396825396826</v>
      </c>
      <c r="BB278" s="6">
        <f t="shared" si="133"/>
        <v>15367157</v>
      </c>
      <c r="BC278" s="6">
        <f>MEDIAN(INDEX(BB:BB,X278):INDEX(BB:BB,X278+Y278-1))</f>
        <v>805062</v>
      </c>
      <c r="BD278" s="25">
        <f t="shared" si="134"/>
        <v>805062</v>
      </c>
      <c r="BE278">
        <f t="shared" si="145"/>
        <v>0</v>
      </c>
      <c r="BF278" s="6">
        <f>SUM(INDEX(BE:BE,X278):INDEX(BE:BE,X278+Y278-1))</f>
        <v>13</v>
      </c>
      <c r="BG278" s="25">
        <f t="shared" si="135"/>
        <v>13</v>
      </c>
    </row>
    <row r="279" spans="1:59" x14ac:dyDescent="0.3">
      <c r="A279" s="1">
        <v>44312</v>
      </c>
      <c r="B279">
        <v>10.09</v>
      </c>
      <c r="C279">
        <v>10.199999999999999</v>
      </c>
      <c r="D279">
        <v>9.1999999999999993</v>
      </c>
      <c r="E279">
        <v>9.5399999999999991</v>
      </c>
      <c r="F279">
        <v>1574000</v>
      </c>
      <c r="G279" s="29">
        <v>1.12012181932937</v>
      </c>
      <c r="H279" s="29">
        <v>0.117413188608949</v>
      </c>
      <c r="I279" s="29">
        <v>0.10482180293501001</v>
      </c>
      <c r="J279" s="29">
        <v>44.511761140481902</v>
      </c>
      <c r="K279" s="29">
        <v>-0.20698254364089699</v>
      </c>
      <c r="L279" s="29">
        <v>1</v>
      </c>
      <c r="M279" s="29">
        <v>-9.2398215989485E-2</v>
      </c>
      <c r="N279" s="29">
        <v>3.1951158208103898</v>
      </c>
      <c r="O279" s="29">
        <v>-0.24465558194774301</v>
      </c>
      <c r="P279" s="29">
        <v>5.2687038988408199E-3</v>
      </c>
      <c r="Q279" s="29">
        <v>0.214285714285714</v>
      </c>
      <c r="R279" s="30">
        <v>848586</v>
      </c>
      <c r="S279" s="29">
        <v>13</v>
      </c>
      <c r="T279" s="14">
        <v>391.10599999999999</v>
      </c>
      <c r="U279" s="41"/>
      <c r="V279">
        <v>269</v>
      </c>
      <c r="W279" t="b">
        <f>V279&gt;=$C$4</f>
        <v>1</v>
      </c>
      <c r="X279">
        <f>IF(V279&lt;=$C$5,11,ROW()-$C$5+1)</f>
        <v>28</v>
      </c>
      <c r="Y279" s="14">
        <f t="shared" si="128"/>
        <v>252</v>
      </c>
      <c r="Z279" s="10">
        <f t="shared" si="136"/>
        <v>1</v>
      </c>
      <c r="AA279" s="15">
        <f t="shared" si="137"/>
        <v>0.10482180293501049</v>
      </c>
      <c r="AB279" s="15">
        <f t="shared" si="138"/>
        <v>1.1201218193293794</v>
      </c>
      <c r="AC279" s="10">
        <f t="shared" si="129"/>
        <v>0.11741318860894963</v>
      </c>
      <c r="AD279">
        <f t="shared" si="139"/>
        <v>4.9999999999998934E-2</v>
      </c>
      <c r="AE279">
        <f t="shared" si="146"/>
        <v>4.9999999999998934E-2</v>
      </c>
      <c r="AF279">
        <f t="shared" si="147"/>
        <v>0</v>
      </c>
      <c r="AG279">
        <f t="shared" si="149"/>
        <v>0.2460953064739401</v>
      </c>
      <c r="AH279">
        <f t="shared" si="149"/>
        <v>0.30678173177591544</v>
      </c>
      <c r="AI279">
        <f t="shared" si="140"/>
        <v>0.80218370582019227</v>
      </c>
      <c r="AJ279">
        <f t="shared" si="148"/>
        <v>44.511761105680975</v>
      </c>
      <c r="AK279" s="14">
        <f t="shared" si="130"/>
        <v>44.511761105680975</v>
      </c>
      <c r="AM279">
        <f t="shared" si="121"/>
        <v>-0.20698254364089774</v>
      </c>
      <c r="AN279" s="14">
        <f t="shared" si="141"/>
        <v>5.2687038988408208E-3</v>
      </c>
      <c r="AO279">
        <f t="shared" si="150"/>
        <v>1</v>
      </c>
      <c r="AP279" s="14">
        <f t="shared" si="151"/>
        <v>1</v>
      </c>
      <c r="AQ279">
        <f t="shared" si="142"/>
        <v>2.0881854821146462E-3</v>
      </c>
      <c r="AR279">
        <f t="shared" si="143"/>
        <v>3.1805184167261738E-3</v>
      </c>
      <c r="AS279">
        <f t="shared" si="125"/>
        <v>-6.08948508032983E-3</v>
      </c>
      <c r="AT279">
        <f t="shared" si="126"/>
        <v>6.59047906403602E-2</v>
      </c>
      <c r="AU279" s="14">
        <f t="shared" si="131"/>
        <v>-9.2398215989485583E-2</v>
      </c>
      <c r="AV279" s="19">
        <f t="shared" si="127"/>
        <v>3.1951158208104573</v>
      </c>
      <c r="AW279" s="19">
        <f t="shared" si="122"/>
        <v>-0.24465558194774362</v>
      </c>
      <c r="AX279">
        <f t="shared" si="132"/>
        <v>0</v>
      </c>
      <c r="AY279">
        <f>IF(W279,SUMPRODUCT(INDEX(AX:AX,X279):INDEX(AX:AX,X279+Y279)),0)</f>
        <v>54</v>
      </c>
      <c r="AZ279">
        <f>IF(V279,COUNT(INDEX(AX:AX,X279):INDEX(AX:AX,ROW())),0)</f>
        <v>252</v>
      </c>
      <c r="BA279" s="14">
        <f t="shared" si="144"/>
        <v>0.21428571428571427</v>
      </c>
      <c r="BB279" s="6">
        <f t="shared" si="133"/>
        <v>15015959.999999998</v>
      </c>
      <c r="BC279" s="6">
        <f>MEDIAN(INDEX(BB:BB,X279):INDEX(BB:BB,X279+Y279-1))</f>
        <v>848586</v>
      </c>
      <c r="BD279" s="25">
        <f t="shared" si="134"/>
        <v>848586</v>
      </c>
      <c r="BE279">
        <f t="shared" si="145"/>
        <v>0</v>
      </c>
      <c r="BF279" s="6">
        <f>SUM(INDEX(BE:BE,X279):INDEX(BE:BE,X279+Y279-1))</f>
        <v>13</v>
      </c>
      <c r="BG279" s="25">
        <f t="shared" si="135"/>
        <v>13</v>
      </c>
    </row>
    <row r="280" spans="1:59" x14ac:dyDescent="0.3">
      <c r="A280" s="1">
        <v>44313</v>
      </c>
      <c r="B280">
        <v>9.61</v>
      </c>
      <c r="C280">
        <v>9.6999999999999993</v>
      </c>
      <c r="D280">
        <v>8.9499999999999993</v>
      </c>
      <c r="E280">
        <v>9.17</v>
      </c>
      <c r="F280">
        <v>907400</v>
      </c>
      <c r="G280" s="29">
        <v>1.0936845465201299</v>
      </c>
      <c r="H280" s="29">
        <v>0.119267671376241</v>
      </c>
      <c r="I280" s="29">
        <v>8.1788440567066495E-2</v>
      </c>
      <c r="J280" s="29">
        <v>42.332526434699297</v>
      </c>
      <c r="K280" s="29">
        <v>-0.25988700564971701</v>
      </c>
      <c r="L280" s="29">
        <v>0.8</v>
      </c>
      <c r="M280" s="29">
        <v>-9.1102448678188105E-2</v>
      </c>
      <c r="N280" s="29">
        <v>3.1870004559606602</v>
      </c>
      <c r="O280" s="29">
        <v>-0.27395091053048298</v>
      </c>
      <c r="P280" s="29">
        <v>-3.8784067085953798E-2</v>
      </c>
      <c r="Q280" s="29">
        <v>0.21031746031745999</v>
      </c>
      <c r="R280" s="30">
        <v>876702</v>
      </c>
      <c r="S280" s="29">
        <v>13</v>
      </c>
      <c r="T280" s="14">
        <v>391.02199999999999</v>
      </c>
      <c r="U280" s="41"/>
      <c r="V280">
        <v>270</v>
      </c>
      <c r="W280" t="b">
        <f>V280&gt;=$C$4</f>
        <v>1</v>
      </c>
      <c r="X280">
        <f>IF(V280&lt;=$C$5,11,ROW()-$C$5+1)</f>
        <v>29</v>
      </c>
      <c r="Y280" s="14">
        <f t="shared" si="128"/>
        <v>252</v>
      </c>
      <c r="Z280" s="10">
        <f t="shared" si="136"/>
        <v>0.75</v>
      </c>
      <c r="AA280" s="15">
        <f t="shared" si="137"/>
        <v>8.1788440567066523E-2</v>
      </c>
      <c r="AB280" s="15">
        <f t="shared" si="138"/>
        <v>1.0936845465201379</v>
      </c>
      <c r="AC280" s="10">
        <f t="shared" si="129"/>
        <v>0.11926767137624186</v>
      </c>
      <c r="AD280">
        <f t="shared" si="139"/>
        <v>-0.36999999999999922</v>
      </c>
      <c r="AE280">
        <f t="shared" si="146"/>
        <v>0</v>
      </c>
      <c r="AF280">
        <f t="shared" si="147"/>
        <v>0.36999999999999922</v>
      </c>
      <c r="AG280">
        <f t="shared" si="149"/>
        <v>0.22851707029723009</v>
      </c>
      <c r="AH280">
        <f t="shared" si="149"/>
        <v>0.31129732236335</v>
      </c>
      <c r="AI280">
        <f t="shared" si="140"/>
        <v>0.7340797812276143</v>
      </c>
      <c r="AJ280">
        <f t="shared" si="148"/>
        <v>42.332526402443499</v>
      </c>
      <c r="AK280" s="14">
        <f t="shared" si="130"/>
        <v>42.332526402443499</v>
      </c>
      <c r="AM280">
        <f t="shared" si="121"/>
        <v>-0.25988700564971756</v>
      </c>
      <c r="AN280" s="14">
        <f t="shared" si="141"/>
        <v>-3.8784067085953833E-2</v>
      </c>
      <c r="AO280">
        <f t="shared" si="150"/>
        <v>0</v>
      </c>
      <c r="AP280" s="14">
        <f t="shared" si="151"/>
        <v>0.8</v>
      </c>
      <c r="AQ280">
        <f t="shared" si="142"/>
        <v>-2.1477553399851246E-4</v>
      </c>
      <c r="AR280">
        <f t="shared" si="143"/>
        <v>-3.8569291551955286E-2</v>
      </c>
      <c r="AS280">
        <f t="shared" si="125"/>
        <v>-5.9996235120559193E-3</v>
      </c>
      <c r="AT280">
        <f t="shared" si="126"/>
        <v>6.585578762266929E-2</v>
      </c>
      <c r="AU280" s="14">
        <f t="shared" si="131"/>
        <v>-9.1102448678188633E-2</v>
      </c>
      <c r="AV280" s="19">
        <f t="shared" si="127"/>
        <v>3.1870004559607272</v>
      </c>
      <c r="AW280" s="19">
        <f t="shared" si="122"/>
        <v>-0.27395091053048304</v>
      </c>
      <c r="AX280">
        <f t="shared" si="132"/>
        <v>0</v>
      </c>
      <c r="AY280">
        <f>IF(W280,SUMPRODUCT(INDEX(AX:AX,X280):INDEX(AX:AX,X280+Y280)),0)</f>
        <v>53</v>
      </c>
      <c r="AZ280">
        <f>IF(V280,COUNT(INDEX(AX:AX,X280):INDEX(AX:AX,ROW())),0)</f>
        <v>252</v>
      </c>
      <c r="BA280" s="14">
        <f t="shared" si="144"/>
        <v>0.21031746031746032</v>
      </c>
      <c r="BB280" s="6">
        <f t="shared" si="133"/>
        <v>8320858</v>
      </c>
      <c r="BC280" s="6">
        <f>MEDIAN(INDEX(BB:BB,X280):INDEX(BB:BB,X280+Y280-1))</f>
        <v>876702</v>
      </c>
      <c r="BD280" s="25">
        <f t="shared" si="134"/>
        <v>876702</v>
      </c>
      <c r="BE280">
        <f t="shared" si="145"/>
        <v>0</v>
      </c>
      <c r="BF280" s="6">
        <f>SUM(INDEX(BE:BE,X280):INDEX(BE:BE,X280+Y280-1))</f>
        <v>13</v>
      </c>
      <c r="BG280" s="25">
        <f t="shared" si="135"/>
        <v>13</v>
      </c>
    </row>
    <row r="281" spans="1:59" x14ac:dyDescent="0.3">
      <c r="A281" s="1">
        <v>44314</v>
      </c>
      <c r="B281">
        <v>9.19</v>
      </c>
      <c r="C281">
        <v>9.56</v>
      </c>
      <c r="D281">
        <v>8.9600000000000009</v>
      </c>
      <c r="E281">
        <v>9.08</v>
      </c>
      <c r="F281">
        <v>741400</v>
      </c>
      <c r="G281" s="29">
        <v>1.05842136462584</v>
      </c>
      <c r="H281" s="29">
        <v>0.116566229584343</v>
      </c>
      <c r="I281" s="29">
        <v>6.6079295154184897E-2</v>
      </c>
      <c r="J281" s="29">
        <v>41.796489756637897</v>
      </c>
      <c r="K281" s="29">
        <v>-0.224594363791631</v>
      </c>
      <c r="L281" s="29">
        <v>0.6</v>
      </c>
      <c r="M281" s="29">
        <v>-8.0115616029671793E-2</v>
      </c>
      <c r="N281" s="29">
        <v>3.21704500749345</v>
      </c>
      <c r="O281" s="29">
        <v>-0.28107680126682499</v>
      </c>
      <c r="P281" s="29">
        <v>-9.8146128680479602E-3</v>
      </c>
      <c r="Q281" s="29">
        <v>0.206349206349206</v>
      </c>
      <c r="R281" s="30">
        <v>895075.1</v>
      </c>
      <c r="S281" s="29">
        <v>12</v>
      </c>
      <c r="T281" s="14">
        <v>390.90899999999999</v>
      </c>
      <c r="U281" s="41"/>
      <c r="V281">
        <v>271</v>
      </c>
      <c r="W281" t="b">
        <f>V281&gt;=$C$4</f>
        <v>1</v>
      </c>
      <c r="X281">
        <f>IF(V281&lt;=$C$5,11,ROW()-$C$5+1)</f>
        <v>30</v>
      </c>
      <c r="Y281" s="14">
        <f t="shared" si="128"/>
        <v>252</v>
      </c>
      <c r="Z281" s="10">
        <f t="shared" si="136"/>
        <v>0.59999999999999964</v>
      </c>
      <c r="AA281" s="15">
        <f t="shared" si="137"/>
        <v>6.607929515418498E-2</v>
      </c>
      <c r="AB281" s="15">
        <f t="shared" si="138"/>
        <v>1.0584213646258422</v>
      </c>
      <c r="AC281" s="10">
        <f t="shared" si="129"/>
        <v>0.11656622958434386</v>
      </c>
      <c r="AD281">
        <f t="shared" si="139"/>
        <v>-8.9999999999999858E-2</v>
      </c>
      <c r="AE281">
        <f t="shared" si="146"/>
        <v>0</v>
      </c>
      <c r="AF281">
        <f t="shared" si="147"/>
        <v>8.9999999999999858E-2</v>
      </c>
      <c r="AG281">
        <f t="shared" si="149"/>
        <v>0.21219442241885653</v>
      </c>
      <c r="AH281">
        <f t="shared" si="149"/>
        <v>0.29549037076596785</v>
      </c>
      <c r="AI281">
        <f t="shared" si="140"/>
        <v>0.71810943236088465</v>
      </c>
      <c r="AJ281">
        <f t="shared" si="148"/>
        <v>41.796489724994856</v>
      </c>
      <c r="AK281" s="14">
        <f t="shared" si="130"/>
        <v>41.796489724994856</v>
      </c>
      <c r="AM281">
        <f t="shared" si="121"/>
        <v>-0.22459436379163111</v>
      </c>
      <c r="AN281" s="14">
        <f t="shared" si="141"/>
        <v>-9.8146128680479672E-3</v>
      </c>
      <c r="AO281">
        <f t="shared" si="150"/>
        <v>0</v>
      </c>
      <c r="AP281" s="14">
        <f t="shared" si="151"/>
        <v>0.6</v>
      </c>
      <c r="AQ281">
        <f t="shared" si="142"/>
        <v>-2.8898629744622539E-4</v>
      </c>
      <c r="AR281">
        <f t="shared" si="143"/>
        <v>-9.5256265706017348E-3</v>
      </c>
      <c r="AS281">
        <f t="shared" si="125"/>
        <v>-5.2505547920305533E-3</v>
      </c>
      <c r="AT281">
        <f t="shared" si="126"/>
        <v>6.5537220485028871E-2</v>
      </c>
      <c r="AU281" s="14">
        <f t="shared" si="131"/>
        <v>-8.0115616029672404E-2</v>
      </c>
      <c r="AV281" s="19">
        <f t="shared" si="127"/>
        <v>3.2170450074935268</v>
      </c>
      <c r="AW281" s="19">
        <f t="shared" si="122"/>
        <v>-0.2810768012668251</v>
      </c>
      <c r="AX281">
        <f t="shared" si="132"/>
        <v>0</v>
      </c>
      <c r="AY281">
        <f>IF(W281,SUMPRODUCT(INDEX(AX:AX,X281):INDEX(AX:AX,X281+Y281)),0)</f>
        <v>52</v>
      </c>
      <c r="AZ281">
        <f>IF(V281,COUNT(INDEX(AX:AX,X281):INDEX(AX:AX,ROW())),0)</f>
        <v>252</v>
      </c>
      <c r="BA281" s="14">
        <f t="shared" si="144"/>
        <v>0.20634920634920634</v>
      </c>
      <c r="BB281" s="6">
        <f t="shared" si="133"/>
        <v>6731912</v>
      </c>
      <c r="BC281" s="6">
        <f>MEDIAN(INDEX(BB:BB,X281):INDEX(BB:BB,X281+Y281-1))</f>
        <v>895075.1</v>
      </c>
      <c r="BD281" s="25">
        <f t="shared" si="134"/>
        <v>895075.1</v>
      </c>
      <c r="BE281">
        <f t="shared" si="145"/>
        <v>0</v>
      </c>
      <c r="BF281" s="6">
        <f>SUM(INDEX(BE:BE,X281):INDEX(BE:BE,X281+Y281-1))</f>
        <v>12</v>
      </c>
      <c r="BG281" s="25">
        <f t="shared" si="135"/>
        <v>12</v>
      </c>
    </row>
    <row r="282" spans="1:59" x14ac:dyDescent="0.3">
      <c r="A282" s="1">
        <v>44315</v>
      </c>
      <c r="B282">
        <v>9.17</v>
      </c>
      <c r="C282">
        <v>9.2799999999999994</v>
      </c>
      <c r="D282">
        <v>8.5500000000000007</v>
      </c>
      <c r="E282">
        <v>8.8699999999999992</v>
      </c>
      <c r="F282">
        <v>768400</v>
      </c>
      <c r="G282" s="29">
        <v>1.0349626957239899</v>
      </c>
      <c r="H282" s="29">
        <v>0.11668125092716899</v>
      </c>
      <c r="I282" s="29">
        <v>8.2299887260428195E-2</v>
      </c>
      <c r="J282" s="29">
        <v>40.507592728344299</v>
      </c>
      <c r="K282" s="29">
        <v>-0.22532751091702999</v>
      </c>
      <c r="L282" s="29">
        <v>0.4</v>
      </c>
      <c r="M282" s="29">
        <v>-0.104970481916386</v>
      </c>
      <c r="N282" s="29">
        <v>3.1068572003902402</v>
      </c>
      <c r="O282" s="29">
        <v>-0.29770387965162298</v>
      </c>
      <c r="P282" s="29">
        <v>-2.3127753303964799E-2</v>
      </c>
      <c r="Q282" s="29">
        <v>0.206349206349206</v>
      </c>
      <c r="R282" s="30">
        <v>895075.1</v>
      </c>
      <c r="S282" s="29">
        <v>12</v>
      </c>
      <c r="T282" s="14">
        <v>393.4</v>
      </c>
      <c r="U282" s="41"/>
      <c r="V282">
        <v>272</v>
      </c>
      <c r="W282" t="b">
        <f>V282&gt;=$C$4</f>
        <v>1</v>
      </c>
      <c r="X282">
        <f>IF(V282&lt;=$C$5,11,ROW()-$C$5+1)</f>
        <v>31</v>
      </c>
      <c r="Y282" s="14">
        <f t="shared" si="128"/>
        <v>252</v>
      </c>
      <c r="Z282" s="10">
        <f t="shared" si="136"/>
        <v>0.72999999999999865</v>
      </c>
      <c r="AA282" s="15">
        <f t="shared" si="137"/>
        <v>8.2299887260428264E-2</v>
      </c>
      <c r="AB282" s="15">
        <f t="shared" si="138"/>
        <v>1.0349626957239964</v>
      </c>
      <c r="AC282" s="10">
        <f t="shared" si="129"/>
        <v>0.11668125092716984</v>
      </c>
      <c r="AD282">
        <f t="shared" si="139"/>
        <v>-0.21000000000000085</v>
      </c>
      <c r="AE282">
        <f t="shared" si="146"/>
        <v>0</v>
      </c>
      <c r="AF282">
        <f t="shared" si="147"/>
        <v>0.21000000000000085</v>
      </c>
      <c r="AG282">
        <f t="shared" si="149"/>
        <v>0.19703767796036678</v>
      </c>
      <c r="AH282">
        <f t="shared" si="149"/>
        <v>0.28938391571125593</v>
      </c>
      <c r="AI282">
        <f t="shared" si="140"/>
        <v>0.68088676413159321</v>
      </c>
      <c r="AJ282">
        <f t="shared" si="148"/>
        <v>40.507592698153225</v>
      </c>
      <c r="AK282" s="14">
        <f t="shared" si="130"/>
        <v>40.507592698153225</v>
      </c>
      <c r="AM282">
        <f t="shared" si="121"/>
        <v>-0.22532751091703063</v>
      </c>
      <c r="AN282" s="14">
        <f t="shared" si="141"/>
        <v>-2.3127753303964882E-2</v>
      </c>
      <c r="AO282">
        <f t="shared" si="150"/>
        <v>0</v>
      </c>
      <c r="AP282" s="14">
        <f t="shared" si="151"/>
        <v>0.4</v>
      </c>
      <c r="AQ282">
        <f t="shared" si="142"/>
        <v>6.3723270633317952E-3</v>
      </c>
      <c r="AR282">
        <f t="shared" si="143"/>
        <v>-2.9500080367296594E-2</v>
      </c>
      <c r="AS282">
        <f t="shared" si="125"/>
        <v>-6.8136065459101294E-3</v>
      </c>
      <c r="AT282">
        <f t="shared" si="126"/>
        <v>6.490973863811951E-2</v>
      </c>
      <c r="AU282" s="14">
        <f t="shared" si="131"/>
        <v>-0.10497048191638698</v>
      </c>
      <c r="AV282" s="19">
        <f t="shared" si="127"/>
        <v>3.1068572003903143</v>
      </c>
      <c r="AW282" s="19">
        <f t="shared" si="122"/>
        <v>-0.29770387965162326</v>
      </c>
      <c r="AX282">
        <f t="shared" si="132"/>
        <v>0</v>
      </c>
      <c r="AY282">
        <f>IF(W282,SUMPRODUCT(INDEX(AX:AX,X282):INDEX(AX:AX,X282+Y282)),0)</f>
        <v>52</v>
      </c>
      <c r="AZ282">
        <f>IF(V282,COUNT(INDEX(AX:AX,X282):INDEX(AX:AX,ROW())),0)</f>
        <v>252</v>
      </c>
      <c r="BA282" s="14">
        <f t="shared" si="144"/>
        <v>0.20634920634920634</v>
      </c>
      <c r="BB282" s="6">
        <f t="shared" si="133"/>
        <v>6815707.9999999991</v>
      </c>
      <c r="BC282" s="6">
        <f>MEDIAN(INDEX(BB:BB,X282):INDEX(BB:BB,X282+Y282-1))</f>
        <v>895075.1</v>
      </c>
      <c r="BD282" s="25">
        <f t="shared" si="134"/>
        <v>895075.1</v>
      </c>
      <c r="BE282">
        <f t="shared" si="145"/>
        <v>0</v>
      </c>
      <c r="BF282" s="6">
        <f>SUM(INDEX(BE:BE,X282):INDEX(BE:BE,X282+Y282-1))</f>
        <v>12</v>
      </c>
      <c r="BG282" s="25">
        <f t="shared" si="135"/>
        <v>12</v>
      </c>
    </row>
    <row r="283" spans="1:59" x14ac:dyDescent="0.3">
      <c r="A283" s="1">
        <v>44316</v>
      </c>
      <c r="B283">
        <v>8.68</v>
      </c>
      <c r="C283">
        <v>8.9670000000000005</v>
      </c>
      <c r="D283">
        <v>8.6199999999999992</v>
      </c>
      <c r="E283">
        <v>8.77</v>
      </c>
      <c r="F283">
        <v>420100</v>
      </c>
      <c r="G283" s="29">
        <v>0.98582250317228304</v>
      </c>
      <c r="H283" s="29">
        <v>0.112408495230591</v>
      </c>
      <c r="I283" s="29">
        <v>3.9566704675028597E-2</v>
      </c>
      <c r="J283" s="29">
        <v>39.876975240363699</v>
      </c>
      <c r="K283" s="29">
        <v>-0.24850042844901399</v>
      </c>
      <c r="L283" s="29">
        <v>0.2</v>
      </c>
      <c r="M283" s="29">
        <v>-0.10180130202807899</v>
      </c>
      <c r="N283" s="29">
        <v>3.2352979725933801</v>
      </c>
      <c r="O283" s="29">
        <v>-0.30562153602533598</v>
      </c>
      <c r="P283" s="29">
        <v>-1.12739571589627E-2</v>
      </c>
      <c r="Q283" s="29">
        <v>0.202380952380952</v>
      </c>
      <c r="R283" s="30">
        <v>900149.6</v>
      </c>
      <c r="S283" s="29">
        <v>12</v>
      </c>
      <c r="T283" s="14">
        <v>390.815</v>
      </c>
      <c r="U283" s="41"/>
      <c r="V283">
        <v>273</v>
      </c>
      <c r="W283" t="b">
        <f>V283&gt;=$C$4</f>
        <v>1</v>
      </c>
      <c r="X283">
        <f>IF(V283&lt;=$C$5,11,ROW()-$C$5+1)</f>
        <v>32</v>
      </c>
      <c r="Y283" s="14">
        <f t="shared" si="128"/>
        <v>252</v>
      </c>
      <c r="Z283" s="10">
        <f t="shared" si="136"/>
        <v>0.34700000000000131</v>
      </c>
      <c r="AA283" s="15">
        <f t="shared" si="137"/>
        <v>3.9566704675028659E-2</v>
      </c>
      <c r="AB283" s="15">
        <f t="shared" si="138"/>
        <v>0.98582250317228237</v>
      </c>
      <c r="AC283" s="10">
        <f t="shared" si="129"/>
        <v>0.11240849523059093</v>
      </c>
      <c r="AD283">
        <f t="shared" si="139"/>
        <v>-9.9999999999999645E-2</v>
      </c>
      <c r="AE283">
        <f t="shared" si="146"/>
        <v>0</v>
      </c>
      <c r="AF283">
        <f t="shared" si="147"/>
        <v>9.9999999999999645E-2</v>
      </c>
      <c r="AG283">
        <f t="shared" si="149"/>
        <v>0.18296355810605489</v>
      </c>
      <c r="AH283">
        <f t="shared" si="149"/>
        <v>0.27585649316045191</v>
      </c>
      <c r="AI283">
        <f t="shared" si="140"/>
        <v>0.66325630406544078</v>
      </c>
      <c r="AJ283">
        <f t="shared" si="148"/>
        <v>39.876975210871954</v>
      </c>
      <c r="AK283" s="14">
        <f t="shared" si="130"/>
        <v>39.876975210871954</v>
      </c>
      <c r="AM283">
        <f t="shared" si="121"/>
        <v>-0.24850042844901465</v>
      </c>
      <c r="AN283" s="14">
        <f t="shared" si="141"/>
        <v>-1.1273957158962733E-2</v>
      </c>
      <c r="AO283">
        <f t="shared" si="150"/>
        <v>0</v>
      </c>
      <c r="AP283" s="14">
        <f t="shared" si="151"/>
        <v>0.2</v>
      </c>
      <c r="AQ283">
        <f t="shared" si="142"/>
        <v>-6.5709201830197461E-3</v>
      </c>
      <c r="AR283">
        <f t="shared" si="143"/>
        <v>-4.7030369759429539E-3</v>
      </c>
      <c r="AS283">
        <f t="shared" si="125"/>
        <v>-6.6064032146312254E-3</v>
      </c>
      <c r="AT283">
        <f t="shared" si="126"/>
        <v>6.4895075829275367E-2</v>
      </c>
      <c r="AU283" s="14">
        <f t="shared" si="131"/>
        <v>-0.10180130202808015</v>
      </c>
      <c r="AV283" s="19">
        <f t="shared" si="127"/>
        <v>3.2352979725934667</v>
      </c>
      <c r="AW283" s="19">
        <f t="shared" si="122"/>
        <v>-0.30562153602533659</v>
      </c>
      <c r="AX283">
        <f t="shared" si="132"/>
        <v>0</v>
      </c>
      <c r="AY283">
        <f>IF(W283,SUMPRODUCT(INDEX(AX:AX,X283):INDEX(AX:AX,X283+Y283)),0)</f>
        <v>51</v>
      </c>
      <c r="AZ283">
        <f>IF(V283,COUNT(INDEX(AX:AX,X283):INDEX(AX:AX,ROW())),0)</f>
        <v>252</v>
      </c>
      <c r="BA283" s="14">
        <f t="shared" si="144"/>
        <v>0.20238095238095238</v>
      </c>
      <c r="BB283" s="6">
        <f t="shared" si="133"/>
        <v>3684277</v>
      </c>
      <c r="BC283" s="6">
        <f>MEDIAN(INDEX(BB:BB,X283):INDEX(BB:BB,X283+Y283-1))</f>
        <v>900149.6</v>
      </c>
      <c r="BD283" s="25">
        <f t="shared" si="134"/>
        <v>900149.6</v>
      </c>
      <c r="BE283">
        <f t="shared" si="145"/>
        <v>0</v>
      </c>
      <c r="BF283" s="6">
        <f>SUM(INDEX(BE:BE,X283):INDEX(BE:BE,X283+Y283-1))</f>
        <v>12</v>
      </c>
      <c r="BG283" s="25">
        <f t="shared" si="135"/>
        <v>12</v>
      </c>
    </row>
    <row r="284" spans="1:59" x14ac:dyDescent="0.3">
      <c r="A284" s="1">
        <v>44319</v>
      </c>
      <c r="B284">
        <v>8.91</v>
      </c>
      <c r="C284">
        <v>8.93</v>
      </c>
      <c r="D284">
        <v>8.07</v>
      </c>
      <c r="E284">
        <v>8.17</v>
      </c>
      <c r="F284">
        <v>803100</v>
      </c>
      <c r="G284" s="29">
        <v>0.97683518151712001</v>
      </c>
      <c r="H284" s="29">
        <v>0.119563669708337</v>
      </c>
      <c r="I284" s="29">
        <v>0.105263157894736</v>
      </c>
      <c r="J284" s="29">
        <v>36.232280355470401</v>
      </c>
      <c r="K284" s="29">
        <v>-0.28270412642669002</v>
      </c>
      <c r="L284" s="29">
        <v>0</v>
      </c>
      <c r="M284" s="29">
        <v>-0.13215165119331701</v>
      </c>
      <c r="N284" s="29">
        <v>3.1377649930303799</v>
      </c>
      <c r="O284" s="29">
        <v>-0.35312747426761598</v>
      </c>
      <c r="P284" s="29">
        <v>-6.8415051311288402E-2</v>
      </c>
      <c r="Q284" s="29">
        <v>0.202380952380952</v>
      </c>
      <c r="R284" s="30">
        <v>909874.5</v>
      </c>
      <c r="S284" s="29">
        <v>12</v>
      </c>
      <c r="T284" s="14">
        <v>391.65800000000002</v>
      </c>
      <c r="U284" s="41"/>
      <c r="V284">
        <v>274</v>
      </c>
      <c r="W284" t="b">
        <f>V284&gt;=$C$4</f>
        <v>1</v>
      </c>
      <c r="X284">
        <f>IF(V284&lt;=$C$5,11,ROW()-$C$5+1)</f>
        <v>33</v>
      </c>
      <c r="Y284" s="14">
        <f t="shared" si="128"/>
        <v>252</v>
      </c>
      <c r="Z284" s="10">
        <f t="shared" si="136"/>
        <v>0.85999999999999943</v>
      </c>
      <c r="AA284" s="15">
        <f t="shared" si="137"/>
        <v>0.10526315789473677</v>
      </c>
      <c r="AB284" s="15">
        <f t="shared" si="138"/>
        <v>0.97683518151711923</v>
      </c>
      <c r="AC284" s="10">
        <f t="shared" si="129"/>
        <v>0.11956366970833773</v>
      </c>
      <c r="AD284">
        <f t="shared" si="139"/>
        <v>-0.59999999999999964</v>
      </c>
      <c r="AE284">
        <f t="shared" si="146"/>
        <v>0</v>
      </c>
      <c r="AF284">
        <f t="shared" si="147"/>
        <v>0.59999999999999964</v>
      </c>
      <c r="AG284">
        <f t="shared" si="149"/>
        <v>0.16989473252705098</v>
      </c>
      <c r="AH284">
        <f t="shared" si="149"/>
        <v>0.29900960079184818</v>
      </c>
      <c r="AI284">
        <f t="shared" si="140"/>
        <v>0.56819156333819887</v>
      </c>
      <c r="AJ284">
        <f t="shared" si="148"/>
        <v>36.232280329878407</v>
      </c>
      <c r="AK284" s="14">
        <f t="shared" si="130"/>
        <v>36.232280329878407</v>
      </c>
      <c r="AM284">
        <f t="shared" si="121"/>
        <v>-0.28270412642669007</v>
      </c>
      <c r="AN284" s="14">
        <f t="shared" si="141"/>
        <v>-6.8415051311288444E-2</v>
      </c>
      <c r="AO284">
        <f t="shared" si="150"/>
        <v>0</v>
      </c>
      <c r="AP284" s="14">
        <f t="shared" si="151"/>
        <v>0</v>
      </c>
      <c r="AQ284">
        <f t="shared" si="142"/>
        <v>2.157030820209016E-3</v>
      </c>
      <c r="AR284">
        <f t="shared" si="143"/>
        <v>-7.0572082131497418E-2</v>
      </c>
      <c r="AS284">
        <f t="shared" si="125"/>
        <v>-8.5793808815110596E-3</v>
      </c>
      <c r="AT284">
        <f t="shared" si="126"/>
        <v>6.4920724062393478E-2</v>
      </c>
      <c r="AU284" s="14">
        <f t="shared" si="131"/>
        <v>-0.13215165119331784</v>
      </c>
      <c r="AV284" s="19">
        <f t="shared" si="127"/>
        <v>3.1377649930304621</v>
      </c>
      <c r="AW284" s="19">
        <f t="shared" si="122"/>
        <v>-0.35312747426761681</v>
      </c>
      <c r="AX284">
        <f t="shared" si="132"/>
        <v>0</v>
      </c>
      <c r="AY284">
        <f>IF(W284,SUMPRODUCT(INDEX(AX:AX,X284):INDEX(AX:AX,X284+Y284)),0)</f>
        <v>51</v>
      </c>
      <c r="AZ284">
        <f>IF(V284,COUNT(INDEX(AX:AX,X284):INDEX(AX:AX,ROW())),0)</f>
        <v>252</v>
      </c>
      <c r="BA284" s="14">
        <f t="shared" si="144"/>
        <v>0.20238095238095238</v>
      </c>
      <c r="BB284" s="6">
        <f t="shared" si="133"/>
        <v>6561327</v>
      </c>
      <c r="BC284" s="6">
        <f>MEDIAN(INDEX(BB:BB,X284):INDEX(BB:BB,X284+Y284-1))</f>
        <v>909874.5</v>
      </c>
      <c r="BD284" s="25">
        <f t="shared" si="134"/>
        <v>909874.5</v>
      </c>
      <c r="BE284">
        <f t="shared" si="145"/>
        <v>0</v>
      </c>
      <c r="BF284" s="6">
        <f>SUM(INDEX(BE:BE,X284):INDEX(BE:BE,X284+Y284-1))</f>
        <v>12</v>
      </c>
      <c r="BG284" s="25">
        <f t="shared" si="135"/>
        <v>12</v>
      </c>
    </row>
    <row r="285" spans="1:59" x14ac:dyDescent="0.3">
      <c r="A285" s="1">
        <v>44320</v>
      </c>
      <c r="B285">
        <v>8.0609999999999999</v>
      </c>
      <c r="C285">
        <v>8.2100000000000009</v>
      </c>
      <c r="D285">
        <v>7.35</v>
      </c>
      <c r="E285">
        <v>8.2100000000000009</v>
      </c>
      <c r="F285">
        <v>2001500</v>
      </c>
      <c r="G285" s="29">
        <v>0.96848981140875401</v>
      </c>
      <c r="H285" s="29">
        <v>0.117964654251979</v>
      </c>
      <c r="I285" s="29">
        <v>0.104750304506699</v>
      </c>
      <c r="J285" s="29">
        <v>36.647992559170397</v>
      </c>
      <c r="K285" s="29">
        <v>-0.34996041171813103</v>
      </c>
      <c r="L285" s="29">
        <v>0.2</v>
      </c>
      <c r="M285" s="29">
        <v>-0.124741911941969</v>
      </c>
      <c r="N285" s="29">
        <v>3.1810545415534999</v>
      </c>
      <c r="O285" s="29">
        <v>-0.30482641828958501</v>
      </c>
      <c r="P285" s="29">
        <v>4.8959608323133601E-3</v>
      </c>
      <c r="Q285" s="29">
        <v>0.19841269841269801</v>
      </c>
      <c r="R285" s="30">
        <v>928892</v>
      </c>
      <c r="S285" s="29">
        <v>12</v>
      </c>
      <c r="T285" s="14">
        <v>389.24200000000002</v>
      </c>
      <c r="U285" s="41"/>
      <c r="V285">
        <v>275</v>
      </c>
      <c r="W285" t="b">
        <f>V285&gt;=$C$4</f>
        <v>1</v>
      </c>
      <c r="X285">
        <f>IF(V285&lt;=$C$5,11,ROW()-$C$5+1)</f>
        <v>34</v>
      </c>
      <c r="Y285" s="14">
        <f t="shared" si="128"/>
        <v>252</v>
      </c>
      <c r="Z285" s="10">
        <f t="shared" si="136"/>
        <v>0.86000000000000121</v>
      </c>
      <c r="AA285" s="15">
        <f t="shared" si="137"/>
        <v>0.10475030450669928</v>
      </c>
      <c r="AB285" s="15">
        <f t="shared" si="138"/>
        <v>0.96848981140875368</v>
      </c>
      <c r="AC285" s="10">
        <f t="shared" si="129"/>
        <v>0.11796465425197973</v>
      </c>
      <c r="AD285">
        <f t="shared" si="139"/>
        <v>4.0000000000000924E-2</v>
      </c>
      <c r="AE285">
        <f t="shared" si="146"/>
        <v>4.0000000000000924E-2</v>
      </c>
      <c r="AF285">
        <f t="shared" si="147"/>
        <v>0</v>
      </c>
      <c r="AG285">
        <f t="shared" si="149"/>
        <v>0.16061653734654741</v>
      </c>
      <c r="AH285">
        <f t="shared" si="149"/>
        <v>0.27765177216385906</v>
      </c>
      <c r="AI285">
        <f t="shared" si="140"/>
        <v>0.57848194554925403</v>
      </c>
      <c r="AJ285">
        <f t="shared" si="148"/>
        <v>36.647992533608829</v>
      </c>
      <c r="AK285" s="14">
        <f t="shared" si="130"/>
        <v>36.647992533608829</v>
      </c>
      <c r="AM285">
        <f t="shared" si="121"/>
        <v>-0.34996041171813141</v>
      </c>
      <c r="AN285" s="14">
        <f t="shared" si="141"/>
        <v>4.8959608323133619E-3</v>
      </c>
      <c r="AO285">
        <f t="shared" si="150"/>
        <v>1</v>
      </c>
      <c r="AP285" s="14">
        <f t="shared" si="151"/>
        <v>0.2</v>
      </c>
      <c r="AQ285">
        <f t="shared" si="142"/>
        <v>-6.168647136021721E-3</v>
      </c>
      <c r="AR285">
        <f t="shared" si="143"/>
        <v>1.1064607968335081E-2</v>
      </c>
      <c r="AS285">
        <f t="shared" si="125"/>
        <v>-8.1024140685274203E-3</v>
      </c>
      <c r="AT285">
        <f t="shared" si="126"/>
        <v>6.495342216893922E-2</v>
      </c>
      <c r="AU285" s="14">
        <f t="shared" si="131"/>
        <v>-0.12474191194197003</v>
      </c>
      <c r="AV285" s="19">
        <f t="shared" si="127"/>
        <v>3.1810545415535936</v>
      </c>
      <c r="AW285" s="19">
        <f t="shared" si="122"/>
        <v>-0.30482641828958501</v>
      </c>
      <c r="AX285">
        <f t="shared" si="132"/>
        <v>0</v>
      </c>
      <c r="AY285">
        <f>IF(W285,SUMPRODUCT(INDEX(AX:AX,X285):INDEX(AX:AX,X285+Y285)),0)</f>
        <v>50</v>
      </c>
      <c r="AZ285">
        <f>IF(V285,COUNT(INDEX(AX:AX,X285):INDEX(AX:AX,ROW())),0)</f>
        <v>252</v>
      </c>
      <c r="BA285" s="14">
        <f t="shared" si="144"/>
        <v>0.1984126984126984</v>
      </c>
      <c r="BB285" s="6">
        <f t="shared" si="133"/>
        <v>16432315.000000002</v>
      </c>
      <c r="BC285" s="6">
        <f>MEDIAN(INDEX(BB:BB,X285):INDEX(BB:BB,X285+Y285-1))</f>
        <v>928892</v>
      </c>
      <c r="BD285" s="25">
        <f t="shared" si="134"/>
        <v>928892</v>
      </c>
      <c r="BE285">
        <f t="shared" si="145"/>
        <v>0</v>
      </c>
      <c r="BF285" s="6">
        <f>SUM(INDEX(BE:BE,X285):INDEX(BE:BE,X285+Y285-1))</f>
        <v>12</v>
      </c>
      <c r="BG285" s="25">
        <f t="shared" si="135"/>
        <v>12</v>
      </c>
    </row>
    <row r="286" spans="1:59" x14ac:dyDescent="0.3">
      <c r="A286" s="1">
        <v>44321</v>
      </c>
      <c r="B286">
        <v>8.34</v>
      </c>
      <c r="C286">
        <v>8.43</v>
      </c>
      <c r="D286">
        <v>7.37</v>
      </c>
      <c r="E286">
        <v>7.68</v>
      </c>
      <c r="F286">
        <v>1689000</v>
      </c>
      <c r="G286" s="29">
        <v>0.97502625345098604</v>
      </c>
      <c r="H286" s="29">
        <v>0.12695654341809701</v>
      </c>
      <c r="I286" s="29">
        <v>0.13802083333333301</v>
      </c>
      <c r="J286" s="29">
        <v>33.529008469843198</v>
      </c>
      <c r="K286" s="29">
        <v>-0.33793103448275802</v>
      </c>
      <c r="L286" s="29">
        <v>0.2</v>
      </c>
      <c r="M286" s="29">
        <v>-0.15136885226164001</v>
      </c>
      <c r="N286" s="29">
        <v>3.20306839660077</v>
      </c>
      <c r="O286" s="29">
        <v>-0.34970364098221801</v>
      </c>
      <c r="P286" s="29">
        <v>-6.4555420219244902E-2</v>
      </c>
      <c r="Q286" s="29">
        <v>0.194444444444444</v>
      </c>
      <c r="R286" s="30">
        <v>963430.1</v>
      </c>
      <c r="S286" s="29">
        <v>11</v>
      </c>
      <c r="T286" s="14">
        <v>389.36399999999998</v>
      </c>
      <c r="U286" s="41"/>
      <c r="V286">
        <v>276</v>
      </c>
      <c r="W286" t="b">
        <f>V286&gt;=$C$4</f>
        <v>1</v>
      </c>
      <c r="X286">
        <f>IF(V286&lt;=$C$5,11,ROW()-$C$5+1)</f>
        <v>35</v>
      </c>
      <c r="Y286" s="14">
        <f t="shared" si="128"/>
        <v>252</v>
      </c>
      <c r="Z286" s="10">
        <f t="shared" si="136"/>
        <v>1.0599999999999996</v>
      </c>
      <c r="AA286" s="15">
        <f t="shared" si="137"/>
        <v>0.13802083333333329</v>
      </c>
      <c r="AB286" s="15">
        <f t="shared" si="138"/>
        <v>0.97502625345098559</v>
      </c>
      <c r="AC286" s="10">
        <f t="shared" si="129"/>
        <v>0.12695654341809709</v>
      </c>
      <c r="AD286">
        <f t="shared" si="139"/>
        <v>-0.53000000000000114</v>
      </c>
      <c r="AE286">
        <f t="shared" si="146"/>
        <v>0</v>
      </c>
      <c r="AF286">
        <f t="shared" si="147"/>
        <v>0.53000000000000114</v>
      </c>
      <c r="AG286">
        <f t="shared" ref="AG286:AH301" si="152">(AE286+13*AG285)/14</f>
        <v>0.14914392753607975</v>
      </c>
      <c r="AH286">
        <f t="shared" si="152"/>
        <v>0.29567664558072637</v>
      </c>
      <c r="AI286">
        <f t="shared" si="140"/>
        <v>0.50441565056026749</v>
      </c>
      <c r="AJ286">
        <f t="shared" si="148"/>
        <v>33.529008447393863</v>
      </c>
      <c r="AK286" s="14">
        <f t="shared" si="130"/>
        <v>33.529008447393863</v>
      </c>
      <c r="AM286">
        <f t="shared" si="121"/>
        <v>-0.33793103448275863</v>
      </c>
      <c r="AN286" s="14">
        <f t="shared" si="141"/>
        <v>-6.4555420219244986E-2</v>
      </c>
      <c r="AO286">
        <f t="shared" si="150"/>
        <v>0</v>
      </c>
      <c r="AP286" s="14">
        <f t="shared" si="151"/>
        <v>0.2</v>
      </c>
      <c r="AQ286">
        <f t="shared" si="142"/>
        <v>3.1342969155434552E-4</v>
      </c>
      <c r="AR286">
        <f t="shared" si="143"/>
        <v>-6.4868849910799248E-2</v>
      </c>
      <c r="AS286">
        <f t="shared" si="125"/>
        <v>-9.8370866563329811E-3</v>
      </c>
      <c r="AT286">
        <f t="shared" si="126"/>
        <v>6.4987522263362296E-2</v>
      </c>
      <c r="AU286" s="14">
        <f t="shared" si="131"/>
        <v>-0.15136885226164082</v>
      </c>
      <c r="AV286" s="19">
        <f t="shared" si="127"/>
        <v>3.203068396600862</v>
      </c>
      <c r="AW286" s="19">
        <f t="shared" si="122"/>
        <v>-0.34970364098221851</v>
      </c>
      <c r="AX286">
        <f t="shared" si="132"/>
        <v>0</v>
      </c>
      <c r="AY286">
        <f>IF(W286,SUMPRODUCT(INDEX(AX:AX,X286):INDEX(AX:AX,X286+Y286)),0)</f>
        <v>49</v>
      </c>
      <c r="AZ286">
        <f>IF(V286,COUNT(INDEX(AX:AX,X286):INDEX(AX:AX,ROW())),0)</f>
        <v>252</v>
      </c>
      <c r="BA286" s="14">
        <f t="shared" si="144"/>
        <v>0.19444444444444445</v>
      </c>
      <c r="BB286" s="6">
        <f t="shared" si="133"/>
        <v>12971520</v>
      </c>
      <c r="BC286" s="6">
        <f>MEDIAN(INDEX(BB:BB,X286):INDEX(BB:BB,X286+Y286-1))</f>
        <v>963430.1</v>
      </c>
      <c r="BD286" s="25">
        <f t="shared" si="134"/>
        <v>963430.1</v>
      </c>
      <c r="BE286">
        <f t="shared" si="145"/>
        <v>0</v>
      </c>
      <c r="BF286" s="6">
        <f>SUM(INDEX(BE:BE,X286):INDEX(BE:BE,X286+Y286-1))</f>
        <v>11</v>
      </c>
      <c r="BG286" s="25">
        <f t="shared" si="135"/>
        <v>11</v>
      </c>
    </row>
    <row r="287" spans="1:59" x14ac:dyDescent="0.3">
      <c r="A287" s="1">
        <v>44322</v>
      </c>
      <c r="B287">
        <v>7.71</v>
      </c>
      <c r="C287">
        <v>8.1999999999999993</v>
      </c>
      <c r="D287">
        <v>7.6</v>
      </c>
      <c r="E287">
        <v>7.78</v>
      </c>
      <c r="F287">
        <v>726700</v>
      </c>
      <c r="G287" s="29">
        <v>0.94823866391877298</v>
      </c>
      <c r="H287" s="29">
        <v>0.121881576339173</v>
      </c>
      <c r="I287" s="29">
        <v>7.7120822622107899E-2</v>
      </c>
      <c r="J287" s="29">
        <v>34.6589549118085</v>
      </c>
      <c r="K287" s="29">
        <v>-0.341236240474174</v>
      </c>
      <c r="L287" s="29">
        <v>0.4</v>
      </c>
      <c r="M287" s="29">
        <v>-0.174325355647277</v>
      </c>
      <c r="N287" s="29">
        <v>3.03160124023321</v>
      </c>
      <c r="O287" s="29">
        <v>-0.27829313543599199</v>
      </c>
      <c r="P287" s="29">
        <v>1.30208333333334E-2</v>
      </c>
      <c r="Q287" s="29">
        <v>0.194444444444444</v>
      </c>
      <c r="R287" s="30">
        <v>974705</v>
      </c>
      <c r="S287" s="29">
        <v>11</v>
      </c>
      <c r="T287" s="14">
        <v>392.47300000000001</v>
      </c>
      <c r="U287" s="41"/>
      <c r="V287">
        <v>277</v>
      </c>
      <c r="W287" t="b">
        <f>V287&gt;=$C$4</f>
        <v>1</v>
      </c>
      <c r="X287">
        <f>IF(V287&lt;=$C$5,11,ROW()-$C$5+1)</f>
        <v>36</v>
      </c>
      <c r="Y287" s="14">
        <f t="shared" si="128"/>
        <v>252</v>
      </c>
      <c r="Z287" s="10">
        <f t="shared" si="136"/>
        <v>0.59999999999999964</v>
      </c>
      <c r="AA287" s="15">
        <f t="shared" si="137"/>
        <v>7.7120822622107926E-2</v>
      </c>
      <c r="AB287" s="15">
        <f t="shared" si="138"/>
        <v>0.94823866391877232</v>
      </c>
      <c r="AC287" s="10">
        <f t="shared" si="129"/>
        <v>0.12188157633917382</v>
      </c>
      <c r="AD287">
        <f t="shared" si="139"/>
        <v>0.10000000000000053</v>
      </c>
      <c r="AE287">
        <f t="shared" si="146"/>
        <v>0.10000000000000053</v>
      </c>
      <c r="AF287">
        <f t="shared" si="147"/>
        <v>0</v>
      </c>
      <c r="AG287">
        <f t="shared" si="152"/>
        <v>0.14563364699778836</v>
      </c>
      <c r="AH287">
        <f t="shared" si="152"/>
        <v>0.27455688518210308</v>
      </c>
      <c r="AI287">
        <f t="shared" si="140"/>
        <v>0.53043159672064</v>
      </c>
      <c r="AJ287">
        <f t="shared" si="148"/>
        <v>34.658954889407141</v>
      </c>
      <c r="AK287" s="14">
        <f t="shared" si="130"/>
        <v>34.658954889407141</v>
      </c>
      <c r="AM287">
        <f t="shared" si="121"/>
        <v>-0.34123624047417445</v>
      </c>
      <c r="AN287" s="14">
        <f t="shared" si="141"/>
        <v>1.3020833333333481E-2</v>
      </c>
      <c r="AO287">
        <f t="shared" si="150"/>
        <v>1</v>
      </c>
      <c r="AP287" s="14">
        <f t="shared" si="151"/>
        <v>0.4</v>
      </c>
      <c r="AQ287">
        <f t="shared" si="142"/>
        <v>7.9848162644724496E-3</v>
      </c>
      <c r="AR287">
        <f t="shared" si="143"/>
        <v>5.0360170688609502E-3</v>
      </c>
      <c r="AS287">
        <f t="shared" si="125"/>
        <v>-1.1129205109932185E-2</v>
      </c>
      <c r="AT287">
        <f t="shared" si="126"/>
        <v>6.3841574099240711E-2</v>
      </c>
      <c r="AU287" s="14">
        <f t="shared" si="131"/>
        <v>-0.17432535564727794</v>
      </c>
      <c r="AV287" s="19">
        <f t="shared" si="127"/>
        <v>3.0316012402332988</v>
      </c>
      <c r="AW287" s="19">
        <f t="shared" si="122"/>
        <v>-0.27829313543599254</v>
      </c>
      <c r="AX287">
        <f t="shared" si="132"/>
        <v>0</v>
      </c>
      <c r="AY287">
        <f>IF(W287,SUMPRODUCT(INDEX(AX:AX,X287):INDEX(AX:AX,X287+Y287)),0)</f>
        <v>49</v>
      </c>
      <c r="AZ287">
        <f>IF(V287,COUNT(INDEX(AX:AX,X287):INDEX(AX:AX,ROW())),0)</f>
        <v>252</v>
      </c>
      <c r="BA287" s="14">
        <f t="shared" si="144"/>
        <v>0.19444444444444445</v>
      </c>
      <c r="BB287" s="6">
        <f t="shared" si="133"/>
        <v>5653726</v>
      </c>
      <c r="BC287" s="6">
        <f>MEDIAN(INDEX(BB:BB,X287):INDEX(BB:BB,X287+Y287-1))</f>
        <v>974705</v>
      </c>
      <c r="BD287" s="25">
        <f t="shared" si="134"/>
        <v>974705</v>
      </c>
      <c r="BE287">
        <f t="shared" si="145"/>
        <v>0</v>
      </c>
      <c r="BF287" s="6">
        <f>SUM(INDEX(BE:BE,X287):INDEX(BE:BE,X287+Y287-1))</f>
        <v>11</v>
      </c>
      <c r="BG287" s="25">
        <f t="shared" si="135"/>
        <v>11</v>
      </c>
    </row>
    <row r="288" spans="1:59" x14ac:dyDescent="0.3">
      <c r="A288" s="1">
        <v>44323</v>
      </c>
      <c r="B288">
        <v>7.9</v>
      </c>
      <c r="C288">
        <v>8.39</v>
      </c>
      <c r="D288">
        <v>7.71</v>
      </c>
      <c r="E288">
        <v>8.2899999999999991</v>
      </c>
      <c r="F288">
        <v>786600</v>
      </c>
      <c r="G288" s="29">
        <v>0.92907875935314599</v>
      </c>
      <c r="H288" s="29">
        <v>0.11207222670122299</v>
      </c>
      <c r="I288" s="29">
        <v>8.2026537997587495E-2</v>
      </c>
      <c r="J288" s="29">
        <v>40.238538300679203</v>
      </c>
      <c r="K288" s="29">
        <v>-0.23098330241187301</v>
      </c>
      <c r="L288" s="29">
        <v>0.6</v>
      </c>
      <c r="M288" s="29">
        <v>-0.15080364963564799</v>
      </c>
      <c r="N288" s="29">
        <v>3.1234148321571999</v>
      </c>
      <c r="O288" s="29">
        <v>-0.17100000000000001</v>
      </c>
      <c r="P288" s="29">
        <v>6.5552699228791506E-2</v>
      </c>
      <c r="Q288" s="29">
        <v>0.19047619047618999</v>
      </c>
      <c r="R288" s="30">
        <v>1014541</v>
      </c>
      <c r="S288" s="29">
        <v>11</v>
      </c>
      <c r="T288" s="14">
        <v>395.33</v>
      </c>
      <c r="U288" s="41"/>
      <c r="V288">
        <v>278</v>
      </c>
      <c r="W288" t="b">
        <f>V288&gt;=$C$4</f>
        <v>1</v>
      </c>
      <c r="X288">
        <f>IF(V288&lt;=$C$5,11,ROW()-$C$5+1)</f>
        <v>37</v>
      </c>
      <c r="Y288" s="14">
        <f t="shared" si="128"/>
        <v>252</v>
      </c>
      <c r="Z288" s="10">
        <f t="shared" si="136"/>
        <v>0.6800000000000006</v>
      </c>
      <c r="AA288" s="15">
        <f t="shared" si="137"/>
        <v>8.2026537997587537E-2</v>
      </c>
      <c r="AB288" s="15">
        <f t="shared" si="138"/>
        <v>0.92907875935314566</v>
      </c>
      <c r="AC288" s="10">
        <f t="shared" si="129"/>
        <v>0.11207222670122385</v>
      </c>
      <c r="AD288">
        <f t="shared" si="139"/>
        <v>0.5099999999999989</v>
      </c>
      <c r="AE288">
        <f t="shared" si="146"/>
        <v>0.5099999999999989</v>
      </c>
      <c r="AF288">
        <f t="shared" si="147"/>
        <v>0</v>
      </c>
      <c r="AG288">
        <f t="shared" si="152"/>
        <v>0.17165981506937483</v>
      </c>
      <c r="AH288">
        <f t="shared" si="152"/>
        <v>0.25494567909766713</v>
      </c>
      <c r="AI288">
        <f t="shared" si="140"/>
        <v>0.67331917793991591</v>
      </c>
      <c r="AJ288">
        <f t="shared" si="148"/>
        <v>40.238538278684146</v>
      </c>
      <c r="AK288" s="14">
        <f t="shared" si="130"/>
        <v>40.238538278684146</v>
      </c>
      <c r="AM288">
        <f t="shared" ref="AM288:AM310" si="153">E288/E267-1</f>
        <v>-0.23098330241187393</v>
      </c>
      <c r="AN288" s="14">
        <f t="shared" si="141"/>
        <v>6.5552699228791589E-2</v>
      </c>
      <c r="AO288">
        <f t="shared" si="150"/>
        <v>1</v>
      </c>
      <c r="AP288" s="14">
        <f t="shared" si="151"/>
        <v>0.6</v>
      </c>
      <c r="AQ288">
        <f t="shared" si="142"/>
        <v>7.2794816458709999E-3</v>
      </c>
      <c r="AR288">
        <f t="shared" si="143"/>
        <v>5.8273217582920506E-2</v>
      </c>
      <c r="AS288">
        <f t="shared" si="125"/>
        <v>-9.70885343537649E-3</v>
      </c>
      <c r="AT288">
        <f t="shared" si="126"/>
        <v>6.4380759078667471E-2</v>
      </c>
      <c r="AU288" s="14">
        <f t="shared" si="131"/>
        <v>-0.15080364963564888</v>
      </c>
      <c r="AV288" s="19">
        <f t="shared" si="127"/>
        <v>3.1234148321572905</v>
      </c>
      <c r="AW288" s="19">
        <f t="shared" ref="AW288:AW310" si="154">(E288/MAX(E268:E288)-1)</f>
        <v>-0.17100000000000004</v>
      </c>
      <c r="AX288">
        <f t="shared" si="132"/>
        <v>0</v>
      </c>
      <c r="AY288">
        <f>IF(W288,SUMPRODUCT(INDEX(AX:AX,X288):INDEX(AX:AX,X288+Y288)),0)</f>
        <v>48</v>
      </c>
      <c r="AZ288">
        <f>IF(V288,COUNT(INDEX(AX:AX,X288):INDEX(AX:AX,ROW())),0)</f>
        <v>252</v>
      </c>
      <c r="BA288" s="14">
        <f t="shared" si="144"/>
        <v>0.19047619047619047</v>
      </c>
      <c r="BB288" s="6">
        <f t="shared" si="133"/>
        <v>6520913.9999999991</v>
      </c>
      <c r="BC288" s="6">
        <f>MEDIAN(INDEX(BB:BB,X288):INDEX(BB:BB,X288+Y288-1))</f>
        <v>1014541</v>
      </c>
      <c r="BD288" s="25">
        <f t="shared" si="134"/>
        <v>1014541</v>
      </c>
      <c r="BE288">
        <f t="shared" si="145"/>
        <v>0</v>
      </c>
      <c r="BF288" s="6">
        <f>SUM(INDEX(BE:BE,X288):INDEX(BE:BE,X288+Y288-1))</f>
        <v>11</v>
      </c>
      <c r="BG288" s="25">
        <f t="shared" si="135"/>
        <v>11</v>
      </c>
    </row>
    <row r="289" spans="1:59" x14ac:dyDescent="0.3">
      <c r="A289" s="1">
        <v>44326</v>
      </c>
      <c r="B289">
        <v>8.25</v>
      </c>
      <c r="C289">
        <v>8.26</v>
      </c>
      <c r="D289">
        <v>7.58</v>
      </c>
      <c r="E289">
        <v>7.72</v>
      </c>
      <c r="F289">
        <v>779100</v>
      </c>
      <c r="G289" s="29">
        <v>0.91343027654220699</v>
      </c>
      <c r="H289" s="29">
        <v>0.118319984008057</v>
      </c>
      <c r="I289" s="29">
        <v>9.19689119170983E-2</v>
      </c>
      <c r="J289" s="29">
        <v>36.488301376738299</v>
      </c>
      <c r="K289" s="29">
        <v>-0.22799999999999901</v>
      </c>
      <c r="L289" s="29">
        <v>0.6</v>
      </c>
      <c r="M289" s="29">
        <v>-0.213294557617315</v>
      </c>
      <c r="N289" s="29">
        <v>2.9814187654803299</v>
      </c>
      <c r="O289" s="29">
        <v>-0.203302373581011</v>
      </c>
      <c r="P289" s="29">
        <v>-6.8757539203859894E-2</v>
      </c>
      <c r="Q289" s="29">
        <v>0.18650793650793601</v>
      </c>
      <c r="R289" s="30">
        <v>1040740</v>
      </c>
      <c r="S289" s="29">
        <v>11</v>
      </c>
      <c r="T289" s="14">
        <v>391.41500000000002</v>
      </c>
      <c r="U289" s="41"/>
      <c r="V289">
        <v>279</v>
      </c>
      <c r="W289" t="b">
        <f>V289&gt;=$C$4</f>
        <v>1</v>
      </c>
      <c r="X289">
        <f>IF(V289&lt;=$C$5,11,ROW()-$C$5+1)</f>
        <v>38</v>
      </c>
      <c r="Y289" s="14">
        <f t="shared" si="128"/>
        <v>252</v>
      </c>
      <c r="Z289" s="10">
        <f t="shared" si="136"/>
        <v>0.70999999999999908</v>
      </c>
      <c r="AA289" s="15">
        <f t="shared" si="137"/>
        <v>9.1968911917098328E-2</v>
      </c>
      <c r="AB289" s="15">
        <f t="shared" si="138"/>
        <v>0.91343027654220665</v>
      </c>
      <c r="AC289" s="10">
        <f t="shared" si="129"/>
        <v>0.11831998400805786</v>
      </c>
      <c r="AD289">
        <f t="shared" si="139"/>
        <v>-0.5699999999999994</v>
      </c>
      <c r="AE289">
        <f t="shared" si="146"/>
        <v>0</v>
      </c>
      <c r="AF289">
        <f t="shared" si="147"/>
        <v>0.5699999999999994</v>
      </c>
      <c r="AG289">
        <f t="shared" si="152"/>
        <v>0.15939839970727662</v>
      </c>
      <c r="AH289">
        <f t="shared" si="152"/>
        <v>0.27744955916211944</v>
      </c>
      <c r="AI289">
        <f t="shared" si="140"/>
        <v>0.57451307613769498</v>
      </c>
      <c r="AJ289">
        <f t="shared" si="148"/>
        <v>36.48830135771145</v>
      </c>
      <c r="AK289" s="14">
        <f t="shared" si="130"/>
        <v>36.48830135771145</v>
      </c>
      <c r="AM289">
        <f t="shared" si="153"/>
        <v>-0.22799999999999998</v>
      </c>
      <c r="AN289" s="14">
        <f t="shared" si="141"/>
        <v>-6.8757539203859963E-2</v>
      </c>
      <c r="AO289">
        <f t="shared" si="150"/>
        <v>0</v>
      </c>
      <c r="AP289" s="14">
        <f t="shared" si="151"/>
        <v>0.6</v>
      </c>
      <c r="AQ289">
        <f t="shared" si="142"/>
        <v>-9.9031189133128583E-3</v>
      </c>
      <c r="AR289">
        <f t="shared" si="143"/>
        <v>-5.8854420290547035E-2</v>
      </c>
      <c r="AS289">
        <f t="shared" si="125"/>
        <v>-1.3060176409699115E-2</v>
      </c>
      <c r="AT289">
        <f t="shared" si="126"/>
        <v>6.1230706285207361E-2</v>
      </c>
      <c r="AU289" s="14">
        <f t="shared" si="131"/>
        <v>-0.213294557617316</v>
      </c>
      <c r="AV289" s="19">
        <f t="shared" si="127"/>
        <v>2.9814187654804138</v>
      </c>
      <c r="AW289" s="19">
        <f t="shared" si="154"/>
        <v>-0.20330237358101133</v>
      </c>
      <c r="AX289">
        <f t="shared" si="132"/>
        <v>0</v>
      </c>
      <c r="AY289">
        <f>IF(W289,SUMPRODUCT(INDEX(AX:AX,X289):INDEX(AX:AX,X289+Y289)),0)</f>
        <v>47</v>
      </c>
      <c r="AZ289">
        <f>IF(V289,COUNT(INDEX(AX:AX,X289):INDEX(AX:AX,ROW())),0)</f>
        <v>252</v>
      </c>
      <c r="BA289" s="14">
        <f t="shared" si="144"/>
        <v>0.18650793650793651</v>
      </c>
      <c r="BB289" s="6">
        <f t="shared" si="133"/>
        <v>6014652</v>
      </c>
      <c r="BC289" s="6">
        <f>MEDIAN(INDEX(BB:BB,X289):INDEX(BB:BB,X289+Y289-1))</f>
        <v>1040740</v>
      </c>
      <c r="BD289" s="25">
        <f t="shared" si="134"/>
        <v>1040740</v>
      </c>
      <c r="BE289">
        <f t="shared" si="145"/>
        <v>0</v>
      </c>
      <c r="BF289" s="6">
        <f>SUM(INDEX(BE:BE,X289):INDEX(BE:BE,X289+Y289-1))</f>
        <v>11</v>
      </c>
      <c r="BG289" s="25">
        <f t="shared" si="135"/>
        <v>11</v>
      </c>
    </row>
    <row r="290" spans="1:59" x14ac:dyDescent="0.3">
      <c r="A290" s="1">
        <v>44327</v>
      </c>
      <c r="B290">
        <v>7.15</v>
      </c>
      <c r="C290">
        <v>7.96</v>
      </c>
      <c r="D290">
        <v>7.05</v>
      </c>
      <c r="E290">
        <v>7.67</v>
      </c>
      <c r="F290">
        <v>1050100</v>
      </c>
      <c r="G290" s="29">
        <v>0.91318525678919205</v>
      </c>
      <c r="H290" s="29">
        <v>0.119059355513584</v>
      </c>
      <c r="I290" s="29">
        <v>0.11864406779661001</v>
      </c>
      <c r="J290" s="29">
        <v>36.169850059453701</v>
      </c>
      <c r="K290" s="29">
        <v>-0.20846233230134101</v>
      </c>
      <c r="L290" s="29">
        <v>0.4</v>
      </c>
      <c r="M290" s="29">
        <v>-0.30144518509156398</v>
      </c>
      <c r="N290" s="29">
        <v>2.9883776553511998</v>
      </c>
      <c r="O290" s="29">
        <v>-0.19601677148846899</v>
      </c>
      <c r="P290" s="29">
        <v>-6.4766839378238503E-3</v>
      </c>
      <c r="Q290" s="29">
        <v>0.182539682539682</v>
      </c>
      <c r="R290" s="30">
        <v>1067619</v>
      </c>
      <c r="S290" s="29">
        <v>11</v>
      </c>
      <c r="T290" s="14">
        <v>387.92200000000003</v>
      </c>
      <c r="U290" s="41"/>
      <c r="V290">
        <v>280</v>
      </c>
      <c r="W290" t="b">
        <f>V290&gt;=$C$4</f>
        <v>1</v>
      </c>
      <c r="X290">
        <f>IF(V290&lt;=$C$5,11,ROW()-$C$5+1)</f>
        <v>39</v>
      </c>
      <c r="Y290" s="14">
        <f t="shared" si="128"/>
        <v>252</v>
      </c>
      <c r="Z290" s="10">
        <f t="shared" si="136"/>
        <v>0.91000000000000014</v>
      </c>
      <c r="AA290" s="15">
        <f t="shared" si="137"/>
        <v>0.11864406779661019</v>
      </c>
      <c r="AB290" s="15">
        <f t="shared" si="138"/>
        <v>0.91318525678919193</v>
      </c>
      <c r="AC290" s="10">
        <f t="shared" si="129"/>
        <v>0.11905935551358435</v>
      </c>
      <c r="AD290">
        <f t="shared" si="139"/>
        <v>-4.9999999999999822E-2</v>
      </c>
      <c r="AE290">
        <f t="shared" si="146"/>
        <v>0</v>
      </c>
      <c r="AF290">
        <f t="shared" si="147"/>
        <v>4.9999999999999822E-2</v>
      </c>
      <c r="AG290">
        <f t="shared" si="152"/>
        <v>0.14801279972818543</v>
      </c>
      <c r="AH290">
        <f t="shared" si="152"/>
        <v>0.26120316207911093</v>
      </c>
      <c r="AI290">
        <f t="shared" si="140"/>
        <v>0.56665776382659794</v>
      </c>
      <c r="AJ290">
        <f t="shared" si="148"/>
        <v>36.169850040670219</v>
      </c>
      <c r="AK290" s="14">
        <f t="shared" si="130"/>
        <v>36.169850040670219</v>
      </c>
      <c r="AM290">
        <f t="shared" si="153"/>
        <v>-0.20846233230134159</v>
      </c>
      <c r="AN290" s="14">
        <f t="shared" si="141"/>
        <v>-6.4766839378238572E-3</v>
      </c>
      <c r="AO290">
        <f t="shared" si="150"/>
        <v>0</v>
      </c>
      <c r="AP290" s="14">
        <f t="shared" si="151"/>
        <v>0.4</v>
      </c>
      <c r="AQ290">
        <f t="shared" si="142"/>
        <v>-8.9240320376071658E-3</v>
      </c>
      <c r="AR290">
        <f t="shared" si="143"/>
        <v>2.4473480997833155E-3</v>
      </c>
      <c r="AS290">
        <f t="shared" si="125"/>
        <v>-1.6349806007564655E-2</v>
      </c>
      <c r="AT290">
        <f t="shared" si="126"/>
        <v>5.4238073176051366E-2</v>
      </c>
      <c r="AU290" s="14">
        <f t="shared" si="131"/>
        <v>-0.30144518509156509</v>
      </c>
      <c r="AV290" s="19">
        <f t="shared" si="127"/>
        <v>2.9883776553512806</v>
      </c>
      <c r="AW290" s="19">
        <f t="shared" si="154"/>
        <v>-0.19601677148846952</v>
      </c>
      <c r="AX290">
        <f t="shared" si="132"/>
        <v>0</v>
      </c>
      <c r="AY290">
        <f>IF(W290,SUMPRODUCT(INDEX(AX:AX,X290):INDEX(AX:AX,X290+Y290)),0)</f>
        <v>46</v>
      </c>
      <c r="AZ290">
        <f>IF(V290,COUNT(INDEX(AX:AX,X290):INDEX(AX:AX,ROW())),0)</f>
        <v>252</v>
      </c>
      <c r="BA290" s="14">
        <f t="shared" si="144"/>
        <v>0.18253968253968253</v>
      </c>
      <c r="BB290" s="6">
        <f t="shared" si="133"/>
        <v>8054267</v>
      </c>
      <c r="BC290" s="6">
        <f>MEDIAN(INDEX(BB:BB,X290):INDEX(BB:BB,X290+Y290-1))</f>
        <v>1067619</v>
      </c>
      <c r="BD290" s="25">
        <f t="shared" si="134"/>
        <v>1067619</v>
      </c>
      <c r="BE290">
        <f t="shared" si="145"/>
        <v>0</v>
      </c>
      <c r="BF290" s="6">
        <f>SUM(INDEX(BE:BE,X290):INDEX(BE:BE,X290+Y290-1))</f>
        <v>11</v>
      </c>
      <c r="BG290" s="25">
        <f t="shared" si="135"/>
        <v>11</v>
      </c>
    </row>
    <row r="291" spans="1:59" x14ac:dyDescent="0.3">
      <c r="A291" s="1">
        <v>44328</v>
      </c>
      <c r="B291">
        <v>7.69</v>
      </c>
      <c r="C291">
        <v>7.85</v>
      </c>
      <c r="D291">
        <v>7.3</v>
      </c>
      <c r="E291">
        <v>7.35</v>
      </c>
      <c r="F291">
        <v>426500</v>
      </c>
      <c r="G291" s="29">
        <v>0.88724345273282101</v>
      </c>
      <c r="H291" s="29">
        <v>0.120713394929635</v>
      </c>
      <c r="I291" s="29">
        <v>7.4829931972789102E-2</v>
      </c>
      <c r="J291" s="29">
        <v>34.117589939848102</v>
      </c>
      <c r="K291" s="29">
        <v>-0.16095890410958899</v>
      </c>
      <c r="L291" s="29">
        <v>0.4</v>
      </c>
      <c r="M291" s="29">
        <v>-0.292824140612649</v>
      </c>
      <c r="N291" s="29">
        <v>2.8047514385948098</v>
      </c>
      <c r="O291" s="29">
        <v>-0.22955974842767199</v>
      </c>
      <c r="P291" s="29">
        <v>-4.1720990873533301E-2</v>
      </c>
      <c r="Q291" s="29">
        <v>0.17857142857142799</v>
      </c>
      <c r="R291" s="30">
        <v>1108399</v>
      </c>
      <c r="S291" s="29">
        <v>11</v>
      </c>
      <c r="T291" s="14">
        <v>379.68</v>
      </c>
      <c r="U291" s="41"/>
      <c r="V291">
        <v>281</v>
      </c>
      <c r="W291" t="b">
        <f>V291&gt;=$C$4</f>
        <v>1</v>
      </c>
      <c r="X291">
        <f>IF(V291&lt;=$C$5,11,ROW()-$C$5+1)</f>
        <v>40</v>
      </c>
      <c r="Y291" s="14">
        <f t="shared" si="128"/>
        <v>252</v>
      </c>
      <c r="Z291" s="10">
        <f t="shared" si="136"/>
        <v>0.54999999999999982</v>
      </c>
      <c r="AA291" s="15">
        <f t="shared" si="137"/>
        <v>7.4829931972789102E-2</v>
      </c>
      <c r="AB291" s="15">
        <f t="shared" si="138"/>
        <v>0.88724345273282113</v>
      </c>
      <c r="AC291" s="10">
        <f t="shared" si="129"/>
        <v>0.12071339492963554</v>
      </c>
      <c r="AD291">
        <f t="shared" si="139"/>
        <v>-0.32000000000000028</v>
      </c>
      <c r="AE291">
        <f t="shared" si="146"/>
        <v>0</v>
      </c>
      <c r="AF291">
        <f t="shared" si="147"/>
        <v>0.32000000000000028</v>
      </c>
      <c r="AG291">
        <f t="shared" si="152"/>
        <v>0.13744045689045789</v>
      </c>
      <c r="AH291">
        <f t="shared" si="152"/>
        <v>0.26540293621631733</v>
      </c>
      <c r="AI291">
        <f t="shared" si="140"/>
        <v>0.51785582650237416</v>
      </c>
      <c r="AJ291">
        <f t="shared" si="148"/>
        <v>34.117589922600203</v>
      </c>
      <c r="AK291" s="14">
        <f t="shared" si="130"/>
        <v>34.117589922600203</v>
      </c>
      <c r="AM291">
        <f t="shared" si="153"/>
        <v>-0.16095890410958902</v>
      </c>
      <c r="AN291" s="14">
        <f t="shared" si="141"/>
        <v>-4.1720990873533315E-2</v>
      </c>
      <c r="AO291">
        <f t="shared" si="150"/>
        <v>0</v>
      </c>
      <c r="AP291" s="14">
        <f t="shared" si="151"/>
        <v>0.4</v>
      </c>
      <c r="AQ291">
        <f t="shared" si="142"/>
        <v>-2.1246539252736452E-2</v>
      </c>
      <c r="AR291">
        <f t="shared" si="143"/>
        <v>-2.0474451620796849E-2</v>
      </c>
      <c r="AS291">
        <f t="shared" si="125"/>
        <v>-1.5821055151216269E-2</v>
      </c>
      <c r="AT291">
        <f t="shared" si="126"/>
        <v>5.4029203733392012E-2</v>
      </c>
      <c r="AU291" s="14">
        <f t="shared" si="131"/>
        <v>-0.2928241406126495</v>
      </c>
      <c r="AV291" s="19">
        <f t="shared" si="127"/>
        <v>2.8047514385948782</v>
      </c>
      <c r="AW291" s="19">
        <f t="shared" si="154"/>
        <v>-0.22955974842767291</v>
      </c>
      <c r="AX291">
        <f t="shared" si="132"/>
        <v>0</v>
      </c>
      <c r="AY291">
        <f>IF(W291,SUMPRODUCT(INDEX(AX:AX,X291):INDEX(AX:AX,X291+Y291)),0)</f>
        <v>45</v>
      </c>
      <c r="AZ291">
        <f>IF(V291,COUNT(INDEX(AX:AX,X291):INDEX(AX:AX,ROW())),0)</f>
        <v>252</v>
      </c>
      <c r="BA291" s="14">
        <f t="shared" si="144"/>
        <v>0.17857142857142858</v>
      </c>
      <c r="BB291" s="6">
        <f t="shared" si="133"/>
        <v>3134775</v>
      </c>
      <c r="BC291" s="6">
        <f>MEDIAN(INDEX(BB:BB,X291):INDEX(BB:BB,X291+Y291-1))</f>
        <v>1108399</v>
      </c>
      <c r="BD291" s="25">
        <f t="shared" si="134"/>
        <v>1108399</v>
      </c>
      <c r="BE291">
        <f t="shared" si="145"/>
        <v>0</v>
      </c>
      <c r="BF291" s="6">
        <f>SUM(INDEX(BE:BE,X291):INDEX(BE:BE,X291+Y291-1))</f>
        <v>11</v>
      </c>
      <c r="BG291" s="25">
        <f t="shared" si="135"/>
        <v>11</v>
      </c>
    </row>
    <row r="292" spans="1:59" x14ac:dyDescent="0.3">
      <c r="A292" s="1">
        <v>44329</v>
      </c>
      <c r="B292">
        <v>7.45</v>
      </c>
      <c r="C292">
        <v>7.73</v>
      </c>
      <c r="D292">
        <v>7.13</v>
      </c>
      <c r="E292">
        <v>7.35</v>
      </c>
      <c r="F292">
        <v>793900</v>
      </c>
      <c r="G292" s="29">
        <v>0.86672606325190604</v>
      </c>
      <c r="H292" s="29">
        <v>0.117921913367606</v>
      </c>
      <c r="I292" s="29">
        <v>8.1632653061224497E-2</v>
      </c>
      <c r="J292" s="29">
        <v>34.117589939848102</v>
      </c>
      <c r="K292" s="29">
        <v>-0.13833528722157001</v>
      </c>
      <c r="L292" s="29">
        <v>0.2</v>
      </c>
      <c r="M292" s="29">
        <v>-0.29063170839037</v>
      </c>
      <c r="N292" s="29">
        <v>2.7695472270697201</v>
      </c>
      <c r="O292" s="29">
        <v>-0.22955974842767199</v>
      </c>
      <c r="P292" s="29">
        <v>0</v>
      </c>
      <c r="Q292" s="29">
        <v>0.17460317460317401</v>
      </c>
      <c r="R292" s="30">
        <v>1146851.5</v>
      </c>
      <c r="S292" s="29">
        <v>11</v>
      </c>
      <c r="T292" s="14">
        <v>384.24099999999999</v>
      </c>
      <c r="U292" s="41"/>
      <c r="V292">
        <v>282</v>
      </c>
      <c r="W292" t="b">
        <f>V292&gt;=$C$4</f>
        <v>1</v>
      </c>
      <c r="X292">
        <f>IF(V292&lt;=$C$5,11,ROW()-$C$5+1)</f>
        <v>41</v>
      </c>
      <c r="Y292" s="14">
        <f t="shared" si="128"/>
        <v>252</v>
      </c>
      <c r="Z292" s="10">
        <f t="shared" si="136"/>
        <v>0.60000000000000053</v>
      </c>
      <c r="AA292" s="15">
        <f t="shared" si="137"/>
        <v>8.1632653061224567E-2</v>
      </c>
      <c r="AB292" s="15">
        <f t="shared" si="138"/>
        <v>0.86672606325190549</v>
      </c>
      <c r="AC292" s="10">
        <f t="shared" si="129"/>
        <v>0.1179219133676062</v>
      </c>
      <c r="AD292">
        <f t="shared" si="139"/>
        <v>0</v>
      </c>
      <c r="AE292">
        <f t="shared" si="146"/>
        <v>0</v>
      </c>
      <c r="AF292">
        <f t="shared" si="147"/>
        <v>0</v>
      </c>
      <c r="AG292">
        <f t="shared" si="152"/>
        <v>0.12762328139828233</v>
      </c>
      <c r="AH292">
        <f t="shared" si="152"/>
        <v>0.24644558362943753</v>
      </c>
      <c r="AI292">
        <f t="shared" si="140"/>
        <v>0.51785582650237416</v>
      </c>
      <c r="AJ292">
        <f t="shared" si="148"/>
        <v>34.117589922600203</v>
      </c>
      <c r="AK292" s="14">
        <f t="shared" si="130"/>
        <v>34.117589922600203</v>
      </c>
      <c r="AM292">
        <f t="shared" si="153"/>
        <v>-0.13833528722157096</v>
      </c>
      <c r="AN292" s="14">
        <f t="shared" si="141"/>
        <v>0</v>
      </c>
      <c r="AO292">
        <f t="shared" si="150"/>
        <v>0</v>
      </c>
      <c r="AP292" s="14">
        <f t="shared" si="151"/>
        <v>0.2</v>
      </c>
      <c r="AQ292">
        <f t="shared" si="142"/>
        <v>1.2012747576906735E-2</v>
      </c>
      <c r="AR292">
        <f t="shared" si="143"/>
        <v>-1.2012747576906735E-2</v>
      </c>
      <c r="AS292">
        <f t="shared" si="125"/>
        <v>-1.570261150914563E-2</v>
      </c>
      <c r="AT292">
        <f t="shared" si="126"/>
        <v>5.4029244077023413E-2</v>
      </c>
      <c r="AU292" s="14">
        <f t="shared" si="131"/>
        <v>-0.29063170839037067</v>
      </c>
      <c r="AV292" s="19">
        <f t="shared" si="127"/>
        <v>2.7695472270697845</v>
      </c>
      <c r="AW292" s="19">
        <f t="shared" si="154"/>
        <v>-0.22955974842767291</v>
      </c>
      <c r="AX292">
        <f t="shared" si="132"/>
        <v>0</v>
      </c>
      <c r="AY292">
        <f>IF(W292,SUMPRODUCT(INDEX(AX:AX,X292):INDEX(AX:AX,X292+Y292)),0)</f>
        <v>44</v>
      </c>
      <c r="AZ292">
        <f>IF(V292,COUNT(INDEX(AX:AX,X292):INDEX(AX:AX,ROW())),0)</f>
        <v>252</v>
      </c>
      <c r="BA292" s="14">
        <f t="shared" si="144"/>
        <v>0.17460317460317459</v>
      </c>
      <c r="BB292" s="6">
        <f t="shared" si="133"/>
        <v>5835165</v>
      </c>
      <c r="BC292" s="6">
        <f>MEDIAN(INDEX(BB:BB,X292):INDEX(BB:BB,X292+Y292-1))</f>
        <v>1146851.5</v>
      </c>
      <c r="BD292" s="25">
        <f t="shared" si="134"/>
        <v>1146851.5</v>
      </c>
      <c r="BE292">
        <f t="shared" si="145"/>
        <v>0</v>
      </c>
      <c r="BF292" s="6">
        <f>SUM(INDEX(BE:BE,X292):INDEX(BE:BE,X292+Y292-1))</f>
        <v>11</v>
      </c>
      <c r="BG292" s="25">
        <f t="shared" si="135"/>
        <v>11</v>
      </c>
    </row>
    <row r="293" spans="1:59" x14ac:dyDescent="0.3">
      <c r="A293" s="1">
        <v>44330</v>
      </c>
      <c r="B293">
        <v>7.43</v>
      </c>
      <c r="C293">
        <v>7.69</v>
      </c>
      <c r="D293">
        <v>7.25</v>
      </c>
      <c r="E293">
        <v>7.48</v>
      </c>
      <c r="F293">
        <v>484400</v>
      </c>
      <c r="G293" s="29">
        <v>0.83624563016248399</v>
      </c>
      <c r="H293" s="29">
        <v>0.111797544139369</v>
      </c>
      <c r="I293" s="29">
        <v>5.8823529411764698E-2</v>
      </c>
      <c r="J293" s="29">
        <v>35.832970072785699</v>
      </c>
      <c r="K293" s="29">
        <v>-0.11479289940828299</v>
      </c>
      <c r="L293" s="29">
        <v>0.2</v>
      </c>
      <c r="M293" s="29">
        <v>-0.27724864030045199</v>
      </c>
      <c r="N293" s="29">
        <v>2.77560193260322</v>
      </c>
      <c r="O293" s="29">
        <v>-0.215932914046121</v>
      </c>
      <c r="P293" s="29">
        <v>1.7687074829931999E-2</v>
      </c>
      <c r="Q293" s="29">
        <v>0.17063492063492</v>
      </c>
      <c r="R293" s="30">
        <v>1163871.5</v>
      </c>
      <c r="S293" s="29">
        <v>11</v>
      </c>
      <c r="T293" s="14">
        <v>390.14100000000002</v>
      </c>
      <c r="U293" s="41"/>
      <c r="V293">
        <v>283</v>
      </c>
      <c r="W293" t="b">
        <f>V293&gt;=$C$4</f>
        <v>1</v>
      </c>
      <c r="X293">
        <f>IF(V293&lt;=$C$5,11,ROW()-$C$5+1)</f>
        <v>42</v>
      </c>
      <c r="Y293" s="14">
        <f t="shared" si="128"/>
        <v>252</v>
      </c>
      <c r="Z293" s="10">
        <f t="shared" si="136"/>
        <v>0.44000000000000039</v>
      </c>
      <c r="AA293" s="15">
        <f t="shared" si="137"/>
        <v>5.8823529411764754E-2</v>
      </c>
      <c r="AB293" s="15">
        <f t="shared" si="138"/>
        <v>0.83624563016248366</v>
      </c>
      <c r="AC293" s="10">
        <f t="shared" si="129"/>
        <v>0.11179754413936947</v>
      </c>
      <c r="AD293">
        <f t="shared" si="139"/>
        <v>0.13000000000000078</v>
      </c>
      <c r="AE293">
        <f t="shared" si="146"/>
        <v>0.13000000000000078</v>
      </c>
      <c r="AF293">
        <f t="shared" si="147"/>
        <v>0</v>
      </c>
      <c r="AG293">
        <f t="shared" si="152"/>
        <v>0.12779304701269079</v>
      </c>
      <c r="AH293">
        <f t="shared" si="152"/>
        <v>0.22884232765590626</v>
      </c>
      <c r="AI293">
        <f t="shared" si="140"/>
        <v>0.55843273541966409</v>
      </c>
      <c r="AJ293">
        <f t="shared" si="148"/>
        <v>35.832970055604349</v>
      </c>
      <c r="AK293" s="14">
        <f t="shared" si="130"/>
        <v>35.832970055604349</v>
      </c>
      <c r="AM293">
        <f t="shared" si="153"/>
        <v>-0.11479289940828385</v>
      </c>
      <c r="AN293" s="14">
        <f t="shared" si="141"/>
        <v>1.7687074829932037E-2</v>
      </c>
      <c r="AO293">
        <f t="shared" si="150"/>
        <v>1</v>
      </c>
      <c r="AP293" s="14">
        <f t="shared" si="151"/>
        <v>0.2</v>
      </c>
      <c r="AQ293">
        <f t="shared" si="142"/>
        <v>1.535494650492808E-2</v>
      </c>
      <c r="AR293">
        <f t="shared" si="143"/>
        <v>2.3321283250039189E-3</v>
      </c>
      <c r="AS293">
        <f t="shared" si="125"/>
        <v>-1.4956848093569449E-2</v>
      </c>
      <c r="AT293">
        <f t="shared" si="126"/>
        <v>5.3947417297920033E-2</v>
      </c>
      <c r="AU293" s="14">
        <f t="shared" si="131"/>
        <v>-0.27724864030045265</v>
      </c>
      <c r="AV293" s="19">
        <f t="shared" si="127"/>
        <v>2.7756019326032866</v>
      </c>
      <c r="AW293" s="19">
        <f t="shared" si="154"/>
        <v>-0.21593291404612147</v>
      </c>
      <c r="AX293">
        <f t="shared" si="132"/>
        <v>0</v>
      </c>
      <c r="AY293">
        <f>IF(W293,SUMPRODUCT(INDEX(AX:AX,X293):INDEX(AX:AX,X293+Y293)),0)</f>
        <v>43</v>
      </c>
      <c r="AZ293">
        <f>IF(V293,COUNT(INDEX(AX:AX,X293):INDEX(AX:AX,ROW())),0)</f>
        <v>252</v>
      </c>
      <c r="BA293" s="14">
        <f t="shared" si="144"/>
        <v>0.17063492063492064</v>
      </c>
      <c r="BB293" s="6">
        <f t="shared" si="133"/>
        <v>3623312</v>
      </c>
      <c r="BC293" s="6">
        <f>MEDIAN(INDEX(BB:BB,X293):INDEX(BB:BB,X293+Y293-1))</f>
        <v>1163871.5</v>
      </c>
      <c r="BD293" s="25">
        <f t="shared" si="134"/>
        <v>1163871.5</v>
      </c>
      <c r="BE293">
        <f t="shared" si="145"/>
        <v>0</v>
      </c>
      <c r="BF293" s="6">
        <f>SUM(INDEX(BE:BE,X293):INDEX(BE:BE,X293+Y293-1))</f>
        <v>11</v>
      </c>
      <c r="BG293" s="25">
        <f t="shared" si="135"/>
        <v>11</v>
      </c>
    </row>
    <row r="294" spans="1:59" x14ac:dyDescent="0.3">
      <c r="A294" s="1">
        <v>44333</v>
      </c>
      <c r="B294">
        <v>7.35</v>
      </c>
      <c r="C294">
        <v>7.74</v>
      </c>
      <c r="D294">
        <v>7.08</v>
      </c>
      <c r="E294">
        <v>7.26</v>
      </c>
      <c r="F294">
        <v>875300</v>
      </c>
      <c r="G294" s="29">
        <v>0.82365665657944898</v>
      </c>
      <c r="H294" s="29">
        <v>0.113451330107362</v>
      </c>
      <c r="I294" s="29">
        <v>9.0909090909090898E-2</v>
      </c>
      <c r="J294" s="29">
        <v>34.209652205208698</v>
      </c>
      <c r="K294" s="29">
        <v>-7.0422535211267595E-2</v>
      </c>
      <c r="L294" s="29">
        <v>0.2</v>
      </c>
      <c r="M294" s="29">
        <v>-0.29329164628891202</v>
      </c>
      <c r="N294" s="29">
        <v>2.7940526593244099</v>
      </c>
      <c r="O294" s="29">
        <v>-0.23899371069182301</v>
      </c>
      <c r="P294" s="29">
        <v>-2.9411764705882401E-2</v>
      </c>
      <c r="Q294" s="29">
        <v>0.16666666666666599</v>
      </c>
      <c r="R294" s="30">
        <v>1208654</v>
      </c>
      <c r="S294" s="29">
        <v>10</v>
      </c>
      <c r="T294" s="14">
        <v>389.14800000000002</v>
      </c>
      <c r="U294" s="41"/>
      <c r="V294">
        <v>284</v>
      </c>
      <c r="W294" t="b">
        <f>V294&gt;=$C$4</f>
        <v>1</v>
      </c>
      <c r="X294">
        <f>IF(V294&lt;=$C$5,11,ROW()-$C$5+1)</f>
        <v>43</v>
      </c>
      <c r="Y294" s="14">
        <f t="shared" si="128"/>
        <v>252</v>
      </c>
      <c r="Z294" s="10">
        <f t="shared" si="136"/>
        <v>0.66000000000000014</v>
      </c>
      <c r="AA294" s="15">
        <f t="shared" si="137"/>
        <v>9.0909090909090925E-2</v>
      </c>
      <c r="AB294" s="15">
        <f t="shared" si="138"/>
        <v>0.82365665657944909</v>
      </c>
      <c r="AC294" s="10">
        <f t="shared" si="129"/>
        <v>0.11345133010736214</v>
      </c>
      <c r="AD294">
        <f t="shared" si="139"/>
        <v>-0.22000000000000064</v>
      </c>
      <c r="AE294">
        <f t="shared" si="146"/>
        <v>0</v>
      </c>
      <c r="AF294">
        <f t="shared" si="147"/>
        <v>0.22000000000000064</v>
      </c>
      <c r="AG294">
        <f t="shared" si="152"/>
        <v>0.11866497222607</v>
      </c>
      <c r="AH294">
        <f t="shared" si="152"/>
        <v>0.22821073282334156</v>
      </c>
      <c r="AI294">
        <f t="shared" si="140"/>
        <v>0.51997980444648417</v>
      </c>
      <c r="AJ294">
        <f t="shared" si="148"/>
        <v>34.209652189151299</v>
      </c>
      <c r="AK294" s="14">
        <f t="shared" si="130"/>
        <v>34.209652189151299</v>
      </c>
      <c r="AM294">
        <f t="shared" si="153"/>
        <v>-7.0422535211267623E-2</v>
      </c>
      <c r="AN294" s="14">
        <f t="shared" si="141"/>
        <v>-2.941176470588247E-2</v>
      </c>
      <c r="AO294">
        <f t="shared" si="150"/>
        <v>0</v>
      </c>
      <c r="AP294" s="14">
        <f t="shared" si="151"/>
        <v>0.2</v>
      </c>
      <c r="AQ294">
        <f t="shared" si="142"/>
        <v>-2.545233646297107E-3</v>
      </c>
      <c r="AR294">
        <f t="shared" si="143"/>
        <v>-2.6866531059585294E-2</v>
      </c>
      <c r="AS294">
        <f t="shared" si="125"/>
        <v>-1.5760835446553729E-2</v>
      </c>
      <c r="AT294">
        <f t="shared" si="126"/>
        <v>5.3737757777895266E-2</v>
      </c>
      <c r="AU294" s="14">
        <f t="shared" si="131"/>
        <v>-0.29329164628891274</v>
      </c>
      <c r="AV294" s="19">
        <f t="shared" si="127"/>
        <v>2.7940526593244703</v>
      </c>
      <c r="AW294" s="19">
        <f t="shared" si="154"/>
        <v>-0.23899371069182385</v>
      </c>
      <c r="AX294">
        <f t="shared" si="132"/>
        <v>0</v>
      </c>
      <c r="AY294">
        <f>IF(W294,SUMPRODUCT(INDEX(AX:AX,X294):INDEX(AX:AX,X294+Y294)),0)</f>
        <v>42</v>
      </c>
      <c r="AZ294">
        <f>IF(V294,COUNT(INDEX(AX:AX,X294):INDEX(AX:AX,ROW())),0)</f>
        <v>252</v>
      </c>
      <c r="BA294" s="14">
        <f t="shared" si="144"/>
        <v>0.16666666666666666</v>
      </c>
      <c r="BB294" s="6">
        <f t="shared" si="133"/>
        <v>6354678</v>
      </c>
      <c r="BC294" s="6">
        <f>MEDIAN(INDEX(BB:BB,X294):INDEX(BB:BB,X294+Y294-1))</f>
        <v>1208654</v>
      </c>
      <c r="BD294" s="25">
        <f t="shared" si="134"/>
        <v>1208654</v>
      </c>
      <c r="BE294">
        <f t="shared" si="145"/>
        <v>0</v>
      </c>
      <c r="BF294" s="6">
        <f>SUM(INDEX(BE:BE,X294):INDEX(BE:BE,X294+Y294-1))</f>
        <v>10</v>
      </c>
      <c r="BG294" s="25">
        <f t="shared" si="135"/>
        <v>10</v>
      </c>
    </row>
    <row r="295" spans="1:59" x14ac:dyDescent="0.3">
      <c r="A295" s="1">
        <v>44334</v>
      </c>
      <c r="B295">
        <v>7.33</v>
      </c>
      <c r="C295">
        <v>7.77</v>
      </c>
      <c r="D295">
        <v>7.17</v>
      </c>
      <c r="E295">
        <v>7.6</v>
      </c>
      <c r="F295">
        <v>3173200</v>
      </c>
      <c r="G295" s="29">
        <v>0.80768118110948794</v>
      </c>
      <c r="H295" s="29">
        <v>0.10627383961966901</v>
      </c>
      <c r="I295" s="29">
        <v>7.8947368421052502E-2</v>
      </c>
      <c r="J295" s="29">
        <v>38.822344763809902</v>
      </c>
      <c r="K295" s="29">
        <v>6.2937062937062901E-2</v>
      </c>
      <c r="L295" s="29">
        <v>0.4</v>
      </c>
      <c r="M295" s="29">
        <v>-0.25832329645345697</v>
      </c>
      <c r="N295" s="29">
        <v>2.6352821019825501</v>
      </c>
      <c r="O295" s="29">
        <v>-0.20335429769391999</v>
      </c>
      <c r="P295" s="29">
        <v>4.6831955922864897E-2</v>
      </c>
      <c r="Q295" s="29">
        <v>0.16269841269841201</v>
      </c>
      <c r="R295" s="30">
        <v>1257767</v>
      </c>
      <c r="S295" s="29">
        <v>9</v>
      </c>
      <c r="T295" s="14">
        <v>385.79599999999999</v>
      </c>
      <c r="U295" s="41"/>
      <c r="V295">
        <v>285</v>
      </c>
      <c r="W295" t="b">
        <f>V295&gt;=$C$4</f>
        <v>1</v>
      </c>
      <c r="X295">
        <f>IF(V295&lt;=$C$5,11,ROW()-$C$5+1)</f>
        <v>44</v>
      </c>
      <c r="Y295" s="14">
        <f t="shared" si="128"/>
        <v>252</v>
      </c>
      <c r="Z295" s="10">
        <f t="shared" si="136"/>
        <v>0.59999999999999964</v>
      </c>
      <c r="AA295" s="15">
        <f t="shared" si="137"/>
        <v>7.8947368421052586E-2</v>
      </c>
      <c r="AB295" s="15">
        <f t="shared" si="138"/>
        <v>0.8076811811094885</v>
      </c>
      <c r="AC295" s="10">
        <f t="shared" si="129"/>
        <v>0.10627383961966955</v>
      </c>
      <c r="AD295">
        <f t="shared" si="139"/>
        <v>0.33999999999999986</v>
      </c>
      <c r="AE295">
        <f t="shared" si="146"/>
        <v>0.33999999999999986</v>
      </c>
      <c r="AF295">
        <f t="shared" si="147"/>
        <v>0</v>
      </c>
      <c r="AG295">
        <f t="shared" si="152"/>
        <v>0.13447461706706501</v>
      </c>
      <c r="AH295">
        <f t="shared" si="152"/>
        <v>0.2119099661931029</v>
      </c>
      <c r="AI295">
        <f t="shared" si="140"/>
        <v>0.63458373139715885</v>
      </c>
      <c r="AJ295">
        <f t="shared" si="148"/>
        <v>38.822344747965225</v>
      </c>
      <c r="AK295" s="14">
        <f t="shared" si="130"/>
        <v>38.822344747965225</v>
      </c>
      <c r="AM295">
        <f t="shared" si="153"/>
        <v>6.2937062937062915E-2</v>
      </c>
      <c r="AN295" s="14">
        <f t="shared" si="141"/>
        <v>4.6831955922864932E-2</v>
      </c>
      <c r="AO295">
        <f t="shared" si="150"/>
        <v>1</v>
      </c>
      <c r="AP295" s="14">
        <f t="shared" si="151"/>
        <v>0.4</v>
      </c>
      <c r="AQ295">
        <f t="shared" si="142"/>
        <v>-8.6136893932386993E-3</v>
      </c>
      <c r="AR295">
        <f t="shared" si="143"/>
        <v>5.5445645316103596E-2</v>
      </c>
      <c r="AS295">
        <f t="shared" si="125"/>
        <v>-1.4011163429845881E-2</v>
      </c>
      <c r="AT295">
        <f t="shared" si="126"/>
        <v>5.4238868976225908E-2</v>
      </c>
      <c r="AU295" s="14">
        <f t="shared" si="131"/>
        <v>-0.2583232964534582</v>
      </c>
      <c r="AV295" s="19">
        <f t="shared" si="127"/>
        <v>2.6352821019826163</v>
      </c>
      <c r="AW295" s="19">
        <f t="shared" si="154"/>
        <v>-0.20335429769392033</v>
      </c>
      <c r="AX295">
        <f t="shared" si="132"/>
        <v>0</v>
      </c>
      <c r="AY295">
        <f>IF(W295,SUMPRODUCT(INDEX(AX:AX,X295):INDEX(AX:AX,X295+Y295)),0)</f>
        <v>41</v>
      </c>
      <c r="AZ295">
        <f>IF(V295,COUNT(INDEX(AX:AX,X295):INDEX(AX:AX,ROW())),0)</f>
        <v>252</v>
      </c>
      <c r="BA295" s="14">
        <f t="shared" si="144"/>
        <v>0.1626984126984127</v>
      </c>
      <c r="BB295" s="6">
        <f t="shared" si="133"/>
        <v>24116320</v>
      </c>
      <c r="BC295" s="6">
        <f>MEDIAN(INDEX(BB:BB,X295):INDEX(BB:BB,X295+Y295-1))</f>
        <v>1257767</v>
      </c>
      <c r="BD295" s="25">
        <f t="shared" si="134"/>
        <v>1257767</v>
      </c>
      <c r="BE295">
        <f t="shared" si="145"/>
        <v>0</v>
      </c>
      <c r="BF295" s="6">
        <f>SUM(INDEX(BE:BE,X295):INDEX(BE:BE,X295+Y295-1))</f>
        <v>9</v>
      </c>
      <c r="BG295" s="25">
        <f t="shared" si="135"/>
        <v>9</v>
      </c>
    </row>
    <row r="296" spans="1:59" x14ac:dyDescent="0.3">
      <c r="A296" s="1">
        <v>44335</v>
      </c>
      <c r="B296">
        <v>7.66</v>
      </c>
      <c r="C296">
        <v>7.87</v>
      </c>
      <c r="D296">
        <v>7.52</v>
      </c>
      <c r="E296">
        <v>7.6</v>
      </c>
      <c r="F296">
        <v>759500</v>
      </c>
      <c r="G296" s="29">
        <v>0.774989668173096</v>
      </c>
      <c r="H296" s="29">
        <v>0.101972324759618</v>
      </c>
      <c r="I296" s="29">
        <v>4.6052631578947401E-2</v>
      </c>
      <c r="J296" s="29">
        <v>38.822344763809902</v>
      </c>
      <c r="K296" s="29">
        <v>-5.1186017478152303E-2</v>
      </c>
      <c r="L296" s="29">
        <v>0.4</v>
      </c>
      <c r="M296" s="29">
        <v>-0.251700487851581</v>
      </c>
      <c r="N296" s="29">
        <v>2.6235866192095298</v>
      </c>
      <c r="O296" s="29">
        <v>-0.20335429769391999</v>
      </c>
      <c r="P296" s="29">
        <v>0</v>
      </c>
      <c r="Q296" s="29">
        <v>0.158730158730158</v>
      </c>
      <c r="R296" s="30">
        <v>1290437</v>
      </c>
      <c r="S296" s="29">
        <v>8</v>
      </c>
      <c r="T296" s="14">
        <v>384.78399999999999</v>
      </c>
      <c r="U296" s="41"/>
      <c r="V296">
        <v>286</v>
      </c>
      <c r="W296" t="b">
        <f>V296&gt;=$C$4</f>
        <v>1</v>
      </c>
      <c r="X296">
        <f>IF(V296&lt;=$C$5,11,ROW()-$C$5+1)</f>
        <v>45</v>
      </c>
      <c r="Y296" s="14">
        <f t="shared" si="128"/>
        <v>252</v>
      </c>
      <c r="Z296" s="10">
        <f t="shared" si="136"/>
        <v>0.35000000000000053</v>
      </c>
      <c r="AA296" s="15">
        <f t="shared" si="137"/>
        <v>4.6052631578947442E-2</v>
      </c>
      <c r="AB296" s="15">
        <f t="shared" si="138"/>
        <v>0.77498966817309645</v>
      </c>
      <c r="AC296" s="10">
        <f t="shared" si="129"/>
        <v>0.10197232475961795</v>
      </c>
      <c r="AD296">
        <f t="shared" si="139"/>
        <v>0</v>
      </c>
      <c r="AE296">
        <f t="shared" si="146"/>
        <v>0</v>
      </c>
      <c r="AF296">
        <f t="shared" si="147"/>
        <v>0</v>
      </c>
      <c r="AG296">
        <f t="shared" si="152"/>
        <v>0.12486928727656037</v>
      </c>
      <c r="AH296">
        <f t="shared" si="152"/>
        <v>0.1967735400364527</v>
      </c>
      <c r="AI296">
        <f t="shared" si="140"/>
        <v>0.63458373139715873</v>
      </c>
      <c r="AJ296">
        <f t="shared" si="148"/>
        <v>38.822344747965218</v>
      </c>
      <c r="AK296" s="14">
        <f t="shared" si="130"/>
        <v>38.822344747965218</v>
      </c>
      <c r="AM296">
        <f t="shared" si="153"/>
        <v>-5.1186017478152324E-2</v>
      </c>
      <c r="AN296" s="14">
        <f t="shared" si="141"/>
        <v>0</v>
      </c>
      <c r="AO296">
        <f t="shared" si="150"/>
        <v>0</v>
      </c>
      <c r="AP296" s="14">
        <f t="shared" si="151"/>
        <v>0.4</v>
      </c>
      <c r="AQ296">
        <f t="shared" si="142"/>
        <v>-2.6231479849454509E-3</v>
      </c>
      <c r="AR296">
        <f t="shared" si="143"/>
        <v>2.6231479849454509E-3</v>
      </c>
      <c r="AS296">
        <f t="shared" si="125"/>
        <v>-1.366090871813022E-2</v>
      </c>
      <c r="AT296">
        <f t="shared" si="126"/>
        <v>5.4274462615207741E-2</v>
      </c>
      <c r="AU296" s="14">
        <f t="shared" si="131"/>
        <v>-0.25170048785158167</v>
      </c>
      <c r="AV296" s="19">
        <f t="shared" si="127"/>
        <v>2.6235866192095885</v>
      </c>
      <c r="AW296" s="19">
        <f t="shared" si="154"/>
        <v>-0.20335429769392033</v>
      </c>
      <c r="AX296">
        <f t="shared" si="132"/>
        <v>0</v>
      </c>
      <c r="AY296">
        <f>IF(W296,SUMPRODUCT(INDEX(AX:AX,X296):INDEX(AX:AX,X296+Y296)),0)</f>
        <v>40</v>
      </c>
      <c r="AZ296">
        <f>IF(V296,COUNT(INDEX(AX:AX,X296):INDEX(AX:AX,ROW())),0)</f>
        <v>252</v>
      </c>
      <c r="BA296" s="14">
        <f t="shared" si="144"/>
        <v>0.15873015873015872</v>
      </c>
      <c r="BB296" s="6">
        <f t="shared" si="133"/>
        <v>5772200</v>
      </c>
      <c r="BC296" s="6">
        <f>MEDIAN(INDEX(BB:BB,X296):INDEX(BB:BB,X296+Y296-1))</f>
        <v>1290437</v>
      </c>
      <c r="BD296" s="25">
        <f t="shared" si="134"/>
        <v>1290437</v>
      </c>
      <c r="BE296">
        <f t="shared" si="145"/>
        <v>0</v>
      </c>
      <c r="BF296" s="6">
        <f>SUM(INDEX(BE:BE,X296):INDEX(BE:BE,X296+Y296-1))</f>
        <v>8</v>
      </c>
      <c r="BG296" s="25">
        <f t="shared" si="135"/>
        <v>8</v>
      </c>
    </row>
    <row r="297" spans="1:59" x14ac:dyDescent="0.3">
      <c r="A297" s="1">
        <v>44336</v>
      </c>
      <c r="B297">
        <v>7.75</v>
      </c>
      <c r="C297">
        <v>7.8650000000000002</v>
      </c>
      <c r="D297">
        <v>7.51</v>
      </c>
      <c r="E297">
        <v>7.57</v>
      </c>
      <c r="F297">
        <v>1229300</v>
      </c>
      <c r="G297" s="29">
        <v>0.74499040616073198</v>
      </c>
      <c r="H297" s="29">
        <v>9.8413527894416403E-2</v>
      </c>
      <c r="I297" s="29">
        <v>4.6895640686922098E-2</v>
      </c>
      <c r="J297" s="29">
        <v>38.5457901020037</v>
      </c>
      <c r="K297" s="29">
        <v>-6.1957868649318501E-2</v>
      </c>
      <c r="L297" s="29">
        <v>0.4</v>
      </c>
      <c r="M297" s="29">
        <v>-0.26367196986619401</v>
      </c>
      <c r="N297" s="29">
        <v>2.6148290427393701</v>
      </c>
      <c r="O297" s="29">
        <v>-0.20649895178197</v>
      </c>
      <c r="P297" s="29">
        <v>-3.9473684210525797E-3</v>
      </c>
      <c r="Q297" s="29">
        <v>0.15476190476190399</v>
      </c>
      <c r="R297" s="30">
        <v>1446535</v>
      </c>
      <c r="S297" s="29">
        <v>7</v>
      </c>
      <c r="T297" s="14">
        <v>388.92399999999998</v>
      </c>
      <c r="U297" s="41"/>
      <c r="V297">
        <v>287</v>
      </c>
      <c r="W297" t="b">
        <f>V297&gt;=$C$4</f>
        <v>1</v>
      </c>
      <c r="X297">
        <f>IF(V297&lt;=$C$5,11,ROW()-$C$5+1)</f>
        <v>46</v>
      </c>
      <c r="Y297" s="14">
        <f t="shared" si="128"/>
        <v>252</v>
      </c>
      <c r="Z297" s="10">
        <f t="shared" si="136"/>
        <v>0.35500000000000043</v>
      </c>
      <c r="AA297" s="15">
        <f t="shared" si="137"/>
        <v>4.6895640686922119E-2</v>
      </c>
      <c r="AB297" s="15">
        <f t="shared" si="138"/>
        <v>0.74499040616073242</v>
      </c>
      <c r="AC297" s="10">
        <f t="shared" si="129"/>
        <v>9.841352789441643E-2</v>
      </c>
      <c r="AD297">
        <f t="shared" si="139"/>
        <v>-2.9999999999999361E-2</v>
      </c>
      <c r="AE297">
        <f t="shared" si="146"/>
        <v>0</v>
      </c>
      <c r="AF297">
        <f t="shared" si="147"/>
        <v>2.9999999999999361E-2</v>
      </c>
      <c r="AG297">
        <f t="shared" si="152"/>
        <v>0.11595005247109177</v>
      </c>
      <c r="AH297">
        <f t="shared" si="152"/>
        <v>0.18486114431956316</v>
      </c>
      <c r="AI297">
        <f t="shared" si="140"/>
        <v>0.62722781955007734</v>
      </c>
      <c r="AJ297">
        <f t="shared" si="148"/>
        <v>38.545790086326299</v>
      </c>
      <c r="AK297" s="14">
        <f t="shared" si="130"/>
        <v>38.545790086326299</v>
      </c>
      <c r="AM297">
        <f t="shared" si="153"/>
        <v>-6.1957868649318515E-2</v>
      </c>
      <c r="AN297" s="14">
        <f t="shared" si="141"/>
        <v>-3.9473684210525883E-3</v>
      </c>
      <c r="AO297">
        <f t="shared" si="150"/>
        <v>0</v>
      </c>
      <c r="AP297" s="14">
        <f t="shared" si="151"/>
        <v>0.4</v>
      </c>
      <c r="AQ297">
        <f t="shared" si="142"/>
        <v>1.0759283130275632E-2</v>
      </c>
      <c r="AR297">
        <f t="shared" si="143"/>
        <v>-1.4706651551328212E-2</v>
      </c>
      <c r="AS297">
        <f t="shared" si="125"/>
        <v>-1.4257425072754713E-2</v>
      </c>
      <c r="AT297">
        <f t="shared" si="126"/>
        <v>5.4072585265661416E-2</v>
      </c>
      <c r="AU297" s="14">
        <f t="shared" si="131"/>
        <v>-0.26367196986619457</v>
      </c>
      <c r="AV297" s="19">
        <f t="shared" si="127"/>
        <v>2.6148290427394314</v>
      </c>
      <c r="AW297" s="19">
        <f t="shared" si="154"/>
        <v>-0.20649895178197053</v>
      </c>
      <c r="AX297">
        <f t="shared" si="132"/>
        <v>0</v>
      </c>
      <c r="AY297">
        <f>IF(W297,SUMPRODUCT(INDEX(AX:AX,X297):INDEX(AX:AX,X297+Y297)),0)</f>
        <v>39</v>
      </c>
      <c r="AZ297">
        <f>IF(V297,COUNT(INDEX(AX:AX,X297):INDEX(AX:AX,ROW())),0)</f>
        <v>252</v>
      </c>
      <c r="BA297" s="14">
        <f t="shared" si="144"/>
        <v>0.15476190476190477</v>
      </c>
      <c r="BB297" s="6">
        <f t="shared" si="133"/>
        <v>9305801</v>
      </c>
      <c r="BC297" s="6">
        <f>MEDIAN(INDEX(BB:BB,X297):INDEX(BB:BB,X297+Y297-1))</f>
        <v>1446535</v>
      </c>
      <c r="BD297" s="25">
        <f t="shared" si="134"/>
        <v>1446535</v>
      </c>
      <c r="BE297">
        <f t="shared" si="145"/>
        <v>0</v>
      </c>
      <c r="BF297" s="6">
        <f>SUM(INDEX(BE:BE,X297):INDEX(BE:BE,X297+Y297-1))</f>
        <v>7</v>
      </c>
      <c r="BG297" s="25">
        <f t="shared" si="135"/>
        <v>7</v>
      </c>
    </row>
    <row r="298" spans="1:59" x14ac:dyDescent="0.3">
      <c r="A298" s="1">
        <v>44337</v>
      </c>
      <c r="B298">
        <v>7.68</v>
      </c>
      <c r="C298">
        <v>7.75</v>
      </c>
      <c r="D298">
        <v>7.51</v>
      </c>
      <c r="E298">
        <v>7.58</v>
      </c>
      <c r="F298">
        <v>1070900</v>
      </c>
      <c r="G298" s="29">
        <v>0.70891966286353703</v>
      </c>
      <c r="H298" s="29">
        <v>9.3525021485954804E-2</v>
      </c>
      <c r="I298" s="29">
        <v>3.1662269129287601E-2</v>
      </c>
      <c r="J298" s="29">
        <v>38.702539230400603</v>
      </c>
      <c r="K298" s="29">
        <v>-0.13371428571428501</v>
      </c>
      <c r="L298" s="29">
        <v>0.4</v>
      </c>
      <c r="M298" s="29">
        <v>-0.24097446399905401</v>
      </c>
      <c r="N298" s="29">
        <v>2.5119202094692299</v>
      </c>
      <c r="O298" s="29">
        <v>-0.20545073375261999</v>
      </c>
      <c r="P298" s="29">
        <v>1.3210039630118201E-3</v>
      </c>
      <c r="Q298" s="29">
        <v>0.15079365079365001</v>
      </c>
      <c r="R298" s="30">
        <v>1597444</v>
      </c>
      <c r="S298" s="29">
        <v>6</v>
      </c>
      <c r="T298" s="14">
        <v>388.60500000000002</v>
      </c>
      <c r="U298" s="41"/>
      <c r="V298">
        <v>288</v>
      </c>
      <c r="W298" t="b">
        <f>V298&gt;=$C$4</f>
        <v>1</v>
      </c>
      <c r="X298">
        <f>IF(V298&lt;=$C$5,11,ROW()-$C$5+1)</f>
        <v>47</v>
      </c>
      <c r="Y298" s="14">
        <f t="shared" si="128"/>
        <v>252</v>
      </c>
      <c r="Z298" s="10">
        <f t="shared" si="136"/>
        <v>0.24000000000000021</v>
      </c>
      <c r="AA298" s="15">
        <f t="shared" si="137"/>
        <v>3.1662269129287629E-2</v>
      </c>
      <c r="AB298" s="15">
        <f t="shared" si="138"/>
        <v>0.70891966286353725</v>
      </c>
      <c r="AC298" s="10">
        <f t="shared" si="129"/>
        <v>9.3525021485954776E-2</v>
      </c>
      <c r="AD298">
        <f t="shared" si="139"/>
        <v>9.9999999999997868E-3</v>
      </c>
      <c r="AE298">
        <f t="shared" si="146"/>
        <v>9.9999999999997868E-3</v>
      </c>
      <c r="AF298">
        <f t="shared" si="147"/>
        <v>0</v>
      </c>
      <c r="AG298">
        <f t="shared" si="152"/>
        <v>0.10838219158029949</v>
      </c>
      <c r="AH298">
        <f t="shared" si="152"/>
        <v>0.1716567768681658</v>
      </c>
      <c r="AI298">
        <f t="shared" si="140"/>
        <v>0.63138894693064262</v>
      </c>
      <c r="AJ298">
        <f t="shared" si="148"/>
        <v>38.702539214732447</v>
      </c>
      <c r="AK298" s="14">
        <f t="shared" si="130"/>
        <v>38.702539214732447</v>
      </c>
      <c r="AM298">
        <f t="shared" si="153"/>
        <v>-0.13371428571428567</v>
      </c>
      <c r="AN298" s="14">
        <f t="shared" si="141"/>
        <v>1.3210039630118242E-3</v>
      </c>
      <c r="AO298">
        <f t="shared" si="150"/>
        <v>1</v>
      </c>
      <c r="AP298" s="14">
        <f t="shared" si="151"/>
        <v>0.4</v>
      </c>
      <c r="AQ298">
        <f t="shared" si="142"/>
        <v>-8.20211660889969E-4</v>
      </c>
      <c r="AR298">
        <f t="shared" si="143"/>
        <v>2.1412156239017889E-3</v>
      </c>
      <c r="AS298">
        <f t="shared" si="125"/>
        <v>-1.2844384128914891E-2</v>
      </c>
      <c r="AT298">
        <f t="shared" si="126"/>
        <v>5.3301847489389029E-2</v>
      </c>
      <c r="AU298" s="14">
        <f t="shared" si="131"/>
        <v>-0.24097446399905489</v>
      </c>
      <c r="AV298" s="19">
        <f t="shared" si="127"/>
        <v>2.5119202094692841</v>
      </c>
      <c r="AW298" s="19">
        <f t="shared" si="154"/>
        <v>-0.20545073375262046</v>
      </c>
      <c r="AX298">
        <f t="shared" si="132"/>
        <v>0</v>
      </c>
      <c r="AY298">
        <f>IF(W298,SUMPRODUCT(INDEX(AX:AX,X298):INDEX(AX:AX,X298+Y298)),0)</f>
        <v>38</v>
      </c>
      <c r="AZ298">
        <f>IF(V298,COUNT(INDEX(AX:AX,X298):INDEX(AX:AX,ROW())),0)</f>
        <v>252</v>
      </c>
      <c r="BA298" s="14">
        <f t="shared" si="144"/>
        <v>0.15079365079365079</v>
      </c>
      <c r="BB298" s="6">
        <f t="shared" si="133"/>
        <v>8117422</v>
      </c>
      <c r="BC298" s="6">
        <f>MEDIAN(INDEX(BB:BB,X298):INDEX(BB:BB,X298+Y298-1))</f>
        <v>1597444</v>
      </c>
      <c r="BD298" s="25">
        <f t="shared" si="134"/>
        <v>1597444</v>
      </c>
      <c r="BE298">
        <f t="shared" si="145"/>
        <v>0</v>
      </c>
      <c r="BF298" s="6">
        <f>SUM(INDEX(BE:BE,X298):INDEX(BE:BE,X298+Y298-1))</f>
        <v>6</v>
      </c>
      <c r="BG298" s="25">
        <f t="shared" si="135"/>
        <v>6</v>
      </c>
    </row>
    <row r="299" spans="1:59" x14ac:dyDescent="0.3">
      <c r="A299" s="1">
        <v>44340</v>
      </c>
      <c r="B299">
        <v>7.6</v>
      </c>
      <c r="C299">
        <v>7.76</v>
      </c>
      <c r="D299">
        <v>7.35</v>
      </c>
      <c r="E299">
        <v>7.54</v>
      </c>
      <c r="F299">
        <v>1723900</v>
      </c>
      <c r="G299" s="29">
        <v>0.68756825837328495</v>
      </c>
      <c r="H299" s="29">
        <v>9.1189424187438306E-2</v>
      </c>
      <c r="I299" s="29">
        <v>5.43766578249337E-2</v>
      </c>
      <c r="J299" s="29">
        <v>38.281917359000097</v>
      </c>
      <c r="K299" s="29">
        <v>-0.20547945205479401</v>
      </c>
      <c r="L299" s="29">
        <v>0.4</v>
      </c>
      <c r="M299" s="29">
        <v>-0.22798101802012799</v>
      </c>
      <c r="N299" s="29">
        <v>2.4846463613042902</v>
      </c>
      <c r="O299" s="29">
        <v>-0.20964360587002001</v>
      </c>
      <c r="P299" s="29">
        <v>-5.2770448548812299E-3</v>
      </c>
      <c r="Q299" s="29">
        <v>0.146825396825396</v>
      </c>
      <c r="R299" s="30">
        <v>1611001.5</v>
      </c>
      <c r="S299" s="29">
        <v>5</v>
      </c>
      <c r="T299" s="14">
        <v>392.56700000000001</v>
      </c>
      <c r="U299" s="41"/>
      <c r="V299">
        <v>289</v>
      </c>
      <c r="W299" t="b">
        <f>V299&gt;=$C$4</f>
        <v>1</v>
      </c>
      <c r="X299">
        <f>IF(V299&lt;=$C$5,11,ROW()-$C$5+1)</f>
        <v>48</v>
      </c>
      <c r="Y299" s="14">
        <f t="shared" si="128"/>
        <v>252</v>
      </c>
      <c r="Z299" s="10">
        <f t="shared" si="136"/>
        <v>0.41000000000000014</v>
      </c>
      <c r="AA299" s="15">
        <f t="shared" si="137"/>
        <v>5.4376657824933707E-2</v>
      </c>
      <c r="AB299" s="15">
        <f t="shared" si="138"/>
        <v>0.6875682583732845</v>
      </c>
      <c r="AC299" s="10">
        <f t="shared" si="129"/>
        <v>9.1189424187438264E-2</v>
      </c>
      <c r="AD299">
        <f t="shared" si="139"/>
        <v>-4.0000000000000036E-2</v>
      </c>
      <c r="AE299">
        <f t="shared" si="146"/>
        <v>0</v>
      </c>
      <c r="AF299">
        <f t="shared" si="147"/>
        <v>4.0000000000000036E-2</v>
      </c>
      <c r="AG299">
        <f t="shared" si="152"/>
        <v>0.10064060646742094</v>
      </c>
      <c r="AH299">
        <f t="shared" si="152"/>
        <v>0.16225272137758254</v>
      </c>
      <c r="AI299">
        <f t="shared" si="140"/>
        <v>0.62027068398574081</v>
      </c>
      <c r="AJ299">
        <f t="shared" si="148"/>
        <v>38.281917343583778</v>
      </c>
      <c r="AK299" s="14">
        <f t="shared" si="130"/>
        <v>38.281917343583778</v>
      </c>
      <c r="AM299">
        <f t="shared" si="153"/>
        <v>-0.20547945205479456</v>
      </c>
      <c r="AN299" s="14">
        <f t="shared" si="141"/>
        <v>-5.2770448548812299E-3</v>
      </c>
      <c r="AO299">
        <f t="shared" si="150"/>
        <v>0</v>
      </c>
      <c r="AP299" s="14">
        <f t="shared" si="151"/>
        <v>0.4</v>
      </c>
      <c r="AQ299">
        <f t="shared" si="142"/>
        <v>1.0195442673151422E-2</v>
      </c>
      <c r="AR299">
        <f t="shared" si="143"/>
        <v>-1.5472487528032652E-2</v>
      </c>
      <c r="AS299">
        <f t="shared" si="125"/>
        <v>-1.2055978303125907E-2</v>
      </c>
      <c r="AT299">
        <f t="shared" si="126"/>
        <v>5.2881500432906473E-2</v>
      </c>
      <c r="AU299" s="14">
        <f t="shared" si="131"/>
        <v>-0.22798101802012893</v>
      </c>
      <c r="AV299" s="19">
        <f t="shared" si="127"/>
        <v>2.4846463613043483</v>
      </c>
      <c r="AW299" s="19">
        <f t="shared" si="154"/>
        <v>-0.20964360587002084</v>
      </c>
      <c r="AX299">
        <f t="shared" si="132"/>
        <v>0</v>
      </c>
      <c r="AY299">
        <f>IF(W299,SUMPRODUCT(INDEX(AX:AX,X299):INDEX(AX:AX,X299+Y299)),0)</f>
        <v>37</v>
      </c>
      <c r="AZ299">
        <f>IF(V299,COUNT(INDEX(AX:AX,X299):INDEX(AX:AX,ROW())),0)</f>
        <v>252</v>
      </c>
      <c r="BA299" s="14">
        <f t="shared" si="144"/>
        <v>0.14682539682539683</v>
      </c>
      <c r="BB299" s="6">
        <f t="shared" si="133"/>
        <v>12998206</v>
      </c>
      <c r="BC299" s="6">
        <f>MEDIAN(INDEX(BB:BB,X299):INDEX(BB:BB,X299+Y299-1))</f>
        <v>1611001.5</v>
      </c>
      <c r="BD299" s="25">
        <f t="shared" si="134"/>
        <v>1611001.5</v>
      </c>
      <c r="BE299">
        <f t="shared" si="145"/>
        <v>0</v>
      </c>
      <c r="BF299" s="6">
        <f>SUM(INDEX(BE:BE,X299):INDEX(BE:BE,X299+Y299-1))</f>
        <v>5</v>
      </c>
      <c r="BG299" s="25">
        <f t="shared" si="135"/>
        <v>5</v>
      </c>
    </row>
    <row r="300" spans="1:59" x14ac:dyDescent="0.3">
      <c r="A300" s="1">
        <v>44341</v>
      </c>
      <c r="B300">
        <v>7.59</v>
      </c>
      <c r="C300">
        <v>7.64</v>
      </c>
      <c r="D300">
        <v>7.27</v>
      </c>
      <c r="E300">
        <v>7.32</v>
      </c>
      <c r="F300">
        <v>1393000</v>
      </c>
      <c r="G300" s="29">
        <v>0.66488481134662103</v>
      </c>
      <c r="H300" s="29">
        <v>9.0831258380685995E-2</v>
      </c>
      <c r="I300" s="29">
        <v>5.0546448087431702E-2</v>
      </c>
      <c r="J300" s="29">
        <v>35.966656990744703</v>
      </c>
      <c r="K300" s="29">
        <v>-0.232704402515723</v>
      </c>
      <c r="L300" s="29">
        <v>0.2</v>
      </c>
      <c r="M300" s="29">
        <v>-0.21785593137790399</v>
      </c>
      <c r="N300" s="29">
        <v>2.6158925427157098</v>
      </c>
      <c r="O300" s="29">
        <v>-0.20174482006542999</v>
      </c>
      <c r="P300" s="29">
        <v>-2.9177718832891199E-2</v>
      </c>
      <c r="Q300" s="29">
        <v>0.14285714285714199</v>
      </c>
      <c r="R300" s="30">
        <v>1629922.5</v>
      </c>
      <c r="S300" s="29">
        <v>4</v>
      </c>
      <c r="T300" s="14">
        <v>391.69600000000003</v>
      </c>
      <c r="U300" s="41"/>
      <c r="V300">
        <v>290</v>
      </c>
      <c r="W300" t="b">
        <f>V300&gt;=$C$4</f>
        <v>1</v>
      </c>
      <c r="X300">
        <f>IF(V300&lt;=$C$5,11,ROW()-$C$5+1)</f>
        <v>49</v>
      </c>
      <c r="Y300" s="14">
        <f t="shared" si="128"/>
        <v>252</v>
      </c>
      <c r="Z300" s="10">
        <f t="shared" si="136"/>
        <v>0.37000000000000011</v>
      </c>
      <c r="AA300" s="15">
        <f t="shared" si="137"/>
        <v>5.0546448087431708E-2</v>
      </c>
      <c r="AB300" s="15">
        <f t="shared" si="138"/>
        <v>0.66488481134662136</v>
      </c>
      <c r="AC300" s="10">
        <f t="shared" si="129"/>
        <v>9.0831258380685981E-2</v>
      </c>
      <c r="AD300">
        <f t="shared" si="139"/>
        <v>-0.21999999999999975</v>
      </c>
      <c r="AE300">
        <f t="shared" si="146"/>
        <v>0</v>
      </c>
      <c r="AF300">
        <f t="shared" si="147"/>
        <v>0.21999999999999975</v>
      </c>
      <c r="AG300">
        <f t="shared" si="152"/>
        <v>9.3451991719748023E-2</v>
      </c>
      <c r="AH300">
        <f t="shared" si="152"/>
        <v>0.1663775269934695</v>
      </c>
      <c r="AI300">
        <f t="shared" si="140"/>
        <v>0.56168638522566883</v>
      </c>
      <c r="AJ300">
        <f t="shared" si="148"/>
        <v>35.966656976682501</v>
      </c>
      <c r="AK300" s="14">
        <f t="shared" si="130"/>
        <v>35.966656976682501</v>
      </c>
      <c r="AM300">
        <f t="shared" si="153"/>
        <v>-0.23270440251572322</v>
      </c>
      <c r="AN300" s="14">
        <f t="shared" si="141"/>
        <v>-2.917771883289122E-2</v>
      </c>
      <c r="AO300">
        <f t="shared" si="150"/>
        <v>0</v>
      </c>
      <c r="AP300" s="14">
        <f t="shared" si="151"/>
        <v>0.2</v>
      </c>
      <c r="AQ300">
        <f t="shared" si="142"/>
        <v>-2.2187295417087638E-3</v>
      </c>
      <c r="AR300">
        <f t="shared" si="143"/>
        <v>-2.6958989291182435E-2</v>
      </c>
      <c r="AS300">
        <f t="shared" si="125"/>
        <v>-1.1428227068063054E-2</v>
      </c>
      <c r="AT300">
        <f t="shared" si="126"/>
        <v>5.2457727433819573E-2</v>
      </c>
      <c r="AU300" s="14">
        <f t="shared" si="131"/>
        <v>-0.21785593137790524</v>
      </c>
      <c r="AV300" s="19">
        <f t="shared" si="127"/>
        <v>2.6158925427157742</v>
      </c>
      <c r="AW300" s="19">
        <f t="shared" si="154"/>
        <v>-0.20174482006543071</v>
      </c>
      <c r="AX300">
        <f t="shared" si="132"/>
        <v>0</v>
      </c>
      <c r="AY300">
        <f>IF(W300,SUMPRODUCT(INDEX(AX:AX,X300):INDEX(AX:AX,X300+Y300)),0)</f>
        <v>36</v>
      </c>
      <c r="AZ300">
        <f>IF(V300,COUNT(INDEX(AX:AX,X300):INDEX(AX:AX,ROW())),0)</f>
        <v>252</v>
      </c>
      <c r="BA300" s="14">
        <f t="shared" si="144"/>
        <v>0.14285714285714285</v>
      </c>
      <c r="BB300" s="6">
        <f t="shared" si="133"/>
        <v>10196760</v>
      </c>
      <c r="BC300" s="6">
        <f>MEDIAN(INDEX(BB:BB,X300):INDEX(BB:BB,X300+Y300-1))</f>
        <v>1629922.5</v>
      </c>
      <c r="BD300" s="25">
        <f t="shared" si="134"/>
        <v>1629922.5</v>
      </c>
      <c r="BE300">
        <f t="shared" si="145"/>
        <v>0</v>
      </c>
      <c r="BF300" s="6">
        <f>SUM(INDEX(BE:BE,X300):INDEX(BE:BE,X300+Y300-1))</f>
        <v>4</v>
      </c>
      <c r="BG300" s="25">
        <f t="shared" si="135"/>
        <v>4</v>
      </c>
    </row>
    <row r="301" spans="1:59" x14ac:dyDescent="0.3">
      <c r="A301" s="1">
        <v>44342</v>
      </c>
      <c r="B301">
        <v>7.35</v>
      </c>
      <c r="C301">
        <v>7.41</v>
      </c>
      <c r="D301">
        <v>7.14</v>
      </c>
      <c r="E301">
        <v>7.35</v>
      </c>
      <c r="F301">
        <v>918700</v>
      </c>
      <c r="G301" s="29">
        <v>0.63667875339329105</v>
      </c>
      <c r="H301" s="29">
        <v>8.6622959645345804E-2</v>
      </c>
      <c r="I301" s="29">
        <v>3.6734693877551003E-2</v>
      </c>
      <c r="J301" s="29">
        <v>36.530366555477798</v>
      </c>
      <c r="K301" s="29">
        <v>-0.19847328244274801</v>
      </c>
      <c r="L301" s="29">
        <v>0.4</v>
      </c>
      <c r="M301" s="29">
        <v>-0.19703783774964601</v>
      </c>
      <c r="N301" s="29">
        <v>2.4999221310130002</v>
      </c>
      <c r="O301" s="29">
        <v>-0.19052863436123299</v>
      </c>
      <c r="P301" s="29">
        <v>4.0983606557376496E-3</v>
      </c>
      <c r="Q301" s="29">
        <v>0.13888888888888801</v>
      </c>
      <c r="R301" s="30">
        <v>1727990</v>
      </c>
      <c r="S301" s="29">
        <v>3</v>
      </c>
      <c r="T301" s="14">
        <v>392.47300000000001</v>
      </c>
      <c r="U301" s="41"/>
      <c r="V301">
        <v>291</v>
      </c>
      <c r="W301" t="b">
        <f>V301&gt;=$C$4</f>
        <v>1</v>
      </c>
      <c r="X301">
        <f>IF(V301&lt;=$C$5,11,ROW()-$C$5+1)</f>
        <v>50</v>
      </c>
      <c r="Y301" s="14">
        <f t="shared" si="128"/>
        <v>252</v>
      </c>
      <c r="Z301" s="10">
        <f t="shared" si="136"/>
        <v>0.27000000000000046</v>
      </c>
      <c r="AA301" s="15">
        <f t="shared" si="137"/>
        <v>3.6734693877551086E-2</v>
      </c>
      <c r="AB301" s="15">
        <f t="shared" si="138"/>
        <v>0.63667875339329127</v>
      </c>
      <c r="AC301" s="10">
        <f t="shared" si="129"/>
        <v>8.6622959645345762E-2</v>
      </c>
      <c r="AD301">
        <f t="shared" si="139"/>
        <v>2.9999999999999361E-2</v>
      </c>
      <c r="AE301">
        <f t="shared" si="146"/>
        <v>2.9999999999999361E-2</v>
      </c>
      <c r="AF301">
        <f t="shared" si="147"/>
        <v>0</v>
      </c>
      <c r="AG301">
        <f t="shared" si="152"/>
        <v>8.8919706596908829E-2</v>
      </c>
      <c r="AH301">
        <f t="shared" si="152"/>
        <v>0.1544934179225074</v>
      </c>
      <c r="AI301">
        <f t="shared" si="140"/>
        <v>0.57555660165088851</v>
      </c>
      <c r="AJ301">
        <f t="shared" si="148"/>
        <v>36.530366541437665</v>
      </c>
      <c r="AK301" s="14">
        <f t="shared" si="130"/>
        <v>36.530366541437665</v>
      </c>
      <c r="AM301">
        <f t="shared" si="153"/>
        <v>-0.19847328244274809</v>
      </c>
      <c r="AN301" s="14">
        <f t="shared" si="141"/>
        <v>4.098360655737654E-3</v>
      </c>
      <c r="AO301">
        <f t="shared" si="150"/>
        <v>1</v>
      </c>
      <c r="AP301" s="14">
        <f t="shared" si="151"/>
        <v>0.4</v>
      </c>
      <c r="AQ301">
        <f t="shared" si="142"/>
        <v>1.9836812221722955E-3</v>
      </c>
      <c r="AR301">
        <f t="shared" si="143"/>
        <v>2.1146794335653541E-3</v>
      </c>
      <c r="AS301">
        <f t="shared" si="125"/>
        <v>-1.0219548065029655E-2</v>
      </c>
      <c r="AT301">
        <f t="shared" si="126"/>
        <v>5.186591662670631E-2</v>
      </c>
      <c r="AU301" s="14">
        <f t="shared" si="131"/>
        <v>-0.19703783774964659</v>
      </c>
      <c r="AV301" s="19">
        <f t="shared" si="127"/>
        <v>2.4999221310130686</v>
      </c>
      <c r="AW301" s="19">
        <f t="shared" si="154"/>
        <v>-0.19052863436123357</v>
      </c>
      <c r="AX301">
        <f t="shared" si="132"/>
        <v>0</v>
      </c>
      <c r="AY301">
        <f>IF(W301,SUMPRODUCT(INDEX(AX:AX,X301):INDEX(AX:AX,X301+Y301)),0)</f>
        <v>35</v>
      </c>
      <c r="AZ301">
        <f>IF(V301,COUNT(INDEX(AX:AX,X301):INDEX(AX:AX,ROW())),0)</f>
        <v>252</v>
      </c>
      <c r="BA301" s="14">
        <f t="shared" si="144"/>
        <v>0.1388888888888889</v>
      </c>
      <c r="BB301" s="6">
        <f t="shared" si="133"/>
        <v>6752445</v>
      </c>
      <c r="BC301" s="6">
        <f>MEDIAN(INDEX(BB:BB,X301):INDEX(BB:BB,X301+Y301-1))</f>
        <v>1727990</v>
      </c>
      <c r="BD301" s="25">
        <f t="shared" si="134"/>
        <v>1727990</v>
      </c>
      <c r="BE301">
        <f t="shared" si="145"/>
        <v>0</v>
      </c>
      <c r="BF301" s="6">
        <f>SUM(INDEX(BE:BE,X301):INDEX(BE:BE,X301+Y301-1))</f>
        <v>3</v>
      </c>
      <c r="BG301" s="25">
        <f t="shared" si="135"/>
        <v>3</v>
      </c>
    </row>
    <row r="302" spans="1:59" x14ac:dyDescent="0.3">
      <c r="A302" s="1">
        <v>44343</v>
      </c>
      <c r="B302">
        <v>7.37</v>
      </c>
      <c r="C302">
        <v>7.39</v>
      </c>
      <c r="D302">
        <v>7.18</v>
      </c>
      <c r="E302">
        <v>7.34</v>
      </c>
      <c r="F302">
        <v>768500</v>
      </c>
      <c r="G302" s="29">
        <v>0.606201699579485</v>
      </c>
      <c r="H302" s="29">
        <v>8.2588787408649195E-2</v>
      </c>
      <c r="I302" s="29">
        <v>2.86103542234332E-2</v>
      </c>
      <c r="J302" s="29">
        <v>36.415287470678301</v>
      </c>
      <c r="K302" s="29">
        <v>-0.191629955947136</v>
      </c>
      <c r="L302" s="29">
        <v>0.4</v>
      </c>
      <c r="M302" s="29">
        <v>-0.19632473237266401</v>
      </c>
      <c r="N302" s="29">
        <v>2.5207007751200399</v>
      </c>
      <c r="O302" s="29">
        <v>-0.17249154453213</v>
      </c>
      <c r="P302" s="29">
        <v>-1.36054421768705E-3</v>
      </c>
      <c r="Q302" s="29">
        <v>0.134920634920634</v>
      </c>
      <c r="R302" s="30">
        <v>1843700</v>
      </c>
      <c r="S302" s="29">
        <v>2</v>
      </c>
      <c r="T302" s="14">
        <v>392.67899999999997</v>
      </c>
      <c r="U302" s="41"/>
      <c r="V302">
        <v>292</v>
      </c>
      <c r="W302" t="b">
        <f>V302&gt;=$C$4</f>
        <v>1</v>
      </c>
      <c r="X302">
        <f>IF(V302&lt;=$C$5,11,ROW()-$C$5+1)</f>
        <v>51</v>
      </c>
      <c r="Y302" s="14">
        <f t="shared" si="128"/>
        <v>252</v>
      </c>
      <c r="Z302" s="10">
        <f t="shared" si="136"/>
        <v>0.20999999999999996</v>
      </c>
      <c r="AA302" s="15">
        <f t="shared" si="137"/>
        <v>2.8610354223433238E-2</v>
      </c>
      <c r="AB302" s="15">
        <f t="shared" si="138"/>
        <v>0.60620169957948478</v>
      </c>
      <c r="AC302" s="10">
        <f t="shared" si="129"/>
        <v>8.2588787408649153E-2</v>
      </c>
      <c r="AD302">
        <f t="shared" si="139"/>
        <v>-9.9999999999997868E-3</v>
      </c>
      <c r="AE302">
        <f t="shared" si="146"/>
        <v>0</v>
      </c>
      <c r="AF302">
        <f t="shared" si="147"/>
        <v>9.9999999999997868E-3</v>
      </c>
      <c r="AG302">
        <f t="shared" ref="AG302:AH310" si="155">(AE302+13*AG301)/14</f>
        <v>8.2568298982843916E-2</v>
      </c>
      <c r="AH302">
        <f t="shared" si="155"/>
        <v>0.14417245949947113</v>
      </c>
      <c r="AI302">
        <f t="shared" si="140"/>
        <v>0.57270507328167486</v>
      </c>
      <c r="AJ302">
        <f t="shared" si="148"/>
        <v>36.415287456703091</v>
      </c>
      <c r="AK302" s="14">
        <f t="shared" si="130"/>
        <v>36.415287456703091</v>
      </c>
      <c r="AM302">
        <f t="shared" si="153"/>
        <v>-0.19162995594713661</v>
      </c>
      <c r="AN302" s="14">
        <f t="shared" si="141"/>
        <v>-1.3605442176870541E-3</v>
      </c>
      <c r="AO302">
        <f t="shared" si="150"/>
        <v>0</v>
      </c>
      <c r="AP302" s="14">
        <f t="shared" si="151"/>
        <v>0.4</v>
      </c>
      <c r="AQ302">
        <f t="shared" si="142"/>
        <v>5.2487687051083753E-4</v>
      </c>
      <c r="AR302">
        <f t="shared" si="143"/>
        <v>-1.8854210881978876E-3</v>
      </c>
      <c r="AS302">
        <f t="shared" si="125"/>
        <v>-1.0183556441252857E-2</v>
      </c>
      <c r="AT302">
        <f t="shared" si="126"/>
        <v>5.1870980890590931E-2</v>
      </c>
      <c r="AU302" s="14">
        <f t="shared" si="131"/>
        <v>-0.19632473237266446</v>
      </c>
      <c r="AV302" s="19">
        <f t="shared" si="127"/>
        <v>2.5207007751201047</v>
      </c>
      <c r="AW302" s="19">
        <f t="shared" si="154"/>
        <v>-0.17249154453213067</v>
      </c>
      <c r="AX302">
        <f t="shared" si="132"/>
        <v>0</v>
      </c>
      <c r="AY302">
        <f>IF(W302,SUMPRODUCT(INDEX(AX:AX,X302):INDEX(AX:AX,X302+Y302)),0)</f>
        <v>34</v>
      </c>
      <c r="AZ302">
        <f>IF(V302,COUNT(INDEX(AX:AX,X302):INDEX(AX:AX,ROW())),0)</f>
        <v>252</v>
      </c>
      <c r="BA302" s="14">
        <f t="shared" si="144"/>
        <v>0.13492063492063491</v>
      </c>
      <c r="BB302" s="6">
        <f t="shared" si="133"/>
        <v>5640790</v>
      </c>
      <c r="BC302" s="6">
        <f>MEDIAN(INDEX(BB:BB,X302):INDEX(BB:BB,X302+Y302-1))</f>
        <v>1843700.0000000002</v>
      </c>
      <c r="BD302" s="25">
        <f t="shared" si="134"/>
        <v>1843700.0000000002</v>
      </c>
      <c r="BE302">
        <f t="shared" si="145"/>
        <v>0</v>
      </c>
      <c r="BF302" s="6">
        <f>SUM(INDEX(BE:BE,X302):INDEX(BE:BE,X302+Y302-1))</f>
        <v>2</v>
      </c>
      <c r="BG302" s="25">
        <f t="shared" si="135"/>
        <v>2</v>
      </c>
    </row>
    <row r="303" spans="1:59" x14ac:dyDescent="0.3">
      <c r="A303" s="1">
        <v>44344</v>
      </c>
      <c r="B303">
        <v>7.35</v>
      </c>
      <c r="C303">
        <v>7.39</v>
      </c>
      <c r="D303">
        <v>7.11</v>
      </c>
      <c r="E303">
        <v>7.22</v>
      </c>
      <c r="F303">
        <v>1303000</v>
      </c>
      <c r="G303" s="29">
        <v>0.58290157818095001</v>
      </c>
      <c r="H303" s="29">
        <v>8.0734290606779793E-2</v>
      </c>
      <c r="I303" s="29">
        <v>3.8781163434902899E-2</v>
      </c>
      <c r="J303" s="29">
        <v>34.990788852434797</v>
      </c>
      <c r="K303" s="29">
        <v>-0.18602029312288601</v>
      </c>
      <c r="L303" s="29">
        <v>0.2</v>
      </c>
      <c r="M303" s="29">
        <v>-0.23014103493169</v>
      </c>
      <c r="N303" s="29">
        <v>2.2406670200668399</v>
      </c>
      <c r="O303" s="29">
        <v>-0.17673888255416101</v>
      </c>
      <c r="P303" s="29">
        <v>-1.6348773841961799E-2</v>
      </c>
      <c r="Q303" s="29">
        <v>0.134920634920634</v>
      </c>
      <c r="R303" s="30">
        <v>1924234</v>
      </c>
      <c r="S303" s="29">
        <v>2</v>
      </c>
      <c r="T303" s="14">
        <v>393.38200000000001</v>
      </c>
      <c r="U303" s="41"/>
      <c r="V303">
        <v>293</v>
      </c>
      <c r="W303" t="b">
        <f>V303&gt;=$C$4</f>
        <v>1</v>
      </c>
      <c r="X303">
        <f>IF(V303&lt;=$C$5,11,ROW()-$C$5+1)</f>
        <v>52</v>
      </c>
      <c r="Y303" s="14">
        <f t="shared" si="128"/>
        <v>252</v>
      </c>
      <c r="Z303" s="10">
        <f t="shared" si="136"/>
        <v>0.27999999999999936</v>
      </c>
      <c r="AA303" s="15">
        <f t="shared" si="137"/>
        <v>3.8781163434902961E-2</v>
      </c>
      <c r="AB303" s="15">
        <f t="shared" si="138"/>
        <v>0.58290157818095012</v>
      </c>
      <c r="AC303" s="10">
        <f t="shared" si="129"/>
        <v>8.0734290606779793E-2</v>
      </c>
      <c r="AD303">
        <f t="shared" si="139"/>
        <v>-0.12000000000000011</v>
      </c>
      <c r="AE303">
        <f t="shared" si="146"/>
        <v>0</v>
      </c>
      <c r="AF303">
        <f t="shared" si="147"/>
        <v>0.12000000000000011</v>
      </c>
      <c r="AG303">
        <f t="shared" si="155"/>
        <v>7.6670563341212208E-2</v>
      </c>
      <c r="AH303">
        <f t="shared" si="155"/>
        <v>0.14244585524950892</v>
      </c>
      <c r="AI303">
        <f t="shared" si="140"/>
        <v>0.53824355371320309</v>
      </c>
      <c r="AJ303">
        <f t="shared" si="148"/>
        <v>34.990788839252673</v>
      </c>
      <c r="AK303" s="14">
        <f t="shared" si="130"/>
        <v>34.990788839252673</v>
      </c>
      <c r="AM303">
        <f t="shared" si="153"/>
        <v>-0.18602029312288604</v>
      </c>
      <c r="AN303" s="14">
        <f t="shared" si="141"/>
        <v>-1.6348773841961872E-2</v>
      </c>
      <c r="AO303">
        <f t="shared" si="150"/>
        <v>0</v>
      </c>
      <c r="AP303" s="14">
        <f t="shared" si="151"/>
        <v>0.2</v>
      </c>
      <c r="AQ303">
        <f t="shared" si="142"/>
        <v>1.7902663498685634E-3</v>
      </c>
      <c r="AR303">
        <f t="shared" si="143"/>
        <v>-1.8139040191830363E-2</v>
      </c>
      <c r="AS303">
        <f t="shared" si="125"/>
        <v>-1.1669411118614203E-2</v>
      </c>
      <c r="AT303">
        <f t="shared" si="126"/>
        <v>5.0705477717512874E-2</v>
      </c>
      <c r="AU303" s="14">
        <f t="shared" si="131"/>
        <v>-0.23014103493169086</v>
      </c>
      <c r="AV303" s="19">
        <f t="shared" si="127"/>
        <v>2.2406670200669092</v>
      </c>
      <c r="AW303" s="19">
        <f t="shared" si="154"/>
        <v>-0.17673888255416192</v>
      </c>
      <c r="AX303">
        <f t="shared" si="132"/>
        <v>0</v>
      </c>
      <c r="AY303">
        <f>IF(W303,SUMPRODUCT(INDEX(AX:AX,X303):INDEX(AX:AX,X303+Y303)),0)</f>
        <v>34</v>
      </c>
      <c r="AZ303">
        <f>IF(V303,COUNT(INDEX(AX:AX,X303):INDEX(AX:AX,ROW())),0)</f>
        <v>252</v>
      </c>
      <c r="BA303" s="14">
        <f t="shared" si="144"/>
        <v>0.13492063492063491</v>
      </c>
      <c r="BB303" s="6">
        <f t="shared" si="133"/>
        <v>9407660</v>
      </c>
      <c r="BC303" s="6">
        <f>MEDIAN(INDEX(BB:BB,X303):INDEX(BB:BB,X303+Y303-1))</f>
        <v>1924234</v>
      </c>
      <c r="BD303" s="25">
        <f t="shared" si="134"/>
        <v>1924234</v>
      </c>
      <c r="BE303">
        <f t="shared" si="145"/>
        <v>0</v>
      </c>
      <c r="BF303" s="6">
        <f>SUM(INDEX(BE:BE,X303):INDEX(BE:BE,X303+Y303-1))</f>
        <v>2</v>
      </c>
      <c r="BG303" s="25">
        <f t="shared" si="135"/>
        <v>2</v>
      </c>
    </row>
    <row r="304" spans="1:59" x14ac:dyDescent="0.3">
      <c r="A304" s="1">
        <v>44348</v>
      </c>
      <c r="B304">
        <v>7.28</v>
      </c>
      <c r="C304">
        <v>7.35</v>
      </c>
      <c r="D304">
        <v>6.96</v>
      </c>
      <c r="E304">
        <v>7.08</v>
      </c>
      <c r="F304">
        <v>1608300</v>
      </c>
      <c r="G304" s="29">
        <v>0.56912289402516802</v>
      </c>
      <c r="H304" s="29">
        <v>8.0384589551577401E-2</v>
      </c>
      <c r="I304" s="29">
        <v>5.5084745762711801E-2</v>
      </c>
      <c r="J304" s="29">
        <v>33.351609194806798</v>
      </c>
      <c r="K304" s="29">
        <v>-0.192702394526795</v>
      </c>
      <c r="L304" s="29">
        <v>0.2</v>
      </c>
      <c r="M304" s="29">
        <v>-0.20646883050405601</v>
      </c>
      <c r="N304" s="29">
        <v>2.0310922868982502</v>
      </c>
      <c r="O304" s="29">
        <v>-0.14595898673100099</v>
      </c>
      <c r="P304" s="29">
        <v>-1.9390581717451401E-2</v>
      </c>
      <c r="Q304" s="29">
        <v>0.134920634920634</v>
      </c>
      <c r="R304" s="30">
        <v>1924234</v>
      </c>
      <c r="S304" s="29">
        <v>2</v>
      </c>
      <c r="T304" s="14">
        <v>393.03500000000003</v>
      </c>
      <c r="U304" s="41"/>
      <c r="V304">
        <v>294</v>
      </c>
      <c r="W304" t="b">
        <f>V304&gt;=$C$4</f>
        <v>1</v>
      </c>
      <c r="X304">
        <f>IF(V304&lt;=$C$5,11,ROW()-$C$5+1)</f>
        <v>53</v>
      </c>
      <c r="Y304" s="14">
        <f t="shared" si="128"/>
        <v>252</v>
      </c>
      <c r="Z304" s="10">
        <f t="shared" si="136"/>
        <v>0.38999999999999968</v>
      </c>
      <c r="AA304" s="15">
        <f t="shared" si="137"/>
        <v>5.5084745762711822E-2</v>
      </c>
      <c r="AB304" s="15">
        <f t="shared" si="138"/>
        <v>0.56912289402516791</v>
      </c>
      <c r="AC304" s="10">
        <f t="shared" si="129"/>
        <v>8.0384589551577387E-2</v>
      </c>
      <c r="AD304">
        <f t="shared" si="139"/>
        <v>-0.13999999999999968</v>
      </c>
      <c r="AE304">
        <f t="shared" si="146"/>
        <v>0</v>
      </c>
      <c r="AF304">
        <f t="shared" si="147"/>
        <v>0.13999999999999968</v>
      </c>
      <c r="AG304">
        <f t="shared" si="155"/>
        <v>7.1194094531125615E-2</v>
      </c>
      <c r="AH304">
        <f t="shared" si="155"/>
        <v>0.14227115130311541</v>
      </c>
      <c r="AI304">
        <f t="shared" si="140"/>
        <v>0.50041131936469141</v>
      </c>
      <c r="AJ304">
        <f t="shared" si="148"/>
        <v>33.351609182512505</v>
      </c>
      <c r="AK304" s="14">
        <f t="shared" si="130"/>
        <v>33.351609182512505</v>
      </c>
      <c r="AM304">
        <f t="shared" si="153"/>
        <v>-0.19270239452679583</v>
      </c>
      <c r="AN304" s="14">
        <f t="shared" si="141"/>
        <v>-1.9390581717451449E-2</v>
      </c>
      <c r="AO304">
        <f t="shared" si="150"/>
        <v>0</v>
      </c>
      <c r="AP304" s="14">
        <f t="shared" si="151"/>
        <v>0.2</v>
      </c>
      <c r="AQ304">
        <f t="shared" si="142"/>
        <v>-8.8209424935559166E-4</v>
      </c>
      <c r="AR304">
        <f t="shared" si="143"/>
        <v>-1.8508487468095809E-2</v>
      </c>
      <c r="AS304">
        <f t="shared" si="125"/>
        <v>-1.0084690348459253E-2</v>
      </c>
      <c r="AT304">
        <f t="shared" si="126"/>
        <v>4.8843645425022585E-2</v>
      </c>
      <c r="AU304" s="14">
        <f t="shared" si="131"/>
        <v>-0.20646883050405712</v>
      </c>
      <c r="AV304" s="19">
        <f t="shared" si="127"/>
        <v>2.031092286898311</v>
      </c>
      <c r="AW304" s="19">
        <f t="shared" si="154"/>
        <v>-0.14595898673100116</v>
      </c>
      <c r="AX304">
        <f t="shared" si="132"/>
        <v>0</v>
      </c>
      <c r="AY304">
        <f>IF(W304,SUMPRODUCT(INDEX(AX:AX,X304):INDEX(AX:AX,X304+Y304)),0)</f>
        <v>34</v>
      </c>
      <c r="AZ304">
        <f>IF(V304,COUNT(INDEX(AX:AX,X304):INDEX(AX:AX,ROW())),0)</f>
        <v>252</v>
      </c>
      <c r="BA304" s="14">
        <f t="shared" si="144"/>
        <v>0.13492063492063491</v>
      </c>
      <c r="BB304" s="6">
        <f t="shared" si="133"/>
        <v>11386764</v>
      </c>
      <c r="BC304" s="6">
        <f>MEDIAN(INDEX(BB:BB,X304):INDEX(BB:BB,X304+Y304-1))</f>
        <v>1924234</v>
      </c>
      <c r="BD304" s="25">
        <f t="shared" si="134"/>
        <v>1924234</v>
      </c>
      <c r="BE304">
        <f t="shared" si="145"/>
        <v>0</v>
      </c>
      <c r="BF304" s="6">
        <f>SUM(INDEX(BE:BE,X304):INDEX(BE:BE,X304+Y304-1))</f>
        <v>2</v>
      </c>
      <c r="BG304" s="25">
        <f t="shared" si="135"/>
        <v>2</v>
      </c>
    </row>
    <row r="305" spans="1:59" x14ac:dyDescent="0.3">
      <c r="A305" s="1">
        <v>44349</v>
      </c>
      <c r="B305">
        <v>7.08</v>
      </c>
      <c r="C305">
        <v>7.6</v>
      </c>
      <c r="D305">
        <v>6.96</v>
      </c>
      <c r="E305">
        <v>7.4</v>
      </c>
      <c r="F305">
        <v>1639400</v>
      </c>
      <c r="G305" s="29">
        <v>0.57418554445194103</v>
      </c>
      <c r="H305" s="29">
        <v>7.7592641142154306E-2</v>
      </c>
      <c r="I305" s="29">
        <v>8.6486486486486394E-2</v>
      </c>
      <c r="J305" s="29">
        <v>40.2424502128708</v>
      </c>
      <c r="K305" s="29">
        <v>-9.42472460220318E-2</v>
      </c>
      <c r="L305" s="29">
        <v>0.4</v>
      </c>
      <c r="M305" s="29">
        <v>-0.176636763325829</v>
      </c>
      <c r="N305" s="29">
        <v>1.9536875583701601</v>
      </c>
      <c r="O305" s="29">
        <v>-0.10735826296742999</v>
      </c>
      <c r="P305" s="29">
        <v>4.5197740112994302E-2</v>
      </c>
      <c r="Q305" s="29">
        <v>0.13095238095237999</v>
      </c>
      <c r="R305" s="30">
        <v>1976874</v>
      </c>
      <c r="S305" s="29">
        <v>2</v>
      </c>
      <c r="T305" s="14">
        <v>393.65300000000002</v>
      </c>
      <c r="U305" s="41"/>
      <c r="V305">
        <v>295</v>
      </c>
      <c r="W305" t="b">
        <f>V305&gt;=$C$4</f>
        <v>1</v>
      </c>
      <c r="X305">
        <f>IF(V305&lt;=$C$5,11,ROW()-$C$5+1)</f>
        <v>54</v>
      </c>
      <c r="Y305" s="14">
        <f t="shared" si="128"/>
        <v>252</v>
      </c>
      <c r="Z305" s="10">
        <f t="shared" si="136"/>
        <v>0.63999999999999968</v>
      </c>
      <c r="AA305" s="15">
        <f t="shared" si="137"/>
        <v>8.6486486486486436E-2</v>
      </c>
      <c r="AB305" s="15">
        <f t="shared" si="138"/>
        <v>0.57418554445194159</v>
      </c>
      <c r="AC305" s="10">
        <f t="shared" si="129"/>
        <v>7.7592641142154264E-2</v>
      </c>
      <c r="AD305">
        <f t="shared" si="139"/>
        <v>0.32000000000000028</v>
      </c>
      <c r="AE305">
        <f t="shared" si="146"/>
        <v>0.32000000000000028</v>
      </c>
      <c r="AF305">
        <f t="shared" si="147"/>
        <v>0</v>
      </c>
      <c r="AG305">
        <f t="shared" si="155"/>
        <v>8.8965944921759535E-2</v>
      </c>
      <c r="AH305">
        <f t="shared" si="155"/>
        <v>0.13210892621003573</v>
      </c>
      <c r="AI305">
        <f t="shared" si="140"/>
        <v>0.67342871881583111</v>
      </c>
      <c r="AJ305">
        <f t="shared" si="148"/>
        <v>40.242450200828976</v>
      </c>
      <c r="AK305" s="14">
        <f t="shared" si="130"/>
        <v>40.242450200828976</v>
      </c>
      <c r="AM305">
        <f t="shared" si="153"/>
        <v>-9.4247246022031828E-2</v>
      </c>
      <c r="AN305" s="14">
        <f t="shared" si="141"/>
        <v>4.5197740112994378E-2</v>
      </c>
      <c r="AO305">
        <f t="shared" si="150"/>
        <v>1</v>
      </c>
      <c r="AP305" s="14">
        <f t="shared" si="151"/>
        <v>0.4</v>
      </c>
      <c r="AQ305">
        <f t="shared" si="142"/>
        <v>1.5723790502117918E-3</v>
      </c>
      <c r="AR305">
        <f t="shared" si="143"/>
        <v>4.362536106278251E-2</v>
      </c>
      <c r="AS305">
        <f t="shared" si="125"/>
        <v>-8.671557544836896E-3</v>
      </c>
      <c r="AT305">
        <f t="shared" si="126"/>
        <v>4.9092597608579751E-2</v>
      </c>
      <c r="AU305" s="14">
        <f t="shared" si="131"/>
        <v>-0.17663676332582973</v>
      </c>
      <c r="AV305" s="19">
        <f t="shared" si="127"/>
        <v>1.9536875583702251</v>
      </c>
      <c r="AW305" s="19">
        <f t="shared" si="154"/>
        <v>-0.10735826296743045</v>
      </c>
      <c r="AX305">
        <f t="shared" si="132"/>
        <v>0</v>
      </c>
      <c r="AY305">
        <f>IF(W305,SUMPRODUCT(INDEX(AX:AX,X305):INDEX(AX:AX,X305+Y305)),0)</f>
        <v>33</v>
      </c>
      <c r="AZ305">
        <f>IF(V305,COUNT(INDEX(AX:AX,X305):INDEX(AX:AX,ROW())),0)</f>
        <v>252</v>
      </c>
      <c r="BA305" s="14">
        <f t="shared" si="144"/>
        <v>0.13095238095238096</v>
      </c>
      <c r="BB305" s="6">
        <f t="shared" si="133"/>
        <v>12131560</v>
      </c>
      <c r="BC305" s="6">
        <f>MEDIAN(INDEX(BB:BB,X305):INDEX(BB:BB,X305+Y305-1))</f>
        <v>1976874</v>
      </c>
      <c r="BD305" s="25">
        <f t="shared" si="134"/>
        <v>1976874</v>
      </c>
      <c r="BE305">
        <f t="shared" si="145"/>
        <v>0</v>
      </c>
      <c r="BF305" s="6">
        <f>SUM(INDEX(BE:BE,X305):INDEX(BE:BE,X305+Y305-1))</f>
        <v>2</v>
      </c>
      <c r="BG305" s="25">
        <f t="shared" si="135"/>
        <v>2</v>
      </c>
    </row>
    <row r="306" spans="1:59" x14ac:dyDescent="0.3">
      <c r="A306" s="1">
        <v>44350</v>
      </c>
      <c r="B306">
        <v>7.45</v>
      </c>
      <c r="C306">
        <v>8.2200000000000006</v>
      </c>
      <c r="D306">
        <v>7.2</v>
      </c>
      <c r="E306">
        <v>8.09</v>
      </c>
      <c r="F306">
        <v>2194200</v>
      </c>
      <c r="G306" s="29">
        <v>0.60602943413394605</v>
      </c>
      <c r="H306" s="29">
        <v>7.4910931289733695E-2</v>
      </c>
      <c r="I306" s="29">
        <v>0.12608158220024701</v>
      </c>
      <c r="J306" s="29">
        <v>51.811759408345999</v>
      </c>
      <c r="K306" s="29">
        <v>-1.4616321559074399E-2</v>
      </c>
      <c r="L306" s="29">
        <v>0.4</v>
      </c>
      <c r="M306" s="29">
        <v>-0.143472029782065</v>
      </c>
      <c r="N306" s="29">
        <v>1.9127452079024601</v>
      </c>
      <c r="O306" s="29">
        <v>-2.41254523522315E-2</v>
      </c>
      <c r="P306" s="29">
        <v>9.3243243243242999E-2</v>
      </c>
      <c r="Q306" s="29">
        <v>0.12698412698412601</v>
      </c>
      <c r="R306" s="30">
        <v>1996400</v>
      </c>
      <c r="S306" s="29">
        <v>2</v>
      </c>
      <c r="T306" s="14">
        <v>392.19200000000001</v>
      </c>
      <c r="U306" s="41"/>
      <c r="V306">
        <v>296</v>
      </c>
      <c r="W306" t="b">
        <f>V306&gt;=$C$4</f>
        <v>1</v>
      </c>
      <c r="X306">
        <f>IF(V306&lt;=$C$5,11,ROW()-$C$5+1)</f>
        <v>55</v>
      </c>
      <c r="Y306" s="14">
        <f t="shared" si="128"/>
        <v>252</v>
      </c>
      <c r="Z306" s="10">
        <f t="shared" si="136"/>
        <v>1.0200000000000005</v>
      </c>
      <c r="AA306" s="15">
        <f t="shared" si="137"/>
        <v>0.12608158220024729</v>
      </c>
      <c r="AB306" s="15">
        <f t="shared" si="138"/>
        <v>0.60602943413394583</v>
      </c>
      <c r="AC306" s="10">
        <f t="shared" si="129"/>
        <v>7.4910931289733723E-2</v>
      </c>
      <c r="AD306">
        <f t="shared" si="139"/>
        <v>0.6899999999999995</v>
      </c>
      <c r="AE306">
        <f t="shared" si="146"/>
        <v>0.6899999999999995</v>
      </c>
      <c r="AF306">
        <f t="shared" si="147"/>
        <v>0</v>
      </c>
      <c r="AG306">
        <f t="shared" si="155"/>
        <v>0.13189694885591954</v>
      </c>
      <c r="AH306">
        <f t="shared" si="155"/>
        <v>0.12267257433789032</v>
      </c>
      <c r="AI306">
        <f t="shared" si="140"/>
        <v>1.0751950838874673</v>
      </c>
      <c r="AJ306">
        <f t="shared" si="148"/>
        <v>51.811759397256388</v>
      </c>
      <c r="AK306" s="14">
        <f t="shared" si="130"/>
        <v>51.811759397256388</v>
      </c>
      <c r="AM306">
        <f t="shared" si="153"/>
        <v>-1.4616321559074441E-2</v>
      </c>
      <c r="AN306" s="14">
        <f t="shared" si="141"/>
        <v>9.3243243243243068E-2</v>
      </c>
      <c r="AO306">
        <f t="shared" si="150"/>
        <v>1</v>
      </c>
      <c r="AP306" s="14">
        <f t="shared" si="151"/>
        <v>0.4</v>
      </c>
      <c r="AQ306">
        <f t="shared" si="142"/>
        <v>-3.7113904885774929E-3</v>
      </c>
      <c r="AR306">
        <f t="shared" si="143"/>
        <v>9.6954633731820491E-2</v>
      </c>
      <c r="AS306">
        <f t="shared" si="125"/>
        <v>-7.2909856540520224E-3</v>
      </c>
      <c r="AT306">
        <f t="shared" si="126"/>
        <v>5.0818167590763283E-2</v>
      </c>
      <c r="AU306" s="14">
        <f t="shared" si="131"/>
        <v>-0.14347202978206622</v>
      </c>
      <c r="AV306" s="19">
        <f t="shared" si="127"/>
        <v>1.912745207902524</v>
      </c>
      <c r="AW306" s="19">
        <f t="shared" si="154"/>
        <v>-2.4125452352231513E-2</v>
      </c>
      <c r="AX306">
        <f t="shared" si="132"/>
        <v>0</v>
      </c>
      <c r="AY306">
        <f>IF(W306,SUMPRODUCT(INDEX(AX:AX,X306):INDEX(AX:AX,X306+Y306)),0)</f>
        <v>32</v>
      </c>
      <c r="AZ306">
        <f>IF(V306,COUNT(INDEX(AX:AX,X306):INDEX(AX:AX,ROW())),0)</f>
        <v>252</v>
      </c>
      <c r="BA306" s="14">
        <f t="shared" si="144"/>
        <v>0.12698412698412698</v>
      </c>
      <c r="BB306" s="6">
        <f t="shared" si="133"/>
        <v>17751078</v>
      </c>
      <c r="BC306" s="6">
        <f>MEDIAN(INDEX(BB:BB,X306):INDEX(BB:BB,X306+Y306-1))</f>
        <v>1996400</v>
      </c>
      <c r="BD306" s="25">
        <f t="shared" si="134"/>
        <v>1996400</v>
      </c>
      <c r="BE306">
        <f t="shared" si="145"/>
        <v>0</v>
      </c>
      <c r="BF306" s="6">
        <f>SUM(INDEX(BE:BE,X306):INDEX(BE:BE,X306+Y306-1))</f>
        <v>2</v>
      </c>
      <c r="BG306" s="25">
        <f t="shared" si="135"/>
        <v>2</v>
      </c>
    </row>
    <row r="307" spans="1:59" x14ac:dyDescent="0.3">
      <c r="A307" s="1">
        <v>44351</v>
      </c>
      <c r="B307">
        <v>8.19</v>
      </c>
      <c r="C307">
        <v>8.26</v>
      </c>
      <c r="D307">
        <v>7.81</v>
      </c>
      <c r="E307">
        <v>8.23</v>
      </c>
      <c r="F307">
        <v>1513000</v>
      </c>
      <c r="G307" s="29">
        <v>0.59488447455294902</v>
      </c>
      <c r="H307" s="29">
        <v>7.2282439192338899E-2</v>
      </c>
      <c r="I307" s="29">
        <v>5.4678007290400898E-2</v>
      </c>
      <c r="J307" s="29">
        <v>53.767562228714901</v>
      </c>
      <c r="K307" s="29">
        <v>7.1614583333333398E-2</v>
      </c>
      <c r="L307" s="29">
        <v>0.6</v>
      </c>
      <c r="M307" s="29">
        <v>-0.14527193005221001</v>
      </c>
      <c r="N307" s="29">
        <v>1.9040311136680801</v>
      </c>
      <c r="O307" s="29">
        <v>-7.2376357056693702E-3</v>
      </c>
      <c r="P307" s="29">
        <v>1.73053152039555E-2</v>
      </c>
      <c r="Q307" s="29">
        <v>0.123015873015873</v>
      </c>
      <c r="R307" s="30">
        <v>2081168</v>
      </c>
      <c r="S307" s="29">
        <v>1</v>
      </c>
      <c r="T307" s="14">
        <v>395.779</v>
      </c>
      <c r="U307" s="41"/>
      <c r="V307">
        <v>297</v>
      </c>
      <c r="W307" t="b">
        <f>V307&gt;=$C$4</f>
        <v>1</v>
      </c>
      <c r="X307">
        <f>IF(V307&lt;=$C$5,11,ROW()-$C$5+1)</f>
        <v>56</v>
      </c>
      <c r="Y307" s="14">
        <f t="shared" si="128"/>
        <v>252</v>
      </c>
      <c r="Z307" s="10">
        <f t="shared" si="136"/>
        <v>0.45000000000000018</v>
      </c>
      <c r="AA307" s="15">
        <f t="shared" si="137"/>
        <v>5.4678007290400989E-2</v>
      </c>
      <c r="AB307" s="15">
        <f t="shared" si="138"/>
        <v>0.59488447455294968</v>
      </c>
      <c r="AC307" s="10">
        <f t="shared" si="129"/>
        <v>7.2282439192338968E-2</v>
      </c>
      <c r="AD307">
        <f t="shared" si="139"/>
        <v>0.14000000000000057</v>
      </c>
      <c r="AE307">
        <f t="shared" si="146"/>
        <v>0.14000000000000057</v>
      </c>
      <c r="AF307">
        <f t="shared" si="147"/>
        <v>0</v>
      </c>
      <c r="AG307">
        <f t="shared" si="155"/>
        <v>0.1324757382233539</v>
      </c>
      <c r="AH307">
        <f t="shared" si="155"/>
        <v>0.11391024759946958</v>
      </c>
      <c r="AI307">
        <f t="shared" si="140"/>
        <v>1.1629834981060192</v>
      </c>
      <c r="AJ307">
        <f t="shared" si="148"/>
        <v>53.767562217851712</v>
      </c>
      <c r="AK307" s="14">
        <f t="shared" si="130"/>
        <v>53.767562217851712</v>
      </c>
      <c r="AM307">
        <f t="shared" si="153"/>
        <v>7.1614583333333481E-2</v>
      </c>
      <c r="AN307" s="14">
        <f t="shared" si="141"/>
        <v>1.7305315203955507E-2</v>
      </c>
      <c r="AO307">
        <f t="shared" si="150"/>
        <v>1</v>
      </c>
      <c r="AP307" s="14">
        <f t="shared" si="151"/>
        <v>0.6</v>
      </c>
      <c r="AQ307">
        <f t="shared" si="142"/>
        <v>9.1460305156658706E-3</v>
      </c>
      <c r="AR307">
        <f t="shared" si="143"/>
        <v>8.1592846882896294E-3</v>
      </c>
      <c r="AS307">
        <f t="shared" si="125"/>
        <v>-7.3778519439499906E-3</v>
      </c>
      <c r="AT307">
        <f t="shared" si="126"/>
        <v>5.0786493586878104E-2</v>
      </c>
      <c r="AU307" s="14">
        <f t="shared" si="131"/>
        <v>-0.14527193005221045</v>
      </c>
      <c r="AV307" s="19">
        <f t="shared" si="127"/>
        <v>1.9040311136681487</v>
      </c>
      <c r="AW307" s="19">
        <f t="shared" si="154"/>
        <v>-7.2376357056693763E-3</v>
      </c>
      <c r="AX307">
        <f t="shared" si="132"/>
        <v>0</v>
      </c>
      <c r="AY307">
        <f>IF(W307,SUMPRODUCT(INDEX(AX:AX,X307):INDEX(AX:AX,X307+Y307)),0)</f>
        <v>31</v>
      </c>
      <c r="AZ307">
        <f>IF(V307,COUNT(INDEX(AX:AX,X307):INDEX(AX:AX,ROW())),0)</f>
        <v>252</v>
      </c>
      <c r="BA307" s="14">
        <f t="shared" si="144"/>
        <v>0.12301587301587301</v>
      </c>
      <c r="BB307" s="6">
        <f t="shared" si="133"/>
        <v>12451990</v>
      </c>
      <c r="BC307" s="6">
        <f>MEDIAN(INDEX(BB:BB,X307):INDEX(BB:BB,X307+Y307-1))</f>
        <v>2081168</v>
      </c>
      <c r="BD307" s="25">
        <f t="shared" si="134"/>
        <v>2081168</v>
      </c>
      <c r="BE307">
        <f t="shared" si="145"/>
        <v>0</v>
      </c>
      <c r="BF307" s="6">
        <f>SUM(INDEX(BE:BE,X307):INDEX(BE:BE,X307+Y307-1))</f>
        <v>1</v>
      </c>
      <c r="BG307" s="25">
        <f t="shared" si="135"/>
        <v>1</v>
      </c>
    </row>
    <row r="308" spans="1:59" x14ac:dyDescent="0.3">
      <c r="A308" s="1">
        <v>44354</v>
      </c>
      <c r="B308">
        <v>8.15</v>
      </c>
      <c r="C308">
        <v>8.15</v>
      </c>
      <c r="D308">
        <v>7.71</v>
      </c>
      <c r="E308">
        <v>8.02</v>
      </c>
      <c r="F308">
        <v>2104100</v>
      </c>
      <c r="G308" s="29">
        <v>0.58953558351345303</v>
      </c>
      <c r="H308" s="29">
        <v>7.3508177495443E-2</v>
      </c>
      <c r="I308" s="29">
        <v>6.4837905236907703E-2</v>
      </c>
      <c r="J308" s="29">
        <v>50.459291168038597</v>
      </c>
      <c r="K308" s="29">
        <v>3.0848329048843E-2</v>
      </c>
      <c r="L308" s="29">
        <v>0.6</v>
      </c>
      <c r="M308" s="29">
        <v>-0.12931452091075099</v>
      </c>
      <c r="N308" s="29">
        <v>1.78315450316554</v>
      </c>
      <c r="O308" s="29">
        <v>-3.2569360675512603E-2</v>
      </c>
      <c r="P308" s="29">
        <v>-2.55164034021871E-2</v>
      </c>
      <c r="Q308" s="29">
        <v>0.119047619047619</v>
      </c>
      <c r="R308" s="30">
        <v>2081168</v>
      </c>
      <c r="S308" s="29">
        <v>1</v>
      </c>
      <c r="T308" s="14">
        <v>395.39499999999998</v>
      </c>
      <c r="U308" s="41"/>
      <c r="V308">
        <v>298</v>
      </c>
      <c r="W308" t="b">
        <f>V308&gt;=$C$4</f>
        <v>1</v>
      </c>
      <c r="X308">
        <f>IF(V308&lt;=$C$5,11,ROW()-$C$5+1)</f>
        <v>57</v>
      </c>
      <c r="Y308" s="14">
        <f t="shared" si="128"/>
        <v>252</v>
      </c>
      <c r="Z308" s="10">
        <f t="shared" si="136"/>
        <v>0.52000000000000046</v>
      </c>
      <c r="AA308" s="15">
        <f t="shared" si="137"/>
        <v>6.4837905236907786E-2</v>
      </c>
      <c r="AB308" s="15">
        <f t="shared" si="138"/>
        <v>0.58953558351345337</v>
      </c>
      <c r="AC308" s="10">
        <f t="shared" si="129"/>
        <v>7.3508177495443069E-2</v>
      </c>
      <c r="AD308">
        <f t="shared" si="139"/>
        <v>-0.21000000000000085</v>
      </c>
      <c r="AE308">
        <f t="shared" si="146"/>
        <v>0</v>
      </c>
      <c r="AF308">
        <f t="shared" si="147"/>
        <v>0.21000000000000085</v>
      </c>
      <c r="AG308">
        <f t="shared" si="155"/>
        <v>0.12301318549311434</v>
      </c>
      <c r="AH308">
        <f t="shared" si="155"/>
        <v>0.12077380134236468</v>
      </c>
      <c r="AI308">
        <f t="shared" si="140"/>
        <v>1.0185419695816442</v>
      </c>
      <c r="AJ308">
        <f t="shared" si="148"/>
        <v>50.459291158198887</v>
      </c>
      <c r="AK308" s="14">
        <f t="shared" si="130"/>
        <v>50.459291158198887</v>
      </c>
      <c r="AM308">
        <f t="shared" si="153"/>
        <v>3.0848329048843048E-2</v>
      </c>
      <c r="AN308" s="14">
        <f t="shared" si="141"/>
        <v>-2.5516403402187193E-2</v>
      </c>
      <c r="AO308">
        <f t="shared" si="150"/>
        <v>0</v>
      </c>
      <c r="AP308" s="14">
        <f t="shared" si="151"/>
        <v>0.6</v>
      </c>
      <c r="AQ308">
        <f t="shared" si="142"/>
        <v>-9.7023844115029512E-4</v>
      </c>
      <c r="AR308">
        <f t="shared" si="143"/>
        <v>-2.4546164961036804E-2</v>
      </c>
      <c r="AS308">
        <f t="shared" si="125"/>
        <v>-6.4549542778093785E-3</v>
      </c>
      <c r="AT308">
        <f t="shared" si="126"/>
        <v>4.9916701019712531E-2</v>
      </c>
      <c r="AU308" s="14">
        <f t="shared" si="131"/>
        <v>-0.12931452091075213</v>
      </c>
      <c r="AV308" s="19">
        <f t="shared" si="127"/>
        <v>1.7831545031655993</v>
      </c>
      <c r="AW308" s="19">
        <f t="shared" si="154"/>
        <v>-3.2569360675512637E-2</v>
      </c>
      <c r="AX308">
        <f t="shared" si="132"/>
        <v>0</v>
      </c>
      <c r="AY308">
        <f>IF(W308,SUMPRODUCT(INDEX(AX:AX,X308):INDEX(AX:AX,X308+Y308)),0)</f>
        <v>30</v>
      </c>
      <c r="AZ308">
        <f>IF(V308,COUNT(INDEX(AX:AX,X308):INDEX(AX:AX,ROW())),0)</f>
        <v>252</v>
      </c>
      <c r="BA308" s="14">
        <f t="shared" si="144"/>
        <v>0.11904761904761904</v>
      </c>
      <c r="BB308" s="6">
        <f t="shared" si="133"/>
        <v>16874882</v>
      </c>
      <c r="BC308" s="6">
        <f>MEDIAN(INDEX(BB:BB,X308):INDEX(BB:BB,X308+Y308-1))</f>
        <v>2081168</v>
      </c>
      <c r="BD308" s="25">
        <f t="shared" si="134"/>
        <v>2081168</v>
      </c>
      <c r="BE308">
        <f t="shared" si="145"/>
        <v>0</v>
      </c>
      <c r="BF308" s="6">
        <f>SUM(INDEX(BE:BE,X308):INDEX(BE:BE,X308+Y308-1))</f>
        <v>1</v>
      </c>
      <c r="BG308" s="25">
        <f t="shared" si="135"/>
        <v>1</v>
      </c>
    </row>
    <row r="309" spans="1:59" x14ac:dyDescent="0.3">
      <c r="A309" s="1">
        <v>44355</v>
      </c>
      <c r="B309">
        <v>8.0500000000000007</v>
      </c>
      <c r="C309">
        <v>13.14</v>
      </c>
      <c r="D309">
        <v>7.83</v>
      </c>
      <c r="E309">
        <v>12.14</v>
      </c>
      <c r="F309">
        <v>20956700</v>
      </c>
      <c r="G309" s="29">
        <v>0.92671161326249196</v>
      </c>
      <c r="H309" s="29">
        <v>7.6335388242379898E-2</v>
      </c>
      <c r="I309" s="29">
        <v>0.43739703459637502</v>
      </c>
      <c r="J309" s="29">
        <v>78.460561149646907</v>
      </c>
      <c r="K309" s="29">
        <v>0.46441495778045799</v>
      </c>
      <c r="L309" s="29">
        <v>0.8</v>
      </c>
      <c r="M309" s="29">
        <v>2.0227389868817499E-2</v>
      </c>
      <c r="N309" s="29">
        <v>1.5944878042393</v>
      </c>
      <c r="O309" s="29">
        <v>0</v>
      </c>
      <c r="P309" s="29">
        <v>0.513715710723192</v>
      </c>
      <c r="Q309" s="29">
        <v>0.115079365079365</v>
      </c>
      <c r="R309" s="30">
        <v>2441349.5</v>
      </c>
      <c r="S309" s="29">
        <v>1</v>
      </c>
      <c r="T309" s="14">
        <v>395.47899999999998</v>
      </c>
      <c r="U309" s="41"/>
      <c r="V309">
        <v>299</v>
      </c>
      <c r="W309" t="b">
        <f>V309&gt;=$C$4</f>
        <v>1</v>
      </c>
      <c r="X309">
        <f>IF(V309&lt;=$C$5,11,ROW()-$C$5+1)</f>
        <v>58</v>
      </c>
      <c r="Y309" s="14">
        <f t="shared" si="128"/>
        <v>252</v>
      </c>
      <c r="Z309" s="10">
        <f t="shared" si="136"/>
        <v>5.3100000000000005</v>
      </c>
      <c r="AA309" s="15">
        <f t="shared" si="137"/>
        <v>0.43739703459637563</v>
      </c>
      <c r="AB309" s="15">
        <f t="shared" si="138"/>
        <v>0.92671161326249241</v>
      </c>
      <c r="AC309" s="10">
        <f t="shared" si="129"/>
        <v>7.6335388242379926E-2</v>
      </c>
      <c r="AD309">
        <f t="shared" si="139"/>
        <v>4.120000000000001</v>
      </c>
      <c r="AE309">
        <f t="shared" si="146"/>
        <v>4.120000000000001</v>
      </c>
      <c r="AF309">
        <f t="shared" si="147"/>
        <v>0</v>
      </c>
      <c r="AG309">
        <f t="shared" si="155"/>
        <v>0.40851224367217764</v>
      </c>
      <c r="AH309">
        <f t="shared" si="155"/>
        <v>0.11214710124648149</v>
      </c>
      <c r="AI309">
        <f t="shared" si="140"/>
        <v>3.6426464806641121</v>
      </c>
      <c r="AJ309">
        <f t="shared" si="148"/>
        <v>78.460561144062083</v>
      </c>
      <c r="AK309" s="14">
        <f t="shared" si="130"/>
        <v>78.460561144062083</v>
      </c>
      <c r="AM309">
        <f t="shared" si="153"/>
        <v>0.4644149577804586</v>
      </c>
      <c r="AN309" s="14">
        <f t="shared" si="141"/>
        <v>0.51371571072319222</v>
      </c>
      <c r="AO309">
        <f t="shared" si="150"/>
        <v>1</v>
      </c>
      <c r="AP309" s="14">
        <f t="shared" si="151"/>
        <v>0.8</v>
      </c>
      <c r="AQ309">
        <f t="shared" si="142"/>
        <v>2.124457820660286E-4</v>
      </c>
      <c r="AR309">
        <f t="shared" si="143"/>
        <v>0.51350326494112597</v>
      </c>
      <c r="AS309">
        <f t="shared" si="125"/>
        <v>1.6660459592717323E-3</v>
      </c>
      <c r="AT309">
        <f t="shared" si="126"/>
        <v>8.2365840084988207E-2</v>
      </c>
      <c r="AU309" s="14">
        <f t="shared" si="131"/>
        <v>2.0227389868817492E-2</v>
      </c>
      <c r="AV309" s="19">
        <f t="shared" si="127"/>
        <v>1.5944878042393593</v>
      </c>
      <c r="AW309" s="19">
        <f t="shared" si="154"/>
        <v>0</v>
      </c>
      <c r="AX309">
        <f t="shared" si="132"/>
        <v>0</v>
      </c>
      <c r="AY309">
        <f>IF(W309,SUMPRODUCT(INDEX(AX:AX,X309):INDEX(AX:AX,X309+Y309)),0)</f>
        <v>29</v>
      </c>
      <c r="AZ309">
        <f>IF(V309,COUNT(INDEX(AX:AX,X309):INDEX(AX:AX,ROW())),0)</f>
        <v>252</v>
      </c>
      <c r="BA309" s="14">
        <f t="shared" si="144"/>
        <v>0.11507936507936507</v>
      </c>
      <c r="BB309" s="6">
        <f t="shared" si="133"/>
        <v>254414338</v>
      </c>
      <c r="BC309" s="6">
        <f>MEDIAN(INDEX(BB:BB,X309):INDEX(BB:BB,X309+Y309-1))</f>
        <v>2441349.5</v>
      </c>
      <c r="BD309" s="25">
        <f t="shared" si="134"/>
        <v>2441349.5</v>
      </c>
      <c r="BE309">
        <f t="shared" si="145"/>
        <v>0</v>
      </c>
      <c r="BF309" s="6">
        <f>SUM(INDEX(BE:BE,X309):INDEX(BE:BE,X309+Y309-1))</f>
        <v>1</v>
      </c>
      <c r="BG309" s="25">
        <f t="shared" si="135"/>
        <v>1</v>
      </c>
    </row>
    <row r="310" spans="1:59" x14ac:dyDescent="0.3">
      <c r="A310" s="1">
        <v>44356</v>
      </c>
      <c r="B310">
        <v>12.487</v>
      </c>
      <c r="C310">
        <v>12.487</v>
      </c>
      <c r="D310">
        <v>10.105</v>
      </c>
      <c r="E310">
        <v>10.62</v>
      </c>
      <c r="F310">
        <v>7342400</v>
      </c>
      <c r="G310" s="29">
        <v>1.03066078374374</v>
      </c>
      <c r="H310" s="29">
        <v>9.7049038017301595E-2</v>
      </c>
      <c r="I310" s="29">
        <v>0.22429378531073399</v>
      </c>
      <c r="J310" s="29">
        <v>64.072068128497193</v>
      </c>
      <c r="K310" s="29">
        <v>0.375647668393782</v>
      </c>
      <c r="L310" s="29">
        <v>0.6</v>
      </c>
      <c r="M310" s="29">
        <v>-2.2127610499434202E-3</v>
      </c>
      <c r="N310" s="29">
        <v>1.71680243678903</v>
      </c>
      <c r="O310" s="29">
        <v>-0.12520593080724801</v>
      </c>
      <c r="P310" s="29">
        <v>-0.12520593080724801</v>
      </c>
      <c r="Q310" s="29">
        <v>0.115079365079365</v>
      </c>
      <c r="R310" s="30">
        <v>2931969</v>
      </c>
      <c r="S310" s="29">
        <v>1</v>
      </c>
      <c r="T310" s="14">
        <v>394.88900000000001</v>
      </c>
      <c r="U310" s="41"/>
      <c r="V310">
        <v>300</v>
      </c>
      <c r="W310" t="b">
        <f>V310&gt;=$C$4</f>
        <v>1</v>
      </c>
      <c r="X310">
        <f>IF(V310&lt;=$C$5,11,ROW()-$C$5+1)</f>
        <v>59</v>
      </c>
      <c r="Y310" s="14">
        <f t="shared" si="128"/>
        <v>252</v>
      </c>
      <c r="Z310" s="10">
        <f t="shared" si="136"/>
        <v>2.3819999999999997</v>
      </c>
      <c r="AA310" s="15">
        <f t="shared" si="137"/>
        <v>0.22429378531073446</v>
      </c>
      <c r="AB310" s="15">
        <f t="shared" si="138"/>
        <v>1.0306607837437429</v>
      </c>
      <c r="AC310" s="10">
        <f t="shared" si="129"/>
        <v>9.7049038017301595E-2</v>
      </c>
      <c r="AD310">
        <f t="shared" si="139"/>
        <v>-1.5200000000000014</v>
      </c>
      <c r="AE310">
        <f t="shared" si="146"/>
        <v>0</v>
      </c>
      <c r="AF310">
        <f t="shared" si="147"/>
        <v>1.5200000000000014</v>
      </c>
      <c r="AG310">
        <f t="shared" si="155"/>
        <v>0.37933279769559353</v>
      </c>
      <c r="AH310">
        <f t="shared" si="155"/>
        <v>0.21270802258601865</v>
      </c>
      <c r="AI310">
        <f t="shared" si="140"/>
        <v>1.7833497443294233</v>
      </c>
      <c r="AJ310">
        <f t="shared" si="148"/>
        <v>64.072068124484858</v>
      </c>
      <c r="AK310" s="14">
        <f t="shared" si="130"/>
        <v>64.072068124484858</v>
      </c>
      <c r="AM310">
        <f t="shared" si="153"/>
        <v>0.37564766839378239</v>
      </c>
      <c r="AN310" s="14">
        <f t="shared" si="141"/>
        <v>-0.12520593080724884</v>
      </c>
      <c r="AO310">
        <f t="shared" si="150"/>
        <v>0</v>
      </c>
      <c r="AP310" s="14">
        <f t="shared" si="151"/>
        <v>0.6</v>
      </c>
      <c r="AQ310">
        <f t="shared" si="142"/>
        <v>-1.4918617676286106E-3</v>
      </c>
      <c r="AR310">
        <f t="shared" si="143"/>
        <v>-0.1237140690396194</v>
      </c>
      <c r="AS310">
        <f t="shared" si="125"/>
        <v>-1.8556835061397803E-4</v>
      </c>
      <c r="AT310">
        <f t="shared" si="126"/>
        <v>8.3862805981120336E-2</v>
      </c>
      <c r="AU310" s="14">
        <f t="shared" si="131"/>
        <v>-2.2127610499433352E-3</v>
      </c>
      <c r="AV310" s="19">
        <f t="shared" si="127"/>
        <v>1.7168024367890906</v>
      </c>
      <c r="AW310" s="19">
        <f t="shared" si="154"/>
        <v>-0.12520593080724884</v>
      </c>
      <c r="AX310">
        <f t="shared" si="132"/>
        <v>0</v>
      </c>
      <c r="AY310">
        <f>IF(W310,SUMPRODUCT(INDEX(AX:AX,X310):INDEX(AX:AX,X310+Y310)),0)</f>
        <v>29</v>
      </c>
      <c r="AZ310">
        <f>IF(V310,COUNT(INDEX(AX:AX,X310):INDEX(AX:AX,ROW())),0)</f>
        <v>252</v>
      </c>
      <c r="BA310" s="14">
        <f t="shared" si="144"/>
        <v>0.11507936507936507</v>
      </c>
      <c r="BB310" s="6">
        <f t="shared" si="133"/>
        <v>77976288</v>
      </c>
      <c r="BC310" s="6">
        <f>MEDIAN(INDEX(BB:BB,X310):INDEX(BB:BB,X310+Y310-1))</f>
        <v>2931969</v>
      </c>
      <c r="BD310" s="25">
        <f t="shared" si="134"/>
        <v>2931969</v>
      </c>
      <c r="BE310">
        <f t="shared" si="145"/>
        <v>0</v>
      </c>
      <c r="BF310" s="6">
        <f>SUM(INDEX(BE:BE,X310):INDEX(BE:BE,X310+Y310-1))</f>
        <v>1</v>
      </c>
      <c r="BG310" s="25">
        <f t="shared" si="135"/>
        <v>1</v>
      </c>
    </row>
    <row r="311" spans="1:59" x14ac:dyDescent="0.3">
      <c r="U311" s="41"/>
      <c r="Z311" s="14"/>
      <c r="AA311" s="19"/>
      <c r="AB311" s="19"/>
      <c r="AC311" s="14"/>
      <c r="AK311" s="14"/>
      <c r="AN311" s="14"/>
      <c r="AP311" s="14"/>
      <c r="AU311" s="14"/>
      <c r="AV311" s="19"/>
      <c r="AW311" s="19"/>
      <c r="BA311" s="14"/>
      <c r="BD311" s="14"/>
      <c r="BG311" s="14"/>
    </row>
    <row r="312" spans="1:59" x14ac:dyDescent="0.3">
      <c r="U312" s="41"/>
      <c r="Z312" s="14"/>
      <c r="AA312" s="19"/>
      <c r="AB312" s="19"/>
      <c r="AC312" s="14"/>
      <c r="AK312" s="14"/>
      <c r="AN312" s="14"/>
      <c r="AP312" s="14"/>
      <c r="AU312" s="14"/>
      <c r="AV312" s="19"/>
      <c r="AW312" s="19"/>
      <c r="BA312" s="14"/>
      <c r="BD312" s="14"/>
      <c r="BG312" s="14"/>
    </row>
    <row r="313" spans="1:59" x14ac:dyDescent="0.3">
      <c r="U313" s="41"/>
      <c r="Z313" s="14"/>
      <c r="AA313" s="19"/>
      <c r="AB313" s="19"/>
      <c r="AC313" s="14"/>
      <c r="AK313" s="14"/>
      <c r="AN313" s="14"/>
      <c r="AP313" s="14"/>
      <c r="AU313" s="14"/>
      <c r="AV313" s="19"/>
      <c r="AW313" s="19"/>
      <c r="BA313" s="14"/>
      <c r="BD313" s="14"/>
      <c r="BG313" s="14"/>
    </row>
  </sheetData>
  <mergeCells count="10">
    <mergeCell ref="BE9:BG9"/>
    <mergeCell ref="AD9:AK9"/>
    <mergeCell ref="AL9:AN9"/>
    <mergeCell ref="AO9:AP9"/>
    <mergeCell ref="A9:T9"/>
    <mergeCell ref="A4:B4"/>
    <mergeCell ref="A5:B5"/>
    <mergeCell ref="AQ9:AU9"/>
    <mergeCell ref="AX9:BA9"/>
    <mergeCell ref="BB9:BD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312"/>
  <sheetViews>
    <sheetView tabSelected="1" workbookViewId="0">
      <selection activeCell="F6" sqref="F6:F7"/>
    </sheetView>
  </sheetViews>
  <sheetFormatPr defaultRowHeight="14.4" x14ac:dyDescent="0.3"/>
  <cols>
    <col min="1" max="1" width="9.77734375" customWidth="1"/>
    <col min="2" max="20" width="8.88671875" customWidth="1"/>
    <col min="26" max="37" width="8.88671875" customWidth="1"/>
    <col min="39" max="39" width="8.88671875" style="14"/>
    <col min="40" max="40" width="8.88671875" style="36" customWidth="1"/>
    <col min="41" max="53" width="8.88671875" customWidth="1"/>
    <col min="54" max="54" width="10" customWidth="1"/>
    <col min="55" max="56" width="8.88671875" customWidth="1"/>
  </cols>
  <sheetData>
    <row r="1" spans="1:60" x14ac:dyDescent="0.3"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U1" s="21"/>
      <c r="Y1" s="14"/>
      <c r="Z1" s="10"/>
      <c r="AA1" s="15"/>
      <c r="AB1" s="15"/>
      <c r="AC1" s="10"/>
      <c r="AK1" s="14"/>
      <c r="AP1" s="14"/>
      <c r="AU1" s="14"/>
      <c r="AV1" s="19"/>
      <c r="AW1" s="19"/>
      <c r="BA1" s="14"/>
      <c r="BD1" s="14"/>
      <c r="BG1" s="14"/>
    </row>
    <row r="2" spans="1:60" ht="16.8" customHeight="1" x14ac:dyDescent="0.3"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U2" s="21"/>
      <c r="Y2" s="14"/>
      <c r="Z2" s="10"/>
      <c r="AA2" s="15"/>
      <c r="AB2" s="15"/>
      <c r="AC2" s="10"/>
      <c r="AK2" s="14"/>
      <c r="AP2" s="14"/>
      <c r="AU2" s="14"/>
      <c r="AV2" s="19"/>
      <c r="AW2" s="19"/>
      <c r="BA2" s="14"/>
      <c r="BD2" s="14"/>
      <c r="BG2" s="14"/>
    </row>
    <row r="3" spans="1:60" x14ac:dyDescent="0.3">
      <c r="A3" s="1" t="s">
        <v>58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U3" s="21"/>
      <c r="Y3" s="14"/>
      <c r="Z3" s="10"/>
      <c r="AA3" s="15"/>
      <c r="AB3" s="15"/>
      <c r="AC3" s="10"/>
      <c r="AK3" s="14"/>
      <c r="AP3" s="14"/>
      <c r="AU3" s="14"/>
      <c r="AV3" s="19"/>
      <c r="AW3" s="19"/>
      <c r="BA3" s="14"/>
      <c r="BD3" s="14"/>
      <c r="BG3" s="14"/>
    </row>
    <row r="4" spans="1:60" x14ac:dyDescent="0.3">
      <c r="A4" s="56" t="s">
        <v>59</v>
      </c>
      <c r="B4" s="56"/>
      <c r="C4">
        <v>126</v>
      </c>
      <c r="D4" s="2"/>
      <c r="E4" s="2"/>
      <c r="F4" s="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U4" s="21"/>
      <c r="V4" s="2"/>
      <c r="W4" s="2"/>
      <c r="X4" s="2"/>
      <c r="Y4" s="14"/>
      <c r="Z4" s="11"/>
      <c r="AA4" s="16"/>
      <c r="AB4" s="16"/>
      <c r="AC4" s="11"/>
      <c r="AD4" s="2"/>
      <c r="AE4" s="2"/>
      <c r="AF4" s="2"/>
      <c r="AG4" s="2"/>
      <c r="AH4" s="2"/>
      <c r="AI4" s="2"/>
      <c r="AJ4" s="2"/>
      <c r="AK4" s="11"/>
      <c r="AL4" s="2"/>
      <c r="AM4" s="11"/>
      <c r="AN4" s="37"/>
      <c r="AO4" s="2"/>
      <c r="AP4" s="11"/>
      <c r="AQ4" s="2"/>
      <c r="AR4" s="2"/>
      <c r="AS4" s="2"/>
      <c r="AT4" s="2"/>
      <c r="AU4" s="11"/>
      <c r="AV4" s="16"/>
      <c r="AW4" s="16"/>
      <c r="AX4" s="2"/>
      <c r="AY4" s="2"/>
      <c r="AZ4" s="2"/>
      <c r="BA4" s="11"/>
      <c r="BB4" s="2"/>
      <c r="BC4" s="2"/>
      <c r="BD4" s="11"/>
      <c r="BE4" s="2"/>
      <c r="BG4" s="14"/>
    </row>
    <row r="5" spans="1:60" x14ac:dyDescent="0.3">
      <c r="A5" s="56" t="s">
        <v>60</v>
      </c>
      <c r="B5" s="56"/>
      <c r="C5">
        <v>252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U5" s="21"/>
      <c r="Y5" s="14"/>
      <c r="Z5" s="10"/>
      <c r="AA5" s="15"/>
      <c r="AB5" s="15"/>
      <c r="AC5" s="10"/>
      <c r="AK5" s="14"/>
      <c r="AP5" s="14"/>
      <c r="AU5" s="14"/>
      <c r="AV5" s="19"/>
      <c r="AW5" s="19"/>
      <c r="BA5" s="14"/>
      <c r="BD5" s="14"/>
      <c r="BG5" s="14"/>
    </row>
    <row r="6" spans="1:60" x14ac:dyDescent="0.3"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U6" s="21"/>
      <c r="Y6" s="14"/>
      <c r="Z6" s="10"/>
      <c r="AA6" s="15"/>
      <c r="AB6" s="15"/>
      <c r="AC6" s="10"/>
      <c r="AK6" s="14"/>
      <c r="AP6" s="14"/>
      <c r="AU6" s="14"/>
      <c r="AV6" s="19"/>
      <c r="AW6" s="19"/>
      <c r="BA6" s="14"/>
      <c r="BD6" s="14"/>
      <c r="BG6" s="14"/>
    </row>
    <row r="7" spans="1:60" x14ac:dyDescent="0.3"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U7" s="21"/>
      <c r="Y7" s="14"/>
      <c r="Z7" s="10"/>
      <c r="AA7" s="15"/>
      <c r="AB7" s="15"/>
      <c r="AC7" s="10"/>
      <c r="AK7" s="14"/>
      <c r="AP7" s="14"/>
      <c r="AU7" s="14"/>
      <c r="AV7" s="19"/>
      <c r="AW7" s="19"/>
      <c r="BA7" s="14"/>
      <c r="BD7" s="14"/>
      <c r="BG7" s="14"/>
    </row>
    <row r="8" spans="1:60" x14ac:dyDescent="0.3">
      <c r="A8" s="1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U8" s="21"/>
      <c r="Y8" s="14"/>
      <c r="Z8" s="10"/>
      <c r="AA8" s="15"/>
      <c r="AB8" s="15"/>
      <c r="AC8" s="10"/>
      <c r="AK8" s="14"/>
      <c r="AP8" s="14"/>
      <c r="AU8" s="14"/>
      <c r="AV8" s="19"/>
      <c r="AW8" s="19"/>
      <c r="BA8" s="14"/>
      <c r="BD8" s="14"/>
      <c r="BG8" s="14"/>
    </row>
    <row r="9" spans="1:60" ht="28.8" x14ac:dyDescent="0.3">
      <c r="A9" s="9"/>
      <c r="B9" s="9"/>
      <c r="C9" s="9"/>
      <c r="D9" s="9"/>
      <c r="E9" s="9"/>
      <c r="F9" s="9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9"/>
      <c r="U9" s="22"/>
      <c r="V9" s="31"/>
      <c r="W9" s="31"/>
      <c r="X9" s="31"/>
      <c r="Y9" s="35"/>
      <c r="Z9" s="12" t="s">
        <v>44</v>
      </c>
      <c r="AA9" s="17" t="s">
        <v>45</v>
      </c>
      <c r="AB9" s="28" t="s">
        <v>46</v>
      </c>
      <c r="AC9" s="27" t="s">
        <v>47</v>
      </c>
      <c r="AD9" s="51" t="s">
        <v>54</v>
      </c>
      <c r="AE9" s="52"/>
      <c r="AF9" s="52"/>
      <c r="AG9" s="52"/>
      <c r="AH9" s="52"/>
      <c r="AI9" s="52"/>
      <c r="AJ9" s="52"/>
      <c r="AK9" s="53"/>
      <c r="AL9" s="51" t="s">
        <v>48</v>
      </c>
      <c r="AM9" s="53"/>
      <c r="AN9" s="51" t="s">
        <v>49</v>
      </c>
      <c r="AO9" s="52"/>
      <c r="AP9" s="53"/>
      <c r="AQ9" s="51" t="s">
        <v>50</v>
      </c>
      <c r="AR9" s="52"/>
      <c r="AS9" s="52"/>
      <c r="AT9" s="52"/>
      <c r="AU9" s="53"/>
      <c r="AV9" s="17" t="s">
        <v>51</v>
      </c>
      <c r="AW9" s="17" t="s">
        <v>52</v>
      </c>
      <c r="AX9" s="51" t="s">
        <v>61</v>
      </c>
      <c r="AY9" s="52"/>
      <c r="AZ9" s="52"/>
      <c r="BA9" s="53"/>
      <c r="BB9" s="51" t="s">
        <v>53</v>
      </c>
      <c r="BC9" s="52"/>
      <c r="BD9" s="53"/>
      <c r="BE9" s="51" t="s">
        <v>57</v>
      </c>
      <c r="BF9" s="52"/>
      <c r="BG9" s="53"/>
      <c r="BH9" s="9"/>
    </row>
    <row r="10" spans="1:60" ht="86.4" x14ac:dyDescent="0.3">
      <c r="A10" s="3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0</v>
      </c>
      <c r="G10" s="32" t="s">
        <v>1</v>
      </c>
      <c r="H10" s="32" t="s">
        <v>2</v>
      </c>
      <c r="I10" s="32" t="s">
        <v>3</v>
      </c>
      <c r="J10" s="32" t="s">
        <v>4</v>
      </c>
      <c r="K10" s="32" t="s">
        <v>5</v>
      </c>
      <c r="L10" s="32" t="s">
        <v>6</v>
      </c>
      <c r="M10" s="32" t="s">
        <v>7</v>
      </c>
      <c r="N10" s="32" t="s">
        <v>8</v>
      </c>
      <c r="O10" s="32" t="s">
        <v>9</v>
      </c>
      <c r="P10" s="32" t="s">
        <v>10</v>
      </c>
      <c r="Q10" s="32" t="s">
        <v>11</v>
      </c>
      <c r="R10" s="32" t="s">
        <v>12</v>
      </c>
      <c r="S10" s="32" t="s">
        <v>13</v>
      </c>
      <c r="T10" s="2" t="s">
        <v>29</v>
      </c>
      <c r="U10" s="23"/>
      <c r="V10" s="2" t="s">
        <v>35</v>
      </c>
      <c r="W10" s="2" t="s">
        <v>36</v>
      </c>
      <c r="X10" s="2" t="s">
        <v>39</v>
      </c>
      <c r="Y10" s="11" t="s">
        <v>40</v>
      </c>
      <c r="Z10" s="11" t="s">
        <v>19</v>
      </c>
      <c r="AA10" s="16" t="s">
        <v>3</v>
      </c>
      <c r="AB10" s="16" t="s">
        <v>1</v>
      </c>
      <c r="AC10" s="11" t="s">
        <v>2</v>
      </c>
      <c r="AD10" s="2" t="s">
        <v>20</v>
      </c>
      <c r="AE10" s="2" t="s">
        <v>21</v>
      </c>
      <c r="AF10" s="2" t="s">
        <v>22</v>
      </c>
      <c r="AG10" s="2" t="s">
        <v>23</v>
      </c>
      <c r="AH10" s="2" t="s">
        <v>24</v>
      </c>
      <c r="AI10" s="2" t="s">
        <v>25</v>
      </c>
      <c r="AJ10" s="2" t="s">
        <v>26</v>
      </c>
      <c r="AK10" s="11" t="s">
        <v>4</v>
      </c>
      <c r="AL10" s="2" t="s">
        <v>27</v>
      </c>
      <c r="AM10" s="11" t="s">
        <v>5</v>
      </c>
      <c r="AN10" s="37" t="s">
        <v>10</v>
      </c>
      <c r="AO10" s="2" t="s">
        <v>28</v>
      </c>
      <c r="AP10" s="11" t="s">
        <v>6</v>
      </c>
      <c r="AQ10" s="2" t="s">
        <v>30</v>
      </c>
      <c r="AR10" s="2" t="s">
        <v>31</v>
      </c>
      <c r="AS10" s="2" t="s">
        <v>32</v>
      </c>
      <c r="AT10" s="2" t="s">
        <v>33</v>
      </c>
      <c r="AU10" s="11" t="s">
        <v>7</v>
      </c>
      <c r="AV10" s="16" t="s">
        <v>8</v>
      </c>
      <c r="AW10" s="39" t="s">
        <v>9</v>
      </c>
      <c r="AX10" s="2" t="s">
        <v>34</v>
      </c>
      <c r="AY10" s="2" t="s">
        <v>37</v>
      </c>
      <c r="AZ10" s="2" t="s">
        <v>38</v>
      </c>
      <c r="BA10" s="11" t="s">
        <v>11</v>
      </c>
      <c r="BB10" s="2" t="s">
        <v>41</v>
      </c>
      <c r="BC10" s="2" t="s">
        <v>12</v>
      </c>
      <c r="BD10" s="11" t="s">
        <v>42</v>
      </c>
      <c r="BE10" s="2" t="s">
        <v>43</v>
      </c>
      <c r="BF10" s="2" t="s">
        <v>55</v>
      </c>
      <c r="BG10" s="11" t="s">
        <v>56</v>
      </c>
    </row>
    <row r="11" spans="1:60" x14ac:dyDescent="0.3">
      <c r="A11" s="1">
        <v>45369</v>
      </c>
      <c r="B11">
        <v>27.041499999999999</v>
      </c>
      <c r="C11">
        <v>27.041499999999999</v>
      </c>
      <c r="D11">
        <v>27.041499999999999</v>
      </c>
      <c r="E11">
        <v>27.041499999999999</v>
      </c>
      <c r="F11">
        <v>1665</v>
      </c>
      <c r="G11" s="29">
        <v>0.45903323513029498</v>
      </c>
      <c r="H11" s="29">
        <v>1.6975139512611901E-2</v>
      </c>
      <c r="I11" s="29">
        <v>1.0983118540022401E-3</v>
      </c>
      <c r="J11" s="29">
        <v>50.760371869098599</v>
      </c>
      <c r="K11" s="29">
        <v>1.542199258002E-2</v>
      </c>
      <c r="L11" s="29">
        <v>0.2</v>
      </c>
      <c r="M11" s="29">
        <v>-4.9954039335596397E-2</v>
      </c>
      <c r="N11" s="29">
        <v>1.04292143402125</v>
      </c>
      <c r="O11" s="29">
        <v>-2.71896910851053E-2</v>
      </c>
      <c r="P11" s="29">
        <v>-1.0971068885015001E-3</v>
      </c>
      <c r="Q11" s="29">
        <v>3.9682539682539602E-3</v>
      </c>
      <c r="R11" s="30">
        <v>230685.87145000001</v>
      </c>
      <c r="S11" s="29">
        <v>1</v>
      </c>
      <c r="T11">
        <v>502.04199999999997</v>
      </c>
      <c r="U11" s="21"/>
      <c r="V11">
        <v>1</v>
      </c>
      <c r="W11" t="b">
        <f>V11&gt;=$C$4</f>
        <v>0</v>
      </c>
      <c r="X11">
        <f>IF(V11&lt;=$C$5,11,ROW()-$C$5+1)</f>
        <v>11</v>
      </c>
      <c r="Y11" s="14">
        <f t="shared" ref="Y11:Y74" si="0">ROW()-X11+1</f>
        <v>1</v>
      </c>
      <c r="Z11" s="10"/>
      <c r="AA11" s="15"/>
      <c r="AB11" s="15">
        <f>G11</f>
        <v>0.45903323513029498</v>
      </c>
      <c r="AC11" s="10">
        <f t="shared" ref="AC11:AC74" si="1">AB11/E11</f>
        <v>1.6975139512611911E-2</v>
      </c>
      <c r="AK11" s="14">
        <f t="shared" ref="AK11:AK74" si="2">IF(AH11=0,
    IF(AG11=0, 50, 100),
    IF(AG11=0, 0, 100-(100/(1+AG11/AH11)))
)</f>
        <v>50</v>
      </c>
      <c r="AL11">
        <v>1</v>
      </c>
      <c r="AP11" s="14"/>
      <c r="AU11" s="14"/>
      <c r="AV11" s="19"/>
      <c r="AW11" s="19"/>
      <c r="AX11">
        <f t="shared" ref="AX11:AX74" si="3">IF(OR(F11=0,C11=D11),1,0)</f>
        <v>1</v>
      </c>
      <c r="AY11">
        <f>IF(W11,SUMPRODUCT(INDEX(AX:AX,X11):INDEX(AX:AX,X11+Y11)),0)</f>
        <v>0</v>
      </c>
      <c r="AZ11">
        <f>IF(V11,COUNT(INDEX(AX:AX,X11):INDEX(AX:AX,ROW())),0)</f>
        <v>1</v>
      </c>
      <c r="BA11" s="14" t="str">
        <f>IF(W11,AY11/AZ11,"")</f>
        <v/>
      </c>
      <c r="BB11" s="6">
        <f t="shared" ref="BB11:BB74" si="4">E11*F11</f>
        <v>45024.097499999996</v>
      </c>
      <c r="BC11" s="6">
        <f>MEDIAN(INDEX(BB:BB,X11):INDEX(BB:BB,X11+Y11-1))</f>
        <v>45024.097499999996</v>
      </c>
      <c r="BD11" s="25" t="str">
        <f t="shared" ref="BD11:BD74" si="5">IF(W11,BC11,"")</f>
        <v/>
      </c>
      <c r="BF11" s="6">
        <f>SUM(INDEX(BE:BE,X11):INDEX(BE:BE,X11+Y11-1))</f>
        <v>0</v>
      </c>
      <c r="BG11" s="25" t="str">
        <f t="shared" ref="BG11:BG74" si="6">IF(W11,BF11,"")</f>
        <v/>
      </c>
    </row>
    <row r="12" spans="1:60" x14ac:dyDescent="0.3">
      <c r="A12" s="1">
        <v>45370</v>
      </c>
      <c r="B12">
        <v>27.143799999999999</v>
      </c>
      <c r="C12">
        <v>27.143799999999999</v>
      </c>
      <c r="D12">
        <v>27.143799999999999</v>
      </c>
      <c r="E12">
        <v>27.143799999999999</v>
      </c>
      <c r="F12">
        <v>1968</v>
      </c>
      <c r="G12" s="29">
        <v>0.43355228976384602</v>
      </c>
      <c r="H12" s="29">
        <v>1.5972424264983E-2</v>
      </c>
      <c r="I12" s="29">
        <v>3.7688164516390299E-3</v>
      </c>
      <c r="J12" s="29">
        <v>52.364309605222999</v>
      </c>
      <c r="K12" s="29">
        <v>2.3058947685813399E-2</v>
      </c>
      <c r="L12" s="29">
        <v>0.4</v>
      </c>
      <c r="M12" s="29">
        <v>-3.6113873989714898E-2</v>
      </c>
      <c r="N12" s="29">
        <v>1.02909859269369</v>
      </c>
      <c r="O12" s="29">
        <v>-2.3509477539185499E-2</v>
      </c>
      <c r="P12" s="29">
        <v>3.7830741637851998E-3</v>
      </c>
      <c r="Q12" s="29">
        <v>7.9365079365079309E-3</v>
      </c>
      <c r="R12" s="30">
        <v>230586.4687</v>
      </c>
      <c r="S12" s="29">
        <v>1</v>
      </c>
      <c r="T12" s="2">
        <v>504.83199999999999</v>
      </c>
      <c r="U12" s="23"/>
      <c r="V12">
        <v>2</v>
      </c>
      <c r="W12" t="b">
        <f>V12&gt;=$C$4</f>
        <v>0</v>
      </c>
      <c r="X12">
        <f>IF(V12&lt;=$C$5,11,ROW()-$C$5+1)</f>
        <v>11</v>
      </c>
      <c r="Y12" s="14">
        <f t="shared" si="0"/>
        <v>2</v>
      </c>
      <c r="Z12" s="10">
        <f t="shared" ref="Z12:Z75" si="7">MAX(C12-D12,ABS(C12-E11),ABS(D12-E11))</f>
        <v>0.10229999999999961</v>
      </c>
      <c r="AA12" s="15">
        <f t="shared" ref="AA12:AA75" si="8">Z12/E12</f>
        <v>3.7688164516390343E-3</v>
      </c>
      <c r="AB12" s="15">
        <f t="shared" ref="AB12:AB75" si="9">(Z12+13*AB11)/14</f>
        <v>0.43355228976384536</v>
      </c>
      <c r="AC12" s="10">
        <f t="shared" si="1"/>
        <v>1.5972424264982993E-2</v>
      </c>
      <c r="AD12">
        <f t="shared" ref="AD12:AD75" si="10">E12-E11</f>
        <v>0.10229999999999961</v>
      </c>
      <c r="AE12" s="4">
        <f>MAX($AD12,0)</f>
        <v>0.10229999999999961</v>
      </c>
      <c r="AF12" s="4">
        <f>MAX(-$AD12,0)</f>
        <v>0</v>
      </c>
      <c r="AG12">
        <f>AE12</f>
        <v>0.10229999999999961</v>
      </c>
      <c r="AH12">
        <f>AF12</f>
        <v>0</v>
      </c>
      <c r="AI12" t="e">
        <f t="shared" ref="AI12:AI75" si="11">AG12/AH12</f>
        <v>#DIV/0!</v>
      </c>
      <c r="AJ12" t="e">
        <f>(100-(100/(1+AI12)))</f>
        <v>#DIV/0!</v>
      </c>
      <c r="AK12" s="14">
        <f t="shared" si="2"/>
        <v>100</v>
      </c>
      <c r="AL12">
        <v>-21</v>
      </c>
      <c r="AN12" s="36">
        <f t="shared" ref="AN12:AN75" si="12">E12/E11-1</f>
        <v>3.783074163785205E-3</v>
      </c>
      <c r="AO12">
        <f t="shared" ref="AO12:AO77" si="13">IF(AN12&gt;0,1,0)</f>
        <v>1</v>
      </c>
      <c r="AP12" s="14"/>
      <c r="AQ12">
        <f t="shared" ref="AQ12:AQ75" si="14">T12/T11-1</f>
        <v>5.557303970584071E-3</v>
      </c>
      <c r="AR12">
        <f t="shared" ref="AR12:AR75" si="15">P12-AQ12</f>
        <v>-1.7742298067988712E-3</v>
      </c>
      <c r="AU12" s="14"/>
      <c r="AV12" s="19"/>
      <c r="AW12" s="19"/>
      <c r="AX12">
        <f t="shared" si="3"/>
        <v>1</v>
      </c>
      <c r="AY12">
        <f>IF(W12,SUMPRODUCT(INDEX(AX:AX,X12):INDEX(AX:AX,X12+Y12)),0)</f>
        <v>0</v>
      </c>
      <c r="AZ12">
        <f>IF(V12,COUNT(INDEX(AX:AX,X12):INDEX(AX:AX,ROW())),0)</f>
        <v>2</v>
      </c>
      <c r="BA12" s="14" t="str">
        <f t="shared" ref="BA12:BA75" si="16">IF(W12,AY12/AZ12,"")</f>
        <v/>
      </c>
      <c r="BB12" s="6">
        <f t="shared" si="4"/>
        <v>53418.998399999997</v>
      </c>
      <c r="BC12" s="6">
        <f>MEDIAN(INDEX(BB:BB,X12):INDEX(BB:BB,X12+Y12-1))</f>
        <v>49221.547949999993</v>
      </c>
      <c r="BD12" s="25" t="str">
        <f t="shared" si="5"/>
        <v/>
      </c>
      <c r="BE12">
        <f t="shared" ref="BE12:BE75" si="17">IF(F11=F12,1,0)</f>
        <v>0</v>
      </c>
      <c r="BF12" s="6">
        <f>SUM(INDEX(BE:BE,X12):INDEX(BE:BE,X12+Y12-1))</f>
        <v>0</v>
      </c>
      <c r="BG12" s="25" t="str">
        <f t="shared" si="6"/>
        <v/>
      </c>
    </row>
    <row r="13" spans="1:60" x14ac:dyDescent="0.3">
      <c r="A13" s="1">
        <v>45371</v>
      </c>
      <c r="B13">
        <v>27.306899999999999</v>
      </c>
      <c r="C13">
        <v>27.797499999999999</v>
      </c>
      <c r="D13">
        <v>27.306899999999999</v>
      </c>
      <c r="E13">
        <v>27.797499999999999</v>
      </c>
      <c r="F13">
        <v>2574</v>
      </c>
      <c r="G13" s="29">
        <v>0.449277126209285</v>
      </c>
      <c r="H13" s="29">
        <v>1.61625011677052E-2</v>
      </c>
      <c r="I13" s="29">
        <v>2.3516503282669299E-2</v>
      </c>
      <c r="J13" s="29">
        <v>61.087074352221698</v>
      </c>
      <c r="K13" s="29">
        <v>4.53607006802976E-2</v>
      </c>
      <c r="L13" s="29">
        <v>0.4</v>
      </c>
      <c r="M13" s="29">
        <v>-3.45477269794963E-3</v>
      </c>
      <c r="N13" s="29">
        <v>1.0772181076409</v>
      </c>
      <c r="O13" s="29">
        <v>0</v>
      </c>
      <c r="P13" s="29">
        <v>2.408284764845E-2</v>
      </c>
      <c r="Q13" s="29">
        <v>7.9365079365079309E-3</v>
      </c>
      <c r="R13" s="30">
        <v>230248.58970000001</v>
      </c>
      <c r="S13" s="29">
        <v>1</v>
      </c>
      <c r="T13">
        <v>509.50200000000001</v>
      </c>
      <c r="U13" s="21"/>
      <c r="V13">
        <v>3</v>
      </c>
      <c r="W13" t="b">
        <f>V13&gt;=$C$4</f>
        <v>0</v>
      </c>
      <c r="X13">
        <f>IF(V13&lt;=$C$5,11,ROW()-$C$5+1)</f>
        <v>11</v>
      </c>
      <c r="Y13" s="14">
        <f t="shared" si="0"/>
        <v>3</v>
      </c>
      <c r="Z13" s="10">
        <f t="shared" si="7"/>
        <v>0.65370000000000061</v>
      </c>
      <c r="AA13" s="15">
        <f t="shared" si="8"/>
        <v>2.3516503282669327E-2</v>
      </c>
      <c r="AB13" s="15">
        <f t="shared" si="9"/>
        <v>0.44927712620928506</v>
      </c>
      <c r="AC13" s="10">
        <f t="shared" si="1"/>
        <v>1.6162501167705193E-2</v>
      </c>
      <c r="AD13">
        <f t="shared" si="10"/>
        <v>0.65370000000000061</v>
      </c>
      <c r="AE13">
        <f t="shared" ref="AE13:AE76" si="18">MAX($AD13,0)</f>
        <v>0.65370000000000061</v>
      </c>
      <c r="AF13">
        <f t="shared" ref="AF13:AF76" si="19">MAX(-$AD13,0)</f>
        <v>0</v>
      </c>
      <c r="AG13">
        <f>(AE13+13*AG12)/14</f>
        <v>0.14168571428571397</v>
      </c>
      <c r="AH13">
        <f>(AF13+13*AH12)/14</f>
        <v>0</v>
      </c>
      <c r="AI13" t="e">
        <f t="shared" si="11"/>
        <v>#DIV/0!</v>
      </c>
      <c r="AJ13" t="e">
        <f t="shared" ref="AJ13:AJ76" si="20">(100-(100/(1+AI13)))</f>
        <v>#DIV/0!</v>
      </c>
      <c r="AK13" s="14">
        <f t="shared" si="2"/>
        <v>100</v>
      </c>
      <c r="AL13">
        <v>-20</v>
      </c>
      <c r="AN13" s="36">
        <f t="shared" si="12"/>
        <v>2.4082847648450034E-2</v>
      </c>
      <c r="AO13">
        <f t="shared" si="13"/>
        <v>1</v>
      </c>
      <c r="AP13" s="14"/>
      <c r="AQ13">
        <f t="shared" si="14"/>
        <v>9.250602180527423E-3</v>
      </c>
      <c r="AR13">
        <f t="shared" si="15"/>
        <v>1.4832245467922577E-2</v>
      </c>
      <c r="AU13" s="14"/>
      <c r="AV13" s="19"/>
      <c r="AW13" s="19"/>
      <c r="AX13">
        <f t="shared" si="3"/>
        <v>0</v>
      </c>
      <c r="AY13">
        <f>IF(W13,SUMPRODUCT(INDEX(AX:AX,X13):INDEX(AX:AX,X13+Y13)),0)</f>
        <v>0</v>
      </c>
      <c r="AZ13">
        <f>IF(V13,COUNT(INDEX(AX:AX,X13):INDEX(AX:AX,ROW())),0)</f>
        <v>3</v>
      </c>
      <c r="BA13" s="14" t="str">
        <f t="shared" si="16"/>
        <v/>
      </c>
      <c r="BB13" s="6">
        <f t="shared" si="4"/>
        <v>71550.764999999999</v>
      </c>
      <c r="BC13" s="6">
        <f>MEDIAN(INDEX(BB:BB,X13):INDEX(BB:BB,X13+Y13-1))</f>
        <v>53418.998399999997</v>
      </c>
      <c r="BD13" s="25" t="str">
        <f t="shared" si="5"/>
        <v/>
      </c>
      <c r="BE13">
        <f t="shared" si="17"/>
        <v>0</v>
      </c>
      <c r="BF13" s="6">
        <f>SUM(INDEX(BE:BE,X13):INDEX(BE:BE,X13+Y13-1))</f>
        <v>0</v>
      </c>
      <c r="BG13" s="25" t="str">
        <f t="shared" si="6"/>
        <v/>
      </c>
    </row>
    <row r="14" spans="1:60" x14ac:dyDescent="0.3">
      <c r="A14" s="1">
        <v>45372</v>
      </c>
      <c r="B14">
        <v>27.790900000000001</v>
      </c>
      <c r="C14">
        <v>28.437999999999999</v>
      </c>
      <c r="D14">
        <v>27.790900000000001</v>
      </c>
      <c r="E14">
        <v>28.1739</v>
      </c>
      <c r="F14">
        <v>10601</v>
      </c>
      <c r="G14" s="29">
        <v>0.46340733148004998</v>
      </c>
      <c r="H14" s="29">
        <v>1.6448107343323099E-2</v>
      </c>
      <c r="I14" s="29">
        <v>2.29680661889194E-2</v>
      </c>
      <c r="J14" s="29">
        <v>65.054992026045298</v>
      </c>
      <c r="K14" s="29">
        <v>6.9587599512545006E-2</v>
      </c>
      <c r="L14" s="29">
        <v>0.6</v>
      </c>
      <c r="M14" s="29">
        <v>-1.03669764808647E-2</v>
      </c>
      <c r="N14" s="29">
        <v>1.06105453062487</v>
      </c>
      <c r="O14" s="29">
        <v>0</v>
      </c>
      <c r="P14" s="34">
        <v>1.3540786041910301E-2</v>
      </c>
      <c r="Q14" s="29">
        <v>7.9365079365079309E-3</v>
      </c>
      <c r="R14" s="30">
        <v>230248.58970000001</v>
      </c>
      <c r="S14" s="29">
        <v>1</v>
      </c>
      <c r="T14">
        <v>511.185</v>
      </c>
      <c r="U14" s="21"/>
      <c r="V14">
        <v>4</v>
      </c>
      <c r="W14" t="b">
        <f>V14&gt;=$C$4</f>
        <v>0</v>
      </c>
      <c r="X14">
        <f>IF(V14&lt;=$C$5,11,ROW()-$C$5+1)</f>
        <v>11</v>
      </c>
      <c r="Y14" s="14">
        <f t="shared" si="0"/>
        <v>4</v>
      </c>
      <c r="Z14" s="10">
        <f t="shared" si="7"/>
        <v>0.64709999999999823</v>
      </c>
      <c r="AA14" s="15">
        <f t="shared" si="8"/>
        <v>2.2968066188919469E-2</v>
      </c>
      <c r="AB14" s="15">
        <f t="shared" si="9"/>
        <v>0.46340733148005026</v>
      </c>
      <c r="AC14" s="10">
        <f t="shared" si="1"/>
        <v>1.6448107343323085E-2</v>
      </c>
      <c r="AD14">
        <f t="shared" si="10"/>
        <v>0.37640000000000029</v>
      </c>
      <c r="AE14">
        <f t="shared" si="18"/>
        <v>0.37640000000000029</v>
      </c>
      <c r="AF14">
        <f t="shared" si="19"/>
        <v>0</v>
      </c>
      <c r="AG14">
        <f t="shared" ref="AG14:AH29" si="21">(AE14+13*AG13)/14</f>
        <v>0.158451020408163</v>
      </c>
      <c r="AH14">
        <f t="shared" si="21"/>
        <v>0</v>
      </c>
      <c r="AI14" t="e">
        <f t="shared" si="11"/>
        <v>#DIV/0!</v>
      </c>
      <c r="AJ14" t="e">
        <f t="shared" si="20"/>
        <v>#DIV/0!</v>
      </c>
      <c r="AK14" s="14">
        <f t="shared" si="2"/>
        <v>100</v>
      </c>
      <c r="AL14">
        <v>-19</v>
      </c>
      <c r="AN14" s="36">
        <f t="shared" si="12"/>
        <v>1.3540786041910335E-2</v>
      </c>
      <c r="AO14">
        <f t="shared" si="13"/>
        <v>1</v>
      </c>
      <c r="AP14" s="14"/>
      <c r="AQ14">
        <f t="shared" si="14"/>
        <v>3.3032255025495783E-3</v>
      </c>
      <c r="AR14">
        <f t="shared" si="15"/>
        <v>1.0237560539360722E-2</v>
      </c>
      <c r="AU14" s="14"/>
      <c r="AV14" s="19"/>
      <c r="AW14" s="19"/>
      <c r="AX14">
        <f t="shared" si="3"/>
        <v>0</v>
      </c>
      <c r="AY14">
        <f>IF(W14,SUMPRODUCT(INDEX(AX:AX,X14):INDEX(AX:AX,X14+Y14)),0)</f>
        <v>0</v>
      </c>
      <c r="AZ14">
        <f>IF(V14,COUNT(INDEX(AX:AX,X14):INDEX(AX:AX,ROW())),0)</f>
        <v>4</v>
      </c>
      <c r="BA14" s="14" t="str">
        <f t="shared" si="16"/>
        <v/>
      </c>
      <c r="BB14" s="6">
        <f t="shared" si="4"/>
        <v>298671.51390000002</v>
      </c>
      <c r="BC14" s="6">
        <f>MEDIAN(INDEX(BB:BB,X14):INDEX(BB:BB,X14+Y14-1))</f>
        <v>62484.881699999998</v>
      </c>
      <c r="BD14" s="25" t="str">
        <f t="shared" si="5"/>
        <v/>
      </c>
      <c r="BE14">
        <f t="shared" si="17"/>
        <v>0</v>
      </c>
      <c r="BF14" s="6">
        <f>SUM(INDEX(BE:BE,X14):INDEX(BE:BE,X14+Y14-1))</f>
        <v>0</v>
      </c>
      <c r="BG14" s="25" t="str">
        <f t="shared" si="6"/>
        <v/>
      </c>
    </row>
    <row r="15" spans="1:60" x14ac:dyDescent="0.3">
      <c r="A15" s="1">
        <v>45373</v>
      </c>
      <c r="B15">
        <v>27.797499999999999</v>
      </c>
      <c r="C15">
        <v>27.804099999999998</v>
      </c>
      <c r="D15">
        <v>27.7117</v>
      </c>
      <c r="E15">
        <v>27.744700000000002</v>
      </c>
      <c r="F15">
        <v>3029</v>
      </c>
      <c r="G15" s="29">
        <v>0.46332109351718997</v>
      </c>
      <c r="H15" s="29">
        <v>1.66994450658032E-2</v>
      </c>
      <c r="I15" s="34">
        <v>1.6659037581952502E-2</v>
      </c>
      <c r="J15" s="29">
        <v>57.815503817740797</v>
      </c>
      <c r="K15" s="29">
        <v>2.28423121020753E-2</v>
      </c>
      <c r="L15" s="29">
        <v>0.6</v>
      </c>
      <c r="M15" s="29">
        <v>-6.0889361043657497E-2</v>
      </c>
      <c r="N15" s="29">
        <v>1.2073960142759199</v>
      </c>
      <c r="O15" s="29">
        <v>-1.5233957670042E-2</v>
      </c>
      <c r="P15" s="34">
        <v>-1.5233957670042E-2</v>
      </c>
      <c r="Q15" s="29">
        <v>7.9365079365079309E-3</v>
      </c>
      <c r="R15" s="30">
        <v>230248.58970000001</v>
      </c>
      <c r="S15" s="29">
        <v>1</v>
      </c>
      <c r="T15">
        <v>510.21600000000001</v>
      </c>
      <c r="U15" s="21"/>
      <c r="V15">
        <v>5</v>
      </c>
      <c r="W15" t="b">
        <f>V15&gt;=$C$4</f>
        <v>0</v>
      </c>
      <c r="X15">
        <f>IF(V15&lt;=$C$5,11,ROW()-$C$5+1)</f>
        <v>11</v>
      </c>
      <c r="Y15" s="14">
        <f t="shared" si="0"/>
        <v>5</v>
      </c>
      <c r="Z15" s="10">
        <f t="shared" si="7"/>
        <v>0.46219999999999928</v>
      </c>
      <c r="AA15" s="15">
        <f t="shared" si="8"/>
        <v>1.6659037581952561E-2</v>
      </c>
      <c r="AB15" s="15">
        <f t="shared" si="9"/>
        <v>0.46332109351718948</v>
      </c>
      <c r="AC15" s="10">
        <f t="shared" si="1"/>
        <v>1.6699445065803179E-2</v>
      </c>
      <c r="AD15">
        <f t="shared" si="10"/>
        <v>-0.42919999999999803</v>
      </c>
      <c r="AE15">
        <f t="shared" si="18"/>
        <v>0</v>
      </c>
      <c r="AF15">
        <f t="shared" si="19"/>
        <v>0.42919999999999803</v>
      </c>
      <c r="AG15">
        <f t="shared" si="21"/>
        <v>0.14713309037900849</v>
      </c>
      <c r="AH15">
        <f t="shared" si="21"/>
        <v>3.0657142857142716E-2</v>
      </c>
      <c r="AI15">
        <f t="shared" si="11"/>
        <v>4.7993086330524886</v>
      </c>
      <c r="AJ15">
        <f t="shared" si="20"/>
        <v>82.756565251578166</v>
      </c>
      <c r="AK15" s="14">
        <f t="shared" si="2"/>
        <v>82.756565251578166</v>
      </c>
      <c r="AL15">
        <v>-18</v>
      </c>
      <c r="AN15" s="36">
        <f t="shared" si="12"/>
        <v>-1.5233957670042098E-2</v>
      </c>
      <c r="AO15">
        <f t="shared" si="13"/>
        <v>0</v>
      </c>
      <c r="AP15" s="14">
        <f t="shared" ref="AP15:AP78" si="22">SUM(AO11:AO15) / 5</f>
        <v>0.6</v>
      </c>
      <c r="AQ15">
        <f t="shared" si="14"/>
        <v>-1.8955955280377523E-3</v>
      </c>
      <c r="AR15">
        <f t="shared" si="15"/>
        <v>-1.3338362142004248E-2</v>
      </c>
      <c r="AU15" s="14"/>
      <c r="AV15" s="19"/>
      <c r="AW15" s="19"/>
      <c r="AX15">
        <f t="shared" si="3"/>
        <v>0</v>
      </c>
      <c r="AY15">
        <f>IF(W15,SUMPRODUCT(INDEX(AX:AX,X15):INDEX(AX:AX,X15+Y15)),0)</f>
        <v>0</v>
      </c>
      <c r="AZ15">
        <f>IF(V15,COUNT(INDEX(AX:AX,X15):INDEX(AX:AX,ROW())),0)</f>
        <v>5</v>
      </c>
      <c r="BA15" s="14" t="str">
        <f t="shared" si="16"/>
        <v/>
      </c>
      <c r="BB15" s="6">
        <f t="shared" si="4"/>
        <v>84038.696300000011</v>
      </c>
      <c r="BC15" s="6">
        <f>MEDIAN(INDEX(BB:BB,X15):INDEX(BB:BB,X15+Y15-1))</f>
        <v>71550.764999999999</v>
      </c>
      <c r="BD15" s="25" t="str">
        <f t="shared" si="5"/>
        <v/>
      </c>
      <c r="BE15">
        <f t="shared" si="17"/>
        <v>0</v>
      </c>
      <c r="BF15" s="6">
        <f>SUM(INDEX(BE:BE,X15):INDEX(BE:BE,X15+Y15-1))</f>
        <v>0</v>
      </c>
      <c r="BG15" s="25" t="str">
        <f t="shared" si="6"/>
        <v/>
      </c>
    </row>
    <row r="16" spans="1:60" x14ac:dyDescent="0.3">
      <c r="A16" s="1">
        <v>45376</v>
      </c>
      <c r="B16">
        <v>27.705100000000002</v>
      </c>
      <c r="C16">
        <v>27.764500000000002</v>
      </c>
      <c r="D16">
        <v>27.520199999999999</v>
      </c>
      <c r="E16">
        <v>27.520199999999999</v>
      </c>
      <c r="F16">
        <v>2877</v>
      </c>
      <c r="G16" s="29">
        <v>0.44767672969453298</v>
      </c>
      <c r="H16" s="29">
        <v>1.6267204805725698E-2</v>
      </c>
      <c r="I16" s="34">
        <v>8.8771157186358605E-3</v>
      </c>
      <c r="J16" s="29">
        <v>54.405082563580201</v>
      </c>
      <c r="K16" s="29">
        <v>1.2352672856491101E-2</v>
      </c>
      <c r="L16" s="29">
        <v>0.6</v>
      </c>
      <c r="M16" s="29">
        <v>-6.3369205349267599E-2</v>
      </c>
      <c r="N16" s="29">
        <v>1.2255176525917499</v>
      </c>
      <c r="O16" s="29">
        <v>-2.3202325556632201E-2</v>
      </c>
      <c r="P16" s="34">
        <v>-8.0916355195768102E-3</v>
      </c>
      <c r="Q16" s="29">
        <v>7.9365079365079309E-3</v>
      </c>
      <c r="R16" s="30">
        <v>229594.10189999899</v>
      </c>
      <c r="S16" s="29">
        <v>1</v>
      </c>
      <c r="T16">
        <v>508.80700000000002</v>
      </c>
      <c r="U16" s="21"/>
      <c r="V16">
        <v>6</v>
      </c>
      <c r="W16" t="b">
        <f>V16&gt;=$C$4</f>
        <v>0</v>
      </c>
      <c r="X16">
        <f>IF(V16&lt;=$C$5,11,ROW()-$C$5+1)</f>
        <v>11</v>
      </c>
      <c r="Y16" s="14">
        <f t="shared" si="0"/>
        <v>6</v>
      </c>
      <c r="Z16" s="10">
        <f t="shared" si="7"/>
        <v>0.24430000000000263</v>
      </c>
      <c r="AA16" s="15">
        <f t="shared" si="8"/>
        <v>8.8771157186358623E-3</v>
      </c>
      <c r="AB16" s="15">
        <f t="shared" si="9"/>
        <v>0.44767672969453326</v>
      </c>
      <c r="AC16" s="10">
        <f t="shared" si="1"/>
        <v>1.6267204805725733E-2</v>
      </c>
      <c r="AD16">
        <f t="shared" si="10"/>
        <v>-0.22450000000000259</v>
      </c>
      <c r="AE16">
        <f t="shared" si="18"/>
        <v>0</v>
      </c>
      <c r="AF16">
        <f t="shared" si="19"/>
        <v>0.22450000000000259</v>
      </c>
      <c r="AG16">
        <f t="shared" si="21"/>
        <v>0.13662358392336502</v>
      </c>
      <c r="AH16">
        <f t="shared" si="21"/>
        <v>4.4503061224489847E-2</v>
      </c>
      <c r="AI16">
        <f t="shared" si="11"/>
        <v>3.0699817083185645</v>
      </c>
      <c r="AJ16">
        <f t="shared" si="20"/>
        <v>75.429865005139519</v>
      </c>
      <c r="AK16" s="14">
        <f t="shared" si="2"/>
        <v>75.429865005139519</v>
      </c>
      <c r="AL16">
        <v>-17</v>
      </c>
      <c r="AN16" s="36">
        <f t="shared" si="12"/>
        <v>-8.0916355195768119E-3</v>
      </c>
      <c r="AO16">
        <f t="shared" si="13"/>
        <v>0</v>
      </c>
      <c r="AP16" s="14">
        <f t="shared" si="22"/>
        <v>0.6</v>
      </c>
      <c r="AQ16">
        <f t="shared" si="14"/>
        <v>-2.7615754895965461E-3</v>
      </c>
      <c r="AR16">
        <f t="shared" si="15"/>
        <v>-5.3300600299802641E-3</v>
      </c>
      <c r="AU16" s="14"/>
      <c r="AV16" s="19"/>
      <c r="AW16" s="19"/>
      <c r="AX16">
        <f t="shared" si="3"/>
        <v>0</v>
      </c>
      <c r="AY16">
        <f>IF(W16,SUMPRODUCT(INDEX(AX:AX,X16):INDEX(AX:AX,X16+Y16)),0)</f>
        <v>0</v>
      </c>
      <c r="AZ16">
        <f>IF(V16,COUNT(INDEX(AX:AX,X16):INDEX(AX:AX,ROW())),0)</f>
        <v>6</v>
      </c>
      <c r="BA16" s="14" t="str">
        <f t="shared" si="16"/>
        <v/>
      </c>
      <c r="BB16" s="6">
        <f t="shared" si="4"/>
        <v>79175.615399999995</v>
      </c>
      <c r="BC16" s="6">
        <f>MEDIAN(INDEX(BB:BB,X16):INDEX(BB:BB,X16+Y16-1))</f>
        <v>75363.190199999997</v>
      </c>
      <c r="BD16" s="25" t="str">
        <f t="shared" si="5"/>
        <v/>
      </c>
      <c r="BE16">
        <f t="shared" si="17"/>
        <v>0</v>
      </c>
      <c r="BF16" s="6">
        <f>SUM(INDEX(BE:BE,X16):INDEX(BE:BE,X16+Y16-1))</f>
        <v>0</v>
      </c>
      <c r="BG16" s="25" t="str">
        <f t="shared" si="6"/>
        <v/>
      </c>
    </row>
    <row r="17" spans="1:59" x14ac:dyDescent="0.3">
      <c r="A17" s="1">
        <v>45377</v>
      </c>
      <c r="B17">
        <v>27.507000000000001</v>
      </c>
      <c r="C17">
        <v>27.507000000000001</v>
      </c>
      <c r="D17">
        <v>27.0382</v>
      </c>
      <c r="E17">
        <v>27.0382</v>
      </c>
      <c r="F17">
        <v>2726</v>
      </c>
      <c r="G17" s="29">
        <v>0.450128391859209</v>
      </c>
      <c r="H17" s="29">
        <v>1.66478682700479E-2</v>
      </c>
      <c r="I17" s="29">
        <v>1.7826630470963199E-2</v>
      </c>
      <c r="J17" s="29">
        <v>47.875407479896303</v>
      </c>
      <c r="K17" s="29">
        <v>5.3468380034504799E-3</v>
      </c>
      <c r="L17" s="29">
        <v>0.4</v>
      </c>
      <c r="M17" s="29">
        <v>-8.6220677432607806E-2</v>
      </c>
      <c r="N17" s="29">
        <v>1.2420213249686001</v>
      </c>
      <c r="O17" s="29">
        <v>-4.0310358168375603E-2</v>
      </c>
      <c r="P17" s="29">
        <v>-1.7514407598781902E-2</v>
      </c>
      <c r="Q17" s="29">
        <v>7.9365079365079309E-3</v>
      </c>
      <c r="R17" s="30">
        <v>229594.10189999899</v>
      </c>
      <c r="S17" s="29">
        <v>1</v>
      </c>
      <c r="T17">
        <v>507.86700000000002</v>
      </c>
      <c r="U17" s="21"/>
      <c r="V17">
        <v>7</v>
      </c>
      <c r="W17" t="b">
        <f>V17&gt;=$C$4</f>
        <v>0</v>
      </c>
      <c r="X17">
        <f>IF(V17&lt;=$C$5,11,ROW()-$C$5+1)</f>
        <v>11</v>
      </c>
      <c r="Y17" s="14">
        <f t="shared" si="0"/>
        <v>7</v>
      </c>
      <c r="Z17" s="10">
        <f t="shared" si="7"/>
        <v>0.48199999999999932</v>
      </c>
      <c r="AA17" s="15">
        <f t="shared" si="8"/>
        <v>1.7826630470963278E-2</v>
      </c>
      <c r="AB17" s="15">
        <f t="shared" si="9"/>
        <v>0.45012839185920939</v>
      </c>
      <c r="AC17" s="10">
        <f t="shared" si="1"/>
        <v>1.6647868270047911E-2</v>
      </c>
      <c r="AD17">
        <f t="shared" si="10"/>
        <v>-0.48199999999999932</v>
      </c>
      <c r="AE17">
        <f t="shared" si="18"/>
        <v>0</v>
      </c>
      <c r="AF17">
        <f t="shared" si="19"/>
        <v>0.48199999999999932</v>
      </c>
      <c r="AG17">
        <f t="shared" si="21"/>
        <v>0.12686475650026752</v>
      </c>
      <c r="AH17">
        <f t="shared" si="21"/>
        <v>7.5752842565597667E-2</v>
      </c>
      <c r="AI17">
        <f t="shared" si="11"/>
        <v>1.6747194191479988</v>
      </c>
      <c r="AJ17">
        <f t="shared" si="20"/>
        <v>62.612900895655869</v>
      </c>
      <c r="AK17" s="14">
        <f t="shared" si="2"/>
        <v>62.612900895655869</v>
      </c>
      <c r="AL17">
        <v>-16</v>
      </c>
      <c r="AN17" s="36">
        <f t="shared" si="12"/>
        <v>-1.7514407598781978E-2</v>
      </c>
      <c r="AO17">
        <f t="shared" si="13"/>
        <v>0</v>
      </c>
      <c r="AP17" s="14">
        <f t="shared" si="22"/>
        <v>0.4</v>
      </c>
      <c r="AQ17">
        <f t="shared" si="14"/>
        <v>-1.8474588596462116E-3</v>
      </c>
      <c r="AR17">
        <f t="shared" si="15"/>
        <v>-1.566694873913569E-2</v>
      </c>
      <c r="AU17" s="14"/>
      <c r="AV17" s="19"/>
      <c r="AW17" s="19"/>
      <c r="AX17">
        <f t="shared" si="3"/>
        <v>0</v>
      </c>
      <c r="AY17">
        <f>IF(W17,SUMPRODUCT(INDEX(AX:AX,X17):INDEX(AX:AX,X17+Y17)),0)</f>
        <v>0</v>
      </c>
      <c r="AZ17">
        <f>IF(V17,COUNT(INDEX(AX:AX,X17):INDEX(AX:AX,ROW())),0)</f>
        <v>7</v>
      </c>
      <c r="BA17" s="14" t="str">
        <f t="shared" si="16"/>
        <v/>
      </c>
      <c r="BB17" s="6">
        <f t="shared" si="4"/>
        <v>73706.133199999997</v>
      </c>
      <c r="BC17" s="6">
        <f>MEDIAN(INDEX(BB:BB,X17):INDEX(BB:BB,X17+Y17-1))</f>
        <v>73706.133199999997</v>
      </c>
      <c r="BD17" s="25" t="str">
        <f t="shared" si="5"/>
        <v/>
      </c>
      <c r="BE17">
        <f t="shared" si="17"/>
        <v>0</v>
      </c>
      <c r="BF17" s="6">
        <f>SUM(INDEX(BE:BE,X17):INDEX(BE:BE,X17+Y17-1))</f>
        <v>0</v>
      </c>
      <c r="BG17" s="25" t="str">
        <f t="shared" si="6"/>
        <v/>
      </c>
    </row>
    <row r="18" spans="1:59" x14ac:dyDescent="0.3">
      <c r="A18" s="1">
        <v>45378</v>
      </c>
      <c r="B18">
        <v>27.2759</v>
      </c>
      <c r="C18">
        <v>27.3155</v>
      </c>
      <c r="D18">
        <v>27.0778</v>
      </c>
      <c r="E18">
        <v>27.290400000000002</v>
      </c>
      <c r="F18">
        <v>4089</v>
      </c>
      <c r="G18" s="29">
        <v>0.43778350672640898</v>
      </c>
      <c r="H18" s="29">
        <v>1.6041666913141898E-2</v>
      </c>
      <c r="I18" s="29">
        <v>1.01610822853457E-2</v>
      </c>
      <c r="J18" s="29">
        <v>51.177255034590402</v>
      </c>
      <c r="K18" s="29">
        <v>7.3194768954789602E-3</v>
      </c>
      <c r="L18" s="29">
        <v>0.4</v>
      </c>
      <c r="M18" s="29">
        <v>-9.42773113429939E-2</v>
      </c>
      <c r="N18" s="29">
        <v>1.2362826951202499</v>
      </c>
      <c r="O18" s="29">
        <v>-3.1358810814264101E-2</v>
      </c>
      <c r="P18" s="29">
        <v>9.3275439933131407E-3</v>
      </c>
      <c r="Q18" s="29">
        <v>7.9365079365079309E-3</v>
      </c>
      <c r="R18" s="30">
        <v>229079.63149999999</v>
      </c>
      <c r="S18" s="29">
        <v>1</v>
      </c>
      <c r="T18">
        <v>512.13499999999999</v>
      </c>
      <c r="U18" s="21"/>
      <c r="V18">
        <v>8</v>
      </c>
      <c r="W18" t="b">
        <f>V18&gt;=$C$4</f>
        <v>0</v>
      </c>
      <c r="X18">
        <f>IF(V18&lt;=$C$5,11,ROW()-$C$5+1)</f>
        <v>11</v>
      </c>
      <c r="Y18" s="14">
        <f t="shared" si="0"/>
        <v>8</v>
      </c>
      <c r="Z18" s="10">
        <f t="shared" si="7"/>
        <v>0.27730000000000032</v>
      </c>
      <c r="AA18" s="15">
        <f t="shared" si="8"/>
        <v>1.0161082285345773E-2</v>
      </c>
      <c r="AB18" s="15">
        <f t="shared" si="9"/>
        <v>0.43778350672640876</v>
      </c>
      <c r="AC18" s="10">
        <f t="shared" si="1"/>
        <v>1.6041666913141937E-2</v>
      </c>
      <c r="AD18">
        <f t="shared" si="10"/>
        <v>0.25220000000000198</v>
      </c>
      <c r="AE18">
        <f t="shared" si="18"/>
        <v>0.25220000000000198</v>
      </c>
      <c r="AF18">
        <f t="shared" si="19"/>
        <v>0</v>
      </c>
      <c r="AG18">
        <f t="shared" si="21"/>
        <v>0.13581727389310569</v>
      </c>
      <c r="AH18">
        <f t="shared" si="21"/>
        <v>7.0341925239483544E-2</v>
      </c>
      <c r="AI18">
        <f t="shared" si="11"/>
        <v>1.930815419548259</v>
      </c>
      <c r="AJ18">
        <f t="shared" si="20"/>
        <v>65.879802824493979</v>
      </c>
      <c r="AK18" s="14">
        <f t="shared" si="2"/>
        <v>65.879802824493979</v>
      </c>
      <c r="AL18">
        <v>-15</v>
      </c>
      <c r="AN18" s="36">
        <f t="shared" si="12"/>
        <v>9.3275439933131477E-3</v>
      </c>
      <c r="AO18">
        <f t="shared" si="13"/>
        <v>1</v>
      </c>
      <c r="AP18" s="14">
        <f t="shared" si="22"/>
        <v>0.4</v>
      </c>
      <c r="AQ18">
        <f t="shared" si="14"/>
        <v>8.403775004085734E-3</v>
      </c>
      <c r="AR18">
        <f t="shared" si="15"/>
        <v>9.2376898922740674E-4</v>
      </c>
      <c r="AU18" s="14"/>
      <c r="AV18" s="19"/>
      <c r="AW18" s="19"/>
      <c r="AX18">
        <f t="shared" si="3"/>
        <v>0</v>
      </c>
      <c r="AY18">
        <f>IF(W18,SUMPRODUCT(INDEX(AX:AX,X18):INDEX(AX:AX,X18+Y18)),0)</f>
        <v>0</v>
      </c>
      <c r="AZ18">
        <f>IF(V18,COUNT(INDEX(AX:AX,X18):INDEX(AX:AX,ROW())),0)</f>
        <v>8</v>
      </c>
      <c r="BA18" s="14" t="str">
        <f t="shared" si="16"/>
        <v/>
      </c>
      <c r="BB18" s="6">
        <f t="shared" si="4"/>
        <v>111590.44560000001</v>
      </c>
      <c r="BC18" s="6">
        <f>MEDIAN(INDEX(BB:BB,X18):INDEX(BB:BB,X18+Y18-1))</f>
        <v>76440.874299999996</v>
      </c>
      <c r="BD18" s="25" t="str">
        <f t="shared" si="5"/>
        <v/>
      </c>
      <c r="BE18">
        <f t="shared" si="17"/>
        <v>0</v>
      </c>
      <c r="BF18" s="6">
        <f>SUM(INDEX(BE:BE,X18):INDEX(BE:BE,X18+Y18-1))</f>
        <v>0</v>
      </c>
      <c r="BG18" s="25" t="str">
        <f t="shared" si="6"/>
        <v/>
      </c>
    </row>
    <row r="19" spans="1:59" x14ac:dyDescent="0.3">
      <c r="A19" s="1">
        <v>45379</v>
      </c>
      <c r="B19">
        <v>27.308900000000001</v>
      </c>
      <c r="C19">
        <v>27.688600000000001</v>
      </c>
      <c r="D19">
        <v>27.2957</v>
      </c>
      <c r="E19">
        <v>27.586200000000002</v>
      </c>
      <c r="F19">
        <v>3331</v>
      </c>
      <c r="G19" s="29">
        <v>0.43495611338880802</v>
      </c>
      <c r="H19" s="29">
        <v>1.5767163052134998E-2</v>
      </c>
      <c r="I19" s="29">
        <v>1.4434753608688299E-2</v>
      </c>
      <c r="J19" s="29">
        <v>54.794233734212803</v>
      </c>
      <c r="K19" s="29">
        <v>2.24647054681044E-2</v>
      </c>
      <c r="L19" s="29">
        <v>0.4</v>
      </c>
      <c r="M19" s="29">
        <v>-8.8423443881156596E-2</v>
      </c>
      <c r="N19" s="29">
        <v>1.22794457957128</v>
      </c>
      <c r="O19" s="29">
        <v>-2.0859731879505398E-2</v>
      </c>
      <c r="P19" s="29">
        <v>1.08389763433294E-2</v>
      </c>
      <c r="Q19" s="29">
        <v>7.9365079365079309E-3</v>
      </c>
      <c r="R19" s="30">
        <v>228342.97094999999</v>
      </c>
      <c r="S19" s="29">
        <v>1</v>
      </c>
      <c r="T19" s="2">
        <v>512.03700000000003</v>
      </c>
      <c r="U19" s="23"/>
      <c r="V19">
        <v>9</v>
      </c>
      <c r="W19" t="b">
        <f>V19&gt;=$C$4</f>
        <v>0</v>
      </c>
      <c r="X19">
        <f>IF(V19&lt;=$C$5,11,ROW()-$C$5+1)</f>
        <v>11</v>
      </c>
      <c r="Y19" s="14">
        <f t="shared" si="0"/>
        <v>9</v>
      </c>
      <c r="Z19" s="10">
        <f t="shared" si="7"/>
        <v>0.39819999999999922</v>
      </c>
      <c r="AA19" s="15">
        <f t="shared" si="8"/>
        <v>1.4434753608688374E-2</v>
      </c>
      <c r="AB19" s="15">
        <f t="shared" si="9"/>
        <v>0.43495611338880807</v>
      </c>
      <c r="AC19" s="10">
        <f t="shared" si="1"/>
        <v>1.5767163052135054E-2</v>
      </c>
      <c r="AD19">
        <f t="shared" si="10"/>
        <v>0.29579999999999984</v>
      </c>
      <c r="AE19">
        <f t="shared" si="18"/>
        <v>0.29579999999999984</v>
      </c>
      <c r="AF19">
        <f t="shared" si="19"/>
        <v>0</v>
      </c>
      <c r="AG19">
        <f t="shared" si="21"/>
        <v>0.14724461147216955</v>
      </c>
      <c r="AH19">
        <f t="shared" si="21"/>
        <v>6.531750200809186E-2</v>
      </c>
      <c r="AI19">
        <f t="shared" si="11"/>
        <v>2.2542903042116973</v>
      </c>
      <c r="AJ19">
        <f t="shared" si="20"/>
        <v>69.271333946273884</v>
      </c>
      <c r="AK19" s="14">
        <f t="shared" si="2"/>
        <v>69.271333946273884</v>
      </c>
      <c r="AL19">
        <v>-14</v>
      </c>
      <c r="AN19" s="36">
        <f t="shared" si="12"/>
        <v>1.0838976343329421E-2</v>
      </c>
      <c r="AO19">
        <f t="shared" si="13"/>
        <v>1</v>
      </c>
      <c r="AP19" s="14">
        <f t="shared" si="22"/>
        <v>0.4</v>
      </c>
      <c r="AQ19">
        <f t="shared" si="14"/>
        <v>-1.9135579485873855E-4</v>
      </c>
      <c r="AR19">
        <f t="shared" si="15"/>
        <v>1.1030332138188138E-2</v>
      </c>
      <c r="AU19" s="14"/>
      <c r="AV19" s="19"/>
      <c r="AW19" s="19"/>
      <c r="AX19">
        <f t="shared" si="3"/>
        <v>0</v>
      </c>
      <c r="AY19">
        <f>IF(W19,SUMPRODUCT(INDEX(AX:AX,X19):INDEX(AX:AX,X19+Y19)),0)</f>
        <v>0</v>
      </c>
      <c r="AZ19">
        <f>IF(V19,COUNT(INDEX(AX:AX,X19):INDEX(AX:AX,ROW())),0)</f>
        <v>9</v>
      </c>
      <c r="BA19" s="14" t="str">
        <f t="shared" si="16"/>
        <v/>
      </c>
      <c r="BB19" s="6">
        <f t="shared" si="4"/>
        <v>91889.632200000007</v>
      </c>
      <c r="BC19" s="6">
        <f>MEDIAN(INDEX(BB:BB,X19):INDEX(BB:BB,X19+Y19-1))</f>
        <v>79175.615399999995</v>
      </c>
      <c r="BD19" s="25" t="str">
        <f t="shared" si="5"/>
        <v/>
      </c>
      <c r="BE19">
        <f t="shared" si="17"/>
        <v>0</v>
      </c>
      <c r="BF19" s="6">
        <f>SUM(INDEX(BE:BE,X19):INDEX(BE:BE,X19+Y19-1))</f>
        <v>0</v>
      </c>
      <c r="BG19" s="25" t="str">
        <f t="shared" si="6"/>
        <v/>
      </c>
    </row>
    <row r="20" spans="1:59" x14ac:dyDescent="0.3">
      <c r="A20" s="1">
        <v>45383</v>
      </c>
      <c r="B20">
        <v>27.5334</v>
      </c>
      <c r="C20">
        <v>27.5334</v>
      </c>
      <c r="D20">
        <v>27.094999999999999</v>
      </c>
      <c r="E20">
        <v>27.150400000000001</v>
      </c>
      <c r="F20">
        <v>9390</v>
      </c>
      <c r="G20" s="29">
        <v>0.43897353386103599</v>
      </c>
      <c r="H20" s="29">
        <v>1.6168216080095901E-2</v>
      </c>
      <c r="I20" s="29">
        <v>1.8091814485237799E-2</v>
      </c>
      <c r="J20" s="29">
        <v>49.030976068558402</v>
      </c>
      <c r="K20" s="29">
        <v>2.3924151578700301E-3</v>
      </c>
      <c r="L20" s="29">
        <v>0.4</v>
      </c>
      <c r="M20" s="29">
        <v>-8.9248485697889401E-2</v>
      </c>
      <c r="N20" s="29">
        <v>1.23705767289812</v>
      </c>
      <c r="O20" s="29">
        <v>-3.6327948917260197E-2</v>
      </c>
      <c r="P20" s="29">
        <v>-1.5797753949438401E-2</v>
      </c>
      <c r="Q20" s="29">
        <v>7.9365079365079309E-3</v>
      </c>
      <c r="R20" s="30">
        <v>228342.97094999999</v>
      </c>
      <c r="S20" s="29">
        <v>1</v>
      </c>
      <c r="T20">
        <v>511.14600000000002</v>
      </c>
      <c r="U20" s="21"/>
      <c r="V20">
        <v>10</v>
      </c>
      <c r="W20" t="b">
        <f>V20&gt;=$C$4</f>
        <v>0</v>
      </c>
      <c r="X20">
        <f>IF(V20&lt;=$C$5,11,ROW()-$C$5+1)</f>
        <v>11</v>
      </c>
      <c r="Y20" s="14">
        <f t="shared" si="0"/>
        <v>10</v>
      </c>
      <c r="Z20" s="10">
        <f t="shared" si="7"/>
        <v>0.49120000000000275</v>
      </c>
      <c r="AA20" s="15">
        <f t="shared" si="8"/>
        <v>1.8091814485237886E-2</v>
      </c>
      <c r="AB20" s="15">
        <f t="shared" si="9"/>
        <v>0.43897353386103627</v>
      </c>
      <c r="AC20" s="10">
        <f t="shared" si="1"/>
        <v>1.6168216080095919E-2</v>
      </c>
      <c r="AD20">
        <f t="shared" si="10"/>
        <v>-0.43580000000000041</v>
      </c>
      <c r="AE20">
        <f t="shared" si="18"/>
        <v>0</v>
      </c>
      <c r="AF20">
        <f t="shared" si="19"/>
        <v>0.43580000000000041</v>
      </c>
      <c r="AG20">
        <f t="shared" si="21"/>
        <v>0.13672713922415744</v>
      </c>
      <c r="AH20">
        <f t="shared" si="21"/>
        <v>9.1780537578942473E-2</v>
      </c>
      <c r="AI20">
        <f t="shared" si="11"/>
        <v>1.4897182216497196</v>
      </c>
      <c r="AJ20">
        <f t="shared" si="20"/>
        <v>59.83481217656081</v>
      </c>
      <c r="AK20" s="14">
        <f t="shared" si="2"/>
        <v>59.83481217656081</v>
      </c>
      <c r="AL20">
        <v>-13</v>
      </c>
      <c r="AN20" s="36">
        <f t="shared" si="12"/>
        <v>-1.5797753949438498E-2</v>
      </c>
      <c r="AO20">
        <f t="shared" si="13"/>
        <v>0</v>
      </c>
      <c r="AP20" s="14">
        <f t="shared" si="22"/>
        <v>0.4</v>
      </c>
      <c r="AQ20">
        <f t="shared" si="14"/>
        <v>-1.7401086249626552E-3</v>
      </c>
      <c r="AR20">
        <f t="shared" si="15"/>
        <v>-1.4057645324475745E-2</v>
      </c>
      <c r="AU20" s="14"/>
      <c r="AV20" s="19"/>
      <c r="AW20" s="19"/>
      <c r="AX20">
        <f t="shared" si="3"/>
        <v>0</v>
      </c>
      <c r="AY20">
        <f>IF(W20,SUMPRODUCT(INDEX(AX:AX,X20):INDEX(AX:AX,X20+Y20)),0)</f>
        <v>0</v>
      </c>
      <c r="AZ20">
        <f>IF(V20,COUNT(INDEX(AX:AX,X20):INDEX(AX:AX,ROW())),0)</f>
        <v>10</v>
      </c>
      <c r="BA20" s="14" t="str">
        <f t="shared" si="16"/>
        <v/>
      </c>
      <c r="BB20" s="6">
        <f t="shared" si="4"/>
        <v>254942.25600000002</v>
      </c>
      <c r="BC20" s="6">
        <f>MEDIAN(INDEX(BB:BB,X20):INDEX(BB:BB,X20+Y20-1))</f>
        <v>81607.15585000001</v>
      </c>
      <c r="BD20" s="25" t="str">
        <f t="shared" si="5"/>
        <v/>
      </c>
      <c r="BE20">
        <f t="shared" si="17"/>
        <v>0</v>
      </c>
      <c r="BF20" s="6">
        <f>SUM(INDEX(BE:BE,X20):INDEX(BE:BE,X20+Y20-1))</f>
        <v>0</v>
      </c>
      <c r="BG20" s="25" t="str">
        <f t="shared" si="6"/>
        <v/>
      </c>
    </row>
    <row r="21" spans="1:59" x14ac:dyDescent="0.3">
      <c r="A21" s="1">
        <v>45384</v>
      </c>
      <c r="B21">
        <v>26.932500000000001</v>
      </c>
      <c r="C21">
        <v>27.3551</v>
      </c>
      <c r="D21">
        <v>26.694800000000001</v>
      </c>
      <c r="E21">
        <v>26.7014</v>
      </c>
      <c r="F21">
        <v>10601</v>
      </c>
      <c r="G21" s="29">
        <v>0.45478256715667698</v>
      </c>
      <c r="H21" s="29">
        <v>1.70321618775299E-2</v>
      </c>
      <c r="I21" s="29">
        <v>2.47290404248466E-2</v>
      </c>
      <c r="J21" s="29">
        <v>43.906961448730698</v>
      </c>
      <c r="K21" s="29">
        <v>-2.1091261039641901E-2</v>
      </c>
      <c r="L21" s="29">
        <v>0.4</v>
      </c>
      <c r="M21" s="29">
        <v>-0.11296196474087</v>
      </c>
      <c r="N21" s="29">
        <v>1.2702867005026901</v>
      </c>
      <c r="O21" s="29">
        <v>-5.2264684690440398E-2</v>
      </c>
      <c r="P21" s="29">
        <v>-1.6537509576286101E-2</v>
      </c>
      <c r="Q21" s="29">
        <v>7.9365079365079309E-3</v>
      </c>
      <c r="R21" s="30">
        <v>229079.63149999999</v>
      </c>
      <c r="S21" s="29">
        <v>1</v>
      </c>
      <c r="T21">
        <v>507.89600000000002</v>
      </c>
      <c r="U21" s="21"/>
      <c r="V21">
        <v>11</v>
      </c>
      <c r="W21" t="b">
        <f>V21&gt;=$C$4</f>
        <v>0</v>
      </c>
      <c r="X21">
        <f>IF(V21&lt;=$C$5,11,ROW()-$C$5+1)</f>
        <v>11</v>
      </c>
      <c r="Y21" s="14">
        <f t="shared" si="0"/>
        <v>11</v>
      </c>
      <c r="Z21" s="10">
        <f t="shared" si="7"/>
        <v>0.66029999999999944</v>
      </c>
      <c r="AA21" s="15">
        <f t="shared" si="8"/>
        <v>2.4729040424846617E-2</v>
      </c>
      <c r="AB21" s="15">
        <f t="shared" si="9"/>
        <v>0.45478256715667648</v>
      </c>
      <c r="AC21" s="10">
        <f t="shared" si="1"/>
        <v>1.7032161877529886E-2</v>
      </c>
      <c r="AD21">
        <f t="shared" si="10"/>
        <v>-0.44900000000000162</v>
      </c>
      <c r="AE21">
        <f t="shared" si="18"/>
        <v>0</v>
      </c>
      <c r="AF21">
        <f t="shared" si="19"/>
        <v>0.44900000000000162</v>
      </c>
      <c r="AG21">
        <f t="shared" si="21"/>
        <v>0.12696091499386047</v>
      </c>
      <c r="AH21">
        <f t="shared" si="21"/>
        <v>0.117296213466161</v>
      </c>
      <c r="AI21">
        <f t="shared" si="11"/>
        <v>1.0823956821972576</v>
      </c>
      <c r="AJ21">
        <f t="shared" si="20"/>
        <v>51.97838679031252</v>
      </c>
      <c r="AK21" s="14">
        <f t="shared" si="2"/>
        <v>51.97838679031252</v>
      </c>
      <c r="AL21">
        <v>-12</v>
      </c>
      <c r="AN21" s="36">
        <f t="shared" si="12"/>
        <v>-1.6537509576286191E-2</v>
      </c>
      <c r="AO21">
        <f t="shared" si="13"/>
        <v>0</v>
      </c>
      <c r="AP21" s="14">
        <f t="shared" si="22"/>
        <v>0.4</v>
      </c>
      <c r="AQ21">
        <f t="shared" si="14"/>
        <v>-6.3582616317060525E-3</v>
      </c>
      <c r="AR21">
        <f t="shared" si="15"/>
        <v>-1.0179247944580049E-2</v>
      </c>
      <c r="AU21" s="14"/>
      <c r="AV21" s="19"/>
      <c r="AW21" s="19"/>
      <c r="AX21">
        <f t="shared" si="3"/>
        <v>0</v>
      </c>
      <c r="AY21">
        <f>IF(W21,SUMPRODUCT(INDEX(AX:AX,X21):INDEX(AX:AX,X21+Y21)),0)</f>
        <v>0</v>
      </c>
      <c r="AZ21">
        <f>IF(V21,COUNT(INDEX(AX:AX,X21):INDEX(AX:AX,ROW())),0)</f>
        <v>11</v>
      </c>
      <c r="BA21" s="14" t="str">
        <f t="shared" si="16"/>
        <v/>
      </c>
      <c r="BB21" s="6">
        <f t="shared" si="4"/>
        <v>283061.54139999999</v>
      </c>
      <c r="BC21" s="6">
        <f>MEDIAN(INDEX(BB:BB,X21):INDEX(BB:BB,X21+Y21-1))</f>
        <v>84038.696300000011</v>
      </c>
      <c r="BD21" s="25" t="str">
        <f t="shared" si="5"/>
        <v/>
      </c>
      <c r="BE21">
        <f t="shared" si="17"/>
        <v>0</v>
      </c>
      <c r="BF21" s="6">
        <f>SUM(INDEX(BE:BE,X21):INDEX(BE:BE,X21+Y21-1))</f>
        <v>0</v>
      </c>
      <c r="BG21" s="25" t="str">
        <f t="shared" si="6"/>
        <v/>
      </c>
    </row>
    <row r="22" spans="1:59" x14ac:dyDescent="0.3">
      <c r="A22" s="1">
        <v>45385</v>
      </c>
      <c r="B22">
        <v>27.064599999999999</v>
      </c>
      <c r="C22">
        <v>27.064599999999999</v>
      </c>
      <c r="D22">
        <v>26.8401</v>
      </c>
      <c r="E22">
        <v>26.8401</v>
      </c>
      <c r="F22">
        <v>8784</v>
      </c>
      <c r="G22" s="29">
        <v>0.44824095521691398</v>
      </c>
      <c r="H22" s="29">
        <v>1.67004204610606E-2</v>
      </c>
      <c r="I22" s="29">
        <v>1.35319913115077E-2</v>
      </c>
      <c r="J22" s="29">
        <v>45.791571244135604</v>
      </c>
      <c r="K22" s="29">
        <v>-1.3144542165485201E-2</v>
      </c>
      <c r="L22" s="29">
        <v>0.6</v>
      </c>
      <c r="M22" s="29">
        <v>-6.25594472716378E-2</v>
      </c>
      <c r="N22" s="29">
        <v>1.1874923881542401</v>
      </c>
      <c r="O22" s="29">
        <v>-4.7341688584115103E-2</v>
      </c>
      <c r="P22" s="29">
        <v>5.1944841843498601E-3</v>
      </c>
      <c r="Q22" s="29">
        <v>7.9365079365079309E-3</v>
      </c>
      <c r="R22" s="30">
        <v>229079.63149999999</v>
      </c>
      <c r="S22" s="29">
        <v>1</v>
      </c>
      <c r="T22">
        <v>508.45400000000001</v>
      </c>
      <c r="U22" s="21"/>
      <c r="V22">
        <v>12</v>
      </c>
      <c r="W22" t="b">
        <f>V22&gt;=$C$4</f>
        <v>0</v>
      </c>
      <c r="X22">
        <f>IF(V22&lt;=$C$5,11,ROW()-$C$5+1)</f>
        <v>11</v>
      </c>
      <c r="Y22" s="14">
        <f t="shared" si="0"/>
        <v>12</v>
      </c>
      <c r="Z22" s="10">
        <f t="shared" si="7"/>
        <v>0.36319999999999908</v>
      </c>
      <c r="AA22" s="15">
        <f t="shared" si="8"/>
        <v>1.3531991311507747E-2</v>
      </c>
      <c r="AB22" s="15">
        <f t="shared" si="9"/>
        <v>0.44824095521691382</v>
      </c>
      <c r="AC22" s="10">
        <f t="shared" si="1"/>
        <v>1.6700420461060645E-2</v>
      </c>
      <c r="AD22">
        <f t="shared" si="10"/>
        <v>0.13870000000000005</v>
      </c>
      <c r="AE22">
        <f t="shared" si="18"/>
        <v>0.13870000000000005</v>
      </c>
      <c r="AF22">
        <f t="shared" si="19"/>
        <v>0</v>
      </c>
      <c r="AG22">
        <f t="shared" si="21"/>
        <v>0.12779942106572759</v>
      </c>
      <c r="AH22">
        <f t="shared" si="21"/>
        <v>0.10891791250429236</v>
      </c>
      <c r="AI22">
        <f t="shared" si="11"/>
        <v>1.1733554024981072</v>
      </c>
      <c r="AJ22">
        <f t="shared" si="20"/>
        <v>53.988197289289374</v>
      </c>
      <c r="AK22" s="14">
        <f t="shared" si="2"/>
        <v>53.988197289289374</v>
      </c>
      <c r="AL22">
        <v>-11</v>
      </c>
      <c r="AN22" s="36">
        <f t="shared" si="12"/>
        <v>5.1944841843498679E-3</v>
      </c>
      <c r="AO22">
        <f t="shared" si="13"/>
        <v>1</v>
      </c>
      <c r="AP22" s="14">
        <f t="shared" si="22"/>
        <v>0.6</v>
      </c>
      <c r="AQ22">
        <f t="shared" si="14"/>
        <v>1.0986501173468888E-3</v>
      </c>
      <c r="AR22">
        <f t="shared" si="15"/>
        <v>4.0958340670029713E-3</v>
      </c>
      <c r="AU22" s="14"/>
      <c r="AV22" s="19"/>
      <c r="AW22" s="19"/>
      <c r="AX22">
        <f t="shared" si="3"/>
        <v>0</v>
      </c>
      <c r="AY22">
        <f>IF(W22,SUMPRODUCT(INDEX(AX:AX,X22):INDEX(AX:AX,X22+Y22)),0)</f>
        <v>0</v>
      </c>
      <c r="AZ22">
        <f>IF(V22,COUNT(INDEX(AX:AX,X22):INDEX(AX:AX,ROW())),0)</f>
        <v>12</v>
      </c>
      <c r="BA22" s="14" t="str">
        <f t="shared" si="16"/>
        <v/>
      </c>
      <c r="BB22" s="6">
        <f t="shared" si="4"/>
        <v>235763.43839999998</v>
      </c>
      <c r="BC22" s="6">
        <f>MEDIAN(INDEX(BB:BB,X22):INDEX(BB:BB,X22+Y22-1))</f>
        <v>87964.164250000002</v>
      </c>
      <c r="BD22" s="25" t="str">
        <f t="shared" si="5"/>
        <v/>
      </c>
      <c r="BE22">
        <f t="shared" si="17"/>
        <v>0</v>
      </c>
      <c r="BF22" s="6">
        <f>SUM(INDEX(BE:BE,X22):INDEX(BE:BE,X22+Y22-1))</f>
        <v>0</v>
      </c>
      <c r="BG22" s="25" t="str">
        <f t="shared" si="6"/>
        <v/>
      </c>
    </row>
    <row r="23" spans="1:59" x14ac:dyDescent="0.3">
      <c r="A23" s="1">
        <v>45386</v>
      </c>
      <c r="B23">
        <v>27.388100000000001</v>
      </c>
      <c r="C23">
        <v>27.407900000000001</v>
      </c>
      <c r="D23">
        <v>26.443899999999999</v>
      </c>
      <c r="E23">
        <v>26.443899999999999</v>
      </c>
      <c r="F23">
        <v>7875</v>
      </c>
      <c r="G23" s="29">
        <v>0.48508088698713397</v>
      </c>
      <c r="H23" s="29">
        <v>1.83437725519736E-2</v>
      </c>
      <c r="I23" s="29">
        <v>3.64545320470884E-2</v>
      </c>
      <c r="J23" s="29">
        <v>41.502086724467603</v>
      </c>
      <c r="K23" s="29">
        <v>-2.7476003089257399E-2</v>
      </c>
      <c r="L23" s="29">
        <v>0.4</v>
      </c>
      <c r="M23" s="29">
        <v>-5.5607810666172298E-2</v>
      </c>
      <c r="N23" s="29">
        <v>1.1684671485342599</v>
      </c>
      <c r="O23" s="29">
        <v>-6.1404349415593897E-2</v>
      </c>
      <c r="P23" s="29">
        <v>-1.4761494927366101E-2</v>
      </c>
      <c r="Q23" s="29">
        <v>7.9365079365079309E-3</v>
      </c>
      <c r="R23" s="30">
        <v>228342.97094999999</v>
      </c>
      <c r="S23" s="29">
        <v>1</v>
      </c>
      <c r="T23">
        <v>502.24799999999999</v>
      </c>
      <c r="U23" s="21"/>
      <c r="V23">
        <v>13</v>
      </c>
      <c r="W23" t="b">
        <f>V23&gt;=$C$4</f>
        <v>0</v>
      </c>
      <c r="X23">
        <f>IF(V23&lt;=$C$5,11,ROW()-$C$5+1)</f>
        <v>11</v>
      </c>
      <c r="Y23" s="14">
        <f t="shared" si="0"/>
        <v>13</v>
      </c>
      <c r="Z23" s="10">
        <f t="shared" si="7"/>
        <v>0.96400000000000219</v>
      </c>
      <c r="AA23" s="15">
        <f t="shared" si="8"/>
        <v>3.6454532047088449E-2</v>
      </c>
      <c r="AB23" s="15">
        <f t="shared" si="9"/>
        <v>0.48508088698713442</v>
      </c>
      <c r="AC23" s="10">
        <f t="shared" si="1"/>
        <v>1.834377255197359E-2</v>
      </c>
      <c r="AD23">
        <f t="shared" si="10"/>
        <v>-0.39620000000000033</v>
      </c>
      <c r="AE23">
        <f t="shared" si="18"/>
        <v>0</v>
      </c>
      <c r="AF23">
        <f t="shared" si="19"/>
        <v>0.39620000000000033</v>
      </c>
      <c r="AG23">
        <f t="shared" si="21"/>
        <v>0.11867089098960418</v>
      </c>
      <c r="AH23">
        <f t="shared" si="21"/>
        <v>0.12943806161112864</v>
      </c>
      <c r="AI23">
        <f t="shared" si="11"/>
        <v>0.91681603936659428</v>
      </c>
      <c r="AJ23">
        <f t="shared" si="20"/>
        <v>47.830152739620921</v>
      </c>
      <c r="AK23" s="14">
        <f t="shared" si="2"/>
        <v>47.830152739620921</v>
      </c>
      <c r="AL23">
        <v>-10</v>
      </c>
      <c r="AN23" s="36">
        <f t="shared" si="12"/>
        <v>-1.4761494927366114E-2</v>
      </c>
      <c r="AO23">
        <f t="shared" si="13"/>
        <v>0</v>
      </c>
      <c r="AP23" s="14">
        <f t="shared" si="22"/>
        <v>0.4</v>
      </c>
      <c r="AQ23">
        <f t="shared" si="14"/>
        <v>-1.22056272543829E-2</v>
      </c>
      <c r="AR23">
        <f t="shared" si="15"/>
        <v>-2.5558676729832003E-3</v>
      </c>
      <c r="AU23" s="14"/>
      <c r="AV23" s="19"/>
      <c r="AW23" s="19"/>
      <c r="AX23">
        <f t="shared" si="3"/>
        <v>0</v>
      </c>
      <c r="AY23">
        <f>IF(W23,SUMPRODUCT(INDEX(AX:AX,X23):INDEX(AX:AX,X23+Y23)),0)</f>
        <v>0</v>
      </c>
      <c r="AZ23">
        <f>IF(V23,COUNT(INDEX(AX:AX,X23):INDEX(AX:AX,ROW())),0)</f>
        <v>13</v>
      </c>
      <c r="BA23" s="14" t="str">
        <f t="shared" si="16"/>
        <v/>
      </c>
      <c r="BB23" s="6">
        <f t="shared" si="4"/>
        <v>208245.71249999999</v>
      </c>
      <c r="BC23" s="6">
        <f>MEDIAN(INDEX(BB:BB,X23):INDEX(BB:BB,X23+Y23-1))</f>
        <v>91889.632200000007</v>
      </c>
      <c r="BD23" s="25" t="str">
        <f t="shared" si="5"/>
        <v/>
      </c>
      <c r="BE23">
        <f t="shared" si="17"/>
        <v>0</v>
      </c>
      <c r="BF23" s="6">
        <f>SUM(INDEX(BE:BE,X23):INDEX(BE:BE,X23+Y23-1))</f>
        <v>0</v>
      </c>
      <c r="BG23" s="25" t="str">
        <f t="shared" si="6"/>
        <v/>
      </c>
    </row>
    <row r="24" spans="1:59" x14ac:dyDescent="0.3">
      <c r="A24" s="1">
        <v>45387</v>
      </c>
      <c r="B24">
        <v>26.424099999999999</v>
      </c>
      <c r="C24">
        <v>26.735099999999999</v>
      </c>
      <c r="D24">
        <v>26.311900000000001</v>
      </c>
      <c r="E24">
        <v>26.641999999999999</v>
      </c>
      <c r="F24">
        <v>6663</v>
      </c>
      <c r="G24" s="29">
        <v>0.48066082363091001</v>
      </c>
      <c r="H24" s="29">
        <v>1.8041469245210901E-2</v>
      </c>
      <c r="I24" s="29">
        <v>1.58846933413406E-2</v>
      </c>
      <c r="J24" s="29">
        <v>44.311032852200903</v>
      </c>
      <c r="K24" s="29">
        <v>-2.67940311592481E-2</v>
      </c>
      <c r="L24" s="29">
        <v>0.4</v>
      </c>
      <c r="M24" s="29">
        <v>-8.3897130530538294E-2</v>
      </c>
      <c r="N24" s="29">
        <v>1.18418474134078</v>
      </c>
      <c r="O24" s="29">
        <v>-5.4373018999854403E-2</v>
      </c>
      <c r="P24" s="29">
        <v>7.4913307038675303E-3</v>
      </c>
      <c r="Q24" s="29">
        <v>7.9365079365079309E-3</v>
      </c>
      <c r="R24" s="30">
        <v>228342.97094999999</v>
      </c>
      <c r="S24" s="29">
        <v>1</v>
      </c>
      <c r="T24">
        <v>507.495</v>
      </c>
      <c r="U24" s="21"/>
      <c r="V24">
        <v>14</v>
      </c>
      <c r="W24" t="b">
        <f>V24&gt;=$C$4</f>
        <v>0</v>
      </c>
      <c r="X24">
        <f>IF(V24&lt;=$C$5,11,ROW()-$C$5+1)</f>
        <v>11</v>
      </c>
      <c r="Y24" s="14">
        <f t="shared" si="0"/>
        <v>14</v>
      </c>
      <c r="Z24" s="10">
        <f t="shared" si="7"/>
        <v>0.4231999999999978</v>
      </c>
      <c r="AA24" s="15">
        <f t="shared" si="8"/>
        <v>1.5884693341340659E-2</v>
      </c>
      <c r="AB24" s="15">
        <f t="shared" si="9"/>
        <v>0.48066082363091039</v>
      </c>
      <c r="AC24" s="10">
        <f t="shared" si="1"/>
        <v>1.804146924521096E-2</v>
      </c>
      <c r="AD24">
        <f t="shared" si="10"/>
        <v>0.19810000000000016</v>
      </c>
      <c r="AE24">
        <f t="shared" si="18"/>
        <v>0.19810000000000016</v>
      </c>
      <c r="AF24">
        <f t="shared" si="19"/>
        <v>0</v>
      </c>
      <c r="AG24">
        <f t="shared" si="21"/>
        <v>0.12434439877606104</v>
      </c>
      <c r="AH24">
        <f t="shared" si="21"/>
        <v>0.12019248578176231</v>
      </c>
      <c r="AI24">
        <f t="shared" si="11"/>
        <v>1.0345438649287735</v>
      </c>
      <c r="AJ24">
        <f t="shared" si="20"/>
        <v>50.84893389432974</v>
      </c>
      <c r="AK24" s="14">
        <f t="shared" si="2"/>
        <v>50.84893389432974</v>
      </c>
      <c r="AL24">
        <v>-9</v>
      </c>
      <c r="AN24" s="36">
        <f t="shared" si="12"/>
        <v>7.4913307038675381E-3</v>
      </c>
      <c r="AO24">
        <f t="shared" si="13"/>
        <v>1</v>
      </c>
      <c r="AP24" s="14">
        <f t="shared" si="22"/>
        <v>0.4</v>
      </c>
      <c r="AQ24">
        <f t="shared" si="14"/>
        <v>1.0447030152434644E-2</v>
      </c>
      <c r="AR24">
        <f t="shared" si="15"/>
        <v>-2.955699448567114E-3</v>
      </c>
      <c r="AU24" s="14"/>
      <c r="AV24" s="19"/>
      <c r="AW24" s="19"/>
      <c r="AX24">
        <f t="shared" si="3"/>
        <v>0</v>
      </c>
      <c r="AY24">
        <f>IF(W24,SUMPRODUCT(INDEX(AX:AX,X24):INDEX(AX:AX,X24+Y24)),0)</f>
        <v>0</v>
      </c>
      <c r="AZ24">
        <f>IF(V24,COUNT(INDEX(AX:AX,X24):INDEX(AX:AX,ROW())),0)</f>
        <v>14</v>
      </c>
      <c r="BA24" s="14" t="str">
        <f t="shared" si="16"/>
        <v/>
      </c>
      <c r="BB24" s="6">
        <f t="shared" si="4"/>
        <v>177515.64600000001</v>
      </c>
      <c r="BC24" s="6">
        <f>MEDIAN(INDEX(BB:BB,X24):INDEX(BB:BB,X24+Y24-1))</f>
        <v>101740.03890000001</v>
      </c>
      <c r="BD24" s="25" t="str">
        <f t="shared" si="5"/>
        <v/>
      </c>
      <c r="BE24">
        <f t="shared" si="17"/>
        <v>0</v>
      </c>
      <c r="BF24" s="6">
        <f>SUM(INDEX(BE:BE,X24):INDEX(BE:BE,X24+Y24-1))</f>
        <v>0</v>
      </c>
      <c r="BG24" s="25" t="str">
        <f t="shared" si="6"/>
        <v/>
      </c>
    </row>
    <row r="25" spans="1:59" x14ac:dyDescent="0.3">
      <c r="A25" s="1">
        <v>45390</v>
      </c>
      <c r="B25">
        <v>26.6816</v>
      </c>
      <c r="C25">
        <v>26.8005</v>
      </c>
      <c r="D25">
        <v>26.6816</v>
      </c>
      <c r="E25">
        <v>26.8005</v>
      </c>
      <c r="F25">
        <v>3029</v>
      </c>
      <c r="G25" s="29">
        <v>0.45764933622870202</v>
      </c>
      <c r="H25" s="29">
        <v>1.70761491848548E-2</v>
      </c>
      <c r="I25" s="29">
        <v>5.9140687673737398E-3</v>
      </c>
      <c r="J25" s="29">
        <v>46.523591260255699</v>
      </c>
      <c r="K25" s="29">
        <v>-3.5859597874613597E-2</v>
      </c>
      <c r="L25" s="29">
        <v>0.6</v>
      </c>
      <c r="M25" s="29">
        <v>-7.3825594066299405E-2</v>
      </c>
      <c r="N25" s="29">
        <v>1.1816971400201</v>
      </c>
      <c r="O25" s="29">
        <v>-4.8747244790391102E-2</v>
      </c>
      <c r="P25" s="29">
        <v>5.9492530590796698E-3</v>
      </c>
      <c r="Q25" s="29">
        <v>7.9365079365079309E-3</v>
      </c>
      <c r="R25" s="30">
        <v>228342.97094999999</v>
      </c>
      <c r="S25" s="29">
        <v>1</v>
      </c>
      <c r="T25">
        <v>507.779</v>
      </c>
      <c r="U25" s="21"/>
      <c r="V25">
        <v>15</v>
      </c>
      <c r="W25" t="b">
        <f>V25&gt;=$C$4</f>
        <v>0</v>
      </c>
      <c r="X25">
        <f>IF(V25&lt;=$C$5,11,ROW()-$C$5+1)</f>
        <v>11</v>
      </c>
      <c r="Y25" s="14">
        <f t="shared" si="0"/>
        <v>15</v>
      </c>
      <c r="Z25" s="10">
        <f t="shared" si="7"/>
        <v>0.15850000000000009</v>
      </c>
      <c r="AA25" s="15">
        <f t="shared" si="8"/>
        <v>5.9140687673737459E-3</v>
      </c>
      <c r="AB25" s="15">
        <f t="shared" si="9"/>
        <v>0.45764933622870252</v>
      </c>
      <c r="AC25" s="10">
        <f t="shared" si="1"/>
        <v>1.7076149184854856E-2</v>
      </c>
      <c r="AD25">
        <f t="shared" si="10"/>
        <v>0.15850000000000009</v>
      </c>
      <c r="AE25">
        <f t="shared" si="18"/>
        <v>0.15850000000000009</v>
      </c>
      <c r="AF25">
        <f t="shared" si="19"/>
        <v>0</v>
      </c>
      <c r="AG25">
        <f t="shared" si="21"/>
        <v>0.12678408457777096</v>
      </c>
      <c r="AH25">
        <f t="shared" si="21"/>
        <v>0.11160730822592214</v>
      </c>
      <c r="AI25">
        <f t="shared" si="11"/>
        <v>1.1359837146249159</v>
      </c>
      <c r="AJ25">
        <f t="shared" si="20"/>
        <v>53.183163656488716</v>
      </c>
      <c r="AK25" s="14">
        <f t="shared" si="2"/>
        <v>53.183163656488716</v>
      </c>
      <c r="AL25">
        <v>-8</v>
      </c>
      <c r="AN25" s="36">
        <f t="shared" si="12"/>
        <v>5.9492530590796733E-3</v>
      </c>
      <c r="AO25">
        <f t="shared" si="13"/>
        <v>1</v>
      </c>
      <c r="AP25" s="14">
        <f t="shared" si="22"/>
        <v>0.6</v>
      </c>
      <c r="AQ25">
        <f t="shared" si="14"/>
        <v>5.5961142474303394E-4</v>
      </c>
      <c r="AR25">
        <f t="shared" si="15"/>
        <v>5.3896416343366359E-3</v>
      </c>
      <c r="AU25" s="14"/>
      <c r="AV25" s="19"/>
      <c r="AW25" s="19"/>
      <c r="AX25">
        <f t="shared" si="3"/>
        <v>0</v>
      </c>
      <c r="AY25">
        <f>IF(W25,SUMPRODUCT(INDEX(AX:AX,X25):INDEX(AX:AX,X25+Y25)),0)</f>
        <v>0</v>
      </c>
      <c r="AZ25">
        <f>IF(V25,COUNT(INDEX(AX:AX,X25):INDEX(AX:AX,ROW())),0)</f>
        <v>15</v>
      </c>
      <c r="BA25" s="14" t="str">
        <f t="shared" si="16"/>
        <v/>
      </c>
      <c r="BB25" s="6">
        <f t="shared" si="4"/>
        <v>81178.714500000002</v>
      </c>
      <c r="BC25" s="6">
        <f>MEDIAN(INDEX(BB:BB,X25):INDEX(BB:BB,X25+Y25-1))</f>
        <v>91889.632200000007</v>
      </c>
      <c r="BD25" s="25" t="str">
        <f t="shared" si="5"/>
        <v/>
      </c>
      <c r="BE25">
        <f t="shared" si="17"/>
        <v>0</v>
      </c>
      <c r="BF25" s="6">
        <f>SUM(INDEX(BE:BE,X25):INDEX(BE:BE,X25+Y25-1))</f>
        <v>0</v>
      </c>
      <c r="BG25" s="25" t="str">
        <f t="shared" si="6"/>
        <v/>
      </c>
    </row>
    <row r="26" spans="1:59" x14ac:dyDescent="0.3">
      <c r="A26" s="1">
        <v>45391</v>
      </c>
      <c r="B26">
        <v>26.9193</v>
      </c>
      <c r="C26">
        <v>27.0976</v>
      </c>
      <c r="D26">
        <v>26.632100000000001</v>
      </c>
      <c r="E26">
        <v>27.091000000000001</v>
      </c>
      <c r="F26">
        <v>6361</v>
      </c>
      <c r="G26" s="29">
        <v>0.45821009792665202</v>
      </c>
      <c r="H26" s="29">
        <v>1.6913738803538102E-2</v>
      </c>
      <c r="I26" s="29">
        <v>1.7182828245542701E-2</v>
      </c>
      <c r="J26" s="29">
        <v>50.412264160539799</v>
      </c>
      <c r="K26" s="29">
        <v>-1.39548088402293E-2</v>
      </c>
      <c r="L26" s="29">
        <v>0.8</v>
      </c>
      <c r="M26" s="29">
        <v>-5.32889303601016E-2</v>
      </c>
      <c r="N26" s="29">
        <v>1.2033884662258401</v>
      </c>
      <c r="O26" s="29">
        <v>-3.8436283226674202E-2</v>
      </c>
      <c r="P26" s="29">
        <v>1.0839350012126599E-2</v>
      </c>
      <c r="Q26" s="29">
        <v>7.9365079365079309E-3</v>
      </c>
      <c r="R26" s="30">
        <v>228342.97094999999</v>
      </c>
      <c r="S26" s="29">
        <v>1</v>
      </c>
      <c r="T26">
        <v>508.36599999999999</v>
      </c>
      <c r="U26" s="21"/>
      <c r="V26">
        <v>16</v>
      </c>
      <c r="W26" t="b">
        <f>V26&gt;=$C$4</f>
        <v>0</v>
      </c>
      <c r="X26">
        <f>IF(V26&lt;=$C$5,11,ROW()-$C$5+1)</f>
        <v>11</v>
      </c>
      <c r="Y26" s="14">
        <f t="shared" si="0"/>
        <v>16</v>
      </c>
      <c r="Z26" s="10">
        <f t="shared" si="7"/>
        <v>0.46549999999999869</v>
      </c>
      <c r="AA26" s="15">
        <f t="shared" si="8"/>
        <v>1.718282824554275E-2</v>
      </c>
      <c r="AB26" s="15">
        <f t="shared" si="9"/>
        <v>0.45821009792665224</v>
      </c>
      <c r="AC26" s="10">
        <f t="shared" si="1"/>
        <v>1.6913738803538157E-2</v>
      </c>
      <c r="AD26">
        <f t="shared" si="10"/>
        <v>0.29050000000000153</v>
      </c>
      <c r="AE26">
        <f t="shared" si="18"/>
        <v>0.29050000000000153</v>
      </c>
      <c r="AF26">
        <f t="shared" si="19"/>
        <v>0</v>
      </c>
      <c r="AG26">
        <f t="shared" si="21"/>
        <v>0.13847807853650171</v>
      </c>
      <c r="AH26">
        <f t="shared" si="21"/>
        <v>0.10363535763835628</v>
      </c>
      <c r="AI26">
        <f t="shared" si="11"/>
        <v>1.3362049564177878</v>
      </c>
      <c r="AJ26">
        <f t="shared" si="20"/>
        <v>57.195536408186264</v>
      </c>
      <c r="AK26" s="14">
        <f t="shared" si="2"/>
        <v>57.195536408186264</v>
      </c>
      <c r="AL26">
        <v>-7</v>
      </c>
      <c r="AN26" s="36">
        <f t="shared" si="12"/>
        <v>1.0839350012126658E-2</v>
      </c>
      <c r="AO26">
        <f t="shared" si="13"/>
        <v>1</v>
      </c>
      <c r="AP26" s="14">
        <f t="shared" si="22"/>
        <v>0.8</v>
      </c>
      <c r="AQ26">
        <f t="shared" si="14"/>
        <v>1.1560147229405793E-3</v>
      </c>
      <c r="AR26">
        <f t="shared" si="15"/>
        <v>9.6833352891860201E-3</v>
      </c>
      <c r="AU26" s="14"/>
      <c r="AV26" s="19"/>
      <c r="AW26" s="19"/>
      <c r="AX26">
        <f t="shared" si="3"/>
        <v>0</v>
      </c>
      <c r="AY26">
        <f>IF(W26,SUMPRODUCT(INDEX(AX:AX,X26):INDEX(AX:AX,X26+Y26)),0)</f>
        <v>0</v>
      </c>
      <c r="AZ26">
        <f>IF(V26,COUNT(INDEX(AX:AX,X26):INDEX(AX:AX,ROW())),0)</f>
        <v>16</v>
      </c>
      <c r="BA26" s="14" t="str">
        <f t="shared" si="16"/>
        <v/>
      </c>
      <c r="BB26" s="6">
        <f t="shared" si="4"/>
        <v>172325.851</v>
      </c>
      <c r="BC26" s="6">
        <f>MEDIAN(INDEX(BB:BB,X26):INDEX(BB:BB,X26+Y26-1))</f>
        <v>101740.03890000001</v>
      </c>
      <c r="BD26" s="25" t="str">
        <f t="shared" si="5"/>
        <v/>
      </c>
      <c r="BE26">
        <f t="shared" si="17"/>
        <v>0</v>
      </c>
      <c r="BF26" s="6">
        <f>SUM(INDEX(BE:BE,X26):INDEX(BE:BE,X26+Y26-1))</f>
        <v>0</v>
      </c>
      <c r="BG26" s="25" t="str">
        <f t="shared" si="6"/>
        <v/>
      </c>
    </row>
    <row r="27" spans="1:59" x14ac:dyDescent="0.3">
      <c r="A27" s="1">
        <v>45392</v>
      </c>
      <c r="B27">
        <v>26.628799999999998</v>
      </c>
      <c r="C27">
        <v>26.628799999999998</v>
      </c>
      <c r="D27">
        <v>25.7242</v>
      </c>
      <c r="E27">
        <v>25.829899999999999</v>
      </c>
      <c r="F27">
        <v>22566</v>
      </c>
      <c r="G27" s="29">
        <v>0.52310937664617696</v>
      </c>
      <c r="H27" s="29">
        <v>2.0252086792677301E-2</v>
      </c>
      <c r="I27" s="29">
        <v>5.2915419726750797E-2</v>
      </c>
      <c r="J27" s="29">
        <v>37.622228209129602</v>
      </c>
      <c r="K27" s="29">
        <v>-6.7017514709972498E-2</v>
      </c>
      <c r="L27" s="29">
        <v>0.6</v>
      </c>
      <c r="M27" s="29">
        <v>-0.109383398756237</v>
      </c>
      <c r="N27" s="29">
        <v>1.3394617717939801</v>
      </c>
      <c r="O27" s="29">
        <v>-8.31975693815908E-2</v>
      </c>
      <c r="P27" s="29">
        <v>-4.6550514931157999E-2</v>
      </c>
      <c r="Q27" s="29">
        <v>7.9365079365079309E-3</v>
      </c>
      <c r="R27" s="30">
        <v>229079.63149999999</v>
      </c>
      <c r="S27" s="29">
        <v>1</v>
      </c>
      <c r="T27">
        <v>503.27600000000001</v>
      </c>
      <c r="U27" s="21"/>
      <c r="V27">
        <v>17</v>
      </c>
      <c r="W27" t="b">
        <f>V27&gt;=$C$4</f>
        <v>0</v>
      </c>
      <c r="X27">
        <f>IF(V27&lt;=$C$5,11,ROW()-$C$5+1)</f>
        <v>11</v>
      </c>
      <c r="Y27" s="14">
        <f t="shared" si="0"/>
        <v>17</v>
      </c>
      <c r="Z27" s="10">
        <f t="shared" si="7"/>
        <v>1.3668000000000013</v>
      </c>
      <c r="AA27" s="15">
        <f t="shared" si="8"/>
        <v>5.2915419726750838E-2</v>
      </c>
      <c r="AB27" s="15">
        <f t="shared" si="9"/>
        <v>0.52310937664617718</v>
      </c>
      <c r="AC27" s="10">
        <f t="shared" si="1"/>
        <v>2.0252086792677371E-2</v>
      </c>
      <c r="AD27">
        <f t="shared" si="10"/>
        <v>-1.2611000000000026</v>
      </c>
      <c r="AE27">
        <f t="shared" si="18"/>
        <v>0</v>
      </c>
      <c r="AF27">
        <f t="shared" si="19"/>
        <v>1.2611000000000026</v>
      </c>
      <c r="AG27">
        <f t="shared" si="21"/>
        <v>0.12858678721246589</v>
      </c>
      <c r="AH27">
        <f t="shared" si="21"/>
        <v>0.18631140352133105</v>
      </c>
      <c r="AI27">
        <f t="shared" si="11"/>
        <v>0.69017131953355615</v>
      </c>
      <c r="AJ27">
        <f t="shared" si="20"/>
        <v>40.834400131936071</v>
      </c>
      <c r="AK27" s="14">
        <f t="shared" si="2"/>
        <v>40.834400131936071</v>
      </c>
      <c r="AL27">
        <v>-6</v>
      </c>
      <c r="AN27" s="36">
        <f t="shared" si="12"/>
        <v>-4.6550514931158027E-2</v>
      </c>
      <c r="AO27">
        <f t="shared" si="13"/>
        <v>0</v>
      </c>
      <c r="AP27" s="14">
        <f t="shared" si="22"/>
        <v>0.6</v>
      </c>
      <c r="AQ27">
        <f t="shared" si="14"/>
        <v>-1.001247132971117E-2</v>
      </c>
      <c r="AR27">
        <f t="shared" si="15"/>
        <v>-3.6538043601446829E-2</v>
      </c>
      <c r="AU27" s="14"/>
      <c r="AV27" s="19"/>
      <c r="AW27" s="19"/>
      <c r="AX27">
        <f t="shared" si="3"/>
        <v>0</v>
      </c>
      <c r="AY27">
        <f>IF(W27,SUMPRODUCT(INDEX(AX:AX,X27):INDEX(AX:AX,X27+Y27)),0)</f>
        <v>0</v>
      </c>
      <c r="AZ27">
        <f>IF(V27,COUNT(INDEX(AX:AX,X27):INDEX(AX:AX,ROW())),0)</f>
        <v>17</v>
      </c>
      <c r="BA27" s="14" t="str">
        <f t="shared" si="16"/>
        <v/>
      </c>
      <c r="BB27" s="6">
        <f t="shared" si="4"/>
        <v>582877.52339999995</v>
      </c>
      <c r="BC27" s="6">
        <f>MEDIAN(INDEX(BB:BB,X27):INDEX(BB:BB,X27+Y27-1))</f>
        <v>111590.44560000001</v>
      </c>
      <c r="BD27" s="25" t="str">
        <f t="shared" si="5"/>
        <v/>
      </c>
      <c r="BE27">
        <f t="shared" si="17"/>
        <v>0</v>
      </c>
      <c r="BF27" s="6">
        <f>SUM(INDEX(BE:BE,X27):INDEX(BE:BE,X27+Y27-1))</f>
        <v>0</v>
      </c>
      <c r="BG27" s="25" t="str">
        <f t="shared" si="6"/>
        <v/>
      </c>
    </row>
    <row r="28" spans="1:59" x14ac:dyDescent="0.3">
      <c r="A28" s="1">
        <v>45393</v>
      </c>
      <c r="B28">
        <v>25.777100000000001</v>
      </c>
      <c r="C28">
        <v>26.1996</v>
      </c>
      <c r="D28">
        <v>25.750699999999998</v>
      </c>
      <c r="E28">
        <v>26.1996</v>
      </c>
      <c r="F28">
        <v>4846</v>
      </c>
      <c r="G28" s="29">
        <v>0.51780870688573599</v>
      </c>
      <c r="H28" s="29">
        <v>1.9763992842857701E-2</v>
      </c>
      <c r="I28" s="29">
        <v>1.7133849371746199E-2</v>
      </c>
      <c r="J28" s="29">
        <v>42.248029541202897</v>
      </c>
      <c r="K28" s="29">
        <v>-5.0718493880301599E-2</v>
      </c>
      <c r="L28" s="29">
        <v>0.8</v>
      </c>
      <c r="M28" s="29">
        <v>-0.113783111474913</v>
      </c>
      <c r="N28" s="29">
        <v>1.33817603570629</v>
      </c>
      <c r="O28" s="29">
        <v>-7.0075495405321805E-2</v>
      </c>
      <c r="P28" s="29">
        <v>1.4312869968524799E-2</v>
      </c>
      <c r="Q28" s="29">
        <v>7.9365079365079309E-3</v>
      </c>
      <c r="R28" s="30">
        <v>229079.63149999999</v>
      </c>
      <c r="S28" s="29">
        <v>1</v>
      </c>
      <c r="T28">
        <v>507.07400000000001</v>
      </c>
      <c r="U28" s="21"/>
      <c r="V28">
        <v>18</v>
      </c>
      <c r="W28" t="b">
        <f>V28&gt;=$C$4</f>
        <v>0</v>
      </c>
      <c r="X28">
        <f>IF(V28&lt;=$C$5,11,ROW()-$C$5+1)</f>
        <v>11</v>
      </c>
      <c r="Y28" s="14">
        <f t="shared" si="0"/>
        <v>18</v>
      </c>
      <c r="Z28" s="10">
        <f t="shared" si="7"/>
        <v>0.44890000000000185</v>
      </c>
      <c r="AA28" s="15">
        <f t="shared" si="8"/>
        <v>1.7133849371746203E-2</v>
      </c>
      <c r="AB28" s="15">
        <f t="shared" si="9"/>
        <v>0.5178087068857361</v>
      </c>
      <c r="AC28" s="10">
        <f t="shared" si="1"/>
        <v>1.9763992842857757E-2</v>
      </c>
      <c r="AD28">
        <f t="shared" si="10"/>
        <v>0.36970000000000169</v>
      </c>
      <c r="AE28">
        <f t="shared" si="18"/>
        <v>0.36970000000000169</v>
      </c>
      <c r="AF28">
        <f t="shared" si="19"/>
        <v>0</v>
      </c>
      <c r="AG28">
        <f t="shared" si="21"/>
        <v>0.14580915955443272</v>
      </c>
      <c r="AH28">
        <f t="shared" si="21"/>
        <v>0.17300344612695026</v>
      </c>
      <c r="AI28">
        <f t="shared" si="11"/>
        <v>0.84281072324673623</v>
      </c>
      <c r="AJ28">
        <f t="shared" si="20"/>
        <v>45.735067232615151</v>
      </c>
      <c r="AK28" s="14">
        <f t="shared" si="2"/>
        <v>45.735067232615151</v>
      </c>
      <c r="AL28">
        <v>-5</v>
      </c>
      <c r="AN28" s="36">
        <f t="shared" si="12"/>
        <v>1.4312869968524877E-2</v>
      </c>
      <c r="AO28">
        <f t="shared" si="13"/>
        <v>1</v>
      </c>
      <c r="AP28" s="14">
        <f t="shared" si="22"/>
        <v>0.8</v>
      </c>
      <c r="AQ28">
        <f t="shared" si="14"/>
        <v>7.5465549718245484E-3</v>
      </c>
      <c r="AR28">
        <f t="shared" si="15"/>
        <v>6.7663149967002508E-3</v>
      </c>
      <c r="AU28" s="14"/>
      <c r="AV28" s="19"/>
      <c r="AW28" s="19"/>
      <c r="AX28">
        <f t="shared" si="3"/>
        <v>0</v>
      </c>
      <c r="AY28">
        <f>IF(W28,SUMPRODUCT(INDEX(AX:AX,X28):INDEX(AX:AX,X28+Y28)),0)</f>
        <v>0</v>
      </c>
      <c r="AZ28">
        <f>IF(V28,COUNT(INDEX(AX:AX,X28):INDEX(AX:AX,ROW())),0)</f>
        <v>18</v>
      </c>
      <c r="BA28" s="14" t="str">
        <f t="shared" si="16"/>
        <v/>
      </c>
      <c r="BB28" s="6">
        <f t="shared" si="4"/>
        <v>126963.2616</v>
      </c>
      <c r="BC28" s="6">
        <f>MEDIAN(INDEX(BB:BB,X28):INDEX(BB:BB,X28+Y28-1))</f>
        <v>119276.8536</v>
      </c>
      <c r="BD28" s="25" t="str">
        <f t="shared" si="5"/>
        <v/>
      </c>
      <c r="BE28">
        <f t="shared" si="17"/>
        <v>0</v>
      </c>
      <c r="BF28" s="6">
        <f>SUM(INDEX(BE:BE,X28):INDEX(BE:BE,X28+Y28-1))</f>
        <v>0</v>
      </c>
      <c r="BG28" s="25" t="str">
        <f t="shared" si="6"/>
        <v/>
      </c>
    </row>
    <row r="29" spans="1:59" x14ac:dyDescent="0.3">
      <c r="A29" s="1">
        <v>45394</v>
      </c>
      <c r="B29">
        <v>25.9025</v>
      </c>
      <c r="C29">
        <v>26.113800000000001</v>
      </c>
      <c r="D29">
        <v>25.790299999999998</v>
      </c>
      <c r="E29">
        <v>25.9223</v>
      </c>
      <c r="F29">
        <v>4846</v>
      </c>
      <c r="G29" s="29">
        <v>0.51005808496532601</v>
      </c>
      <c r="H29" s="29">
        <v>1.9676420879525602E-2</v>
      </c>
      <c r="I29" s="29">
        <v>1.5789493987802002E-2</v>
      </c>
      <c r="J29" s="29">
        <v>39.860312177161099</v>
      </c>
      <c r="K29" s="29">
        <v>-6.5906822383095601E-2</v>
      </c>
      <c r="L29" s="29">
        <v>0.6</v>
      </c>
      <c r="M29" s="29">
        <v>-8.7657097069610695E-2</v>
      </c>
      <c r="N29" s="29">
        <v>1.28604499032138</v>
      </c>
      <c r="O29" s="29">
        <v>-7.9917938233613303E-2</v>
      </c>
      <c r="P29" s="29">
        <v>-1.0584131055435901E-2</v>
      </c>
      <c r="Q29" s="29">
        <v>7.9365079365079309E-3</v>
      </c>
      <c r="R29" s="30">
        <v>228342.97094999999</v>
      </c>
      <c r="S29" s="29">
        <v>2</v>
      </c>
      <c r="T29">
        <v>500.07499999999999</v>
      </c>
      <c r="U29" s="21"/>
      <c r="V29">
        <v>19</v>
      </c>
      <c r="W29" t="b">
        <f>V29&gt;=$C$4</f>
        <v>0</v>
      </c>
      <c r="X29">
        <f>IF(V29&lt;=$C$5,11,ROW()-$C$5+1)</f>
        <v>11</v>
      </c>
      <c r="Y29" s="14">
        <f t="shared" si="0"/>
        <v>19</v>
      </c>
      <c r="Z29" s="10">
        <f t="shared" si="7"/>
        <v>0.40930000000000177</v>
      </c>
      <c r="AA29" s="15">
        <f t="shared" si="8"/>
        <v>1.5789493987802078E-2</v>
      </c>
      <c r="AB29" s="15">
        <f t="shared" si="9"/>
        <v>0.51005808496532645</v>
      </c>
      <c r="AC29" s="10">
        <f t="shared" si="1"/>
        <v>1.9676420879525598E-2</v>
      </c>
      <c r="AD29">
        <f t="shared" si="10"/>
        <v>-0.27730000000000032</v>
      </c>
      <c r="AE29">
        <f t="shared" si="18"/>
        <v>0</v>
      </c>
      <c r="AF29">
        <f t="shared" si="19"/>
        <v>0.27730000000000032</v>
      </c>
      <c r="AG29">
        <f t="shared" si="21"/>
        <v>0.13539421958625894</v>
      </c>
      <c r="AH29">
        <f t="shared" si="21"/>
        <v>0.18045319997502526</v>
      </c>
      <c r="AI29">
        <f t="shared" si="11"/>
        <v>0.75030101768767476</v>
      </c>
      <c r="AJ29">
        <f t="shared" si="20"/>
        <v>42.866970315705956</v>
      </c>
      <c r="AK29" s="14">
        <f t="shared" si="2"/>
        <v>42.866970315705956</v>
      </c>
      <c r="AL29">
        <v>-4</v>
      </c>
      <c r="AN29" s="36">
        <f t="shared" si="12"/>
        <v>-1.0584131055435986E-2</v>
      </c>
      <c r="AO29">
        <f t="shared" si="13"/>
        <v>0</v>
      </c>
      <c r="AP29" s="14">
        <f t="shared" si="22"/>
        <v>0.6</v>
      </c>
      <c r="AQ29">
        <f t="shared" si="14"/>
        <v>-1.3802719129752283E-2</v>
      </c>
      <c r="AR29">
        <f t="shared" si="15"/>
        <v>3.2185880743163826E-3</v>
      </c>
      <c r="AU29" s="14"/>
      <c r="AV29" s="19"/>
      <c r="AW29" s="19"/>
      <c r="AX29">
        <f t="shared" si="3"/>
        <v>0</v>
      </c>
      <c r="AY29">
        <f>IF(W29,SUMPRODUCT(INDEX(AX:AX,X29):INDEX(AX:AX,X29+Y29)),0)</f>
        <v>0</v>
      </c>
      <c r="AZ29">
        <f>IF(V29,COUNT(INDEX(AX:AX,X29):INDEX(AX:AX,ROW())),0)</f>
        <v>19</v>
      </c>
      <c r="BA29" s="14" t="str">
        <f t="shared" si="16"/>
        <v/>
      </c>
      <c r="BB29" s="6">
        <f t="shared" si="4"/>
        <v>125619.46580000001</v>
      </c>
      <c r="BC29" s="6">
        <f>MEDIAN(INDEX(BB:BB,X29):INDEX(BB:BB,X29+Y29-1))</f>
        <v>125619.46580000001</v>
      </c>
      <c r="BD29" s="25" t="str">
        <f t="shared" si="5"/>
        <v/>
      </c>
      <c r="BE29">
        <f t="shared" si="17"/>
        <v>1</v>
      </c>
      <c r="BF29" s="6">
        <f>SUM(INDEX(BE:BE,X29):INDEX(BE:BE,X29+Y29-1))</f>
        <v>1</v>
      </c>
      <c r="BG29" s="25" t="str">
        <f t="shared" si="6"/>
        <v/>
      </c>
    </row>
    <row r="30" spans="1:59" x14ac:dyDescent="0.3">
      <c r="A30" s="1">
        <v>45397</v>
      </c>
      <c r="B30">
        <v>26.0808</v>
      </c>
      <c r="C30">
        <v>26.0808</v>
      </c>
      <c r="D30">
        <v>25.555900000000001</v>
      </c>
      <c r="E30">
        <v>25.697800000000001</v>
      </c>
      <c r="F30">
        <v>8178</v>
      </c>
      <c r="G30" s="29">
        <v>0.51111822175351695</v>
      </c>
      <c r="H30" s="29">
        <v>1.9889571159924801E-2</v>
      </c>
      <c r="I30" s="29">
        <v>2.04258730319326E-2</v>
      </c>
      <c r="J30" s="29">
        <v>37.988428132188702</v>
      </c>
      <c r="K30" s="29">
        <v>-5.3271833715249697E-2</v>
      </c>
      <c r="L30" s="29">
        <v>0.4</v>
      </c>
      <c r="M30" s="29">
        <v>-8.1833576500546901E-2</v>
      </c>
      <c r="N30" s="29">
        <v>1.25140170427821</v>
      </c>
      <c r="O30" s="29">
        <v>-8.78863061202034E-2</v>
      </c>
      <c r="P30" s="29">
        <v>-8.6604969466443898E-3</v>
      </c>
      <c r="Q30" s="29">
        <v>7.9365079365079309E-3</v>
      </c>
      <c r="R30" s="30">
        <v>228342.97094999999</v>
      </c>
      <c r="S30" s="29">
        <v>2</v>
      </c>
      <c r="T30">
        <v>493.81</v>
      </c>
      <c r="U30" s="21"/>
      <c r="V30">
        <v>20</v>
      </c>
      <c r="W30" t="b">
        <f>V30&gt;=$C$4</f>
        <v>0</v>
      </c>
      <c r="X30">
        <f>IF(V30&lt;=$C$5,11,ROW()-$C$5+1)</f>
        <v>11</v>
      </c>
      <c r="Y30" s="14">
        <f t="shared" si="0"/>
        <v>20</v>
      </c>
      <c r="Z30" s="10">
        <f t="shared" si="7"/>
        <v>0.52489999999999881</v>
      </c>
      <c r="AA30" s="15">
        <f t="shared" si="8"/>
        <v>2.0425873031932648E-2</v>
      </c>
      <c r="AB30" s="15">
        <f t="shared" si="9"/>
        <v>0.51111822175351729</v>
      </c>
      <c r="AC30" s="10">
        <f t="shared" si="1"/>
        <v>1.9889571159924867E-2</v>
      </c>
      <c r="AD30">
        <f t="shared" si="10"/>
        <v>-0.22449999999999903</v>
      </c>
      <c r="AE30">
        <f t="shared" si="18"/>
        <v>0</v>
      </c>
      <c r="AF30">
        <f t="shared" si="19"/>
        <v>0.22449999999999903</v>
      </c>
      <c r="AG30">
        <f t="shared" ref="AG30:AH45" si="23">(AE30+13*AG29)/14</f>
        <v>0.12572320390152616</v>
      </c>
      <c r="AH30">
        <f t="shared" si="23"/>
        <v>0.1835993999768091</v>
      </c>
      <c r="AI30">
        <f t="shared" si="11"/>
        <v>0.68476914367588659</v>
      </c>
      <c r="AJ30">
        <f t="shared" si="20"/>
        <v>40.644686914305296</v>
      </c>
      <c r="AK30" s="14">
        <f t="shared" si="2"/>
        <v>40.644686914305296</v>
      </c>
      <c r="AL30">
        <v>-3</v>
      </c>
      <c r="AN30" s="36">
        <f t="shared" si="12"/>
        <v>-8.6604969466443915E-3</v>
      </c>
      <c r="AO30">
        <f t="shared" si="13"/>
        <v>0</v>
      </c>
      <c r="AP30" s="14">
        <f t="shared" si="22"/>
        <v>0.4</v>
      </c>
      <c r="AQ30">
        <f t="shared" si="14"/>
        <v>-1.2528120781882701E-2</v>
      </c>
      <c r="AR30">
        <f t="shared" si="15"/>
        <v>3.8676238352383114E-3</v>
      </c>
      <c r="AU30" s="14"/>
      <c r="AV30" s="19"/>
      <c r="AW30" s="19"/>
      <c r="AX30">
        <f t="shared" si="3"/>
        <v>0</v>
      </c>
      <c r="AY30">
        <f>IF(W30,SUMPRODUCT(INDEX(AX:AX,X30):INDEX(AX:AX,X30+Y30)),0)</f>
        <v>0</v>
      </c>
      <c r="AZ30">
        <f>IF(V30,COUNT(INDEX(AX:AX,X30):INDEX(AX:AX,ROW())),0)</f>
        <v>20</v>
      </c>
      <c r="BA30" s="14" t="str">
        <f t="shared" si="16"/>
        <v/>
      </c>
      <c r="BB30" s="6">
        <f t="shared" si="4"/>
        <v>210156.6084</v>
      </c>
      <c r="BC30" s="6">
        <f>MEDIAN(INDEX(BB:BB,X30):INDEX(BB:BB,X30+Y30-1))</f>
        <v>126291.3637</v>
      </c>
      <c r="BD30" s="25" t="str">
        <f t="shared" si="5"/>
        <v/>
      </c>
      <c r="BE30">
        <f t="shared" si="17"/>
        <v>0</v>
      </c>
      <c r="BF30" s="6">
        <f>SUM(INDEX(BE:BE,X30):INDEX(BE:BE,X30+Y30-1))</f>
        <v>1</v>
      </c>
      <c r="BG30" s="25" t="str">
        <f t="shared" si="6"/>
        <v/>
      </c>
    </row>
    <row r="31" spans="1:59" x14ac:dyDescent="0.3">
      <c r="A31" s="1">
        <v>45398</v>
      </c>
      <c r="B31">
        <v>25.2621</v>
      </c>
      <c r="C31">
        <v>25.6252</v>
      </c>
      <c r="D31">
        <v>25.255500000000001</v>
      </c>
      <c r="E31">
        <v>25.592199999999998</v>
      </c>
      <c r="F31">
        <v>6512</v>
      </c>
      <c r="G31" s="29">
        <v>0.50620263448540903</v>
      </c>
      <c r="H31" s="29">
        <v>1.9779566996405502E-2</v>
      </c>
      <c r="I31" s="29">
        <v>1.7282609545095699E-2</v>
      </c>
      <c r="J31" s="29">
        <v>37.105731438038802</v>
      </c>
      <c r="K31" s="29">
        <v>-5.4633706669818899E-2</v>
      </c>
      <c r="L31" s="29">
        <v>0.2</v>
      </c>
      <c r="M31" s="29">
        <v>-7.8407533995961495E-2</v>
      </c>
      <c r="N31" s="29">
        <v>1.24827154436844</v>
      </c>
      <c r="O31" s="29">
        <v>-9.1634456003606202E-2</v>
      </c>
      <c r="P31" s="29">
        <v>-4.1093011853155998E-3</v>
      </c>
      <c r="Q31" s="29">
        <v>7.9365079365079309E-3</v>
      </c>
      <c r="R31" s="30">
        <v>226309.64170000001</v>
      </c>
      <c r="S31" s="29">
        <v>2</v>
      </c>
      <c r="T31">
        <v>492.90899999999999</v>
      </c>
      <c r="U31" s="21"/>
      <c r="V31">
        <v>21</v>
      </c>
      <c r="W31" t="b">
        <f>V31&gt;=$C$4</f>
        <v>0</v>
      </c>
      <c r="X31">
        <f>IF(V31&lt;=$C$5,11,ROW()-$C$5+1)</f>
        <v>11</v>
      </c>
      <c r="Y31" s="14">
        <f t="shared" si="0"/>
        <v>21</v>
      </c>
      <c r="Z31" s="10">
        <f t="shared" si="7"/>
        <v>0.44229999999999947</v>
      </c>
      <c r="AA31" s="15">
        <f t="shared" si="8"/>
        <v>1.7282609545095751E-2</v>
      </c>
      <c r="AB31" s="15">
        <f t="shared" si="9"/>
        <v>0.50620263448540892</v>
      </c>
      <c r="AC31" s="10">
        <f t="shared" si="1"/>
        <v>1.9779566996405505E-2</v>
      </c>
      <c r="AD31">
        <f t="shared" si="10"/>
        <v>-0.10560000000000258</v>
      </c>
      <c r="AE31">
        <f t="shared" si="18"/>
        <v>0</v>
      </c>
      <c r="AF31">
        <f t="shared" si="19"/>
        <v>0.10560000000000258</v>
      </c>
      <c r="AG31">
        <f t="shared" si="23"/>
        <v>0.11674297505141716</v>
      </c>
      <c r="AH31">
        <f t="shared" si="23"/>
        <v>0.17802801426418008</v>
      </c>
      <c r="AI31">
        <f t="shared" si="11"/>
        <v>0.65575620519015299</v>
      </c>
      <c r="AJ31">
        <f t="shared" si="20"/>
        <v>39.604635219521562</v>
      </c>
      <c r="AK31" s="14">
        <f t="shared" si="2"/>
        <v>39.604635219521562</v>
      </c>
      <c r="AL31">
        <v>-2</v>
      </c>
      <c r="AN31" s="36">
        <f t="shared" si="12"/>
        <v>-4.1093011853156058E-3</v>
      </c>
      <c r="AO31">
        <f t="shared" si="13"/>
        <v>0</v>
      </c>
      <c r="AP31" s="14">
        <f t="shared" si="22"/>
        <v>0.2</v>
      </c>
      <c r="AQ31">
        <f t="shared" si="14"/>
        <v>-1.8245884044471028E-3</v>
      </c>
      <c r="AR31">
        <f t="shared" si="15"/>
        <v>-2.284712780868497E-3</v>
      </c>
      <c r="AU31" s="14"/>
      <c r="AV31" s="19"/>
      <c r="AW31" s="19">
        <f>(E31/MAX(E11:E31)-1)</f>
        <v>-9.1634456003606202E-2</v>
      </c>
      <c r="AX31">
        <f t="shared" si="3"/>
        <v>0</v>
      </c>
      <c r="AY31">
        <f>IF(W31,SUMPRODUCT(INDEX(AX:AX,X31):INDEX(AX:AX,X31+Y31)),0)</f>
        <v>0</v>
      </c>
      <c r="AZ31">
        <f>IF(V31,COUNT(INDEX(AX:AX,X31):INDEX(AX:AX,ROW())),0)</f>
        <v>21</v>
      </c>
      <c r="BA31" s="14" t="str">
        <f t="shared" si="16"/>
        <v/>
      </c>
      <c r="BB31" s="6">
        <f t="shared" si="4"/>
        <v>166656.40639999998</v>
      </c>
      <c r="BC31" s="6">
        <f>MEDIAN(INDEX(BB:BB,X31):INDEX(BB:BB,X31+Y31-1))</f>
        <v>126963.2616</v>
      </c>
      <c r="BD31" s="25" t="str">
        <f t="shared" si="5"/>
        <v/>
      </c>
      <c r="BE31">
        <f t="shared" si="17"/>
        <v>0</v>
      </c>
      <c r="BF31" s="6">
        <f>SUM(INDEX(BE:BE,X31):INDEX(BE:BE,X31+Y31-1))</f>
        <v>1</v>
      </c>
      <c r="BG31" s="25" t="str">
        <f t="shared" si="6"/>
        <v/>
      </c>
    </row>
    <row r="32" spans="1:59" x14ac:dyDescent="0.3">
      <c r="A32" s="1">
        <v>45399</v>
      </c>
      <c r="B32">
        <v>25.829899999999999</v>
      </c>
      <c r="C32">
        <v>25.8431</v>
      </c>
      <c r="D32">
        <v>25.526199999999999</v>
      </c>
      <c r="E32">
        <v>25.7837</v>
      </c>
      <c r="F32">
        <v>7572</v>
      </c>
      <c r="G32" s="29">
        <v>0.49268101773645101</v>
      </c>
      <c r="H32" s="29">
        <v>1.9108235735617901E-2</v>
      </c>
      <c r="I32" s="29">
        <v>1.22907107979072E-2</v>
      </c>
      <c r="J32" s="29">
        <v>39.835886064727497</v>
      </c>
      <c r="K32" s="29">
        <v>-4.6513691917977898E-2</v>
      </c>
      <c r="L32" s="29">
        <v>0.4</v>
      </c>
      <c r="M32" s="29">
        <v>-5.3995740250256503E-2</v>
      </c>
      <c r="N32" s="29">
        <v>1.21393004848049</v>
      </c>
      <c r="O32" s="29">
        <v>-8.4837384955579395E-2</v>
      </c>
      <c r="P32" s="29">
        <v>7.4827486499793299E-3</v>
      </c>
      <c r="Q32" s="29">
        <v>7.9365079365079309E-3</v>
      </c>
      <c r="R32" s="30">
        <v>224616.92025</v>
      </c>
      <c r="S32" s="29">
        <v>2</v>
      </c>
      <c r="T32">
        <v>489.99200000000002</v>
      </c>
      <c r="U32" s="21"/>
      <c r="V32">
        <v>22</v>
      </c>
      <c r="W32" t="b">
        <f>V32&gt;=$C$4</f>
        <v>0</v>
      </c>
      <c r="X32">
        <f>IF(V32&lt;=$C$5,11,ROW()-$C$5+1)</f>
        <v>11</v>
      </c>
      <c r="Y32" s="14">
        <f t="shared" si="0"/>
        <v>22</v>
      </c>
      <c r="Z32" s="10">
        <f t="shared" si="7"/>
        <v>0.3169000000000004</v>
      </c>
      <c r="AA32" s="15">
        <f t="shared" si="8"/>
        <v>1.2290710797907221E-2</v>
      </c>
      <c r="AB32" s="15">
        <f t="shared" si="9"/>
        <v>0.49268101773645118</v>
      </c>
      <c r="AC32" s="10">
        <f t="shared" si="1"/>
        <v>1.9108235735617898E-2</v>
      </c>
      <c r="AD32">
        <f t="shared" si="10"/>
        <v>0.19150000000000134</v>
      </c>
      <c r="AE32">
        <f t="shared" si="18"/>
        <v>0.19150000000000134</v>
      </c>
      <c r="AF32">
        <f t="shared" si="19"/>
        <v>0</v>
      </c>
      <c r="AG32">
        <f t="shared" si="23"/>
        <v>0.12208276254774461</v>
      </c>
      <c r="AH32">
        <f t="shared" si="23"/>
        <v>0.16531172753102436</v>
      </c>
      <c r="AI32">
        <f t="shared" si="11"/>
        <v>0.73850031314223075</v>
      </c>
      <c r="AJ32">
        <f t="shared" si="20"/>
        <v>42.479159052173969</v>
      </c>
      <c r="AK32" s="14">
        <f t="shared" si="2"/>
        <v>42.479159052173969</v>
      </c>
      <c r="AL32">
        <v>-1</v>
      </c>
      <c r="AM32" s="14">
        <f>E32/E11-1</f>
        <v>-4.651369191797794E-2</v>
      </c>
      <c r="AN32" s="36">
        <f t="shared" si="12"/>
        <v>7.4827486499793316E-3</v>
      </c>
      <c r="AO32">
        <f t="shared" si="13"/>
        <v>1</v>
      </c>
      <c r="AP32" s="14">
        <f t="shared" si="22"/>
        <v>0.4</v>
      </c>
      <c r="AQ32">
        <f t="shared" si="14"/>
        <v>-5.917928055685695E-3</v>
      </c>
      <c r="AR32">
        <f t="shared" si="15"/>
        <v>1.3400676705665025E-2</v>
      </c>
      <c r="AU32" s="14"/>
      <c r="AV32" s="19"/>
      <c r="AW32" s="19">
        <f t="shared" ref="AW32:AW95" si="24">(E32/MAX(E12:E32)-1)</f>
        <v>-8.4837384955579465E-2</v>
      </c>
      <c r="AX32">
        <f t="shared" si="3"/>
        <v>0</v>
      </c>
      <c r="AY32">
        <f>IF(W32,SUMPRODUCT(INDEX(AX:AX,X32):INDEX(AX:AX,X32+Y32)),0)</f>
        <v>0</v>
      </c>
      <c r="AZ32">
        <f>IF(V32,COUNT(INDEX(AX:AX,X32):INDEX(AX:AX,ROW())),0)</f>
        <v>22</v>
      </c>
      <c r="BA32" s="14" t="str">
        <f t="shared" si="16"/>
        <v/>
      </c>
      <c r="BB32" s="6">
        <f t="shared" si="4"/>
        <v>195234.1764</v>
      </c>
      <c r="BC32" s="6">
        <f>MEDIAN(INDEX(BB:BB,X32):INDEX(BB:BB,X32+Y32-1))</f>
        <v>146809.83399999997</v>
      </c>
      <c r="BD32" s="25" t="str">
        <f t="shared" si="5"/>
        <v/>
      </c>
      <c r="BE32">
        <f t="shared" si="17"/>
        <v>0</v>
      </c>
      <c r="BF32" s="6">
        <f>SUM(INDEX(BE:BE,X32):INDEX(BE:BE,X32+Y32-1))</f>
        <v>1</v>
      </c>
      <c r="BG32" s="25" t="str">
        <f t="shared" si="6"/>
        <v/>
      </c>
    </row>
    <row r="33" spans="1:59" x14ac:dyDescent="0.3">
      <c r="A33" s="1">
        <v>45400</v>
      </c>
      <c r="B33">
        <v>25.968499999999999</v>
      </c>
      <c r="C33">
        <v>25.968499999999999</v>
      </c>
      <c r="D33">
        <v>25.3215</v>
      </c>
      <c r="E33">
        <v>25.374300000000002</v>
      </c>
      <c r="F33">
        <v>2877</v>
      </c>
      <c r="G33" s="29">
        <v>0.50370380218384703</v>
      </c>
      <c r="H33" s="29">
        <v>1.9850943757417801E-2</v>
      </c>
      <c r="I33" s="29">
        <v>2.5498240345546399E-2</v>
      </c>
      <c r="J33" s="29">
        <v>36.216412982532503</v>
      </c>
      <c r="K33" s="29">
        <v>-6.5189840773951901E-2</v>
      </c>
      <c r="L33" s="29">
        <v>0.2</v>
      </c>
      <c r="M33" s="29">
        <v>-7.1321925232497196E-2</v>
      </c>
      <c r="N33" s="29">
        <v>1.2293112507255799</v>
      </c>
      <c r="O33" s="29">
        <v>-9.9368564522483493E-2</v>
      </c>
      <c r="P33" s="29">
        <v>-1.5878248660975602E-2</v>
      </c>
      <c r="Q33" s="29">
        <v>7.9365079365079309E-3</v>
      </c>
      <c r="R33" s="30">
        <v>222670.92540000001</v>
      </c>
      <c r="S33" s="29">
        <v>2</v>
      </c>
      <c r="T33">
        <v>488.98399999999998</v>
      </c>
      <c r="U33" s="21"/>
      <c r="V33">
        <v>23</v>
      </c>
      <c r="W33" t="b">
        <f>V33&gt;=$C$4</f>
        <v>0</v>
      </c>
      <c r="X33">
        <f>IF(V33&lt;=$C$5,11,ROW()-$C$5+1)</f>
        <v>11</v>
      </c>
      <c r="Y33" s="14">
        <f t="shared" si="0"/>
        <v>23</v>
      </c>
      <c r="Z33" s="10">
        <f t="shared" si="7"/>
        <v>0.64699999999999847</v>
      </c>
      <c r="AA33" s="15">
        <f t="shared" si="8"/>
        <v>2.5498240345546416E-2</v>
      </c>
      <c r="AB33" s="15">
        <f t="shared" si="9"/>
        <v>0.50370380218384736</v>
      </c>
      <c r="AC33" s="10">
        <f t="shared" si="1"/>
        <v>1.9850943757417833E-2</v>
      </c>
      <c r="AD33">
        <f t="shared" si="10"/>
        <v>-0.40939999999999799</v>
      </c>
      <c r="AE33">
        <f t="shared" si="18"/>
        <v>0</v>
      </c>
      <c r="AF33">
        <f t="shared" si="19"/>
        <v>0.40939999999999799</v>
      </c>
      <c r="AG33">
        <f t="shared" si="23"/>
        <v>0.11336256522290571</v>
      </c>
      <c r="AH33">
        <f t="shared" si="23"/>
        <v>0.18274660413595106</v>
      </c>
      <c r="AI33">
        <f t="shared" si="11"/>
        <v>0.62032652129925026</v>
      </c>
      <c r="AJ33">
        <f t="shared" si="20"/>
        <v>38.284044181529829</v>
      </c>
      <c r="AK33" s="14">
        <f t="shared" si="2"/>
        <v>38.284044181529829</v>
      </c>
      <c r="AL33">
        <v>0</v>
      </c>
      <c r="AM33" s="14">
        <f t="shared" ref="AM33:AM95" si="25">E33/E12-1</f>
        <v>-6.5189840773951957E-2</v>
      </c>
      <c r="AN33" s="36">
        <f t="shared" si="12"/>
        <v>-1.5878248660975647E-2</v>
      </c>
      <c r="AO33">
        <f t="shared" si="13"/>
        <v>0</v>
      </c>
      <c r="AP33" s="14">
        <f t="shared" si="22"/>
        <v>0.2</v>
      </c>
      <c r="AQ33">
        <f t="shared" si="14"/>
        <v>-2.057176443697073E-3</v>
      </c>
      <c r="AR33">
        <f t="shared" si="15"/>
        <v>-1.3821072217278529E-2</v>
      </c>
      <c r="AU33" s="14"/>
      <c r="AV33" s="19"/>
      <c r="AW33" s="19">
        <f t="shared" si="24"/>
        <v>-9.9368564522483549E-2</v>
      </c>
      <c r="AX33">
        <f t="shared" si="3"/>
        <v>0</v>
      </c>
      <c r="AY33">
        <f>IF(W33,SUMPRODUCT(INDEX(AX:AX,X33):INDEX(AX:AX,X33+Y33)),0)</f>
        <v>0</v>
      </c>
      <c r="AZ33">
        <f>IF(V33,COUNT(INDEX(AX:AX,X33):INDEX(AX:AX,ROW())),0)</f>
        <v>23</v>
      </c>
      <c r="BA33" s="14" t="str">
        <f t="shared" si="16"/>
        <v/>
      </c>
      <c r="BB33" s="6">
        <f t="shared" si="4"/>
        <v>73001.861100000009</v>
      </c>
      <c r="BC33" s="6">
        <f>MEDIAN(INDEX(BB:BB,X33):INDEX(BB:BB,X33+Y33-1))</f>
        <v>126963.2616</v>
      </c>
      <c r="BD33" s="25" t="str">
        <f t="shared" si="5"/>
        <v/>
      </c>
      <c r="BE33">
        <f t="shared" si="17"/>
        <v>0</v>
      </c>
      <c r="BF33" s="6">
        <f>SUM(INDEX(BE:BE,X33):INDEX(BE:BE,X33+Y33-1))</f>
        <v>1</v>
      </c>
      <c r="BG33" s="25" t="str">
        <f t="shared" si="6"/>
        <v/>
      </c>
    </row>
    <row r="34" spans="1:59" x14ac:dyDescent="0.3">
      <c r="A34" s="1">
        <v>45401</v>
      </c>
      <c r="B34">
        <v>25.268699999999999</v>
      </c>
      <c r="C34">
        <v>25.777100000000001</v>
      </c>
      <c r="D34">
        <v>25.268699999999999</v>
      </c>
      <c r="E34">
        <v>25.658200000000001</v>
      </c>
      <c r="F34">
        <v>22112</v>
      </c>
      <c r="G34" s="29">
        <v>0.50403924488500096</v>
      </c>
      <c r="H34" s="29">
        <v>1.9644372749647299E-2</v>
      </c>
      <c r="I34" s="29">
        <v>1.98143283628626E-2</v>
      </c>
      <c r="J34" s="29">
        <v>40.269354309615899</v>
      </c>
      <c r="K34" s="29">
        <v>-7.6960158287615696E-2</v>
      </c>
      <c r="L34" s="29">
        <v>0.4</v>
      </c>
      <c r="M34" s="29">
        <v>-6.3311240701157803E-2</v>
      </c>
      <c r="N34" s="29">
        <v>1.11882753570019</v>
      </c>
      <c r="O34" s="29">
        <v>-8.9291862326479399E-2</v>
      </c>
      <c r="P34" s="29">
        <v>1.1188485987790601E-2</v>
      </c>
      <c r="Q34" s="29">
        <v>7.9365079365079309E-3</v>
      </c>
      <c r="R34" s="30">
        <v>224616.92025</v>
      </c>
      <c r="S34" s="29">
        <v>2</v>
      </c>
      <c r="T34">
        <v>484.71600000000001</v>
      </c>
      <c r="U34" s="21"/>
      <c r="V34">
        <v>24</v>
      </c>
      <c r="W34" t="b">
        <f>V34&gt;=$C$4</f>
        <v>0</v>
      </c>
      <c r="X34">
        <f>IF(V34&lt;=$C$5,11,ROW()-$C$5+1)</f>
        <v>11</v>
      </c>
      <c r="Y34" s="14">
        <f t="shared" si="0"/>
        <v>24</v>
      </c>
      <c r="Z34" s="10">
        <f t="shared" si="7"/>
        <v>0.50840000000000174</v>
      </c>
      <c r="AA34" s="15">
        <f t="shared" si="8"/>
        <v>1.9814328362862621E-2</v>
      </c>
      <c r="AB34" s="15">
        <f t="shared" si="9"/>
        <v>0.50403924488500118</v>
      </c>
      <c r="AC34" s="10">
        <f t="shared" si="1"/>
        <v>1.9644372749647331E-2</v>
      </c>
      <c r="AD34">
        <f t="shared" si="10"/>
        <v>0.28389999999999915</v>
      </c>
      <c r="AE34">
        <f t="shared" si="18"/>
        <v>0.28389999999999915</v>
      </c>
      <c r="AF34">
        <f t="shared" si="19"/>
        <v>0</v>
      </c>
      <c r="AG34">
        <f t="shared" si="23"/>
        <v>0.12554381056412667</v>
      </c>
      <c r="AH34">
        <f t="shared" si="23"/>
        <v>0.16969327526909742</v>
      </c>
      <c r="AI34">
        <f t="shared" si="11"/>
        <v>0.73982784742082974</v>
      </c>
      <c r="AJ34">
        <f t="shared" si="20"/>
        <v>42.523048962434508</v>
      </c>
      <c r="AK34" s="14">
        <f t="shared" si="2"/>
        <v>42.523048962434508</v>
      </c>
      <c r="AM34" s="14">
        <f t="shared" si="25"/>
        <v>-7.696015828761571E-2</v>
      </c>
      <c r="AN34" s="36">
        <f t="shared" si="12"/>
        <v>1.1188485987790653E-2</v>
      </c>
      <c r="AO34">
        <f t="shared" si="13"/>
        <v>1</v>
      </c>
      <c r="AP34" s="14">
        <f t="shared" si="22"/>
        <v>0.4</v>
      </c>
      <c r="AQ34">
        <f t="shared" si="14"/>
        <v>-8.7283019485299151E-3</v>
      </c>
      <c r="AR34">
        <f t="shared" si="15"/>
        <v>1.9916787936320516E-2</v>
      </c>
      <c r="AU34" s="14"/>
      <c r="AV34" s="19"/>
      <c r="AW34" s="19">
        <f t="shared" si="24"/>
        <v>-8.9291862326479454E-2</v>
      </c>
      <c r="AX34">
        <f t="shared" si="3"/>
        <v>0</v>
      </c>
      <c r="AY34">
        <f>IF(W34,SUMPRODUCT(INDEX(AX:AX,X34):INDEX(AX:AX,X34+Y34)),0)</f>
        <v>0</v>
      </c>
      <c r="AZ34">
        <f>IF(V34,COUNT(INDEX(AX:AX,X34):INDEX(AX:AX,ROW())),0)</f>
        <v>24</v>
      </c>
      <c r="BA34" s="14" t="str">
        <f t="shared" si="16"/>
        <v/>
      </c>
      <c r="BB34" s="6">
        <f t="shared" si="4"/>
        <v>567354.11840000004</v>
      </c>
      <c r="BC34" s="6">
        <f>MEDIAN(INDEX(BB:BB,X34):INDEX(BB:BB,X34+Y34-1))</f>
        <v>146809.83399999997</v>
      </c>
      <c r="BD34" s="25" t="str">
        <f t="shared" si="5"/>
        <v/>
      </c>
      <c r="BE34">
        <f t="shared" si="17"/>
        <v>0</v>
      </c>
      <c r="BF34" s="6">
        <f>SUM(INDEX(BE:BE,X34):INDEX(BE:BE,X34+Y34-1))</f>
        <v>1</v>
      </c>
      <c r="BG34" s="25" t="str">
        <f t="shared" si="6"/>
        <v/>
      </c>
    </row>
    <row r="35" spans="1:59" x14ac:dyDescent="0.3">
      <c r="A35" s="1">
        <v>45404</v>
      </c>
      <c r="B35">
        <v>25.869499999999999</v>
      </c>
      <c r="C35">
        <v>26.206199999999999</v>
      </c>
      <c r="D35">
        <v>25.7044</v>
      </c>
      <c r="E35">
        <v>26.206199999999999</v>
      </c>
      <c r="F35">
        <v>16811</v>
      </c>
      <c r="G35" s="29">
        <v>0.50717929882178703</v>
      </c>
      <c r="H35" s="29">
        <v>1.9353408690378101E-2</v>
      </c>
      <c r="I35" s="29">
        <v>2.09110821103402E-2</v>
      </c>
      <c r="J35" s="29">
        <v>47.238483234828998</v>
      </c>
      <c r="K35" s="29">
        <v>-6.9841236037609195E-2</v>
      </c>
      <c r="L35" s="29">
        <v>0.6</v>
      </c>
      <c r="M35" s="29">
        <v>-5.6563645973127498E-2</v>
      </c>
      <c r="N35" s="29">
        <v>1.1455024595246399</v>
      </c>
      <c r="O35" s="29">
        <v>-5.5452032280039101E-2</v>
      </c>
      <c r="P35" s="29">
        <v>2.1357694616145999E-2</v>
      </c>
      <c r="Q35" s="29">
        <v>7.9365079365079309E-3</v>
      </c>
      <c r="R35" s="30">
        <v>224616.92025</v>
      </c>
      <c r="S35" s="29">
        <v>2</v>
      </c>
      <c r="T35">
        <v>489.18</v>
      </c>
      <c r="U35" s="21"/>
      <c r="V35">
        <v>25</v>
      </c>
      <c r="W35" t="b">
        <f>V35&gt;=$C$4</f>
        <v>0</v>
      </c>
      <c r="X35">
        <f>IF(V35&lt;=$C$5,11,ROW()-$C$5+1)</f>
        <v>11</v>
      </c>
      <c r="Y35" s="14">
        <f t="shared" si="0"/>
        <v>25</v>
      </c>
      <c r="Z35" s="10">
        <f t="shared" si="7"/>
        <v>0.54799999999999827</v>
      </c>
      <c r="AA35" s="15">
        <f t="shared" si="8"/>
        <v>2.0911082110340234E-2</v>
      </c>
      <c r="AB35" s="15">
        <f t="shared" si="9"/>
        <v>0.50717929882178669</v>
      </c>
      <c r="AC35" s="10">
        <f t="shared" si="1"/>
        <v>1.9353408690378104E-2</v>
      </c>
      <c r="AD35">
        <f t="shared" si="10"/>
        <v>0.54799999999999827</v>
      </c>
      <c r="AE35">
        <f t="shared" si="18"/>
        <v>0.54799999999999827</v>
      </c>
      <c r="AF35">
        <f t="shared" si="19"/>
        <v>0</v>
      </c>
      <c r="AG35">
        <f t="shared" si="23"/>
        <v>0.1557192526666889</v>
      </c>
      <c r="AH35">
        <f t="shared" si="23"/>
        <v>0.15757232703559046</v>
      </c>
      <c r="AI35">
        <f t="shared" si="11"/>
        <v>0.98823984893944605</v>
      </c>
      <c r="AJ35">
        <f t="shared" si="20"/>
        <v>49.704257233682668</v>
      </c>
      <c r="AK35" s="14">
        <f t="shared" si="2"/>
        <v>49.704257233682668</v>
      </c>
      <c r="AM35" s="14">
        <f t="shared" si="25"/>
        <v>-6.9841236037609278E-2</v>
      </c>
      <c r="AN35" s="36">
        <f t="shared" si="12"/>
        <v>2.1357694616146006E-2</v>
      </c>
      <c r="AO35">
        <f t="shared" si="13"/>
        <v>1</v>
      </c>
      <c r="AP35" s="14">
        <f t="shared" si="22"/>
        <v>0.6</v>
      </c>
      <c r="AQ35">
        <f t="shared" si="14"/>
        <v>9.2095165003838186E-3</v>
      </c>
      <c r="AR35">
        <f t="shared" si="15"/>
        <v>1.214817811576218E-2</v>
      </c>
      <c r="AU35" s="14"/>
      <c r="AV35" s="19"/>
      <c r="AW35" s="19">
        <f t="shared" si="24"/>
        <v>-5.5452032280039143E-2</v>
      </c>
      <c r="AX35">
        <f t="shared" si="3"/>
        <v>0</v>
      </c>
      <c r="AY35">
        <f>IF(W35,SUMPRODUCT(INDEX(AX:AX,X35):INDEX(AX:AX,X35+Y35)),0)</f>
        <v>0</v>
      </c>
      <c r="AZ35">
        <f>IF(V35,COUNT(INDEX(AX:AX,X35):INDEX(AX:AX,ROW())),0)</f>
        <v>25</v>
      </c>
      <c r="BA35" s="14" t="str">
        <f t="shared" si="16"/>
        <v/>
      </c>
      <c r="BB35" s="6">
        <f t="shared" si="4"/>
        <v>440552.42819999997</v>
      </c>
      <c r="BC35" s="6">
        <f>MEDIAN(INDEX(BB:BB,X35):INDEX(BB:BB,X35+Y35-1))</f>
        <v>166656.40639999998</v>
      </c>
      <c r="BD35" s="25" t="str">
        <f t="shared" si="5"/>
        <v/>
      </c>
      <c r="BE35">
        <f t="shared" si="17"/>
        <v>0</v>
      </c>
      <c r="BF35" s="6">
        <f>SUM(INDEX(BE:BE,X35):INDEX(BE:BE,X35+Y35-1))</f>
        <v>1</v>
      </c>
      <c r="BG35" s="25" t="str">
        <f t="shared" si="6"/>
        <v/>
      </c>
    </row>
    <row r="36" spans="1:59" x14ac:dyDescent="0.3">
      <c r="A36" s="1">
        <v>45405</v>
      </c>
      <c r="B36">
        <v>26.483599999999999</v>
      </c>
      <c r="C36">
        <v>26.690899999999999</v>
      </c>
      <c r="D36">
        <v>26.483599999999999</v>
      </c>
      <c r="E36">
        <v>26.675000000000001</v>
      </c>
      <c r="F36">
        <v>2271</v>
      </c>
      <c r="G36" s="29">
        <v>0.50557363462022997</v>
      </c>
      <c r="H36" s="29">
        <v>1.89530884581154E-2</v>
      </c>
      <c r="I36" s="29">
        <v>1.8170571696344898E-2</v>
      </c>
      <c r="J36" s="29">
        <v>52.3594268596825</v>
      </c>
      <c r="K36" s="29">
        <v>-3.85551114266868E-2</v>
      </c>
      <c r="L36" s="29">
        <v>0.8</v>
      </c>
      <c r="M36" s="29">
        <v>-4.3696130921700903E-2</v>
      </c>
      <c r="N36" s="29">
        <v>1.16350668665651</v>
      </c>
      <c r="O36" s="29">
        <v>-3.3031008257752001E-2</v>
      </c>
      <c r="P36" s="29">
        <v>1.7888896520670699E-2</v>
      </c>
      <c r="Q36" s="29">
        <v>7.9365079365079309E-3</v>
      </c>
      <c r="R36" s="30">
        <v>224616.92025</v>
      </c>
      <c r="S36" s="29">
        <v>2</v>
      </c>
      <c r="T36">
        <v>494.98399999999998</v>
      </c>
      <c r="U36" s="21"/>
      <c r="V36">
        <v>26</v>
      </c>
      <c r="W36" t="b">
        <f>V36&gt;=$C$4</f>
        <v>0</v>
      </c>
      <c r="X36">
        <f>IF(V36&lt;=$C$5,11,ROW()-$C$5+1)</f>
        <v>11</v>
      </c>
      <c r="Y36" s="14">
        <f t="shared" si="0"/>
        <v>26</v>
      </c>
      <c r="Z36" s="10">
        <f t="shared" si="7"/>
        <v>0.48470000000000013</v>
      </c>
      <c r="AA36" s="15">
        <f t="shared" si="8"/>
        <v>1.8170571696344898E-2</v>
      </c>
      <c r="AB36" s="15">
        <f t="shared" si="9"/>
        <v>0.50557363462023053</v>
      </c>
      <c r="AC36" s="10">
        <f t="shared" si="1"/>
        <v>1.8953088458115483E-2</v>
      </c>
      <c r="AD36">
        <f t="shared" si="10"/>
        <v>0.46880000000000166</v>
      </c>
      <c r="AE36">
        <f t="shared" si="18"/>
        <v>0.46880000000000166</v>
      </c>
      <c r="AF36">
        <f t="shared" si="19"/>
        <v>0</v>
      </c>
      <c r="AG36">
        <f t="shared" si="23"/>
        <v>0.17808216319049697</v>
      </c>
      <c r="AH36">
        <f t="shared" si="23"/>
        <v>0.14631716081876256</v>
      </c>
      <c r="AI36">
        <f t="shared" si="11"/>
        <v>1.217096902331781</v>
      </c>
      <c r="AJ36">
        <f t="shared" si="20"/>
        <v>54.895972343460819</v>
      </c>
      <c r="AK36" s="14">
        <f t="shared" si="2"/>
        <v>54.895972343460819</v>
      </c>
      <c r="AM36" s="14">
        <f t="shared" si="25"/>
        <v>-3.8555111426686883E-2</v>
      </c>
      <c r="AN36" s="36">
        <f t="shared" si="12"/>
        <v>1.7888896520670716E-2</v>
      </c>
      <c r="AO36">
        <f t="shared" si="13"/>
        <v>1</v>
      </c>
      <c r="AP36" s="14">
        <f t="shared" si="22"/>
        <v>0.8</v>
      </c>
      <c r="AQ36">
        <f t="shared" si="14"/>
        <v>1.1864753260558469E-2</v>
      </c>
      <c r="AR36">
        <f t="shared" si="15"/>
        <v>6.0241432601122295E-3</v>
      </c>
      <c r="AU36" s="14"/>
      <c r="AV36" s="19"/>
      <c r="AW36" s="19">
        <f t="shared" si="24"/>
        <v>-3.303100825775207E-2</v>
      </c>
      <c r="AX36">
        <f t="shared" si="3"/>
        <v>0</v>
      </c>
      <c r="AY36">
        <f>IF(W36,SUMPRODUCT(INDEX(AX:AX,X36):INDEX(AX:AX,X36+Y36)),0)</f>
        <v>0</v>
      </c>
      <c r="AZ36">
        <f>IF(V36,COUNT(INDEX(AX:AX,X36):INDEX(AX:AX,ROW())),0)</f>
        <v>26</v>
      </c>
      <c r="BA36" s="14" t="str">
        <f t="shared" si="16"/>
        <v/>
      </c>
      <c r="BB36" s="6">
        <f t="shared" si="4"/>
        <v>60578.925000000003</v>
      </c>
      <c r="BC36" s="6">
        <f>MEDIAN(INDEX(BB:BB,X36):INDEX(BB:BB,X36+Y36-1))</f>
        <v>146809.83399999997</v>
      </c>
      <c r="BD36" s="25" t="str">
        <f t="shared" si="5"/>
        <v/>
      </c>
      <c r="BE36">
        <f t="shared" si="17"/>
        <v>0</v>
      </c>
      <c r="BF36" s="6">
        <f>SUM(INDEX(BE:BE,X36):INDEX(BE:BE,X36+Y36-1))</f>
        <v>1</v>
      </c>
      <c r="BG36" s="25" t="str">
        <f t="shared" si="6"/>
        <v/>
      </c>
    </row>
    <row r="37" spans="1:59" x14ac:dyDescent="0.3">
      <c r="A37" s="1">
        <v>45406</v>
      </c>
      <c r="B37">
        <v>26.477</v>
      </c>
      <c r="C37">
        <v>26.734500000000001</v>
      </c>
      <c r="D37">
        <v>26.477</v>
      </c>
      <c r="E37">
        <v>26.708100000000002</v>
      </c>
      <c r="F37">
        <v>4543</v>
      </c>
      <c r="G37" s="29">
        <v>0.48785408929021401</v>
      </c>
      <c r="H37" s="29">
        <v>1.82661473219815E-2</v>
      </c>
      <c r="I37" s="29">
        <v>9.6412698769287302E-3</v>
      </c>
      <c r="J37" s="29">
        <v>52.708439727842197</v>
      </c>
      <c r="K37" s="29">
        <v>-2.9509233217781702E-2</v>
      </c>
      <c r="L37" s="29">
        <v>0.8</v>
      </c>
      <c r="M37" s="29">
        <v>-4.2249610359553998E-2</v>
      </c>
      <c r="N37" s="29">
        <v>1.1625607082976901</v>
      </c>
      <c r="O37" s="29">
        <v>-3.1831132957783198E-2</v>
      </c>
      <c r="P37" s="29">
        <v>1.24086223055308E-3</v>
      </c>
      <c r="Q37" s="29">
        <v>7.9365079365079309E-3</v>
      </c>
      <c r="R37" s="30">
        <v>224616.92025</v>
      </c>
      <c r="S37" s="29">
        <v>2</v>
      </c>
      <c r="T37">
        <v>494.75</v>
      </c>
      <c r="U37" s="21"/>
      <c r="V37">
        <v>27</v>
      </c>
      <c r="W37" t="b">
        <f>V37&gt;=$C$4</f>
        <v>0</v>
      </c>
      <c r="X37">
        <f>IF(V37&lt;=$C$5,11,ROW()-$C$5+1)</f>
        <v>11</v>
      </c>
      <c r="Y37" s="14">
        <f t="shared" si="0"/>
        <v>27</v>
      </c>
      <c r="Z37" s="10">
        <f t="shared" si="7"/>
        <v>0.25750000000000028</v>
      </c>
      <c r="AA37" s="15">
        <f t="shared" si="8"/>
        <v>9.6412698769287319E-3</v>
      </c>
      <c r="AB37" s="15">
        <f t="shared" si="9"/>
        <v>0.48785408929021407</v>
      </c>
      <c r="AC37" s="10">
        <f t="shared" si="1"/>
        <v>1.8266147321981497E-2</v>
      </c>
      <c r="AD37">
        <f t="shared" si="10"/>
        <v>3.3100000000001017E-2</v>
      </c>
      <c r="AE37">
        <f t="shared" si="18"/>
        <v>3.3100000000001017E-2</v>
      </c>
      <c r="AF37">
        <f t="shared" si="19"/>
        <v>0</v>
      </c>
      <c r="AG37">
        <f t="shared" si="23"/>
        <v>0.16772629439117584</v>
      </c>
      <c r="AH37">
        <f t="shared" si="23"/>
        <v>0.13586593504599381</v>
      </c>
      <c r="AI37">
        <f t="shared" si="11"/>
        <v>1.2344985101261516</v>
      </c>
      <c r="AJ37">
        <f t="shared" si="20"/>
        <v>55.247229055277209</v>
      </c>
      <c r="AK37" s="14">
        <f t="shared" si="2"/>
        <v>55.247229055277209</v>
      </c>
      <c r="AM37" s="14">
        <f t="shared" si="25"/>
        <v>-2.9509233217781761E-2</v>
      </c>
      <c r="AN37" s="36">
        <f t="shared" si="12"/>
        <v>1.2408622305530859E-3</v>
      </c>
      <c r="AO37">
        <f t="shared" si="13"/>
        <v>1</v>
      </c>
      <c r="AP37" s="14">
        <f t="shared" si="22"/>
        <v>0.8</v>
      </c>
      <c r="AQ37">
        <f t="shared" si="14"/>
        <v>-4.7274255329465831E-4</v>
      </c>
      <c r="AR37">
        <f t="shared" si="15"/>
        <v>1.7136047838477383E-3</v>
      </c>
      <c r="AU37" s="14"/>
      <c r="AV37" s="19"/>
      <c r="AW37" s="19">
        <f t="shared" si="24"/>
        <v>-3.1831132957783281E-2</v>
      </c>
      <c r="AX37">
        <f t="shared" si="3"/>
        <v>0</v>
      </c>
      <c r="AY37">
        <f>IF(W37,SUMPRODUCT(INDEX(AX:AX,X37):INDEX(AX:AX,X37+Y37)),0)</f>
        <v>0</v>
      </c>
      <c r="AZ37">
        <f>IF(V37,COUNT(INDEX(AX:AX,X37):INDEX(AX:AX,ROW())),0)</f>
        <v>27</v>
      </c>
      <c r="BA37" s="14" t="str">
        <f t="shared" si="16"/>
        <v/>
      </c>
      <c r="BB37" s="6">
        <f t="shared" si="4"/>
        <v>121334.8983</v>
      </c>
      <c r="BC37" s="6">
        <f>MEDIAN(INDEX(BB:BB,X37):INDEX(BB:BB,X37+Y37-1))</f>
        <v>126963.2616</v>
      </c>
      <c r="BD37" s="25" t="str">
        <f t="shared" si="5"/>
        <v/>
      </c>
      <c r="BE37">
        <f t="shared" si="17"/>
        <v>0</v>
      </c>
      <c r="BF37" s="6">
        <f>SUM(INDEX(BE:BE,X37):INDEX(BE:BE,X37+Y37-1))</f>
        <v>1</v>
      </c>
      <c r="BG37" s="25" t="str">
        <f t="shared" si="6"/>
        <v/>
      </c>
    </row>
    <row r="38" spans="1:59" x14ac:dyDescent="0.3">
      <c r="A38" s="1">
        <v>45407</v>
      </c>
      <c r="B38">
        <v>26.3383</v>
      </c>
      <c r="C38">
        <v>26.609000000000002</v>
      </c>
      <c r="D38">
        <v>26.047799999999999</v>
      </c>
      <c r="E38">
        <v>26.602399999999999</v>
      </c>
      <c r="F38">
        <v>8026</v>
      </c>
      <c r="G38" s="29">
        <v>0.50017165434091304</v>
      </c>
      <c r="H38" s="29">
        <v>1.8801749253485101E-2</v>
      </c>
      <c r="I38" s="29">
        <v>2.4821068775749602E-2</v>
      </c>
      <c r="J38" s="29">
        <v>51.4131400189411</v>
      </c>
      <c r="K38" s="29">
        <v>-1.6117936844908299E-2</v>
      </c>
      <c r="L38" s="29">
        <v>0.8</v>
      </c>
      <c r="M38" s="29">
        <v>-5.3825868855267398E-2</v>
      </c>
      <c r="N38" s="29">
        <v>1.1501094267904099</v>
      </c>
      <c r="O38" s="29">
        <v>-3.5662758915689798E-2</v>
      </c>
      <c r="P38" s="29">
        <v>-3.9576008776364101E-3</v>
      </c>
      <c r="Q38" s="29">
        <v>7.9365079365079309E-3</v>
      </c>
      <c r="R38" s="30">
        <v>222670.92540000001</v>
      </c>
      <c r="S38" s="29">
        <v>2</v>
      </c>
      <c r="T38">
        <v>492.87</v>
      </c>
      <c r="U38" s="21"/>
      <c r="V38">
        <v>28</v>
      </c>
      <c r="W38" t="b">
        <f>V38&gt;=$C$4</f>
        <v>0</v>
      </c>
      <c r="X38">
        <f>IF(V38&lt;=$C$5,11,ROW()-$C$5+1)</f>
        <v>11</v>
      </c>
      <c r="Y38" s="14">
        <f t="shared" si="0"/>
        <v>28</v>
      </c>
      <c r="Z38" s="10">
        <f t="shared" si="7"/>
        <v>0.660300000000003</v>
      </c>
      <c r="AA38" s="15">
        <f t="shared" si="8"/>
        <v>2.4821068775749671E-2</v>
      </c>
      <c r="AB38" s="15">
        <f t="shared" si="9"/>
        <v>0.50017165434091326</v>
      </c>
      <c r="AC38" s="10">
        <f t="shared" si="1"/>
        <v>1.8801749253485146E-2</v>
      </c>
      <c r="AD38">
        <f t="shared" si="10"/>
        <v>-0.10570000000000235</v>
      </c>
      <c r="AE38">
        <f t="shared" si="18"/>
        <v>0</v>
      </c>
      <c r="AF38">
        <f t="shared" si="19"/>
        <v>0.10570000000000235</v>
      </c>
      <c r="AG38">
        <f t="shared" si="23"/>
        <v>0.15574584479180614</v>
      </c>
      <c r="AH38">
        <f t="shared" si="23"/>
        <v>0.13371122539985156</v>
      </c>
      <c r="AI38">
        <f t="shared" si="11"/>
        <v>1.1647925918415751</v>
      </c>
      <c r="AJ38">
        <f t="shared" si="20"/>
        <v>53.806198165649377</v>
      </c>
      <c r="AK38" s="14">
        <f t="shared" si="2"/>
        <v>53.806198165649377</v>
      </c>
      <c r="AM38" s="14">
        <f t="shared" si="25"/>
        <v>-1.6117936844908365E-2</v>
      </c>
      <c r="AN38" s="36">
        <f t="shared" si="12"/>
        <v>-3.9576008776364135E-3</v>
      </c>
      <c r="AO38">
        <f t="shared" si="13"/>
        <v>0</v>
      </c>
      <c r="AP38" s="14">
        <f t="shared" si="22"/>
        <v>0.8</v>
      </c>
      <c r="AQ38">
        <f t="shared" si="14"/>
        <v>-3.7998989388580151E-3</v>
      </c>
      <c r="AR38">
        <f t="shared" si="15"/>
        <v>-1.5770193877839497E-4</v>
      </c>
      <c r="AU38" s="14"/>
      <c r="AV38" s="19"/>
      <c r="AW38" s="19">
        <f t="shared" si="24"/>
        <v>-3.5662758915689818E-2</v>
      </c>
      <c r="AX38">
        <f t="shared" si="3"/>
        <v>0</v>
      </c>
      <c r="AY38">
        <f>IF(W38,SUMPRODUCT(INDEX(AX:AX,X38):INDEX(AX:AX,X38+Y38)),0)</f>
        <v>0</v>
      </c>
      <c r="AZ38">
        <f>IF(V38,COUNT(INDEX(AX:AX,X38):INDEX(AX:AX,ROW())),0)</f>
        <v>28</v>
      </c>
      <c r="BA38" s="14" t="str">
        <f t="shared" si="16"/>
        <v/>
      </c>
      <c r="BB38" s="6">
        <f t="shared" si="4"/>
        <v>213510.86239999998</v>
      </c>
      <c r="BC38" s="6">
        <f>MEDIAN(INDEX(BB:BB,X38):INDEX(BB:BB,X38+Y38-1))</f>
        <v>146809.83399999997</v>
      </c>
      <c r="BD38" s="25" t="str">
        <f t="shared" si="5"/>
        <v/>
      </c>
      <c r="BE38">
        <f t="shared" si="17"/>
        <v>0</v>
      </c>
      <c r="BF38" s="6">
        <f>SUM(INDEX(BE:BE,X38):INDEX(BE:BE,X38+Y38-1))</f>
        <v>1</v>
      </c>
      <c r="BG38" s="25" t="str">
        <f t="shared" si="6"/>
        <v/>
      </c>
    </row>
    <row r="39" spans="1:59" x14ac:dyDescent="0.3">
      <c r="A39" s="1">
        <v>45408</v>
      </c>
      <c r="B39">
        <v>26.774100000000001</v>
      </c>
      <c r="C39">
        <v>27.0184</v>
      </c>
      <c r="D39">
        <v>26.694800000000001</v>
      </c>
      <c r="E39">
        <v>26.945799999999998</v>
      </c>
      <c r="F39">
        <v>4089</v>
      </c>
      <c r="G39" s="29">
        <v>0.494159393316562</v>
      </c>
      <c r="H39" s="29">
        <v>1.8339013624259101E-2</v>
      </c>
      <c r="I39" s="29">
        <v>1.54383985630413E-2</v>
      </c>
      <c r="J39" s="29">
        <v>55.259915949737398</v>
      </c>
      <c r="K39" s="29">
        <v>-1.2627150939524601E-2</v>
      </c>
      <c r="L39" s="29">
        <v>0.8</v>
      </c>
      <c r="M39" s="29">
        <v>-4.3232579016971799E-2</v>
      </c>
      <c r="N39" s="29">
        <v>1.1548391371011999</v>
      </c>
      <c r="O39" s="29">
        <v>-2.3214505803626599E-2</v>
      </c>
      <c r="P39" s="29">
        <v>1.29086097494961E-2</v>
      </c>
      <c r="Q39" s="29">
        <v>7.9365079365079309E-3</v>
      </c>
      <c r="R39" s="30">
        <v>220678.39909999899</v>
      </c>
      <c r="S39" s="29">
        <v>2</v>
      </c>
      <c r="T39">
        <v>497.53899999999999</v>
      </c>
      <c r="U39" s="21"/>
      <c r="V39">
        <v>29</v>
      </c>
      <c r="W39" t="b">
        <f>V39&gt;=$C$4</f>
        <v>0</v>
      </c>
      <c r="X39">
        <f>IF(V39&lt;=$C$5,11,ROW()-$C$5+1)</f>
        <v>11</v>
      </c>
      <c r="Y39" s="14">
        <f t="shared" si="0"/>
        <v>29</v>
      </c>
      <c r="Z39" s="10">
        <f t="shared" si="7"/>
        <v>0.41600000000000037</v>
      </c>
      <c r="AA39" s="15">
        <f t="shared" si="8"/>
        <v>1.543839856304138E-2</v>
      </c>
      <c r="AB39" s="15">
        <f t="shared" si="9"/>
        <v>0.49415939331656233</v>
      </c>
      <c r="AC39" s="10">
        <f t="shared" si="1"/>
        <v>1.8339013624259156E-2</v>
      </c>
      <c r="AD39">
        <f t="shared" si="10"/>
        <v>0.34339999999999904</v>
      </c>
      <c r="AE39">
        <f t="shared" si="18"/>
        <v>0.34339999999999904</v>
      </c>
      <c r="AF39">
        <f t="shared" si="19"/>
        <v>0</v>
      </c>
      <c r="AG39">
        <f t="shared" si="23"/>
        <v>0.16914971302096277</v>
      </c>
      <c r="AH39">
        <f t="shared" si="23"/>
        <v>0.12416042358557644</v>
      </c>
      <c r="AI39">
        <f t="shared" si="11"/>
        <v>1.3623480666073748</v>
      </c>
      <c r="AJ39">
        <f t="shared" si="20"/>
        <v>57.669235362250227</v>
      </c>
      <c r="AK39" s="14">
        <f t="shared" si="2"/>
        <v>57.669235362250227</v>
      </c>
      <c r="AM39" s="14">
        <f t="shared" si="25"/>
        <v>-1.2627150939524601E-2</v>
      </c>
      <c r="AN39" s="36">
        <f t="shared" si="12"/>
        <v>1.2908609749496147E-2</v>
      </c>
      <c r="AO39">
        <f t="shared" si="13"/>
        <v>1</v>
      </c>
      <c r="AP39" s="14">
        <f t="shared" si="22"/>
        <v>0.8</v>
      </c>
      <c r="AQ39">
        <f t="shared" si="14"/>
        <v>9.4730862093452828E-3</v>
      </c>
      <c r="AR39">
        <f t="shared" si="15"/>
        <v>3.4355235401508175E-3</v>
      </c>
      <c r="AU39" s="14"/>
      <c r="AV39" s="19"/>
      <c r="AW39" s="19">
        <f t="shared" si="24"/>
        <v>-2.3214505803626606E-2</v>
      </c>
      <c r="AX39">
        <f t="shared" si="3"/>
        <v>0</v>
      </c>
      <c r="AY39">
        <f>IF(W39,SUMPRODUCT(INDEX(AX:AX,X39):INDEX(AX:AX,X39+Y39)),0)</f>
        <v>0</v>
      </c>
      <c r="AZ39">
        <f>IF(V39,COUNT(INDEX(AX:AX,X39):INDEX(AX:AX,ROW())),0)</f>
        <v>29</v>
      </c>
      <c r="BA39" s="14" t="str">
        <f t="shared" si="16"/>
        <v/>
      </c>
      <c r="BB39" s="6">
        <f t="shared" si="4"/>
        <v>110181.3762</v>
      </c>
      <c r="BC39" s="6">
        <f>MEDIAN(INDEX(BB:BB,X39):INDEX(BB:BB,X39+Y39-1))</f>
        <v>126963.2616</v>
      </c>
      <c r="BD39" s="25" t="str">
        <f t="shared" si="5"/>
        <v/>
      </c>
      <c r="BE39">
        <f t="shared" si="17"/>
        <v>0</v>
      </c>
      <c r="BF39" s="6">
        <f>SUM(INDEX(BE:BE,X39):INDEX(BE:BE,X39+Y39-1))</f>
        <v>1</v>
      </c>
      <c r="BG39" s="25" t="str">
        <f t="shared" si="6"/>
        <v/>
      </c>
    </row>
    <row r="40" spans="1:59" x14ac:dyDescent="0.3">
      <c r="A40" s="1">
        <v>45411</v>
      </c>
      <c r="B40">
        <v>27.2165</v>
      </c>
      <c r="C40">
        <v>27.2165</v>
      </c>
      <c r="D40">
        <v>26.9193</v>
      </c>
      <c r="E40">
        <v>26.985399999999998</v>
      </c>
      <c r="F40">
        <v>4240</v>
      </c>
      <c r="G40" s="29">
        <v>0.48009086522252198</v>
      </c>
      <c r="H40" s="29">
        <v>1.77907633469402E-2</v>
      </c>
      <c r="I40" s="29">
        <v>1.10133627813558E-2</v>
      </c>
      <c r="J40" s="29">
        <v>55.695533280010501</v>
      </c>
      <c r="K40" s="29">
        <v>-2.1779005444751399E-2</v>
      </c>
      <c r="L40" s="29">
        <v>0.8</v>
      </c>
      <c r="M40" s="29">
        <v>-3.1158868961596701E-2</v>
      </c>
      <c r="N40" s="29">
        <v>1.1773627756667799</v>
      </c>
      <c r="O40" s="29">
        <v>-6.0772585302611903E-3</v>
      </c>
      <c r="P40" s="29">
        <v>1.46961678628954E-3</v>
      </c>
      <c r="Q40" s="29">
        <v>7.9365079365079309E-3</v>
      </c>
      <c r="R40" s="30">
        <v>220678.39909999899</v>
      </c>
      <c r="S40" s="29">
        <v>2</v>
      </c>
      <c r="T40">
        <v>499.30200000000002</v>
      </c>
      <c r="U40" s="21"/>
      <c r="V40">
        <v>30</v>
      </c>
      <c r="W40" t="b">
        <f>V40&gt;=$C$4</f>
        <v>0</v>
      </c>
      <c r="X40">
        <f>IF(V40&lt;=$C$5,11,ROW()-$C$5+1)</f>
        <v>11</v>
      </c>
      <c r="Y40" s="14">
        <f t="shared" si="0"/>
        <v>30</v>
      </c>
      <c r="Z40" s="10">
        <f t="shared" si="7"/>
        <v>0.29720000000000013</v>
      </c>
      <c r="AA40" s="15">
        <f t="shared" si="8"/>
        <v>1.101336278135585E-2</v>
      </c>
      <c r="AB40" s="15">
        <f t="shared" si="9"/>
        <v>0.4800908652225222</v>
      </c>
      <c r="AC40" s="10">
        <f t="shared" si="1"/>
        <v>1.779076334694028E-2</v>
      </c>
      <c r="AD40">
        <f t="shared" si="10"/>
        <v>3.960000000000008E-2</v>
      </c>
      <c r="AE40">
        <f t="shared" si="18"/>
        <v>3.960000000000008E-2</v>
      </c>
      <c r="AF40">
        <f t="shared" si="19"/>
        <v>0</v>
      </c>
      <c r="AG40">
        <f t="shared" si="23"/>
        <v>0.15989616209089402</v>
      </c>
      <c r="AH40">
        <f t="shared" si="23"/>
        <v>0.11529182190089241</v>
      </c>
      <c r="AI40">
        <f t="shared" si="11"/>
        <v>1.3868820828275623</v>
      </c>
      <c r="AJ40">
        <f t="shared" si="20"/>
        <v>58.104340084727852</v>
      </c>
      <c r="AK40" s="14">
        <f t="shared" si="2"/>
        <v>58.104340084727852</v>
      </c>
      <c r="AM40" s="14">
        <f t="shared" si="25"/>
        <v>-2.177900544475142E-2</v>
      </c>
      <c r="AN40" s="36">
        <f t="shared" si="12"/>
        <v>1.4696167862895404E-3</v>
      </c>
      <c r="AO40">
        <f t="shared" si="13"/>
        <v>1</v>
      </c>
      <c r="AP40" s="14">
        <f t="shared" si="22"/>
        <v>0.8</v>
      </c>
      <c r="AQ40">
        <f t="shared" si="14"/>
        <v>3.5434408156949093E-3</v>
      </c>
      <c r="AR40">
        <f t="shared" si="15"/>
        <v>-2.0738240294053694E-3</v>
      </c>
      <c r="AU40" s="14"/>
      <c r="AV40" s="19"/>
      <c r="AW40" s="19">
        <f t="shared" si="24"/>
        <v>-6.0772585302611981E-3</v>
      </c>
      <c r="AX40">
        <f t="shared" si="3"/>
        <v>0</v>
      </c>
      <c r="AY40">
        <f>IF(W40,SUMPRODUCT(INDEX(AX:AX,X40):INDEX(AX:AX,X40+Y40)),0)</f>
        <v>0</v>
      </c>
      <c r="AZ40">
        <f>IF(V40,COUNT(INDEX(AX:AX,X40):INDEX(AX:AX,ROW())),0)</f>
        <v>30</v>
      </c>
      <c r="BA40" s="14" t="str">
        <f t="shared" si="16"/>
        <v/>
      </c>
      <c r="BB40" s="6">
        <f t="shared" si="4"/>
        <v>114418.09599999999</v>
      </c>
      <c r="BC40" s="6">
        <f>MEDIAN(INDEX(BB:BB,X40):INDEX(BB:BB,X40+Y40-1))</f>
        <v>126291.3637</v>
      </c>
      <c r="BD40" s="25" t="str">
        <f t="shared" si="5"/>
        <v/>
      </c>
      <c r="BE40">
        <f t="shared" si="17"/>
        <v>0</v>
      </c>
      <c r="BF40" s="6">
        <f>SUM(INDEX(BE:BE,X40):INDEX(BE:BE,X40+Y40-1))</f>
        <v>1</v>
      </c>
      <c r="BG40" s="25" t="str">
        <f t="shared" si="6"/>
        <v/>
      </c>
    </row>
    <row r="41" spans="1:59" x14ac:dyDescent="0.3">
      <c r="A41" s="1">
        <v>45412</v>
      </c>
      <c r="B41">
        <v>26.754300000000001</v>
      </c>
      <c r="C41">
        <v>26.8599</v>
      </c>
      <c r="D41">
        <v>26.463799999999999</v>
      </c>
      <c r="E41">
        <v>26.523199999999999</v>
      </c>
      <c r="F41">
        <v>65427</v>
      </c>
      <c r="G41" s="29">
        <v>0.48305580342091298</v>
      </c>
      <c r="H41" s="29">
        <v>1.8212576288717499E-2</v>
      </c>
      <c r="I41" s="29">
        <v>1.9665802014839799E-2</v>
      </c>
      <c r="J41" s="29">
        <v>49.622490389479999</v>
      </c>
      <c r="K41" s="29">
        <v>-2.3100948788968099E-2</v>
      </c>
      <c r="L41" s="29">
        <v>0.6</v>
      </c>
      <c r="M41" s="29">
        <v>-4.9628035695018703E-2</v>
      </c>
      <c r="N41" s="29">
        <v>1.1727372379222101</v>
      </c>
      <c r="O41" s="29">
        <v>-2.09589900705031E-2</v>
      </c>
      <c r="P41" s="29">
        <v>-1.7127780207074901E-2</v>
      </c>
      <c r="Q41" s="29">
        <v>7.9365079365079309E-3</v>
      </c>
      <c r="R41" s="30">
        <v>220678.39909999899</v>
      </c>
      <c r="S41" s="29">
        <v>2</v>
      </c>
      <c r="T41">
        <v>491.392</v>
      </c>
      <c r="U41" s="21"/>
      <c r="V41">
        <v>31</v>
      </c>
      <c r="W41" t="b">
        <f>V41&gt;=$C$4</f>
        <v>0</v>
      </c>
      <c r="X41">
        <f>IF(V41&lt;=$C$5,11,ROW()-$C$5+1)</f>
        <v>11</v>
      </c>
      <c r="Y41" s="14">
        <f t="shared" si="0"/>
        <v>31</v>
      </c>
      <c r="Z41" s="10">
        <f t="shared" si="7"/>
        <v>0.5215999999999994</v>
      </c>
      <c r="AA41" s="15">
        <f t="shared" si="8"/>
        <v>1.9665802014839816E-2</v>
      </c>
      <c r="AB41" s="15">
        <f t="shared" si="9"/>
        <v>0.48305580342091342</v>
      </c>
      <c r="AC41" s="10">
        <f t="shared" si="1"/>
        <v>1.8212576288717554E-2</v>
      </c>
      <c r="AD41">
        <f t="shared" si="10"/>
        <v>-0.46219999999999928</v>
      </c>
      <c r="AE41">
        <f t="shared" si="18"/>
        <v>0</v>
      </c>
      <c r="AF41">
        <f t="shared" si="19"/>
        <v>0.46219999999999928</v>
      </c>
      <c r="AG41">
        <f t="shared" si="23"/>
        <v>0.14847500765583016</v>
      </c>
      <c r="AH41">
        <f t="shared" si="23"/>
        <v>0.14007097747940003</v>
      </c>
      <c r="AI41">
        <f t="shared" si="11"/>
        <v>1.0599983688817056</v>
      </c>
      <c r="AJ41">
        <f t="shared" si="20"/>
        <v>51.456272242445429</v>
      </c>
      <c r="AK41" s="14">
        <f t="shared" si="2"/>
        <v>51.456272242445429</v>
      </c>
      <c r="AM41" s="14">
        <f t="shared" si="25"/>
        <v>-2.3100948788968179E-2</v>
      </c>
      <c r="AN41" s="36">
        <f t="shared" si="12"/>
        <v>-1.712778020707495E-2</v>
      </c>
      <c r="AO41">
        <f t="shared" si="13"/>
        <v>0</v>
      </c>
      <c r="AP41" s="14">
        <f t="shared" si="22"/>
        <v>0.6</v>
      </c>
      <c r="AQ41">
        <f t="shared" si="14"/>
        <v>-1.5842115593368344E-2</v>
      </c>
      <c r="AR41">
        <f t="shared" si="15"/>
        <v>-1.2856646137065567E-3</v>
      </c>
      <c r="AU41" s="14"/>
      <c r="AV41" s="19"/>
      <c r="AW41" s="19">
        <f t="shared" si="24"/>
        <v>-2.095899007050317E-2</v>
      </c>
      <c r="AX41">
        <f t="shared" si="3"/>
        <v>0</v>
      </c>
      <c r="AY41">
        <f>IF(W41,SUMPRODUCT(INDEX(AX:AX,X41):INDEX(AX:AX,X41+Y41)),0)</f>
        <v>0</v>
      </c>
      <c r="AZ41">
        <f>IF(V41,COUNT(INDEX(AX:AX,X41):INDEX(AX:AX,ROW())),0)</f>
        <v>31</v>
      </c>
      <c r="BA41" s="14" t="str">
        <f t="shared" si="16"/>
        <v/>
      </c>
      <c r="BB41" s="6">
        <f t="shared" si="4"/>
        <v>1735333.4064</v>
      </c>
      <c r="BC41" s="6">
        <f>MEDIAN(INDEX(BB:BB,X41):INDEX(BB:BB,X41+Y41-1))</f>
        <v>126963.2616</v>
      </c>
      <c r="BD41" s="25" t="str">
        <f t="shared" si="5"/>
        <v/>
      </c>
      <c r="BE41">
        <f t="shared" si="17"/>
        <v>0</v>
      </c>
      <c r="BF41" s="6">
        <f>SUM(INDEX(BE:BE,X41):INDEX(BE:BE,X41+Y41-1))</f>
        <v>1</v>
      </c>
      <c r="BG41" s="25" t="str">
        <f t="shared" si="6"/>
        <v/>
      </c>
    </row>
    <row r="42" spans="1:59" x14ac:dyDescent="0.3">
      <c r="A42" s="1">
        <v>45413</v>
      </c>
      <c r="B42">
        <v>26.391100000000002</v>
      </c>
      <c r="C42">
        <v>27.262699999999999</v>
      </c>
      <c r="D42">
        <v>26.371300000000002</v>
      </c>
      <c r="E42">
        <v>27.163599999999999</v>
      </c>
      <c r="F42">
        <v>131460</v>
      </c>
      <c r="G42" s="29">
        <v>0.51222324603370495</v>
      </c>
      <c r="H42" s="29">
        <v>1.8856972052073501E-2</v>
      </c>
      <c r="I42" s="29">
        <v>3.28159743185732E-2</v>
      </c>
      <c r="J42" s="29">
        <v>56.672024890291901</v>
      </c>
      <c r="K42" s="29">
        <v>1.7309953785194801E-2</v>
      </c>
      <c r="L42" s="29">
        <v>0.6</v>
      </c>
      <c r="M42" s="29">
        <v>1.2502750534895701E-2</v>
      </c>
      <c r="N42" s="29">
        <v>1.0713197638358101</v>
      </c>
      <c r="O42" s="29">
        <v>0</v>
      </c>
      <c r="P42" s="29">
        <v>2.41448995596307E-2</v>
      </c>
      <c r="Q42" s="29">
        <v>7.9365079365079309E-3</v>
      </c>
      <c r="R42" s="30">
        <v>220678.39909999899</v>
      </c>
      <c r="S42" s="29">
        <v>2</v>
      </c>
      <c r="T42">
        <v>489.79599999999999</v>
      </c>
      <c r="U42" s="21"/>
      <c r="V42">
        <v>32</v>
      </c>
      <c r="W42" t="b">
        <f>V42&gt;=$C$4</f>
        <v>0</v>
      </c>
      <c r="X42">
        <f>IF(V42&lt;=$C$5,11,ROW()-$C$5+1)</f>
        <v>11</v>
      </c>
      <c r="Y42" s="14">
        <f t="shared" si="0"/>
        <v>32</v>
      </c>
      <c r="Z42" s="10">
        <f t="shared" si="7"/>
        <v>0.89139999999999731</v>
      </c>
      <c r="AA42" s="15">
        <f t="shared" si="8"/>
        <v>3.2815974318573291E-2</v>
      </c>
      <c r="AB42" s="15">
        <f t="shared" si="9"/>
        <v>0.51222324603370517</v>
      </c>
      <c r="AC42" s="10">
        <f t="shared" si="1"/>
        <v>1.8856972052073553E-2</v>
      </c>
      <c r="AD42">
        <f t="shared" si="10"/>
        <v>0.64039999999999964</v>
      </c>
      <c r="AE42">
        <f t="shared" si="18"/>
        <v>0.64039999999999964</v>
      </c>
      <c r="AF42">
        <f t="shared" si="19"/>
        <v>0</v>
      </c>
      <c r="AG42">
        <f t="shared" si="23"/>
        <v>0.18361250710898513</v>
      </c>
      <c r="AH42">
        <f t="shared" si="23"/>
        <v>0.1300659076594429</v>
      </c>
      <c r="AI42">
        <f t="shared" si="11"/>
        <v>1.4116882003372135</v>
      </c>
      <c r="AJ42">
        <f t="shared" si="20"/>
        <v>58.53527002950981</v>
      </c>
      <c r="AK42" s="14">
        <f t="shared" si="2"/>
        <v>58.53527002950981</v>
      </c>
      <c r="AM42" s="14">
        <f t="shared" si="25"/>
        <v>1.7309953785194843E-2</v>
      </c>
      <c r="AN42" s="36">
        <f t="shared" si="12"/>
        <v>2.4144899559630728E-2</v>
      </c>
      <c r="AO42">
        <f t="shared" si="13"/>
        <v>1</v>
      </c>
      <c r="AP42" s="14">
        <f t="shared" si="22"/>
        <v>0.6</v>
      </c>
      <c r="AQ42">
        <f t="shared" si="14"/>
        <v>-3.2479161239906684E-3</v>
      </c>
      <c r="AR42">
        <f t="shared" si="15"/>
        <v>2.7392815683621369E-2</v>
      </c>
      <c r="AU42" s="14"/>
      <c r="AV42" s="19"/>
      <c r="AW42" s="19">
        <f t="shared" si="24"/>
        <v>0</v>
      </c>
      <c r="AX42">
        <f t="shared" si="3"/>
        <v>0</v>
      </c>
      <c r="AY42">
        <f>IF(W42,SUMPRODUCT(INDEX(AX:AX,X42):INDEX(AX:AX,X42+Y42)),0)</f>
        <v>0</v>
      </c>
      <c r="AZ42">
        <f>IF(V42,COUNT(INDEX(AX:AX,X42):INDEX(AX:AX,ROW())),0)</f>
        <v>32</v>
      </c>
      <c r="BA42" s="14" t="str">
        <f t="shared" si="16"/>
        <v/>
      </c>
      <c r="BB42" s="6">
        <f t="shared" si="4"/>
        <v>3570926.8559999997</v>
      </c>
      <c r="BC42" s="6">
        <f>MEDIAN(INDEX(BB:BB,X42):INDEX(BB:BB,X42+Y42-1))</f>
        <v>146809.83399999997</v>
      </c>
      <c r="BD42" s="25" t="str">
        <f t="shared" si="5"/>
        <v/>
      </c>
      <c r="BE42">
        <f t="shared" si="17"/>
        <v>0</v>
      </c>
      <c r="BF42" s="6">
        <f>SUM(INDEX(BE:BE,X42):INDEX(BE:BE,X42+Y42-1))</f>
        <v>1</v>
      </c>
      <c r="BG42" s="25" t="str">
        <f t="shared" si="6"/>
        <v/>
      </c>
    </row>
    <row r="43" spans="1:59" x14ac:dyDescent="0.3">
      <c r="A43" s="1">
        <v>45414</v>
      </c>
      <c r="B43">
        <v>27.2561</v>
      </c>
      <c r="C43">
        <v>27.5136</v>
      </c>
      <c r="D43">
        <v>27.157</v>
      </c>
      <c r="E43">
        <v>27.474</v>
      </c>
      <c r="F43">
        <v>8026</v>
      </c>
      <c r="G43" s="29">
        <v>0.50110729988844005</v>
      </c>
      <c r="H43" s="29">
        <v>1.8239328087953699E-2</v>
      </c>
      <c r="I43" s="29">
        <v>1.2979544296425701E-2</v>
      </c>
      <c r="J43" s="29">
        <v>59.621400409797801</v>
      </c>
      <c r="K43" s="29">
        <v>2.3617646730079201E-2</v>
      </c>
      <c r="L43" s="29">
        <v>0.8</v>
      </c>
      <c r="M43" s="29">
        <v>5.7189929625584703E-2</v>
      </c>
      <c r="N43" s="29">
        <v>1.18408214839185</v>
      </c>
      <c r="O43" s="29">
        <v>0</v>
      </c>
      <c r="P43" s="29">
        <v>1.1427056796595499E-2</v>
      </c>
      <c r="Q43" s="29">
        <v>7.9365079365079309E-3</v>
      </c>
      <c r="R43" s="30">
        <v>220448.2211</v>
      </c>
      <c r="S43" s="29">
        <v>2</v>
      </c>
      <c r="T43">
        <v>494.37799999999999</v>
      </c>
      <c r="U43" s="21"/>
      <c r="V43">
        <v>33</v>
      </c>
      <c r="W43" t="b">
        <f>V43&gt;=$C$4</f>
        <v>0</v>
      </c>
      <c r="X43">
        <f>IF(V43&lt;=$C$5,11,ROW()-$C$5+1)</f>
        <v>11</v>
      </c>
      <c r="Y43" s="14">
        <f t="shared" si="0"/>
        <v>33</v>
      </c>
      <c r="Z43" s="10">
        <f t="shared" si="7"/>
        <v>0.35660000000000025</v>
      </c>
      <c r="AA43" s="15">
        <f t="shared" si="8"/>
        <v>1.297954429642572E-2</v>
      </c>
      <c r="AB43" s="15">
        <f t="shared" si="9"/>
        <v>0.5011072998884406</v>
      </c>
      <c r="AC43" s="10">
        <f t="shared" si="1"/>
        <v>1.8239328087953723E-2</v>
      </c>
      <c r="AD43">
        <f t="shared" si="10"/>
        <v>0.31040000000000134</v>
      </c>
      <c r="AE43">
        <f t="shared" si="18"/>
        <v>0.31040000000000134</v>
      </c>
      <c r="AF43">
        <f t="shared" si="19"/>
        <v>0</v>
      </c>
      <c r="AG43">
        <f t="shared" si="23"/>
        <v>0.19266875660120059</v>
      </c>
      <c r="AH43">
        <f t="shared" si="23"/>
        <v>0.1207754856837684</v>
      </c>
      <c r="AI43">
        <f t="shared" si="11"/>
        <v>1.5952637698818566</v>
      </c>
      <c r="AJ43">
        <f t="shared" si="20"/>
        <v>61.468271101957292</v>
      </c>
      <c r="AK43" s="14">
        <f t="shared" si="2"/>
        <v>61.468271101957292</v>
      </c>
      <c r="AM43" s="14">
        <f t="shared" si="25"/>
        <v>2.3617646730079267E-2</v>
      </c>
      <c r="AN43" s="36">
        <f t="shared" si="12"/>
        <v>1.1427056796595503E-2</v>
      </c>
      <c r="AO43">
        <f t="shared" si="13"/>
        <v>1</v>
      </c>
      <c r="AP43" s="14">
        <f t="shared" si="22"/>
        <v>0.8</v>
      </c>
      <c r="AQ43">
        <f t="shared" si="14"/>
        <v>9.3549151075140724E-3</v>
      </c>
      <c r="AR43">
        <f t="shared" si="15"/>
        <v>2.0721416890814269E-3</v>
      </c>
      <c r="AU43" s="14"/>
      <c r="AV43" s="19"/>
      <c r="AW43" s="19">
        <f t="shared" si="24"/>
        <v>0</v>
      </c>
      <c r="AX43">
        <f t="shared" si="3"/>
        <v>0</v>
      </c>
      <c r="AY43">
        <f>IF(W43,SUMPRODUCT(INDEX(AX:AX,X43):INDEX(AX:AX,X43+Y43)),0)</f>
        <v>0</v>
      </c>
      <c r="AZ43">
        <f>IF(V43,COUNT(INDEX(AX:AX,X43):INDEX(AX:AX,ROW())),0)</f>
        <v>33</v>
      </c>
      <c r="BA43" s="14" t="str">
        <f t="shared" si="16"/>
        <v/>
      </c>
      <c r="BB43" s="6">
        <f t="shared" si="4"/>
        <v>220506.32399999999</v>
      </c>
      <c r="BC43" s="6">
        <f>MEDIAN(INDEX(BB:BB,X43):INDEX(BB:BB,X43+Y43-1))</f>
        <v>166656.40639999998</v>
      </c>
      <c r="BD43" s="25" t="str">
        <f t="shared" si="5"/>
        <v/>
      </c>
      <c r="BE43">
        <f t="shared" si="17"/>
        <v>0</v>
      </c>
      <c r="BF43" s="6">
        <f>SUM(INDEX(BE:BE,X43):INDEX(BE:BE,X43+Y43-1))</f>
        <v>1</v>
      </c>
      <c r="BG43" s="25" t="str">
        <f t="shared" si="6"/>
        <v/>
      </c>
    </row>
    <row r="44" spans="1:59" x14ac:dyDescent="0.3">
      <c r="A44" s="1">
        <v>45415</v>
      </c>
      <c r="B44">
        <v>28.081399999999999</v>
      </c>
      <c r="C44">
        <v>28.1342</v>
      </c>
      <c r="D44">
        <v>27.949400000000001</v>
      </c>
      <c r="E44">
        <v>28.1342</v>
      </c>
      <c r="F44">
        <v>3634</v>
      </c>
      <c r="G44" s="29">
        <v>0.51247106418212296</v>
      </c>
      <c r="H44" s="29">
        <v>1.8215234987386201E-2</v>
      </c>
      <c r="I44" s="29">
        <v>2.3466101755159102E-2</v>
      </c>
      <c r="J44" s="29">
        <v>65.067980158522204</v>
      </c>
      <c r="K44" s="29">
        <v>6.3920223567628096E-2</v>
      </c>
      <c r="L44" s="29">
        <v>0.8</v>
      </c>
      <c r="M44" s="29">
        <v>8.6232788998019699E-2</v>
      </c>
      <c r="N44" s="29">
        <v>1.2466208784869901</v>
      </c>
      <c r="O44" s="29">
        <v>0</v>
      </c>
      <c r="P44" s="29">
        <v>2.4029991992429101E-2</v>
      </c>
      <c r="Q44" s="29">
        <v>7.9365079365079309E-3</v>
      </c>
      <c r="R44" s="30">
        <v>220180.92619999999</v>
      </c>
      <c r="S44" s="29">
        <v>2</v>
      </c>
      <c r="T44">
        <v>500.50599999999997</v>
      </c>
      <c r="U44" s="21"/>
      <c r="V44">
        <v>34</v>
      </c>
      <c r="W44" t="b">
        <f>V44&gt;=$C$4</f>
        <v>0</v>
      </c>
      <c r="X44">
        <f>IF(V44&lt;=$C$5,11,ROW()-$C$5+1)</f>
        <v>11</v>
      </c>
      <c r="Y44" s="14">
        <f t="shared" si="0"/>
        <v>34</v>
      </c>
      <c r="Z44" s="10">
        <f t="shared" si="7"/>
        <v>0.66019999999999968</v>
      </c>
      <c r="AA44" s="15">
        <f t="shared" si="8"/>
        <v>2.3466101755159188E-2</v>
      </c>
      <c r="AB44" s="15">
        <f t="shared" si="9"/>
        <v>0.5124710641821234</v>
      </c>
      <c r="AC44" s="10">
        <f t="shared" si="1"/>
        <v>1.8215234987386291E-2</v>
      </c>
      <c r="AD44">
        <f t="shared" si="10"/>
        <v>0.66019999999999968</v>
      </c>
      <c r="AE44">
        <f t="shared" si="18"/>
        <v>0.66019999999999968</v>
      </c>
      <c r="AF44">
        <f t="shared" si="19"/>
        <v>0</v>
      </c>
      <c r="AG44">
        <f t="shared" si="23"/>
        <v>0.22606384541540051</v>
      </c>
      <c r="AH44">
        <f t="shared" si="23"/>
        <v>0.11214866527778496</v>
      </c>
      <c r="AI44">
        <f t="shared" si="11"/>
        <v>2.0157515459988313</v>
      </c>
      <c r="AJ44">
        <f t="shared" si="20"/>
        <v>66.840769713713428</v>
      </c>
      <c r="AK44" s="14">
        <f t="shared" si="2"/>
        <v>66.840769713713428</v>
      </c>
      <c r="AM44" s="14">
        <f t="shared" si="25"/>
        <v>6.3920223567628165E-2</v>
      </c>
      <c r="AN44" s="36">
        <f t="shared" si="12"/>
        <v>2.4029991992429167E-2</v>
      </c>
      <c r="AO44">
        <f t="shared" si="13"/>
        <v>1</v>
      </c>
      <c r="AP44" s="14">
        <f t="shared" si="22"/>
        <v>0.8</v>
      </c>
      <c r="AQ44">
        <f t="shared" si="14"/>
        <v>1.2395373580539548E-2</v>
      </c>
      <c r="AR44">
        <f t="shared" si="15"/>
        <v>1.1634618411889553E-2</v>
      </c>
      <c r="AU44" s="14"/>
      <c r="AV44" s="19"/>
      <c r="AW44" s="19">
        <f t="shared" si="24"/>
        <v>0</v>
      </c>
      <c r="AX44">
        <f t="shared" si="3"/>
        <v>0</v>
      </c>
      <c r="AY44">
        <f>IF(W44,SUMPRODUCT(INDEX(AX:AX,X44):INDEX(AX:AX,X44+Y44)),0)</f>
        <v>0</v>
      </c>
      <c r="AZ44">
        <f>IF(V44,COUNT(INDEX(AX:AX,X44):INDEX(AX:AX,ROW())),0)</f>
        <v>34</v>
      </c>
      <c r="BA44" s="14" t="str">
        <f t="shared" si="16"/>
        <v/>
      </c>
      <c r="BB44" s="6">
        <f t="shared" si="4"/>
        <v>102239.6828</v>
      </c>
      <c r="BC44" s="6">
        <f>MEDIAN(INDEX(BB:BB,X44):INDEX(BB:BB,X44+Y44-1))</f>
        <v>146809.83399999997</v>
      </c>
      <c r="BD44" s="25" t="str">
        <f t="shared" si="5"/>
        <v/>
      </c>
      <c r="BE44">
        <f t="shared" si="17"/>
        <v>0</v>
      </c>
      <c r="BF44" s="6">
        <f>SUM(INDEX(BE:BE,X44):INDEX(BE:BE,X44+Y44-1))</f>
        <v>1</v>
      </c>
      <c r="BG44" s="25" t="str">
        <f t="shared" si="6"/>
        <v/>
      </c>
    </row>
    <row r="45" spans="1:59" x14ac:dyDescent="0.3">
      <c r="A45" s="1">
        <v>45418</v>
      </c>
      <c r="B45">
        <v>28.471</v>
      </c>
      <c r="C45">
        <v>28.8672</v>
      </c>
      <c r="D45">
        <v>28.4314</v>
      </c>
      <c r="E45">
        <v>28.847300000000001</v>
      </c>
      <c r="F45">
        <v>15902</v>
      </c>
      <c r="G45" s="29">
        <v>0.52822313102625695</v>
      </c>
      <c r="H45" s="29">
        <v>1.83110076515395E-2</v>
      </c>
      <c r="I45" s="29">
        <v>2.54096570562929E-2</v>
      </c>
      <c r="J45" s="29">
        <v>69.805585000433098</v>
      </c>
      <c r="K45" s="29">
        <v>8.2775317168380699E-2</v>
      </c>
      <c r="L45" s="29">
        <v>0.8</v>
      </c>
      <c r="M45" s="29">
        <v>0.112391783285712</v>
      </c>
      <c r="N45" s="29">
        <v>1.27242227498835</v>
      </c>
      <c r="O45" s="29">
        <v>0</v>
      </c>
      <c r="P45" s="29">
        <v>2.5346375585586198E-2</v>
      </c>
      <c r="Q45" s="29">
        <v>7.9365079365079309E-3</v>
      </c>
      <c r="R45" s="30">
        <v>220180.92619999999</v>
      </c>
      <c r="S45" s="29">
        <v>2</v>
      </c>
      <c r="T45">
        <v>505.67399999999998</v>
      </c>
      <c r="U45" s="21"/>
      <c r="V45">
        <v>35</v>
      </c>
      <c r="W45" t="b">
        <f>V45&gt;=$C$4</f>
        <v>0</v>
      </c>
      <c r="X45">
        <f>IF(V45&lt;=$C$5,11,ROW()-$C$5+1)</f>
        <v>11</v>
      </c>
      <c r="Y45" s="14">
        <f t="shared" si="0"/>
        <v>35</v>
      </c>
      <c r="Z45" s="10">
        <f t="shared" si="7"/>
        <v>0.73300000000000054</v>
      </c>
      <c r="AA45" s="15">
        <f t="shared" si="8"/>
        <v>2.5409657056292983E-2</v>
      </c>
      <c r="AB45" s="15">
        <f t="shared" si="9"/>
        <v>0.52822313102625751</v>
      </c>
      <c r="AC45" s="10">
        <f t="shared" si="1"/>
        <v>1.8311007651539573E-2</v>
      </c>
      <c r="AD45">
        <f t="shared" si="10"/>
        <v>0.71310000000000073</v>
      </c>
      <c r="AE45">
        <f t="shared" si="18"/>
        <v>0.71310000000000073</v>
      </c>
      <c r="AF45">
        <f t="shared" si="19"/>
        <v>0</v>
      </c>
      <c r="AG45">
        <f t="shared" si="23"/>
        <v>0.26085214217144337</v>
      </c>
      <c r="AH45">
        <f t="shared" si="23"/>
        <v>0.10413804632937175</v>
      </c>
      <c r="AI45">
        <f t="shared" si="11"/>
        <v>2.5048687906666727</v>
      </c>
      <c r="AJ45">
        <f t="shared" si="20"/>
        <v>71.468261446392503</v>
      </c>
      <c r="AK45" s="14">
        <f t="shared" si="2"/>
        <v>71.468261446392503</v>
      </c>
      <c r="AM45" s="14">
        <f t="shared" si="25"/>
        <v>8.2775317168380713E-2</v>
      </c>
      <c r="AN45" s="36">
        <f t="shared" si="12"/>
        <v>2.5346375585586278E-2</v>
      </c>
      <c r="AO45">
        <f t="shared" si="13"/>
        <v>1</v>
      </c>
      <c r="AP45" s="14">
        <f t="shared" si="22"/>
        <v>0.8</v>
      </c>
      <c r="AQ45">
        <f t="shared" si="14"/>
        <v>1.0325550542850559E-2</v>
      </c>
      <c r="AR45">
        <f t="shared" si="15"/>
        <v>1.5020825042735639E-2</v>
      </c>
      <c r="AU45" s="14"/>
      <c r="AV45" s="19"/>
      <c r="AW45" s="19">
        <f t="shared" si="24"/>
        <v>0</v>
      </c>
      <c r="AX45">
        <f t="shared" si="3"/>
        <v>0</v>
      </c>
      <c r="AY45">
        <f>IF(W45,SUMPRODUCT(INDEX(AX:AX,X45):INDEX(AX:AX,X45+Y45)),0)</f>
        <v>0</v>
      </c>
      <c r="AZ45">
        <f>IF(V45,COUNT(INDEX(AX:AX,X45):INDEX(AX:AX,ROW())),0)</f>
        <v>35</v>
      </c>
      <c r="BA45" s="14" t="str">
        <f t="shared" si="16"/>
        <v/>
      </c>
      <c r="BB45" s="6">
        <f t="shared" si="4"/>
        <v>458729.76459999999</v>
      </c>
      <c r="BC45" s="6">
        <f>MEDIAN(INDEX(BB:BB,X45):INDEX(BB:BB,X45+Y45-1))</f>
        <v>166656.40639999998</v>
      </c>
      <c r="BD45" s="25" t="str">
        <f t="shared" si="5"/>
        <v/>
      </c>
      <c r="BE45">
        <f t="shared" si="17"/>
        <v>0</v>
      </c>
      <c r="BF45" s="6">
        <f>SUM(INDEX(BE:BE,X45):INDEX(BE:BE,X45+Y45-1))</f>
        <v>1</v>
      </c>
      <c r="BG45" s="25" t="str">
        <f t="shared" si="6"/>
        <v/>
      </c>
    </row>
    <row r="46" spans="1:59" x14ac:dyDescent="0.3">
      <c r="A46" s="1">
        <v>45419</v>
      </c>
      <c r="B46">
        <v>28.867100000000001</v>
      </c>
      <c r="C46">
        <v>29.0916</v>
      </c>
      <c r="D46">
        <v>28.834099999999999</v>
      </c>
      <c r="E46">
        <v>29.0916</v>
      </c>
      <c r="F46">
        <v>17265</v>
      </c>
      <c r="G46" s="29">
        <v>0.50888576452438194</v>
      </c>
      <c r="H46" s="29">
        <v>1.7492532707873799E-2</v>
      </c>
      <c r="I46" s="29">
        <v>8.85135228038335E-3</v>
      </c>
      <c r="J46" s="29">
        <v>71.244432582579407</v>
      </c>
      <c r="K46" s="29">
        <v>8.5487211059495E-2</v>
      </c>
      <c r="L46" s="29">
        <v>1</v>
      </c>
      <c r="M46" s="29">
        <v>9.3118682484034807E-2</v>
      </c>
      <c r="N46" s="29">
        <v>1.2604001540076299</v>
      </c>
      <c r="O46" s="29">
        <v>0</v>
      </c>
      <c r="P46" s="29">
        <v>8.4687301757877496E-3</v>
      </c>
      <c r="Q46" s="29">
        <v>7.9365079365079309E-3</v>
      </c>
      <c r="R46" s="30">
        <v>220180.92619999999</v>
      </c>
      <c r="S46" s="29">
        <v>2</v>
      </c>
      <c r="T46">
        <v>506.23200000000003</v>
      </c>
      <c r="U46" s="21"/>
      <c r="V46">
        <v>36</v>
      </c>
      <c r="W46" t="b">
        <f>V46&gt;=$C$4</f>
        <v>0</v>
      </c>
      <c r="X46">
        <f>IF(V46&lt;=$C$5,11,ROW()-$C$5+1)</f>
        <v>11</v>
      </c>
      <c r="Y46" s="14">
        <f t="shared" si="0"/>
        <v>36</v>
      </c>
      <c r="Z46" s="10">
        <f t="shared" si="7"/>
        <v>0.25750000000000028</v>
      </c>
      <c r="AA46" s="15">
        <f t="shared" si="8"/>
        <v>8.85135228038335E-3</v>
      </c>
      <c r="AB46" s="15">
        <f t="shared" si="9"/>
        <v>0.50888576452438194</v>
      </c>
      <c r="AC46" s="10">
        <f t="shared" si="1"/>
        <v>1.7492532707873817E-2</v>
      </c>
      <c r="AD46">
        <f t="shared" si="10"/>
        <v>0.24429999999999907</v>
      </c>
      <c r="AE46">
        <f t="shared" si="18"/>
        <v>0.24429999999999907</v>
      </c>
      <c r="AF46">
        <f t="shared" si="19"/>
        <v>0</v>
      </c>
      <c r="AG46">
        <f t="shared" ref="AG46:AH61" si="26">(AE46+13*AG45)/14</f>
        <v>0.25966984630205447</v>
      </c>
      <c r="AH46">
        <f t="shared" si="26"/>
        <v>9.6699614448702342E-2</v>
      </c>
      <c r="AI46">
        <f t="shared" si="11"/>
        <v>2.685324525671251</v>
      </c>
      <c r="AJ46">
        <f t="shared" si="20"/>
        <v>72.865347596006941</v>
      </c>
      <c r="AK46" s="14">
        <f t="shared" si="2"/>
        <v>72.865347596006941</v>
      </c>
      <c r="AM46" s="14">
        <f t="shared" si="25"/>
        <v>8.5487211059495083E-2</v>
      </c>
      <c r="AN46" s="36">
        <f t="shared" si="12"/>
        <v>8.4687301757877531E-3</v>
      </c>
      <c r="AO46">
        <f t="shared" si="13"/>
        <v>1</v>
      </c>
      <c r="AP46" s="14">
        <f t="shared" si="22"/>
        <v>1</v>
      </c>
      <c r="AQ46">
        <f t="shared" si="14"/>
        <v>1.1034777346670133E-3</v>
      </c>
      <c r="AR46">
        <f t="shared" si="15"/>
        <v>7.3652524411207364E-3</v>
      </c>
      <c r="AU46" s="14"/>
      <c r="AV46" s="19"/>
      <c r="AW46" s="19">
        <f t="shared" si="24"/>
        <v>0</v>
      </c>
      <c r="AX46">
        <f t="shared" si="3"/>
        <v>0</v>
      </c>
      <c r="AY46">
        <f>IF(W46,SUMPRODUCT(INDEX(AX:AX,X46):INDEX(AX:AX,X46+Y46)),0)</f>
        <v>0</v>
      </c>
      <c r="AZ46">
        <f>IF(V46,COUNT(INDEX(AX:AX,X46):INDEX(AX:AX,ROW())),0)</f>
        <v>36</v>
      </c>
      <c r="BA46" s="14" t="str">
        <f t="shared" si="16"/>
        <v/>
      </c>
      <c r="BB46" s="6">
        <f t="shared" si="4"/>
        <v>502266.47399999999</v>
      </c>
      <c r="BC46" s="6">
        <f>MEDIAN(INDEX(BB:BB,X46):INDEX(BB:BB,X46+Y46-1))</f>
        <v>169491.1287</v>
      </c>
      <c r="BD46" s="25" t="str">
        <f t="shared" si="5"/>
        <v/>
      </c>
      <c r="BE46">
        <f t="shared" si="17"/>
        <v>0</v>
      </c>
      <c r="BF46" s="6">
        <f>SUM(INDEX(BE:BE,X46):INDEX(BE:BE,X46+Y46-1))</f>
        <v>1</v>
      </c>
      <c r="BG46" s="25" t="str">
        <f t="shared" si="6"/>
        <v/>
      </c>
    </row>
    <row r="47" spans="1:59" x14ac:dyDescent="0.3">
      <c r="A47" s="1">
        <v>45420</v>
      </c>
      <c r="B47">
        <v>28.7681</v>
      </c>
      <c r="C47">
        <v>29.0322</v>
      </c>
      <c r="D47">
        <v>28.477599999999999</v>
      </c>
      <c r="E47">
        <v>28.794499999999999</v>
      </c>
      <c r="F47">
        <v>13933</v>
      </c>
      <c r="G47" s="29">
        <v>0.516393924201212</v>
      </c>
      <c r="H47" s="29">
        <v>1.7933769442123E-2</v>
      </c>
      <c r="I47" s="29">
        <v>2.1323516643803501E-2</v>
      </c>
      <c r="J47" s="29">
        <v>67.059283358135005</v>
      </c>
      <c r="K47" s="29">
        <v>6.2880661474290195E-2</v>
      </c>
      <c r="L47" s="29">
        <v>0.8</v>
      </c>
      <c r="M47" s="29">
        <v>8.65698616143106E-2</v>
      </c>
      <c r="N47" s="29">
        <v>1.28213952192779</v>
      </c>
      <c r="O47" s="29">
        <v>-1.02125699514636E-2</v>
      </c>
      <c r="P47" s="29">
        <v>-1.02125699514636E-2</v>
      </c>
      <c r="Q47" s="29">
        <v>7.9365079365079309E-3</v>
      </c>
      <c r="R47" s="30">
        <v>220448.2211</v>
      </c>
      <c r="S47" s="29">
        <v>2</v>
      </c>
      <c r="T47">
        <v>506.28100000000001</v>
      </c>
      <c r="U47" s="21"/>
      <c r="V47">
        <v>37</v>
      </c>
      <c r="W47" t="b">
        <f>V47&gt;=$C$4</f>
        <v>0</v>
      </c>
      <c r="X47">
        <f>IF(V47&lt;=$C$5,11,ROW()-$C$5+1)</f>
        <v>11</v>
      </c>
      <c r="Y47" s="14">
        <f t="shared" si="0"/>
        <v>37</v>
      </c>
      <c r="Z47" s="10">
        <f t="shared" si="7"/>
        <v>0.61400000000000077</v>
      </c>
      <c r="AA47" s="15">
        <f t="shared" si="8"/>
        <v>2.1323516643803532E-2</v>
      </c>
      <c r="AB47" s="15">
        <f t="shared" si="9"/>
        <v>0.51639392420121188</v>
      </c>
      <c r="AC47" s="10">
        <f t="shared" si="1"/>
        <v>1.7933769442123042E-2</v>
      </c>
      <c r="AD47">
        <f t="shared" si="10"/>
        <v>-0.29710000000000036</v>
      </c>
      <c r="AE47">
        <f t="shared" si="18"/>
        <v>0</v>
      </c>
      <c r="AF47">
        <f t="shared" si="19"/>
        <v>0.29710000000000036</v>
      </c>
      <c r="AG47">
        <f t="shared" si="26"/>
        <v>0.241122000137622</v>
      </c>
      <c r="AH47">
        <f t="shared" si="26"/>
        <v>0.11101392770236648</v>
      </c>
      <c r="AI47">
        <f t="shared" si="11"/>
        <v>2.1719977405364967</v>
      </c>
      <c r="AJ47">
        <f t="shared" si="20"/>
        <v>68.474126345661745</v>
      </c>
      <c r="AK47" s="14">
        <f t="shared" si="2"/>
        <v>68.474126345661745</v>
      </c>
      <c r="AM47" s="14">
        <f t="shared" si="25"/>
        <v>6.2880661474290278E-2</v>
      </c>
      <c r="AN47" s="36">
        <f t="shared" si="12"/>
        <v>-1.021256995146369E-2</v>
      </c>
      <c r="AO47">
        <f t="shared" si="13"/>
        <v>0</v>
      </c>
      <c r="AP47" s="14">
        <f t="shared" si="22"/>
        <v>0.8</v>
      </c>
      <c r="AQ47">
        <f t="shared" si="14"/>
        <v>9.6793565005803828E-5</v>
      </c>
      <c r="AR47">
        <f t="shared" si="15"/>
        <v>-1.0309363516469404E-2</v>
      </c>
      <c r="AU47" s="14"/>
      <c r="AV47" s="19"/>
      <c r="AW47" s="19">
        <f t="shared" si="24"/>
        <v>-1.021256995146369E-2</v>
      </c>
      <c r="AX47">
        <f t="shared" si="3"/>
        <v>0</v>
      </c>
      <c r="AY47">
        <f>IF(W47,SUMPRODUCT(INDEX(AX:AX,X47):INDEX(AX:AX,X47+Y47)),0)</f>
        <v>0</v>
      </c>
      <c r="AZ47">
        <f>IF(V47,COUNT(INDEX(AX:AX,X47):INDEX(AX:AX,ROW())),0)</f>
        <v>37</v>
      </c>
      <c r="BA47" s="14" t="str">
        <f t="shared" si="16"/>
        <v/>
      </c>
      <c r="BB47" s="6">
        <f t="shared" si="4"/>
        <v>401193.76850000001</v>
      </c>
      <c r="BC47" s="6">
        <f>MEDIAN(INDEX(BB:BB,X47):INDEX(BB:BB,X47+Y47-1))</f>
        <v>172325.851</v>
      </c>
      <c r="BD47" s="25" t="str">
        <f t="shared" si="5"/>
        <v/>
      </c>
      <c r="BE47">
        <f t="shared" si="17"/>
        <v>0</v>
      </c>
      <c r="BF47" s="6">
        <f>SUM(INDEX(BE:BE,X47):INDEX(BE:BE,X47+Y47-1))</f>
        <v>1</v>
      </c>
      <c r="BG47" s="25" t="str">
        <f t="shared" si="6"/>
        <v/>
      </c>
    </row>
    <row r="48" spans="1:59" x14ac:dyDescent="0.3">
      <c r="A48" s="1">
        <v>45421</v>
      </c>
      <c r="B48">
        <v>28.834099999999999</v>
      </c>
      <c r="C48">
        <v>29.184100000000001</v>
      </c>
      <c r="D48">
        <v>28.761500000000002</v>
      </c>
      <c r="E48">
        <v>29.184100000000001</v>
      </c>
      <c r="F48">
        <v>12570</v>
      </c>
      <c r="G48" s="29">
        <v>0.50969435818683895</v>
      </c>
      <c r="H48" s="29">
        <v>1.7464796179660801E-2</v>
      </c>
      <c r="I48" s="29">
        <v>1.4480487662802599E-2</v>
      </c>
      <c r="J48" s="29">
        <v>69.582660800406202</v>
      </c>
      <c r="K48" s="29">
        <v>0.12985725844854201</v>
      </c>
      <c r="L48" s="29">
        <v>0.8</v>
      </c>
      <c r="M48" s="29">
        <v>6.8672056068256604E-2</v>
      </c>
      <c r="N48" s="29">
        <v>1.29165097675055</v>
      </c>
      <c r="O48" s="29">
        <v>0</v>
      </c>
      <c r="P48" s="29">
        <v>1.35303617010194E-2</v>
      </c>
      <c r="Q48" s="29">
        <v>7.9365079365079309E-3</v>
      </c>
      <c r="R48" s="30">
        <v>220448.2211</v>
      </c>
      <c r="S48" s="29">
        <v>2</v>
      </c>
      <c r="T48">
        <v>509.19799999999998</v>
      </c>
      <c r="U48" s="21"/>
      <c r="V48">
        <v>38</v>
      </c>
      <c r="W48" t="b">
        <f>V48&gt;=$C$4</f>
        <v>0</v>
      </c>
      <c r="X48">
        <f>IF(V48&lt;=$C$5,11,ROW()-$C$5+1)</f>
        <v>11</v>
      </c>
      <c r="Y48" s="14">
        <f t="shared" si="0"/>
        <v>38</v>
      </c>
      <c r="Z48" s="10">
        <f t="shared" si="7"/>
        <v>0.4225999999999992</v>
      </c>
      <c r="AA48" s="15">
        <f t="shared" si="8"/>
        <v>1.4480487662802662E-2</v>
      </c>
      <c r="AB48" s="15">
        <f t="shared" si="9"/>
        <v>0.50969435818683961</v>
      </c>
      <c r="AC48" s="10">
        <f t="shared" si="1"/>
        <v>1.7464796179660829E-2</v>
      </c>
      <c r="AD48">
        <f t="shared" si="10"/>
        <v>0.3896000000000015</v>
      </c>
      <c r="AE48">
        <f t="shared" si="18"/>
        <v>0.3896000000000015</v>
      </c>
      <c r="AF48">
        <f t="shared" si="19"/>
        <v>0</v>
      </c>
      <c r="AG48">
        <f t="shared" si="26"/>
        <v>0.25172757155636338</v>
      </c>
      <c r="AH48">
        <f t="shared" si="26"/>
        <v>0.10308436143791173</v>
      </c>
      <c r="AI48">
        <f t="shared" si="11"/>
        <v>2.4419569374543806</v>
      </c>
      <c r="AJ48">
        <f t="shared" si="20"/>
        <v>70.946760282841169</v>
      </c>
      <c r="AK48" s="14">
        <f t="shared" si="2"/>
        <v>70.946760282841169</v>
      </c>
      <c r="AM48" s="14">
        <f t="shared" si="25"/>
        <v>0.12985725844854223</v>
      </c>
      <c r="AN48" s="36">
        <f t="shared" si="12"/>
        <v>1.35303617010194E-2</v>
      </c>
      <c r="AO48">
        <f t="shared" si="13"/>
        <v>1</v>
      </c>
      <c r="AP48" s="14">
        <f t="shared" si="22"/>
        <v>0.8</v>
      </c>
      <c r="AQ48">
        <f t="shared" si="14"/>
        <v>5.7616224981777986E-3</v>
      </c>
      <c r="AR48">
        <f t="shared" si="15"/>
        <v>7.7687392028416014E-3</v>
      </c>
      <c r="AU48" s="14"/>
      <c r="AV48" s="19"/>
      <c r="AW48" s="19">
        <f t="shared" si="24"/>
        <v>0</v>
      </c>
      <c r="AX48">
        <f t="shared" si="3"/>
        <v>0</v>
      </c>
      <c r="AY48">
        <f>IF(W48,SUMPRODUCT(INDEX(AX:AX,X48):INDEX(AX:AX,X48+Y48)),0)</f>
        <v>0</v>
      </c>
      <c r="AZ48">
        <f>IF(V48,COUNT(INDEX(AX:AX,X48):INDEX(AX:AX,ROW())),0)</f>
        <v>38</v>
      </c>
      <c r="BA48" s="14" t="str">
        <f t="shared" si="16"/>
        <v/>
      </c>
      <c r="BB48" s="6">
        <f t="shared" si="4"/>
        <v>366844.13699999999</v>
      </c>
      <c r="BC48" s="6">
        <f>MEDIAN(INDEX(BB:BB,X48):INDEX(BB:BB,X48+Y48-1))</f>
        <v>174920.74849999999</v>
      </c>
      <c r="BD48" s="25" t="str">
        <f t="shared" si="5"/>
        <v/>
      </c>
      <c r="BE48">
        <f t="shared" si="17"/>
        <v>0</v>
      </c>
      <c r="BF48" s="6">
        <f>SUM(INDEX(BE:BE,X48):INDEX(BE:BE,X48+Y48-1))</f>
        <v>1</v>
      </c>
      <c r="BG48" s="25" t="str">
        <f t="shared" si="6"/>
        <v/>
      </c>
    </row>
    <row r="49" spans="1:59" x14ac:dyDescent="0.3">
      <c r="A49" s="1">
        <v>45422</v>
      </c>
      <c r="B49">
        <v>29.501000000000001</v>
      </c>
      <c r="C49">
        <v>29.501000000000001</v>
      </c>
      <c r="D49">
        <v>29.058599999999998</v>
      </c>
      <c r="E49">
        <v>29.197299999999998</v>
      </c>
      <c r="F49">
        <v>13782</v>
      </c>
      <c r="G49" s="29">
        <v>0.50488761831635098</v>
      </c>
      <c r="H49" s="29">
        <v>1.7292270802997198E-2</v>
      </c>
      <c r="I49" s="29">
        <v>1.5152085980553001E-2</v>
      </c>
      <c r="J49" s="29">
        <v>69.667441672752005</v>
      </c>
      <c r="K49" s="29">
        <v>0.114417777370646</v>
      </c>
      <c r="L49" s="29">
        <v>0.8</v>
      </c>
      <c r="M49" s="29">
        <v>6.8690353790913997E-2</v>
      </c>
      <c r="N49" s="29">
        <v>1.2958122568405901</v>
      </c>
      <c r="O49" s="29">
        <v>0</v>
      </c>
      <c r="P49" s="29">
        <v>4.52301081753425E-4</v>
      </c>
      <c r="Q49" s="29">
        <v>7.9365079365079309E-3</v>
      </c>
      <c r="R49" s="30">
        <v>220448.2211</v>
      </c>
      <c r="S49" s="29">
        <v>2</v>
      </c>
      <c r="T49">
        <v>509.85399999999998</v>
      </c>
      <c r="U49" s="21"/>
      <c r="V49">
        <v>39</v>
      </c>
      <c r="W49" t="b">
        <f>V49&gt;=$C$4</f>
        <v>0</v>
      </c>
      <c r="X49">
        <f>IF(V49&lt;=$C$5,11,ROW()-$C$5+1)</f>
        <v>11</v>
      </c>
      <c r="Y49" s="14">
        <f t="shared" si="0"/>
        <v>39</v>
      </c>
      <c r="Z49" s="10">
        <f t="shared" si="7"/>
        <v>0.44240000000000279</v>
      </c>
      <c r="AA49" s="15">
        <f t="shared" si="8"/>
        <v>1.5152085980553093E-2</v>
      </c>
      <c r="AB49" s="15">
        <f t="shared" si="9"/>
        <v>0.50488761831635132</v>
      </c>
      <c r="AC49" s="10">
        <f t="shared" si="1"/>
        <v>1.729227080299724E-2</v>
      </c>
      <c r="AD49">
        <f t="shared" si="10"/>
        <v>1.3199999999997658E-2</v>
      </c>
      <c r="AE49">
        <f t="shared" si="18"/>
        <v>1.3199999999997658E-2</v>
      </c>
      <c r="AF49">
        <f t="shared" si="19"/>
        <v>0</v>
      </c>
      <c r="AG49">
        <f t="shared" si="26"/>
        <v>0.23468988787376582</v>
      </c>
      <c r="AH49">
        <f t="shared" si="26"/>
        <v>9.5721192763775192E-2</v>
      </c>
      <c r="AI49">
        <f t="shared" si="11"/>
        <v>2.4518069729129208</v>
      </c>
      <c r="AJ49">
        <f t="shared" si="20"/>
        <v>71.029666263287112</v>
      </c>
      <c r="AK49" s="14">
        <f t="shared" si="2"/>
        <v>71.029666263287112</v>
      </c>
      <c r="AM49" s="14">
        <f t="shared" si="25"/>
        <v>0.11441777737064673</v>
      </c>
      <c r="AN49" s="36">
        <f t="shared" si="12"/>
        <v>4.5230108175342565E-4</v>
      </c>
      <c r="AO49">
        <f t="shared" si="13"/>
        <v>1</v>
      </c>
      <c r="AP49" s="14">
        <f t="shared" si="22"/>
        <v>0.8</v>
      </c>
      <c r="AQ49">
        <f t="shared" si="14"/>
        <v>1.2883004253747554E-3</v>
      </c>
      <c r="AR49">
        <f t="shared" si="15"/>
        <v>-8.3599934362133042E-4</v>
      </c>
      <c r="AU49" s="14"/>
      <c r="AV49" s="19"/>
      <c r="AW49" s="19">
        <f t="shared" si="24"/>
        <v>0</v>
      </c>
      <c r="AX49">
        <f t="shared" si="3"/>
        <v>0</v>
      </c>
      <c r="AY49">
        <f>IF(W49,SUMPRODUCT(INDEX(AX:AX,X49):INDEX(AX:AX,X49+Y49)),0)</f>
        <v>0</v>
      </c>
      <c r="AZ49">
        <f>IF(V49,COUNT(INDEX(AX:AX,X49):INDEX(AX:AX,ROW())),0)</f>
        <v>39</v>
      </c>
      <c r="BA49" s="14" t="str">
        <f t="shared" si="16"/>
        <v/>
      </c>
      <c r="BB49" s="6">
        <f t="shared" si="4"/>
        <v>402397.18859999999</v>
      </c>
      <c r="BC49" s="6">
        <f>MEDIAN(INDEX(BB:BB,X49):INDEX(BB:BB,X49+Y49-1))</f>
        <v>177515.64600000001</v>
      </c>
      <c r="BD49" s="25" t="str">
        <f t="shared" si="5"/>
        <v/>
      </c>
      <c r="BE49">
        <f t="shared" si="17"/>
        <v>0</v>
      </c>
      <c r="BF49" s="6">
        <f>SUM(INDEX(BE:BE,X49):INDEX(BE:BE,X49+Y49-1))</f>
        <v>1</v>
      </c>
      <c r="BG49" s="25" t="str">
        <f t="shared" si="6"/>
        <v/>
      </c>
    </row>
    <row r="50" spans="1:59" x14ac:dyDescent="0.3">
      <c r="A50" s="1">
        <v>45425</v>
      </c>
      <c r="B50">
        <v>29.137899999999998</v>
      </c>
      <c r="C50">
        <v>29.137899999999998</v>
      </c>
      <c r="D50">
        <v>28.974799999999998</v>
      </c>
      <c r="E50">
        <v>28.982700000000001</v>
      </c>
      <c r="F50">
        <v>4997</v>
      </c>
      <c r="G50" s="29">
        <v>0.48471707415089699</v>
      </c>
      <c r="H50" s="29">
        <v>1.6724358812356899E-2</v>
      </c>
      <c r="I50" s="29">
        <v>7.6769935168220999E-3</v>
      </c>
      <c r="J50" s="29">
        <v>66.425878877792599</v>
      </c>
      <c r="K50" s="29">
        <v>0.118060511605837</v>
      </c>
      <c r="L50" s="29">
        <v>0.6</v>
      </c>
      <c r="M50" s="29">
        <v>0.101568423852547</v>
      </c>
      <c r="N50" s="29">
        <v>1.2883301136829099</v>
      </c>
      <c r="O50" s="29">
        <v>-7.34999469128982E-3</v>
      </c>
      <c r="P50" s="29">
        <v>-7.34999469128982E-3</v>
      </c>
      <c r="Q50" s="29">
        <v>7.9365079365079309E-3</v>
      </c>
      <c r="R50" s="30">
        <v>220180.92619999999</v>
      </c>
      <c r="S50" s="29">
        <v>2</v>
      </c>
      <c r="T50">
        <v>509.923</v>
      </c>
      <c r="U50" s="21"/>
      <c r="V50">
        <v>40</v>
      </c>
      <c r="W50" t="b">
        <f>V50&gt;=$C$4</f>
        <v>0</v>
      </c>
      <c r="X50">
        <f>IF(V50&lt;=$C$5,11,ROW()-$C$5+1)</f>
        <v>11</v>
      </c>
      <c r="Y50" s="14">
        <f t="shared" si="0"/>
        <v>40</v>
      </c>
      <c r="Z50" s="10">
        <f t="shared" si="7"/>
        <v>0.22250000000000014</v>
      </c>
      <c r="AA50" s="15">
        <f t="shared" si="8"/>
        <v>7.6769935168221086E-3</v>
      </c>
      <c r="AB50" s="15">
        <f t="shared" si="9"/>
        <v>0.48471707415089765</v>
      </c>
      <c r="AC50" s="10">
        <f t="shared" si="1"/>
        <v>1.6724358812356944E-2</v>
      </c>
      <c r="AD50">
        <f t="shared" si="10"/>
        <v>-0.21459999999999724</v>
      </c>
      <c r="AE50">
        <f t="shared" si="18"/>
        <v>0</v>
      </c>
      <c r="AF50">
        <f t="shared" si="19"/>
        <v>0.21459999999999724</v>
      </c>
      <c r="AG50">
        <f t="shared" si="26"/>
        <v>0.21792632445421112</v>
      </c>
      <c r="AH50">
        <f t="shared" si="26"/>
        <v>0.10421253613779105</v>
      </c>
      <c r="AI50">
        <f t="shared" si="11"/>
        <v>2.0911718736608265</v>
      </c>
      <c r="AJ50">
        <f t="shared" si="20"/>
        <v>67.649809170406442</v>
      </c>
      <c r="AK50" s="14">
        <f t="shared" si="2"/>
        <v>67.649809170406442</v>
      </c>
      <c r="AM50" s="14">
        <f t="shared" si="25"/>
        <v>0.11806051160583753</v>
      </c>
      <c r="AN50" s="36">
        <f t="shared" si="12"/>
        <v>-7.3499946912898295E-3</v>
      </c>
      <c r="AO50">
        <f t="shared" si="13"/>
        <v>0</v>
      </c>
      <c r="AP50" s="14">
        <f t="shared" si="22"/>
        <v>0.6</v>
      </c>
      <c r="AQ50">
        <f t="shared" si="14"/>
        <v>1.3533285999534073E-4</v>
      </c>
      <c r="AR50">
        <f t="shared" si="15"/>
        <v>-7.4853275512851607E-3</v>
      </c>
      <c r="AU50" s="14"/>
      <c r="AV50" s="19"/>
      <c r="AW50" s="19">
        <f t="shared" si="24"/>
        <v>-7.3499946912898295E-3</v>
      </c>
      <c r="AX50">
        <f t="shared" si="3"/>
        <v>0</v>
      </c>
      <c r="AY50">
        <f>IF(W50,SUMPRODUCT(INDEX(AX:AX,X50):INDEX(AX:AX,X50+Y50)),0)</f>
        <v>0</v>
      </c>
      <c r="AZ50">
        <f>IF(V50,COUNT(INDEX(AX:AX,X50):INDEX(AX:AX,ROW())),0)</f>
        <v>40</v>
      </c>
      <c r="BA50" s="14" t="str">
        <f t="shared" si="16"/>
        <v/>
      </c>
      <c r="BB50" s="6">
        <f t="shared" si="4"/>
        <v>144826.55190000002</v>
      </c>
      <c r="BC50" s="6">
        <f>MEDIAN(INDEX(BB:BB,X50):INDEX(BB:BB,X50+Y50-1))</f>
        <v>174920.74849999999</v>
      </c>
      <c r="BD50" s="25" t="str">
        <f t="shared" si="5"/>
        <v/>
      </c>
      <c r="BE50">
        <f t="shared" si="17"/>
        <v>0</v>
      </c>
      <c r="BF50" s="6">
        <f>SUM(INDEX(BE:BE,X50):INDEX(BE:BE,X50+Y50-1))</f>
        <v>1</v>
      </c>
      <c r="BG50" s="25" t="str">
        <f t="shared" si="6"/>
        <v/>
      </c>
    </row>
    <row r="51" spans="1:59" x14ac:dyDescent="0.3">
      <c r="A51" s="1">
        <v>45426</v>
      </c>
      <c r="B51">
        <v>29.0322</v>
      </c>
      <c r="C51">
        <v>29.464700000000001</v>
      </c>
      <c r="D51">
        <v>29.0322</v>
      </c>
      <c r="E51">
        <v>29.461400000000001</v>
      </c>
      <c r="F51">
        <v>4997</v>
      </c>
      <c r="G51" s="29">
        <v>0.48452299742583299</v>
      </c>
      <c r="H51" s="29">
        <v>1.6446027596306801E-2</v>
      </c>
      <c r="I51" s="29">
        <v>1.63603902054891E-2</v>
      </c>
      <c r="J51" s="29">
        <v>69.801322745911307</v>
      </c>
      <c r="K51" s="29">
        <v>0.14645611686603499</v>
      </c>
      <c r="L51" s="29">
        <v>0.6</v>
      </c>
      <c r="M51" s="29">
        <v>0.120252110108562</v>
      </c>
      <c r="N51" s="29">
        <v>1.3092154338687001</v>
      </c>
      <c r="O51" s="29">
        <v>0</v>
      </c>
      <c r="P51" s="29">
        <v>1.6516749647203399E-2</v>
      </c>
      <c r="Q51" s="29">
        <v>7.9365079365079309E-3</v>
      </c>
      <c r="R51" s="30">
        <v>217781.3456</v>
      </c>
      <c r="S51" s="29">
        <v>3</v>
      </c>
      <c r="T51">
        <v>512.26199999999994</v>
      </c>
      <c r="U51" s="21"/>
      <c r="V51">
        <v>41</v>
      </c>
      <c r="W51" t="b">
        <f>V51&gt;=$C$4</f>
        <v>0</v>
      </c>
      <c r="X51">
        <f>IF(V51&lt;=$C$5,11,ROW()-$C$5+1)</f>
        <v>11</v>
      </c>
      <c r="Y51" s="14">
        <f t="shared" si="0"/>
        <v>41</v>
      </c>
      <c r="Z51" s="10">
        <f t="shared" si="7"/>
        <v>0.48199999999999932</v>
      </c>
      <c r="AA51" s="15">
        <f t="shared" si="8"/>
        <v>1.6360390205489194E-2</v>
      </c>
      <c r="AB51" s="15">
        <f t="shared" si="9"/>
        <v>0.48452299742583349</v>
      </c>
      <c r="AC51" s="10">
        <f t="shared" si="1"/>
        <v>1.6446027596306811E-2</v>
      </c>
      <c r="AD51">
        <f t="shared" si="10"/>
        <v>0.4786999999999999</v>
      </c>
      <c r="AE51">
        <f t="shared" si="18"/>
        <v>0.4786999999999999</v>
      </c>
      <c r="AF51">
        <f t="shared" si="19"/>
        <v>0</v>
      </c>
      <c r="AG51">
        <f t="shared" si="26"/>
        <v>0.23655301556462463</v>
      </c>
      <c r="AH51">
        <f t="shared" si="26"/>
        <v>9.6768783556520271E-2</v>
      </c>
      <c r="AI51">
        <f t="shared" si="11"/>
        <v>2.4445178173233915</v>
      </c>
      <c r="AJ51">
        <f t="shared" si="20"/>
        <v>70.968360361768617</v>
      </c>
      <c r="AK51" s="14">
        <f t="shared" si="2"/>
        <v>70.968360361768617</v>
      </c>
      <c r="AM51" s="14">
        <f t="shared" si="25"/>
        <v>0.14645611686603521</v>
      </c>
      <c r="AN51" s="36">
        <f t="shared" si="12"/>
        <v>1.6516749647203399E-2</v>
      </c>
      <c r="AO51">
        <f t="shared" si="13"/>
        <v>1</v>
      </c>
      <c r="AP51" s="14">
        <f t="shared" si="22"/>
        <v>0.6</v>
      </c>
      <c r="AQ51">
        <f t="shared" si="14"/>
        <v>4.5869670518881023E-3</v>
      </c>
      <c r="AR51">
        <f t="shared" si="15"/>
        <v>1.1929782595315297E-2</v>
      </c>
      <c r="AU51" s="14"/>
      <c r="AV51" s="19"/>
      <c r="AW51" s="19">
        <f t="shared" si="24"/>
        <v>0</v>
      </c>
      <c r="AX51">
        <f t="shared" si="3"/>
        <v>0</v>
      </c>
      <c r="AY51">
        <f>IF(W51,SUMPRODUCT(INDEX(AX:AX,X51):INDEX(AX:AX,X51+Y51)),0)</f>
        <v>0</v>
      </c>
      <c r="AZ51">
        <f>IF(V51,COUNT(INDEX(AX:AX,X51):INDEX(AX:AX,ROW())),0)</f>
        <v>41</v>
      </c>
      <c r="BA51" s="14" t="str">
        <f t="shared" si="16"/>
        <v/>
      </c>
      <c r="BB51" s="6">
        <f t="shared" si="4"/>
        <v>147218.6158</v>
      </c>
      <c r="BC51" s="6">
        <f>MEDIAN(INDEX(BB:BB,X51):INDEX(BB:BB,X51+Y51-1))</f>
        <v>172325.851</v>
      </c>
      <c r="BD51" s="25" t="str">
        <f t="shared" si="5"/>
        <v/>
      </c>
      <c r="BE51">
        <f t="shared" si="17"/>
        <v>1</v>
      </c>
      <c r="BF51" s="6">
        <f>SUM(INDEX(BE:BE,X51):INDEX(BE:BE,X51+Y51-1))</f>
        <v>2</v>
      </c>
      <c r="BG51" s="25" t="str">
        <f t="shared" si="6"/>
        <v/>
      </c>
    </row>
    <row r="52" spans="1:59" x14ac:dyDescent="0.3">
      <c r="A52" s="1">
        <v>45427</v>
      </c>
      <c r="B52">
        <v>29.7849</v>
      </c>
      <c r="C52">
        <v>29.7849</v>
      </c>
      <c r="D52">
        <v>28.6295</v>
      </c>
      <c r="E52">
        <v>28.6295</v>
      </c>
      <c r="F52">
        <v>35742</v>
      </c>
      <c r="G52" s="29">
        <v>0.53244278332398798</v>
      </c>
      <c r="H52" s="29">
        <v>1.8597697595975699E-2</v>
      </c>
      <c r="I52" s="29">
        <v>4.0356974449431503E-2</v>
      </c>
      <c r="J52" s="29">
        <v>58.747596153040803</v>
      </c>
      <c r="K52" s="29">
        <v>0.11868069177327401</v>
      </c>
      <c r="L52" s="29">
        <v>0.6</v>
      </c>
      <c r="M52" s="29">
        <v>4.68212880777511E-2</v>
      </c>
      <c r="N52" s="29">
        <v>1.1557579180862301</v>
      </c>
      <c r="O52" s="29">
        <v>-2.82369473276897E-2</v>
      </c>
      <c r="P52" s="29">
        <v>-2.82369473276897E-2</v>
      </c>
      <c r="Q52" s="29">
        <v>7.9365079365079309E-3</v>
      </c>
      <c r="R52" s="30">
        <v>217781.3456</v>
      </c>
      <c r="S52" s="29">
        <v>3</v>
      </c>
      <c r="T52">
        <v>518.60599999999999</v>
      </c>
      <c r="U52" s="21"/>
      <c r="V52">
        <v>42</v>
      </c>
      <c r="W52" t="b">
        <f>V52&gt;=$C$4</f>
        <v>0</v>
      </c>
      <c r="X52">
        <f>IF(V52&lt;=$C$5,11,ROW()-$C$5+1)</f>
        <v>11</v>
      </c>
      <c r="Y52" s="14">
        <f t="shared" si="0"/>
        <v>42</v>
      </c>
      <c r="Z52" s="10">
        <f t="shared" si="7"/>
        <v>1.1554000000000002</v>
      </c>
      <c r="AA52" s="15">
        <f t="shared" si="8"/>
        <v>4.0356974449431537E-2</v>
      </c>
      <c r="AB52" s="15">
        <f t="shared" si="9"/>
        <v>0.5324427833239882</v>
      </c>
      <c r="AC52" s="10">
        <f t="shared" si="1"/>
        <v>1.8597697595975765E-2</v>
      </c>
      <c r="AD52">
        <f t="shared" si="10"/>
        <v>-0.83190000000000097</v>
      </c>
      <c r="AE52">
        <f t="shared" si="18"/>
        <v>0</v>
      </c>
      <c r="AF52">
        <f t="shared" si="19"/>
        <v>0.83190000000000097</v>
      </c>
      <c r="AG52">
        <f t="shared" si="26"/>
        <v>0.21965637159572288</v>
      </c>
      <c r="AH52">
        <f t="shared" si="26"/>
        <v>0.14927815615962606</v>
      </c>
      <c r="AI52">
        <f t="shared" si="11"/>
        <v>1.4714568912603665</v>
      </c>
      <c r="AJ52">
        <f t="shared" si="20"/>
        <v>59.538035903590824</v>
      </c>
      <c r="AK52" s="14">
        <f t="shared" si="2"/>
        <v>59.538035903590824</v>
      </c>
      <c r="AM52" s="14">
        <f t="shared" si="25"/>
        <v>0.11868069177327478</v>
      </c>
      <c r="AN52" s="36">
        <f t="shared" si="12"/>
        <v>-2.8236947327689776E-2</v>
      </c>
      <c r="AO52">
        <f t="shared" si="13"/>
        <v>0</v>
      </c>
      <c r="AP52" s="14">
        <f t="shared" si="22"/>
        <v>0.6</v>
      </c>
      <c r="AQ52">
        <f t="shared" si="14"/>
        <v>1.2384287727764454E-2</v>
      </c>
      <c r="AR52">
        <f t="shared" si="15"/>
        <v>-4.0621235055454154E-2</v>
      </c>
      <c r="AU52" s="14"/>
      <c r="AV52" s="19"/>
      <c r="AW52" s="19">
        <f t="shared" si="24"/>
        <v>-2.8236947327689776E-2</v>
      </c>
      <c r="AX52">
        <f t="shared" si="3"/>
        <v>0</v>
      </c>
      <c r="AY52">
        <f>IF(W52,SUMPRODUCT(INDEX(AX:AX,X52):INDEX(AX:AX,X52+Y52)),0)</f>
        <v>0</v>
      </c>
      <c r="AZ52">
        <f>IF(V52,COUNT(INDEX(AX:AX,X52):INDEX(AX:AX,ROW())),0)</f>
        <v>42</v>
      </c>
      <c r="BA52" s="14" t="str">
        <f t="shared" si="16"/>
        <v/>
      </c>
      <c r="BB52" s="6">
        <f t="shared" si="4"/>
        <v>1023275.589</v>
      </c>
      <c r="BC52" s="6">
        <f>MEDIAN(INDEX(BB:BB,X52):INDEX(BB:BB,X52+Y52-1))</f>
        <v>174920.74849999999</v>
      </c>
      <c r="BD52" s="25" t="str">
        <f t="shared" si="5"/>
        <v/>
      </c>
      <c r="BE52">
        <f t="shared" si="17"/>
        <v>0</v>
      </c>
      <c r="BF52" s="6">
        <f>SUM(INDEX(BE:BE,X52):INDEX(BE:BE,X52+Y52-1))</f>
        <v>2</v>
      </c>
      <c r="BG52" s="25" t="str">
        <f t="shared" si="6"/>
        <v/>
      </c>
    </row>
    <row r="53" spans="1:59" x14ac:dyDescent="0.3">
      <c r="A53" s="1">
        <v>45428</v>
      </c>
      <c r="B53">
        <v>29.3293</v>
      </c>
      <c r="C53">
        <v>29.652899999999999</v>
      </c>
      <c r="D53">
        <v>29.3293</v>
      </c>
      <c r="E53">
        <v>29.514199999999999</v>
      </c>
      <c r="F53">
        <v>23323</v>
      </c>
      <c r="G53" s="29">
        <v>0.56751115594370305</v>
      </c>
      <c r="H53" s="29">
        <v>1.9228410593670201E-2</v>
      </c>
      <c r="I53" s="29">
        <v>3.46748344864505E-2</v>
      </c>
      <c r="J53" s="29">
        <v>65.080744089725897</v>
      </c>
      <c r="K53" s="29">
        <v>0.14468443241272499</v>
      </c>
      <c r="L53" s="29">
        <v>0.6</v>
      </c>
      <c r="M53" s="29">
        <v>6.8812437394818807E-2</v>
      </c>
      <c r="N53" s="29">
        <v>1.1033277566567801</v>
      </c>
      <c r="O53" s="29">
        <v>0</v>
      </c>
      <c r="P53" s="29">
        <v>3.0901692310379002E-2</v>
      </c>
      <c r="Q53" s="29">
        <v>7.9365079365079309E-3</v>
      </c>
      <c r="R53" s="30">
        <v>217781.3456</v>
      </c>
      <c r="S53" s="29">
        <v>3</v>
      </c>
      <c r="T53">
        <v>517.53899999999999</v>
      </c>
      <c r="U53" s="21"/>
      <c r="V53">
        <v>43</v>
      </c>
      <c r="W53" t="b">
        <f>V53&gt;=$C$4</f>
        <v>0</v>
      </c>
      <c r="X53">
        <f>IF(V53&lt;=$C$5,11,ROW()-$C$5+1)</f>
        <v>11</v>
      </c>
      <c r="Y53" s="14">
        <f t="shared" si="0"/>
        <v>43</v>
      </c>
      <c r="Z53" s="10">
        <f t="shared" si="7"/>
        <v>1.0233999999999988</v>
      </c>
      <c r="AA53" s="15">
        <f t="shared" si="8"/>
        <v>3.4674834486450548E-2</v>
      </c>
      <c r="AB53" s="15">
        <f t="shared" si="9"/>
        <v>0.56751115594370327</v>
      </c>
      <c r="AC53" s="10">
        <f t="shared" si="1"/>
        <v>1.9228410593670277E-2</v>
      </c>
      <c r="AD53">
        <f t="shared" si="10"/>
        <v>0.88469999999999871</v>
      </c>
      <c r="AE53">
        <f t="shared" si="18"/>
        <v>0.88469999999999871</v>
      </c>
      <c r="AF53">
        <f t="shared" si="19"/>
        <v>0</v>
      </c>
      <c r="AG53">
        <f t="shared" si="26"/>
        <v>0.26715948791031402</v>
      </c>
      <c r="AH53">
        <f t="shared" si="26"/>
        <v>0.13861543071965277</v>
      </c>
      <c r="AI53">
        <f t="shared" si="11"/>
        <v>1.9273430564208924</v>
      </c>
      <c r="AJ53">
        <f t="shared" si="20"/>
        <v>65.839330043447404</v>
      </c>
      <c r="AK53" s="14">
        <f t="shared" si="2"/>
        <v>65.839330043447404</v>
      </c>
      <c r="AM53" s="14">
        <f t="shared" si="25"/>
        <v>0.14468443241272588</v>
      </c>
      <c r="AN53" s="36">
        <f t="shared" si="12"/>
        <v>3.0901692310379092E-2</v>
      </c>
      <c r="AO53">
        <f t="shared" si="13"/>
        <v>1</v>
      </c>
      <c r="AP53" s="14">
        <f t="shared" si="22"/>
        <v>0.6</v>
      </c>
      <c r="AQ53">
        <f t="shared" si="14"/>
        <v>-2.0574385950027363E-3</v>
      </c>
      <c r="AR53">
        <f t="shared" si="15"/>
        <v>3.2959130905381738E-2</v>
      </c>
      <c r="AU53" s="14"/>
      <c r="AV53" s="19"/>
      <c r="AW53" s="19">
        <f t="shared" si="24"/>
        <v>0</v>
      </c>
      <c r="AX53">
        <f t="shared" si="3"/>
        <v>0</v>
      </c>
      <c r="AY53">
        <f>IF(W53,SUMPRODUCT(INDEX(AX:AX,X53):INDEX(AX:AX,X53+Y53)),0)</f>
        <v>0</v>
      </c>
      <c r="AZ53">
        <f>IF(V53,COUNT(INDEX(AX:AX,X53):INDEX(AX:AX,ROW())),0)</f>
        <v>43</v>
      </c>
      <c r="BA53" s="14" t="str">
        <f t="shared" si="16"/>
        <v/>
      </c>
      <c r="BB53" s="6">
        <f t="shared" si="4"/>
        <v>688359.68660000002</v>
      </c>
      <c r="BC53" s="6">
        <f>MEDIAN(INDEX(BB:BB,X53):INDEX(BB:BB,X53+Y53-1))</f>
        <v>177515.64600000001</v>
      </c>
      <c r="BD53" s="25" t="str">
        <f t="shared" si="5"/>
        <v/>
      </c>
      <c r="BE53">
        <f t="shared" si="17"/>
        <v>0</v>
      </c>
      <c r="BF53" s="6">
        <f>SUM(INDEX(BE:BE,X53):INDEX(BE:BE,X53+Y53-1))</f>
        <v>2</v>
      </c>
      <c r="BG53" s="25" t="str">
        <f t="shared" si="6"/>
        <v/>
      </c>
    </row>
    <row r="54" spans="1:59" x14ac:dyDescent="0.3">
      <c r="A54" s="1">
        <v>45429</v>
      </c>
      <c r="B54">
        <v>29.619900000000001</v>
      </c>
      <c r="C54">
        <v>29.619900000000001</v>
      </c>
      <c r="D54">
        <v>29.2105</v>
      </c>
      <c r="E54">
        <v>29.3888</v>
      </c>
      <c r="F54">
        <v>10904</v>
      </c>
      <c r="G54" s="29">
        <v>0.55621750194772401</v>
      </c>
      <c r="H54" s="29">
        <v>1.8926172621805699E-2</v>
      </c>
      <c r="I54" s="29">
        <v>1.39304769163763E-2</v>
      </c>
      <c r="J54" s="29">
        <v>63.590528846061297</v>
      </c>
      <c r="K54" s="29">
        <v>0.158211261000303</v>
      </c>
      <c r="L54" s="29">
        <v>0.4</v>
      </c>
      <c r="M54" s="29">
        <v>5.9643166184773298E-2</v>
      </c>
      <c r="N54" s="29">
        <v>1.1043407309112601</v>
      </c>
      <c r="O54" s="29">
        <v>-4.2488022714489704E-3</v>
      </c>
      <c r="P54" s="29">
        <v>-4.2488022714489704E-3</v>
      </c>
      <c r="Q54" s="29">
        <v>7.9365079365079309E-3</v>
      </c>
      <c r="R54" s="30">
        <v>217781.3456</v>
      </c>
      <c r="S54" s="29">
        <v>3</v>
      </c>
      <c r="T54">
        <v>518.28200000000004</v>
      </c>
      <c r="U54" s="21"/>
      <c r="V54">
        <v>44</v>
      </c>
      <c r="W54" t="b">
        <f>V54&gt;=$C$4</f>
        <v>0</v>
      </c>
      <c r="X54">
        <f>IF(V54&lt;=$C$5,11,ROW()-$C$5+1)</f>
        <v>11</v>
      </c>
      <c r="Y54" s="14">
        <f t="shared" si="0"/>
        <v>44</v>
      </c>
      <c r="Z54" s="10">
        <f t="shared" si="7"/>
        <v>0.40940000000000154</v>
      </c>
      <c r="AA54" s="15">
        <f t="shared" si="8"/>
        <v>1.3930476916376359E-2</v>
      </c>
      <c r="AB54" s="15">
        <f t="shared" si="9"/>
        <v>0.55621750194772457</v>
      </c>
      <c r="AC54" s="10">
        <f t="shared" si="1"/>
        <v>1.892617262180574E-2</v>
      </c>
      <c r="AD54">
        <f t="shared" si="10"/>
        <v>-0.12539999999999907</v>
      </c>
      <c r="AE54">
        <f t="shared" si="18"/>
        <v>0</v>
      </c>
      <c r="AF54">
        <f t="shared" si="19"/>
        <v>0.12539999999999907</v>
      </c>
      <c r="AG54">
        <f t="shared" si="26"/>
        <v>0.2480766673452916</v>
      </c>
      <c r="AH54">
        <f t="shared" si="26"/>
        <v>0.13767147138253463</v>
      </c>
      <c r="AI54">
        <f t="shared" si="11"/>
        <v>1.8019468002632479</v>
      </c>
      <c r="AJ54">
        <f t="shared" si="20"/>
        <v>64.310528668636806</v>
      </c>
      <c r="AK54" s="14">
        <f t="shared" si="2"/>
        <v>64.310528668636806</v>
      </c>
      <c r="AM54" s="14">
        <f t="shared" si="25"/>
        <v>0.15821126100030347</v>
      </c>
      <c r="AN54" s="36">
        <f t="shared" si="12"/>
        <v>-4.2488022714489704E-3</v>
      </c>
      <c r="AO54">
        <f t="shared" si="13"/>
        <v>0</v>
      </c>
      <c r="AP54" s="14">
        <f t="shared" si="22"/>
        <v>0.4</v>
      </c>
      <c r="AQ54">
        <f t="shared" si="14"/>
        <v>1.4356405990660903E-3</v>
      </c>
      <c r="AR54">
        <f t="shared" si="15"/>
        <v>-5.6844428705150607E-3</v>
      </c>
      <c r="AU54" s="14"/>
      <c r="AV54" s="19"/>
      <c r="AW54" s="19">
        <f t="shared" si="24"/>
        <v>-4.2488022714489704E-3</v>
      </c>
      <c r="AX54">
        <f t="shared" si="3"/>
        <v>0</v>
      </c>
      <c r="AY54">
        <f>IF(W54,SUMPRODUCT(INDEX(AX:AX,X54):INDEX(AX:AX,X54+Y54)),0)</f>
        <v>0</v>
      </c>
      <c r="AZ54">
        <f>IF(V54,COUNT(INDEX(AX:AX,X54):INDEX(AX:AX,ROW())),0)</f>
        <v>44</v>
      </c>
      <c r="BA54" s="14" t="str">
        <f t="shared" si="16"/>
        <v/>
      </c>
      <c r="BB54" s="6">
        <f t="shared" si="4"/>
        <v>320455.47519999999</v>
      </c>
      <c r="BC54" s="6">
        <f>MEDIAN(INDEX(BB:BB,X54):INDEX(BB:BB,X54+Y54-1))</f>
        <v>186374.9112</v>
      </c>
      <c r="BD54" s="25" t="str">
        <f t="shared" si="5"/>
        <v/>
      </c>
      <c r="BE54">
        <f t="shared" si="17"/>
        <v>0</v>
      </c>
      <c r="BF54" s="6">
        <f>SUM(INDEX(BE:BE,X54):INDEX(BE:BE,X54+Y54-1))</f>
        <v>2</v>
      </c>
      <c r="BG54" s="25" t="str">
        <f t="shared" si="6"/>
        <v/>
      </c>
    </row>
    <row r="55" spans="1:59" x14ac:dyDescent="0.3">
      <c r="A55" s="1">
        <v>45432</v>
      </c>
      <c r="B55">
        <v>29.3888</v>
      </c>
      <c r="C55">
        <v>29.3888</v>
      </c>
      <c r="D55">
        <v>29.3888</v>
      </c>
      <c r="E55">
        <v>29.3888</v>
      </c>
      <c r="F55">
        <v>454</v>
      </c>
      <c r="G55" s="29">
        <v>0.51648768038003001</v>
      </c>
      <c r="H55" s="29">
        <v>1.7574303148819598E-2</v>
      </c>
      <c r="I55" s="29">
        <v>0</v>
      </c>
      <c r="J55" s="29">
        <v>63.590528846061297</v>
      </c>
      <c r="K55" s="29">
        <v>0.14539601374999001</v>
      </c>
      <c r="L55" s="29">
        <v>0.4</v>
      </c>
      <c r="M55" s="29">
        <v>4.8237943857915598E-2</v>
      </c>
      <c r="N55" s="29">
        <v>1.1199489225369601</v>
      </c>
      <c r="O55" s="29">
        <v>-4.2488022714489704E-3</v>
      </c>
      <c r="P55" s="29">
        <v>0</v>
      </c>
      <c r="Q55" s="29">
        <v>1.1904761904761901E-2</v>
      </c>
      <c r="R55" s="30">
        <v>215193.2954</v>
      </c>
      <c r="S55" s="29">
        <v>3</v>
      </c>
      <c r="T55">
        <v>518.88</v>
      </c>
      <c r="U55" s="21"/>
      <c r="V55">
        <v>45</v>
      </c>
      <c r="W55" t="b">
        <f>V55&gt;=$C$4</f>
        <v>0</v>
      </c>
      <c r="X55">
        <f>IF(V55&lt;=$C$5,11,ROW()-$C$5+1)</f>
        <v>11</v>
      </c>
      <c r="Y55" s="14">
        <f t="shared" si="0"/>
        <v>45</v>
      </c>
      <c r="Z55" s="10">
        <f t="shared" si="7"/>
        <v>0</v>
      </c>
      <c r="AA55" s="15">
        <f t="shared" si="8"/>
        <v>0</v>
      </c>
      <c r="AB55" s="15">
        <f t="shared" si="9"/>
        <v>0.51648768038003001</v>
      </c>
      <c r="AC55" s="10">
        <f t="shared" si="1"/>
        <v>1.7574303148819619E-2</v>
      </c>
      <c r="AD55">
        <f t="shared" si="10"/>
        <v>0</v>
      </c>
      <c r="AE55">
        <f t="shared" si="18"/>
        <v>0</v>
      </c>
      <c r="AF55">
        <f t="shared" si="19"/>
        <v>0</v>
      </c>
      <c r="AG55">
        <f t="shared" si="26"/>
        <v>0.23035690539205647</v>
      </c>
      <c r="AH55">
        <f t="shared" si="26"/>
        <v>0.12783779485521071</v>
      </c>
      <c r="AI55">
        <f t="shared" si="11"/>
        <v>1.8019468002632482</v>
      </c>
      <c r="AJ55">
        <f t="shared" si="20"/>
        <v>64.310528668636806</v>
      </c>
      <c r="AK55" s="14">
        <f t="shared" si="2"/>
        <v>64.310528668636806</v>
      </c>
      <c r="AM55" s="14">
        <f t="shared" si="25"/>
        <v>0.14539601374999012</v>
      </c>
      <c r="AN55" s="36">
        <f t="shared" si="12"/>
        <v>0</v>
      </c>
      <c r="AO55">
        <f t="shared" si="13"/>
        <v>0</v>
      </c>
      <c r="AP55" s="14">
        <f t="shared" si="22"/>
        <v>0.4</v>
      </c>
      <c r="AQ55">
        <f t="shared" si="14"/>
        <v>1.1538120173959499E-3</v>
      </c>
      <c r="AR55">
        <f t="shared" si="15"/>
        <v>-1.1538120173959499E-3</v>
      </c>
      <c r="AU55" s="14"/>
      <c r="AV55" s="19"/>
      <c r="AW55" s="19">
        <f t="shared" si="24"/>
        <v>-4.2488022714489704E-3</v>
      </c>
      <c r="AX55">
        <f t="shared" si="3"/>
        <v>1</v>
      </c>
      <c r="AY55">
        <f>IF(W55,SUMPRODUCT(INDEX(AX:AX,X55):INDEX(AX:AX,X55+Y55)),0)</f>
        <v>0</v>
      </c>
      <c r="AZ55">
        <f>IF(V55,COUNT(INDEX(AX:AX,X55):INDEX(AX:AX,ROW())),0)</f>
        <v>45</v>
      </c>
      <c r="BA55" s="14" t="str">
        <f t="shared" si="16"/>
        <v/>
      </c>
      <c r="BB55" s="6">
        <f t="shared" si="4"/>
        <v>13342.5152</v>
      </c>
      <c r="BC55" s="6">
        <f>MEDIAN(INDEX(BB:BB,X55):INDEX(BB:BB,X55+Y55-1))</f>
        <v>177515.64600000001</v>
      </c>
      <c r="BD55" s="25" t="str">
        <f t="shared" si="5"/>
        <v/>
      </c>
      <c r="BE55">
        <f t="shared" si="17"/>
        <v>0</v>
      </c>
      <c r="BF55" s="6">
        <f>SUM(INDEX(BE:BE,X55):INDEX(BE:BE,X55+Y55-1))</f>
        <v>2</v>
      </c>
      <c r="BG55" s="25" t="str">
        <f t="shared" si="6"/>
        <v/>
      </c>
    </row>
    <row r="56" spans="1:59" x14ac:dyDescent="0.3">
      <c r="A56" s="1">
        <v>45433</v>
      </c>
      <c r="B56">
        <v>29.494399999999999</v>
      </c>
      <c r="C56">
        <v>29.699100000000001</v>
      </c>
      <c r="D56">
        <v>29.421800000000001</v>
      </c>
      <c r="E56">
        <v>29.421800000000001</v>
      </c>
      <c r="F56">
        <v>13327</v>
      </c>
      <c r="G56" s="29">
        <v>0.50175998892431295</v>
      </c>
      <c r="H56" s="29">
        <v>1.7054020791532599E-2</v>
      </c>
      <c r="I56" s="29">
        <v>1.05466014995684E-2</v>
      </c>
      <c r="J56" s="29">
        <v>63.843209582409102</v>
      </c>
      <c r="K56" s="29">
        <v>0.122703787653303</v>
      </c>
      <c r="L56" s="29">
        <v>0.4</v>
      </c>
      <c r="M56" s="29">
        <v>6.0306295645050502E-2</v>
      </c>
      <c r="N56" s="29">
        <v>1.1183522042095999</v>
      </c>
      <c r="O56" s="29">
        <v>-3.1306964105413098E-3</v>
      </c>
      <c r="P56" s="29">
        <v>1.12287674216027E-3</v>
      </c>
      <c r="Q56" s="29">
        <v>1.1904761904761901E-2</v>
      </c>
      <c r="R56" s="30">
        <v>217781.3456</v>
      </c>
      <c r="S56" s="29">
        <v>3</v>
      </c>
      <c r="T56">
        <v>520.15200000000004</v>
      </c>
      <c r="U56" s="21"/>
      <c r="V56">
        <v>46</v>
      </c>
      <c r="W56" t="b">
        <f>V56&gt;=$C$4</f>
        <v>0</v>
      </c>
      <c r="X56">
        <f>IF(V56&lt;=$C$5,11,ROW()-$C$5+1)</f>
        <v>11</v>
      </c>
      <c r="Y56" s="14">
        <f t="shared" si="0"/>
        <v>46</v>
      </c>
      <c r="Z56" s="10">
        <f t="shared" si="7"/>
        <v>0.31030000000000157</v>
      </c>
      <c r="AA56" s="15">
        <f t="shared" si="8"/>
        <v>1.05466014995684E-2</v>
      </c>
      <c r="AB56" s="15">
        <f t="shared" si="9"/>
        <v>0.50175998892431373</v>
      </c>
      <c r="AC56" s="10">
        <f t="shared" si="1"/>
        <v>1.7054020791532596E-2</v>
      </c>
      <c r="AD56">
        <f t="shared" si="10"/>
        <v>3.3000000000001251E-2</v>
      </c>
      <c r="AE56">
        <f t="shared" si="18"/>
        <v>3.3000000000001251E-2</v>
      </c>
      <c r="AF56">
        <f t="shared" si="19"/>
        <v>0</v>
      </c>
      <c r="AG56">
        <f t="shared" si="26"/>
        <v>0.21625998357833826</v>
      </c>
      <c r="AH56">
        <f t="shared" si="26"/>
        <v>0.11870652379412423</v>
      </c>
      <c r="AI56">
        <f t="shared" si="11"/>
        <v>1.8218036942384352</v>
      </c>
      <c r="AJ56">
        <f t="shared" si="20"/>
        <v>64.561673725149546</v>
      </c>
      <c r="AK56" s="14">
        <f t="shared" si="2"/>
        <v>64.561673725149546</v>
      </c>
      <c r="AM56" s="14">
        <f t="shared" si="25"/>
        <v>0.12270378765330348</v>
      </c>
      <c r="AN56" s="36">
        <f t="shared" si="12"/>
        <v>1.1228767421602726E-3</v>
      </c>
      <c r="AO56">
        <f t="shared" si="13"/>
        <v>1</v>
      </c>
      <c r="AP56" s="14">
        <f t="shared" si="22"/>
        <v>0.4</v>
      </c>
      <c r="AQ56">
        <f t="shared" si="14"/>
        <v>2.4514338575394312E-3</v>
      </c>
      <c r="AR56">
        <f t="shared" si="15"/>
        <v>-1.3285571153791613E-3</v>
      </c>
      <c r="AU56" s="14"/>
      <c r="AV56" s="19"/>
      <c r="AW56" s="19">
        <f t="shared" si="24"/>
        <v>-3.1306964105413115E-3</v>
      </c>
      <c r="AX56">
        <f t="shared" si="3"/>
        <v>0</v>
      </c>
      <c r="AY56">
        <f>IF(W56,SUMPRODUCT(INDEX(AX:AX,X56):INDEX(AX:AX,X56+Y56)),0)</f>
        <v>0</v>
      </c>
      <c r="AZ56">
        <f>IF(V56,COUNT(INDEX(AX:AX,X56):INDEX(AX:AX,ROW())),0)</f>
        <v>46</v>
      </c>
      <c r="BA56" s="14" t="str">
        <f t="shared" si="16"/>
        <v/>
      </c>
      <c r="BB56" s="6">
        <f t="shared" si="4"/>
        <v>392104.32860000001</v>
      </c>
      <c r="BC56" s="6">
        <f>MEDIAN(INDEX(BB:BB,X56):INDEX(BB:BB,X56+Y56-1))</f>
        <v>186374.9112</v>
      </c>
      <c r="BD56" s="25" t="str">
        <f t="shared" si="5"/>
        <v/>
      </c>
      <c r="BE56">
        <f t="shared" si="17"/>
        <v>0</v>
      </c>
      <c r="BF56" s="6">
        <f>SUM(INDEX(BE:BE,X56):INDEX(BE:BE,X56+Y56-1))</f>
        <v>2</v>
      </c>
      <c r="BG56" s="25" t="str">
        <f t="shared" si="6"/>
        <v/>
      </c>
    </row>
    <row r="57" spans="1:59" x14ac:dyDescent="0.3">
      <c r="A57" s="1">
        <v>45434</v>
      </c>
      <c r="B57">
        <v>29.316099999999999</v>
      </c>
      <c r="C57">
        <v>29.451499999999999</v>
      </c>
      <c r="D57">
        <v>29.128599999999999</v>
      </c>
      <c r="E57">
        <v>29.26</v>
      </c>
      <c r="F57">
        <v>15751</v>
      </c>
      <c r="G57" s="29">
        <v>0.48898427542972001</v>
      </c>
      <c r="H57" s="29">
        <v>1.67116977248708E-2</v>
      </c>
      <c r="I57" s="29">
        <v>1.10355434039644E-2</v>
      </c>
      <c r="J57" s="29">
        <v>61.586415414640904</v>
      </c>
      <c r="K57" s="29">
        <v>9.6907216494845405E-2</v>
      </c>
      <c r="L57" s="29">
        <v>0.4</v>
      </c>
      <c r="M57" s="29">
        <v>4.5162794422318499E-2</v>
      </c>
      <c r="N57" s="29">
        <v>1.0801927661378099</v>
      </c>
      <c r="O57" s="29">
        <v>-8.6128033285671705E-3</v>
      </c>
      <c r="P57" s="29">
        <v>-5.4993236307772E-3</v>
      </c>
      <c r="Q57" s="29">
        <v>1.1904761904761901E-2</v>
      </c>
      <c r="R57" s="30">
        <v>220180.92619999999</v>
      </c>
      <c r="S57" s="29">
        <v>3</v>
      </c>
      <c r="T57">
        <v>518.654</v>
      </c>
      <c r="U57" s="21"/>
      <c r="V57">
        <v>47</v>
      </c>
      <c r="W57" t="b">
        <f>V57&gt;=$C$4</f>
        <v>0</v>
      </c>
      <c r="X57">
        <f>IF(V57&lt;=$C$5,11,ROW()-$C$5+1)</f>
        <v>11</v>
      </c>
      <c r="Y57" s="14">
        <f t="shared" si="0"/>
        <v>47</v>
      </c>
      <c r="Z57" s="10">
        <f t="shared" si="7"/>
        <v>0.32290000000000063</v>
      </c>
      <c r="AA57" s="15">
        <f t="shared" si="8"/>
        <v>1.1035543403964478E-2</v>
      </c>
      <c r="AB57" s="15">
        <f t="shared" si="9"/>
        <v>0.48898427542971989</v>
      </c>
      <c r="AC57" s="10">
        <f t="shared" si="1"/>
        <v>1.671169772487081E-2</v>
      </c>
      <c r="AD57">
        <f t="shared" si="10"/>
        <v>-0.1617999999999995</v>
      </c>
      <c r="AE57">
        <f t="shared" si="18"/>
        <v>0</v>
      </c>
      <c r="AF57">
        <f t="shared" si="19"/>
        <v>0.1617999999999995</v>
      </c>
      <c r="AG57">
        <f t="shared" si="26"/>
        <v>0.20081284189417123</v>
      </c>
      <c r="AH57">
        <f t="shared" si="26"/>
        <v>0.12178462923740105</v>
      </c>
      <c r="AI57">
        <f t="shared" si="11"/>
        <v>1.6489177916099447</v>
      </c>
      <c r="AJ57">
        <f t="shared" si="20"/>
        <v>62.248734061609909</v>
      </c>
      <c r="AK57" s="14">
        <f t="shared" si="2"/>
        <v>62.248734061609909</v>
      </c>
      <c r="AM57" s="14">
        <f t="shared" si="25"/>
        <v>9.6907216494845461E-2</v>
      </c>
      <c r="AN57" s="36">
        <f t="shared" si="12"/>
        <v>-5.4993236307772086E-3</v>
      </c>
      <c r="AO57">
        <f t="shared" si="13"/>
        <v>0</v>
      </c>
      <c r="AP57" s="14">
        <f t="shared" si="22"/>
        <v>0.4</v>
      </c>
      <c r="AQ57">
        <f t="shared" si="14"/>
        <v>-2.8799274058353141E-3</v>
      </c>
      <c r="AR57">
        <f t="shared" si="15"/>
        <v>-2.6193962249418858E-3</v>
      </c>
      <c r="AU57" s="14"/>
      <c r="AV57" s="19"/>
      <c r="AW57" s="19">
        <f t="shared" si="24"/>
        <v>-8.6128033285671757E-3</v>
      </c>
      <c r="AX57">
        <f t="shared" si="3"/>
        <v>0</v>
      </c>
      <c r="AY57">
        <f>IF(W57,SUMPRODUCT(INDEX(AX:AX,X57):INDEX(AX:AX,X57+Y57)),0)</f>
        <v>0</v>
      </c>
      <c r="AZ57">
        <f>IF(V57,COUNT(INDEX(AX:AX,X57):INDEX(AX:AX,ROW())),0)</f>
        <v>47</v>
      </c>
      <c r="BA57" s="14" t="str">
        <f t="shared" si="16"/>
        <v/>
      </c>
      <c r="BB57" s="6">
        <f t="shared" si="4"/>
        <v>460874.26</v>
      </c>
      <c r="BC57" s="6">
        <f>MEDIAN(INDEX(BB:BB,X57):INDEX(BB:BB,X57+Y57-1))</f>
        <v>195234.1764</v>
      </c>
      <c r="BD57" s="25" t="str">
        <f t="shared" si="5"/>
        <v/>
      </c>
      <c r="BE57">
        <f t="shared" si="17"/>
        <v>0</v>
      </c>
      <c r="BF57" s="6">
        <f>SUM(INDEX(BE:BE,X57):INDEX(BE:BE,X57+Y57-1))</f>
        <v>2</v>
      </c>
      <c r="BG57" s="25" t="str">
        <f t="shared" si="6"/>
        <v/>
      </c>
    </row>
    <row r="58" spans="1:59" x14ac:dyDescent="0.3">
      <c r="A58" s="1">
        <v>45435</v>
      </c>
      <c r="B58">
        <v>29.3491</v>
      </c>
      <c r="C58">
        <v>29.5472</v>
      </c>
      <c r="D58">
        <v>28.986000000000001</v>
      </c>
      <c r="E58">
        <v>29.217099999999999</v>
      </c>
      <c r="F58">
        <v>54068</v>
      </c>
      <c r="G58" s="29">
        <v>0.494142541470454</v>
      </c>
      <c r="H58" s="29">
        <v>1.69127853712536E-2</v>
      </c>
      <c r="I58" s="29">
        <v>1.9207929602869499E-2</v>
      </c>
      <c r="J58" s="29">
        <v>60.971006109614798</v>
      </c>
      <c r="K58" s="29">
        <v>9.39415383348121E-2</v>
      </c>
      <c r="L58" s="29">
        <v>0.2</v>
      </c>
      <c r="M58" s="29">
        <v>5.0781982626252803E-2</v>
      </c>
      <c r="N58" s="29">
        <v>1.0641513046090401</v>
      </c>
      <c r="O58" s="29">
        <v>-1.00663409477471E-2</v>
      </c>
      <c r="P58" s="29">
        <v>-1.4661654135339399E-3</v>
      </c>
      <c r="Q58" s="29">
        <v>1.1904761904761901E-2</v>
      </c>
      <c r="R58" s="30">
        <v>220180.92619999999</v>
      </c>
      <c r="S58" s="29">
        <v>3</v>
      </c>
      <c r="T58">
        <v>514.86599999999999</v>
      </c>
      <c r="U58" s="21"/>
      <c r="V58">
        <v>48</v>
      </c>
      <c r="W58" t="b">
        <f>V58&gt;=$C$4</f>
        <v>0</v>
      </c>
      <c r="X58">
        <f>IF(V58&lt;=$C$5,11,ROW()-$C$5+1)</f>
        <v>11</v>
      </c>
      <c r="Y58" s="14">
        <f t="shared" si="0"/>
        <v>48</v>
      </c>
      <c r="Z58" s="10">
        <f t="shared" si="7"/>
        <v>0.56119999999999948</v>
      </c>
      <c r="AA58" s="15">
        <f t="shared" si="8"/>
        <v>1.9207929602869534E-2</v>
      </c>
      <c r="AB58" s="15">
        <f t="shared" si="9"/>
        <v>0.49414254147045417</v>
      </c>
      <c r="AC58" s="10">
        <f t="shared" si="1"/>
        <v>1.6912785371253621E-2</v>
      </c>
      <c r="AD58">
        <f t="shared" si="10"/>
        <v>-4.2900000000003047E-2</v>
      </c>
      <c r="AE58">
        <f t="shared" si="18"/>
        <v>0</v>
      </c>
      <c r="AF58">
        <f t="shared" si="19"/>
        <v>4.2900000000003047E-2</v>
      </c>
      <c r="AG58">
        <f t="shared" si="26"/>
        <v>0.186469067473159</v>
      </c>
      <c r="AH58">
        <f t="shared" si="26"/>
        <v>0.11615001286330119</v>
      </c>
      <c r="AI58">
        <f t="shared" si="11"/>
        <v>1.6054158142248114</v>
      </c>
      <c r="AJ58">
        <f t="shared" si="20"/>
        <v>61.618410599172257</v>
      </c>
      <c r="AK58" s="14">
        <f t="shared" si="2"/>
        <v>61.618410599172257</v>
      </c>
      <c r="AM58" s="14">
        <f t="shared" si="25"/>
        <v>9.3941538334812114E-2</v>
      </c>
      <c r="AN58" s="36">
        <f t="shared" si="12"/>
        <v>-1.4661654135339486E-3</v>
      </c>
      <c r="AO58">
        <f t="shared" si="13"/>
        <v>0</v>
      </c>
      <c r="AP58" s="14">
        <f t="shared" si="22"/>
        <v>0.2</v>
      </c>
      <c r="AQ58">
        <f t="shared" si="14"/>
        <v>-7.3035202659190723E-3</v>
      </c>
      <c r="AR58">
        <f t="shared" si="15"/>
        <v>5.8373548523851324E-3</v>
      </c>
      <c r="AU58" s="14"/>
      <c r="AV58" s="19"/>
      <c r="AW58" s="19">
        <f t="shared" si="24"/>
        <v>-1.0066340947747165E-2</v>
      </c>
      <c r="AX58">
        <f t="shared" si="3"/>
        <v>0</v>
      </c>
      <c r="AY58">
        <f>IF(W58,SUMPRODUCT(INDEX(AX:AX,X58):INDEX(AX:AX,X58+Y58)),0)</f>
        <v>0</v>
      </c>
      <c r="AZ58">
        <f>IF(V58,COUNT(INDEX(AX:AX,X58):INDEX(AX:AX,ROW())),0)</f>
        <v>48</v>
      </c>
      <c r="BA58" s="14" t="str">
        <f t="shared" si="16"/>
        <v/>
      </c>
      <c r="BB58" s="6">
        <f t="shared" si="4"/>
        <v>1579710.1627999998</v>
      </c>
      <c r="BC58" s="6">
        <f>MEDIAN(INDEX(BB:BB,X58):INDEX(BB:BB,X58+Y58-1))</f>
        <v>201739.94445000001</v>
      </c>
      <c r="BD58" s="25" t="str">
        <f t="shared" si="5"/>
        <v/>
      </c>
      <c r="BE58">
        <f t="shared" si="17"/>
        <v>0</v>
      </c>
      <c r="BF58" s="6">
        <f>SUM(INDEX(BE:BE,X58):INDEX(BE:BE,X58+Y58-1))</f>
        <v>2</v>
      </c>
      <c r="BG58" s="25" t="str">
        <f t="shared" si="6"/>
        <v/>
      </c>
    </row>
    <row r="59" spans="1:59" x14ac:dyDescent="0.3">
      <c r="A59" s="1">
        <v>45436</v>
      </c>
      <c r="B59">
        <v>29.2699</v>
      </c>
      <c r="C59">
        <v>29.633099999999999</v>
      </c>
      <c r="D59">
        <v>29.2699</v>
      </c>
      <c r="E59">
        <v>29.481200000000001</v>
      </c>
      <c r="F59">
        <v>12722</v>
      </c>
      <c r="G59" s="29">
        <v>0.488560931365421</v>
      </c>
      <c r="H59" s="29">
        <v>1.65719486101455E-2</v>
      </c>
      <c r="I59" s="29">
        <v>1.4110687488976001E-2</v>
      </c>
      <c r="J59" s="29">
        <v>63.395962409066698</v>
      </c>
      <c r="K59" s="29">
        <v>0.108215800078188</v>
      </c>
      <c r="L59" s="29">
        <v>0.4</v>
      </c>
      <c r="M59" s="29">
        <v>6.3329570251123596E-2</v>
      </c>
      <c r="N59" s="29">
        <v>1.05588372294021</v>
      </c>
      <c r="O59" s="29">
        <v>-1.11810586090754E-3</v>
      </c>
      <c r="P59" s="29">
        <v>9.0392270280077406E-3</v>
      </c>
      <c r="Q59" s="29">
        <v>1.1904761904761901E-2</v>
      </c>
      <c r="R59" s="30">
        <v>220448.2211</v>
      </c>
      <c r="S59" s="29">
        <v>3</v>
      </c>
      <c r="T59">
        <v>518.27300000000002</v>
      </c>
      <c r="U59" s="21"/>
      <c r="V59">
        <v>49</v>
      </c>
      <c r="W59" t="b">
        <f>V59&gt;=$C$4</f>
        <v>0</v>
      </c>
      <c r="X59">
        <f>IF(V59&lt;=$C$5,11,ROW()-$C$5+1)</f>
        <v>11</v>
      </c>
      <c r="Y59" s="14">
        <f t="shared" si="0"/>
        <v>49</v>
      </c>
      <c r="Z59" s="10">
        <f t="shared" si="7"/>
        <v>0.41600000000000037</v>
      </c>
      <c r="AA59" s="15">
        <f t="shared" si="8"/>
        <v>1.4110687488976037E-2</v>
      </c>
      <c r="AB59" s="15">
        <f t="shared" si="9"/>
        <v>0.48856093136542178</v>
      </c>
      <c r="AC59" s="10">
        <f t="shared" si="1"/>
        <v>1.657194861014551E-2</v>
      </c>
      <c r="AD59">
        <f t="shared" si="10"/>
        <v>0.26410000000000267</v>
      </c>
      <c r="AE59">
        <f t="shared" si="18"/>
        <v>0.26410000000000267</v>
      </c>
      <c r="AF59">
        <f t="shared" si="19"/>
        <v>0</v>
      </c>
      <c r="AG59">
        <f t="shared" si="26"/>
        <v>0.19201413408221926</v>
      </c>
      <c r="AH59">
        <f t="shared" si="26"/>
        <v>0.10785358337306539</v>
      </c>
      <c r="AI59">
        <f t="shared" si="11"/>
        <v>1.7803222487104824</v>
      </c>
      <c r="AJ59">
        <f t="shared" si="20"/>
        <v>64.032946164287196</v>
      </c>
      <c r="AK59" s="14">
        <f t="shared" si="2"/>
        <v>64.032946164287196</v>
      </c>
      <c r="AM59" s="14">
        <f t="shared" si="25"/>
        <v>0.10821580007818854</v>
      </c>
      <c r="AN59" s="36">
        <f t="shared" si="12"/>
        <v>9.0392270280077458E-3</v>
      </c>
      <c r="AO59">
        <f t="shared" si="13"/>
        <v>1</v>
      </c>
      <c r="AP59" s="14">
        <f t="shared" si="22"/>
        <v>0.4</v>
      </c>
      <c r="AQ59">
        <f t="shared" si="14"/>
        <v>6.6172557519821318E-3</v>
      </c>
      <c r="AR59">
        <f t="shared" si="15"/>
        <v>2.4219712760256088E-3</v>
      </c>
      <c r="AU59" s="14"/>
      <c r="AV59" s="19"/>
      <c r="AW59" s="19">
        <f t="shared" si="24"/>
        <v>-1.1181058609075478E-3</v>
      </c>
      <c r="AX59">
        <f t="shared" si="3"/>
        <v>0</v>
      </c>
      <c r="AY59">
        <f>IF(W59,SUMPRODUCT(INDEX(AX:AX,X59):INDEX(AX:AX,X59+Y59)),0)</f>
        <v>0</v>
      </c>
      <c r="AZ59">
        <f>IF(V59,COUNT(INDEX(AX:AX,X59):INDEX(AX:AX,ROW())),0)</f>
        <v>49</v>
      </c>
      <c r="BA59" s="14" t="str">
        <f t="shared" si="16"/>
        <v/>
      </c>
      <c r="BB59" s="6">
        <f t="shared" si="4"/>
        <v>375059.82640000002</v>
      </c>
      <c r="BC59" s="6">
        <f>MEDIAN(INDEX(BB:BB,X59):INDEX(BB:BB,X59+Y59-1))</f>
        <v>208245.71249999999</v>
      </c>
      <c r="BD59" s="25" t="str">
        <f t="shared" si="5"/>
        <v/>
      </c>
      <c r="BE59">
        <f t="shared" si="17"/>
        <v>0</v>
      </c>
      <c r="BF59" s="6">
        <f>SUM(INDEX(BE:BE,X59):INDEX(BE:BE,X59+Y59-1))</f>
        <v>2</v>
      </c>
      <c r="BG59" s="25" t="str">
        <f t="shared" si="6"/>
        <v/>
      </c>
    </row>
    <row r="60" spans="1:59" x14ac:dyDescent="0.3">
      <c r="A60" s="1">
        <v>45440</v>
      </c>
      <c r="B60">
        <v>29.5472</v>
      </c>
      <c r="C60">
        <v>29.5472</v>
      </c>
      <c r="D60">
        <v>29.025600000000001</v>
      </c>
      <c r="E60">
        <v>29.025600000000001</v>
      </c>
      <c r="F60">
        <v>8935</v>
      </c>
      <c r="G60" s="29">
        <v>0.49092086483932001</v>
      </c>
      <c r="H60" s="29">
        <v>1.6913375256301998E-2</v>
      </c>
      <c r="I60" s="29">
        <v>1.7970343420980001E-2</v>
      </c>
      <c r="J60" s="29">
        <v>56.8354757347822</v>
      </c>
      <c r="K60" s="29">
        <v>7.7184570508205402E-2</v>
      </c>
      <c r="L60" s="29">
        <v>0.4</v>
      </c>
      <c r="M60" s="29">
        <v>3.4399968806411899E-2</v>
      </c>
      <c r="N60" s="29">
        <v>1.0545994102463401</v>
      </c>
      <c r="O60" s="29">
        <v>-1.6554743140589901E-2</v>
      </c>
      <c r="P60" s="29">
        <v>-1.54539163941765E-2</v>
      </c>
      <c r="Q60" s="29">
        <v>1.1904761904761901E-2</v>
      </c>
      <c r="R60" s="30">
        <v>220448.2211</v>
      </c>
      <c r="S60" s="29">
        <v>3</v>
      </c>
      <c r="T60">
        <v>518.63499999999999</v>
      </c>
      <c r="U60" s="21"/>
      <c r="V60">
        <v>50</v>
      </c>
      <c r="W60" t="b">
        <f>V60&gt;=$C$4</f>
        <v>0</v>
      </c>
      <c r="X60">
        <f>IF(V60&lt;=$C$5,11,ROW()-$C$5+1)</f>
        <v>11</v>
      </c>
      <c r="Y60" s="14">
        <f t="shared" si="0"/>
        <v>50</v>
      </c>
      <c r="Z60" s="10">
        <f t="shared" si="7"/>
        <v>0.5215999999999994</v>
      </c>
      <c r="AA60" s="15">
        <f t="shared" si="8"/>
        <v>1.797034342098008E-2</v>
      </c>
      <c r="AB60" s="15">
        <f t="shared" si="9"/>
        <v>0.49092086483932018</v>
      </c>
      <c r="AC60" s="10">
        <f t="shared" si="1"/>
        <v>1.691337525630203E-2</v>
      </c>
      <c r="AD60">
        <f t="shared" si="10"/>
        <v>-0.45560000000000045</v>
      </c>
      <c r="AE60">
        <f t="shared" si="18"/>
        <v>0</v>
      </c>
      <c r="AF60">
        <f t="shared" si="19"/>
        <v>0.45560000000000045</v>
      </c>
      <c r="AG60">
        <f t="shared" si="26"/>
        <v>0.17829883879063216</v>
      </c>
      <c r="AH60">
        <f t="shared" si="26"/>
        <v>0.13269261313213218</v>
      </c>
      <c r="AI60">
        <f t="shared" si="11"/>
        <v>1.343698300771923</v>
      </c>
      <c r="AJ60">
        <f t="shared" si="20"/>
        <v>57.332392156847192</v>
      </c>
      <c r="AK60" s="14">
        <f t="shared" si="2"/>
        <v>57.332392156847192</v>
      </c>
      <c r="AM60" s="14">
        <f t="shared" si="25"/>
        <v>7.7184570508205486E-2</v>
      </c>
      <c r="AN60" s="36">
        <f t="shared" si="12"/>
        <v>-1.5453916394176592E-2</v>
      </c>
      <c r="AO60">
        <f t="shared" si="13"/>
        <v>0</v>
      </c>
      <c r="AP60" s="14">
        <f t="shared" si="22"/>
        <v>0.4</v>
      </c>
      <c r="AQ60">
        <f t="shared" si="14"/>
        <v>6.9847358438490659E-4</v>
      </c>
      <c r="AR60">
        <f t="shared" si="15"/>
        <v>-1.6152389978561409E-2</v>
      </c>
      <c r="AU60" s="14"/>
      <c r="AV60" s="19"/>
      <c r="AW60" s="19">
        <f t="shared" si="24"/>
        <v>-1.6554743140589911E-2</v>
      </c>
      <c r="AX60">
        <f t="shared" si="3"/>
        <v>0</v>
      </c>
      <c r="AY60">
        <f>IF(W60,SUMPRODUCT(INDEX(AX:AX,X60):INDEX(AX:AX,X60+Y60)),0)</f>
        <v>0</v>
      </c>
      <c r="AZ60">
        <f>IF(V60,COUNT(INDEX(AX:AX,X60):INDEX(AX:AX,ROW())),0)</f>
        <v>50</v>
      </c>
      <c r="BA60" s="14" t="str">
        <f t="shared" si="16"/>
        <v/>
      </c>
      <c r="BB60" s="6">
        <f t="shared" si="4"/>
        <v>259343.736</v>
      </c>
      <c r="BC60" s="6">
        <f>MEDIAN(INDEX(BB:BB,X60):INDEX(BB:BB,X60+Y60-1))</f>
        <v>209201.16045</v>
      </c>
      <c r="BD60" s="25" t="str">
        <f t="shared" si="5"/>
        <v/>
      </c>
      <c r="BE60">
        <f t="shared" si="17"/>
        <v>0</v>
      </c>
      <c r="BF60" s="6">
        <f>SUM(INDEX(BE:BE,X60):INDEX(BE:BE,X60+Y60-1))</f>
        <v>2</v>
      </c>
      <c r="BG60" s="25" t="str">
        <f t="shared" si="6"/>
        <v/>
      </c>
    </row>
    <row r="61" spans="1:59" x14ac:dyDescent="0.3">
      <c r="A61" s="1">
        <v>45441</v>
      </c>
      <c r="B61">
        <v>28.504000000000001</v>
      </c>
      <c r="C61">
        <v>28.504000000000001</v>
      </c>
      <c r="D61">
        <v>27.764500000000002</v>
      </c>
      <c r="E61">
        <v>27.764500000000002</v>
      </c>
      <c r="F61">
        <v>5603</v>
      </c>
      <c r="G61" s="29">
        <v>0.54593366020793999</v>
      </c>
      <c r="H61" s="29">
        <v>1.9663010686593999E-2</v>
      </c>
      <c r="I61" s="29">
        <v>4.54213113868428E-2</v>
      </c>
      <c r="J61" s="29">
        <v>43.436307237892201</v>
      </c>
      <c r="K61" s="29">
        <v>2.8871167371986299E-2</v>
      </c>
      <c r="L61" s="29">
        <v>0.2</v>
      </c>
      <c r="M61" s="29">
        <v>-8.5933007229796795E-3</v>
      </c>
      <c r="N61" s="29">
        <v>1.14558902855235</v>
      </c>
      <c r="O61" s="29">
        <v>-5.9283328025153903E-2</v>
      </c>
      <c r="P61" s="29">
        <v>-4.3447852929827398E-2</v>
      </c>
      <c r="Q61" s="29">
        <v>1.1904761904761901E-2</v>
      </c>
      <c r="R61" s="30">
        <v>220448.2211</v>
      </c>
      <c r="S61" s="29">
        <v>3</v>
      </c>
      <c r="T61">
        <v>515.00300000000004</v>
      </c>
      <c r="U61" s="21"/>
      <c r="V61">
        <v>51</v>
      </c>
      <c r="W61" t="b">
        <f>V61&gt;=$C$4</f>
        <v>0</v>
      </c>
      <c r="X61">
        <f>IF(V61&lt;=$C$5,11,ROW()-$C$5+1)</f>
        <v>11</v>
      </c>
      <c r="Y61" s="14">
        <f t="shared" si="0"/>
        <v>51</v>
      </c>
      <c r="Z61" s="10">
        <f t="shared" si="7"/>
        <v>1.261099999999999</v>
      </c>
      <c r="AA61" s="15">
        <f t="shared" si="8"/>
        <v>4.5421311386842869E-2</v>
      </c>
      <c r="AB61" s="15">
        <f t="shared" si="9"/>
        <v>0.5459336602079401</v>
      </c>
      <c r="AC61" s="10">
        <f t="shared" si="1"/>
        <v>1.9663010686594033E-2</v>
      </c>
      <c r="AD61">
        <f t="shared" si="10"/>
        <v>-1.261099999999999</v>
      </c>
      <c r="AE61">
        <f t="shared" si="18"/>
        <v>0</v>
      </c>
      <c r="AF61">
        <f t="shared" si="19"/>
        <v>1.261099999999999</v>
      </c>
      <c r="AG61">
        <f t="shared" si="26"/>
        <v>0.16556320744844413</v>
      </c>
      <c r="AH61">
        <f t="shared" si="26"/>
        <v>0.21329314076555123</v>
      </c>
      <c r="AI61">
        <f t="shared" si="11"/>
        <v>0.77622377754017347</v>
      </c>
      <c r="AJ61">
        <f t="shared" si="20"/>
        <v>43.700787443299348</v>
      </c>
      <c r="AK61" s="14">
        <f t="shared" si="2"/>
        <v>43.700787443299348</v>
      </c>
      <c r="AM61" s="14">
        <f t="shared" si="25"/>
        <v>2.8871167371986362E-2</v>
      </c>
      <c r="AN61" s="36">
        <f t="shared" si="12"/>
        <v>-4.3447852929827446E-2</v>
      </c>
      <c r="AO61">
        <f t="shared" si="13"/>
        <v>0</v>
      </c>
      <c r="AP61" s="14">
        <f t="shared" si="22"/>
        <v>0.2</v>
      </c>
      <c r="AQ61">
        <f t="shared" si="14"/>
        <v>-7.0029982550346981E-3</v>
      </c>
      <c r="AR61">
        <f t="shared" si="15"/>
        <v>-3.64448546747927E-2</v>
      </c>
      <c r="AU61" s="14"/>
      <c r="AV61" s="19"/>
      <c r="AW61" s="19">
        <f t="shared" si="24"/>
        <v>-5.9283328025153903E-2</v>
      </c>
      <c r="AX61">
        <f t="shared" si="3"/>
        <v>0</v>
      </c>
      <c r="AY61">
        <f>IF(W61,SUMPRODUCT(INDEX(AX:AX,X61):INDEX(AX:AX,X61+Y61)),0)</f>
        <v>0</v>
      </c>
      <c r="AZ61">
        <f>IF(V61,COUNT(INDEX(AX:AX,X61):INDEX(AX:AX,ROW())),0)</f>
        <v>51</v>
      </c>
      <c r="BA61" s="14" t="str">
        <f t="shared" si="16"/>
        <v/>
      </c>
      <c r="BB61" s="6">
        <f t="shared" si="4"/>
        <v>155564.49350000001</v>
      </c>
      <c r="BC61" s="6">
        <f>MEDIAN(INDEX(BB:BB,X61):INDEX(BB:BB,X61+Y61-1))</f>
        <v>208245.71249999999</v>
      </c>
      <c r="BD61" s="25" t="str">
        <f t="shared" si="5"/>
        <v/>
      </c>
      <c r="BE61">
        <f t="shared" si="17"/>
        <v>0</v>
      </c>
      <c r="BF61" s="6">
        <f>SUM(INDEX(BE:BE,X61):INDEX(BE:BE,X61+Y61-1))</f>
        <v>2</v>
      </c>
      <c r="BG61" s="25" t="str">
        <f t="shared" si="6"/>
        <v/>
      </c>
    </row>
    <row r="62" spans="1:59" x14ac:dyDescent="0.3">
      <c r="A62" s="1">
        <v>45442</v>
      </c>
      <c r="B62">
        <v>28.279499999999999</v>
      </c>
      <c r="C62">
        <v>28.319099999999999</v>
      </c>
      <c r="D62">
        <v>28.1739</v>
      </c>
      <c r="E62">
        <v>28.1739</v>
      </c>
      <c r="F62">
        <v>6512</v>
      </c>
      <c r="G62" s="29">
        <v>0.54655268447880101</v>
      </c>
      <c r="H62" s="29">
        <v>1.9399255498131301E-2</v>
      </c>
      <c r="I62" s="29">
        <v>1.9684885656582701E-2</v>
      </c>
      <c r="J62" s="29">
        <v>47.7433841420847</v>
      </c>
      <c r="K62" s="29">
        <v>6.22360801109971E-2</v>
      </c>
      <c r="L62" s="29">
        <v>0.4</v>
      </c>
      <c r="M62" s="29">
        <v>1.6587433403695898E-2</v>
      </c>
      <c r="N62" s="29">
        <v>1.0927307270066999</v>
      </c>
      <c r="O62" s="29">
        <v>-4.5412038950742299E-2</v>
      </c>
      <c r="P62" s="29">
        <v>1.4745448324299E-2</v>
      </c>
      <c r="Q62" s="29">
        <v>1.1904761904761901E-2</v>
      </c>
      <c r="R62" s="30">
        <v>220448.2211</v>
      </c>
      <c r="S62" s="29">
        <v>3</v>
      </c>
      <c r="T62">
        <v>511.58699999999999</v>
      </c>
      <c r="U62" s="21"/>
      <c r="V62">
        <v>52</v>
      </c>
      <c r="W62" t="b">
        <f>V62&gt;=$C$4</f>
        <v>0</v>
      </c>
      <c r="X62">
        <f>IF(V62&lt;=$C$5,11,ROW()-$C$5+1)</f>
        <v>11</v>
      </c>
      <c r="Y62" s="14">
        <f t="shared" si="0"/>
        <v>52</v>
      </c>
      <c r="Z62" s="10">
        <f t="shared" si="7"/>
        <v>0.5545999999999971</v>
      </c>
      <c r="AA62" s="15">
        <f t="shared" si="8"/>
        <v>1.9684885656582763E-2</v>
      </c>
      <c r="AB62" s="15">
        <f t="shared" si="9"/>
        <v>0.54655268447880123</v>
      </c>
      <c r="AC62" s="10">
        <f t="shared" si="1"/>
        <v>1.9399255498131294E-2</v>
      </c>
      <c r="AD62">
        <f t="shared" si="10"/>
        <v>0.40939999999999799</v>
      </c>
      <c r="AE62">
        <f t="shared" si="18"/>
        <v>0.40939999999999799</v>
      </c>
      <c r="AF62">
        <f t="shared" si="19"/>
        <v>0</v>
      </c>
      <c r="AG62">
        <f t="shared" ref="AG62:AH77" si="27">(AE62+13*AG61)/14</f>
        <v>0.18298012120212653</v>
      </c>
      <c r="AH62">
        <f t="shared" si="27"/>
        <v>0.19805791642515472</v>
      </c>
      <c r="AI62">
        <f t="shared" si="11"/>
        <v>0.92387178712583284</v>
      </c>
      <c r="AJ62">
        <f t="shared" si="20"/>
        <v>48.021484243814946</v>
      </c>
      <c r="AK62" s="14">
        <f t="shared" si="2"/>
        <v>48.021484243814946</v>
      </c>
      <c r="AM62" s="14">
        <f t="shared" si="25"/>
        <v>6.2236080110997127E-2</v>
      </c>
      <c r="AN62" s="36">
        <f t="shared" si="12"/>
        <v>1.4745448324299026E-2</v>
      </c>
      <c r="AO62">
        <f t="shared" si="13"/>
        <v>1</v>
      </c>
      <c r="AP62" s="14">
        <f t="shared" si="22"/>
        <v>0.4</v>
      </c>
      <c r="AQ62">
        <f t="shared" si="14"/>
        <v>-6.6329710700715472E-3</v>
      </c>
      <c r="AR62">
        <f t="shared" si="15"/>
        <v>2.1378419394370546E-2</v>
      </c>
      <c r="AU62" s="14"/>
      <c r="AV62" s="19"/>
      <c r="AW62" s="19">
        <f t="shared" si="24"/>
        <v>-4.5412038950742306E-2</v>
      </c>
      <c r="AX62">
        <f t="shared" si="3"/>
        <v>0</v>
      </c>
      <c r="AY62">
        <f>IF(W62,SUMPRODUCT(INDEX(AX:AX,X62):INDEX(AX:AX,X62+Y62)),0)</f>
        <v>0</v>
      </c>
      <c r="AZ62">
        <f>IF(V62,COUNT(INDEX(AX:AX,X62):INDEX(AX:AX,ROW())),0)</f>
        <v>52</v>
      </c>
      <c r="BA62" s="14" t="str">
        <f t="shared" si="16"/>
        <v/>
      </c>
      <c r="BB62" s="6">
        <f t="shared" si="4"/>
        <v>183468.4368</v>
      </c>
      <c r="BC62" s="6">
        <f>MEDIAN(INDEX(BB:BB,X62):INDEX(BB:BB,X62+Y62-1))</f>
        <v>201739.94445000001</v>
      </c>
      <c r="BD62" s="25" t="str">
        <f t="shared" si="5"/>
        <v/>
      </c>
      <c r="BE62">
        <f t="shared" si="17"/>
        <v>0</v>
      </c>
      <c r="BF62" s="6">
        <f>SUM(INDEX(BE:BE,X62):INDEX(BE:BE,X62+Y62-1))</f>
        <v>2</v>
      </c>
      <c r="BG62" s="25" t="str">
        <f t="shared" si="6"/>
        <v/>
      </c>
    </row>
    <row r="63" spans="1:59" x14ac:dyDescent="0.3">
      <c r="A63" s="1">
        <v>45443</v>
      </c>
      <c r="B63">
        <v>28.160699999999999</v>
      </c>
      <c r="C63">
        <v>28.695499999999999</v>
      </c>
      <c r="D63">
        <v>28.160699999999999</v>
      </c>
      <c r="E63">
        <v>28.695499999999999</v>
      </c>
      <c r="F63">
        <v>24838</v>
      </c>
      <c r="G63" s="29">
        <v>0.54571320701602999</v>
      </c>
      <c r="H63" s="29">
        <v>1.9017379276054701E-2</v>
      </c>
      <c r="I63" s="29">
        <v>1.8637068529908801E-2</v>
      </c>
      <c r="J63" s="29">
        <v>52.686536952515901</v>
      </c>
      <c r="K63" s="29">
        <v>5.6395323153042902E-2</v>
      </c>
      <c r="L63" s="29">
        <v>0.6</v>
      </c>
      <c r="M63" s="29">
        <v>3.0419345634475899E-2</v>
      </c>
      <c r="N63" s="29">
        <v>1.1262000897576001</v>
      </c>
      <c r="O63" s="29">
        <v>-2.7739189949244701E-2</v>
      </c>
      <c r="P63" s="29">
        <v>1.85135888180194E-2</v>
      </c>
      <c r="Q63" s="29">
        <v>1.1904761904761901E-2</v>
      </c>
      <c r="R63" s="30">
        <v>220448.2211</v>
      </c>
      <c r="S63" s="29">
        <v>3</v>
      </c>
      <c r="T63">
        <v>516.24599999999998</v>
      </c>
      <c r="U63" s="21"/>
      <c r="V63">
        <v>53</v>
      </c>
      <c r="W63" t="b">
        <f>V63&gt;=$C$4</f>
        <v>0</v>
      </c>
      <c r="X63">
        <f>IF(V63&lt;=$C$5,11,ROW()-$C$5+1)</f>
        <v>11</v>
      </c>
      <c r="Y63" s="14">
        <f t="shared" si="0"/>
        <v>53</v>
      </c>
      <c r="Z63" s="10">
        <f t="shared" si="7"/>
        <v>0.53480000000000061</v>
      </c>
      <c r="AA63" s="15">
        <f t="shared" si="8"/>
        <v>1.8637068529908894E-2</v>
      </c>
      <c r="AB63" s="15">
        <f t="shared" si="9"/>
        <v>0.54571320701602977</v>
      </c>
      <c r="AC63" s="10">
        <f t="shared" si="1"/>
        <v>1.9017379276054774E-2</v>
      </c>
      <c r="AD63">
        <f t="shared" si="10"/>
        <v>0.5215999999999994</v>
      </c>
      <c r="AE63">
        <f t="shared" si="18"/>
        <v>0.5215999999999994</v>
      </c>
      <c r="AF63">
        <f t="shared" si="19"/>
        <v>0</v>
      </c>
      <c r="AG63">
        <f t="shared" si="27"/>
        <v>0.20716725540197459</v>
      </c>
      <c r="AH63">
        <f t="shared" si="27"/>
        <v>0.18391092239478654</v>
      </c>
      <c r="AI63">
        <f t="shared" si="11"/>
        <v>1.1264543329148531</v>
      </c>
      <c r="AJ63">
        <f t="shared" si="20"/>
        <v>52.97336112413744</v>
      </c>
      <c r="AK63" s="14">
        <f t="shared" si="2"/>
        <v>52.97336112413744</v>
      </c>
      <c r="AM63" s="14">
        <f t="shared" si="25"/>
        <v>5.6395323153042964E-2</v>
      </c>
      <c r="AN63" s="36">
        <f t="shared" si="12"/>
        <v>1.8513588818019455E-2</v>
      </c>
      <c r="AO63">
        <f t="shared" si="13"/>
        <v>1</v>
      </c>
      <c r="AP63" s="14">
        <f t="shared" si="22"/>
        <v>0.6</v>
      </c>
      <c r="AQ63">
        <f t="shared" si="14"/>
        <v>9.1069554152078958E-3</v>
      </c>
      <c r="AR63">
        <f t="shared" si="15"/>
        <v>9.406633402811504E-3</v>
      </c>
      <c r="AU63" s="14"/>
      <c r="AV63" s="19"/>
      <c r="AW63" s="19">
        <f t="shared" si="24"/>
        <v>-2.7739189949244736E-2</v>
      </c>
      <c r="AX63">
        <f t="shared" si="3"/>
        <v>0</v>
      </c>
      <c r="AY63">
        <f>IF(W63,SUMPRODUCT(INDEX(AX:AX,X63):INDEX(AX:AX,X63+Y63)),0)</f>
        <v>0</v>
      </c>
      <c r="AZ63">
        <f>IF(V63,COUNT(INDEX(AX:AX,X63):INDEX(AX:AX,ROW())),0)</f>
        <v>53</v>
      </c>
      <c r="BA63" s="14" t="str">
        <f t="shared" si="16"/>
        <v/>
      </c>
      <c r="BB63" s="6">
        <f t="shared" si="4"/>
        <v>712738.82900000003</v>
      </c>
      <c r="BC63" s="6">
        <f>MEDIAN(INDEX(BB:BB,X63):INDEX(BB:BB,X63+Y63-1))</f>
        <v>208245.71249999999</v>
      </c>
      <c r="BD63" s="25" t="str">
        <f t="shared" si="5"/>
        <v/>
      </c>
      <c r="BE63">
        <f t="shared" si="17"/>
        <v>0</v>
      </c>
      <c r="BF63" s="6">
        <f>SUM(INDEX(BE:BE,X63):INDEX(BE:BE,X63+Y63-1))</f>
        <v>2</v>
      </c>
      <c r="BG63" s="25" t="str">
        <f t="shared" si="6"/>
        <v/>
      </c>
    </row>
    <row r="64" spans="1:59" x14ac:dyDescent="0.3">
      <c r="A64" s="1">
        <v>45446</v>
      </c>
      <c r="B64">
        <v>28.636099999999999</v>
      </c>
      <c r="C64">
        <v>28.662500000000001</v>
      </c>
      <c r="D64">
        <v>28.603000000000002</v>
      </c>
      <c r="E64">
        <v>28.616199999999999</v>
      </c>
      <c r="F64">
        <v>4240</v>
      </c>
      <c r="G64" s="29">
        <v>0.51334083508631301</v>
      </c>
      <c r="H64" s="29">
        <v>1.79388190984936E-2</v>
      </c>
      <c r="I64" s="29">
        <v>3.2324347747079399E-3</v>
      </c>
      <c r="J64" s="29">
        <v>51.882995865248198</v>
      </c>
      <c r="K64" s="29">
        <v>4.1573851641552001E-2</v>
      </c>
      <c r="L64" s="29">
        <v>0.4</v>
      </c>
      <c r="M64" s="29">
        <v>2.8332850070098399E-2</v>
      </c>
      <c r="N64" s="29">
        <v>1.1247629472155001</v>
      </c>
      <c r="O64" s="29">
        <v>-3.0426032215001599E-2</v>
      </c>
      <c r="P64" s="29">
        <v>-2.7634995034064801E-3</v>
      </c>
      <c r="Q64" s="29">
        <v>1.1904761904761901E-2</v>
      </c>
      <c r="R64" s="30">
        <v>220180.92619999999</v>
      </c>
      <c r="S64" s="29">
        <v>3</v>
      </c>
      <c r="T64">
        <v>516.66700000000003</v>
      </c>
      <c r="U64" s="21"/>
      <c r="V64">
        <v>54</v>
      </c>
      <c r="W64" t="b">
        <f>V64&gt;=$C$4</f>
        <v>0</v>
      </c>
      <c r="X64">
        <f>IF(V64&lt;=$C$5,11,ROW()-$C$5+1)</f>
        <v>11</v>
      </c>
      <c r="Y64" s="14">
        <f t="shared" si="0"/>
        <v>54</v>
      </c>
      <c r="Z64" s="10">
        <f t="shared" si="7"/>
        <v>9.2499999999997584E-2</v>
      </c>
      <c r="AA64" s="15">
        <f t="shared" si="8"/>
        <v>3.2324347747079481E-3</v>
      </c>
      <c r="AB64" s="15">
        <f t="shared" si="9"/>
        <v>0.51334083508631323</v>
      </c>
      <c r="AC64" s="10">
        <f t="shared" si="1"/>
        <v>1.7938819098493625E-2</v>
      </c>
      <c r="AD64">
        <f t="shared" si="10"/>
        <v>-7.9299999999999926E-2</v>
      </c>
      <c r="AE64">
        <f t="shared" si="18"/>
        <v>0</v>
      </c>
      <c r="AF64">
        <f t="shared" si="19"/>
        <v>7.9299999999999926E-2</v>
      </c>
      <c r="AG64">
        <f t="shared" si="27"/>
        <v>0.19236959430183354</v>
      </c>
      <c r="AH64">
        <f t="shared" si="27"/>
        <v>0.17643871365230179</v>
      </c>
      <c r="AI64">
        <f t="shared" si="11"/>
        <v>1.0902912989998661</v>
      </c>
      <c r="AJ64">
        <f t="shared" si="20"/>
        <v>52.159777898971967</v>
      </c>
      <c r="AK64" s="14">
        <f t="shared" si="2"/>
        <v>52.159777898971967</v>
      </c>
      <c r="AM64" s="14">
        <f t="shared" si="25"/>
        <v>4.1573851641552029E-2</v>
      </c>
      <c r="AN64" s="36">
        <f t="shared" si="12"/>
        <v>-2.7634995034064858E-3</v>
      </c>
      <c r="AO64">
        <f t="shared" si="13"/>
        <v>0</v>
      </c>
      <c r="AP64" s="14">
        <f t="shared" si="22"/>
        <v>0.4</v>
      </c>
      <c r="AQ64">
        <f t="shared" si="14"/>
        <v>8.1550268670382842E-4</v>
      </c>
      <c r="AR64">
        <f t="shared" si="15"/>
        <v>-3.5790021901103085E-3</v>
      </c>
      <c r="AU64" s="14"/>
      <c r="AV64" s="19"/>
      <c r="AW64" s="19">
        <f t="shared" si="24"/>
        <v>-3.0426032215001619E-2</v>
      </c>
      <c r="AX64">
        <f t="shared" si="3"/>
        <v>0</v>
      </c>
      <c r="AY64">
        <f>IF(W64,SUMPRODUCT(INDEX(AX:AX,X64):INDEX(AX:AX,X64+Y64)),0)</f>
        <v>0</v>
      </c>
      <c r="AZ64">
        <f>IF(V64,COUNT(INDEX(AX:AX,X64):INDEX(AX:AX,ROW())),0)</f>
        <v>54</v>
      </c>
      <c r="BA64" s="14" t="str">
        <f t="shared" si="16"/>
        <v/>
      </c>
      <c r="BB64" s="6">
        <f t="shared" si="4"/>
        <v>121332.68799999999</v>
      </c>
      <c r="BC64" s="6">
        <f>MEDIAN(INDEX(BB:BB,X64):INDEX(BB:BB,X64+Y64-1))</f>
        <v>201739.94445000001</v>
      </c>
      <c r="BD64" s="25" t="str">
        <f t="shared" si="5"/>
        <v/>
      </c>
      <c r="BE64">
        <f t="shared" si="17"/>
        <v>0</v>
      </c>
      <c r="BF64" s="6">
        <f>SUM(INDEX(BE:BE,X64):INDEX(BE:BE,X64+Y64-1))</f>
        <v>2</v>
      </c>
      <c r="BG64" s="25" t="str">
        <f t="shared" si="6"/>
        <v/>
      </c>
    </row>
    <row r="65" spans="1:59" x14ac:dyDescent="0.3">
      <c r="A65" s="1">
        <v>45447</v>
      </c>
      <c r="B65">
        <v>28.3918</v>
      </c>
      <c r="C65">
        <v>28.3918</v>
      </c>
      <c r="D65">
        <v>28.0154</v>
      </c>
      <c r="E65">
        <v>28.160699999999999</v>
      </c>
      <c r="F65">
        <v>14539</v>
      </c>
      <c r="G65" s="29">
        <v>0.51958791829443296</v>
      </c>
      <c r="H65" s="29">
        <v>1.8450816858047999E-2</v>
      </c>
      <c r="I65" s="29">
        <v>2.13346969358005E-2</v>
      </c>
      <c r="J65" s="29">
        <v>47.4101903849743</v>
      </c>
      <c r="K65" s="29">
        <v>9.4191411165045404E-4</v>
      </c>
      <c r="L65" s="29">
        <v>0.4</v>
      </c>
      <c r="M65" s="29">
        <v>-3.3132182606277799E-3</v>
      </c>
      <c r="N65" s="29">
        <v>1.1614604691908601</v>
      </c>
      <c r="O65" s="29">
        <v>-4.58592812951054E-2</v>
      </c>
      <c r="P65" s="29">
        <v>-1.59175571878865E-2</v>
      </c>
      <c r="Q65" s="29">
        <v>1.1904761904761901E-2</v>
      </c>
      <c r="R65" s="30">
        <v>220180.92619999999</v>
      </c>
      <c r="S65" s="29">
        <v>3</v>
      </c>
      <c r="T65">
        <v>517.245</v>
      </c>
      <c r="U65" s="21"/>
      <c r="V65">
        <v>55</v>
      </c>
      <c r="W65" t="b">
        <f>V65&gt;=$C$4</f>
        <v>0</v>
      </c>
      <c r="X65">
        <f>IF(V65&lt;=$C$5,11,ROW()-$C$5+1)</f>
        <v>11</v>
      </c>
      <c r="Y65" s="14">
        <f t="shared" si="0"/>
        <v>55</v>
      </c>
      <c r="Z65" s="10">
        <f t="shared" si="7"/>
        <v>0.60079999999999956</v>
      </c>
      <c r="AA65" s="15">
        <f t="shared" si="8"/>
        <v>2.1334696935800587E-2</v>
      </c>
      <c r="AB65" s="15">
        <f t="shared" si="9"/>
        <v>0.51958791829443363</v>
      </c>
      <c r="AC65" s="10">
        <f t="shared" si="1"/>
        <v>1.8450816858048048E-2</v>
      </c>
      <c r="AD65">
        <f t="shared" si="10"/>
        <v>-0.45550000000000068</v>
      </c>
      <c r="AE65">
        <f t="shared" si="18"/>
        <v>0</v>
      </c>
      <c r="AF65">
        <f t="shared" si="19"/>
        <v>0.45550000000000068</v>
      </c>
      <c r="AG65">
        <f t="shared" si="27"/>
        <v>0.17862890899455972</v>
      </c>
      <c r="AH65">
        <f t="shared" si="27"/>
        <v>0.19637166267713743</v>
      </c>
      <c r="AI65">
        <f t="shared" si="11"/>
        <v>0.90964707717656135</v>
      </c>
      <c r="AJ65">
        <f t="shared" si="20"/>
        <v>47.634303115394843</v>
      </c>
      <c r="AK65" s="14">
        <f t="shared" si="2"/>
        <v>47.634303115394843</v>
      </c>
      <c r="AM65" s="14">
        <f t="shared" si="25"/>
        <v>9.419141116504548E-4</v>
      </c>
      <c r="AN65" s="36">
        <f t="shared" si="12"/>
        <v>-1.5917557187886566E-2</v>
      </c>
      <c r="AO65">
        <f t="shared" si="13"/>
        <v>0</v>
      </c>
      <c r="AP65" s="14">
        <f t="shared" si="22"/>
        <v>0.4</v>
      </c>
      <c r="AQ65">
        <f t="shared" si="14"/>
        <v>1.1187089556716767E-3</v>
      </c>
      <c r="AR65">
        <f t="shared" si="15"/>
        <v>-1.7036266143558177E-2</v>
      </c>
      <c r="AU65" s="14"/>
      <c r="AV65" s="19"/>
      <c r="AW65" s="19">
        <f t="shared" si="24"/>
        <v>-4.5859281295105414E-2</v>
      </c>
      <c r="AX65">
        <f t="shared" si="3"/>
        <v>0</v>
      </c>
      <c r="AY65">
        <f>IF(W65,SUMPRODUCT(INDEX(AX:AX,X65):INDEX(AX:AX,X65+Y65)),0)</f>
        <v>0</v>
      </c>
      <c r="AZ65">
        <f>IF(V65,COUNT(INDEX(AX:AX,X65):INDEX(AX:AX,ROW())),0)</f>
        <v>55</v>
      </c>
      <c r="BA65" s="14" t="str">
        <f t="shared" si="16"/>
        <v/>
      </c>
      <c r="BB65" s="6">
        <f t="shared" si="4"/>
        <v>409428.41729999997</v>
      </c>
      <c r="BC65" s="6">
        <f>MEDIAN(INDEX(BB:BB,X65):INDEX(BB:BB,X65+Y65-1))</f>
        <v>208245.71249999999</v>
      </c>
      <c r="BD65" s="25" t="str">
        <f t="shared" si="5"/>
        <v/>
      </c>
      <c r="BE65">
        <f t="shared" si="17"/>
        <v>0</v>
      </c>
      <c r="BF65" s="6">
        <f>SUM(INDEX(BE:BE,X65):INDEX(BE:BE,X65+Y65-1))</f>
        <v>2</v>
      </c>
      <c r="BG65" s="25" t="str">
        <f t="shared" si="6"/>
        <v/>
      </c>
    </row>
    <row r="66" spans="1:59" x14ac:dyDescent="0.3">
      <c r="A66" s="1">
        <v>45448</v>
      </c>
      <c r="B66">
        <v>28.439900000000002</v>
      </c>
      <c r="C66">
        <v>28.439900000000002</v>
      </c>
      <c r="D66">
        <v>28.3323</v>
      </c>
      <c r="E66">
        <v>28.418199999999999</v>
      </c>
      <c r="F66">
        <v>5755</v>
      </c>
      <c r="G66" s="29">
        <v>0.50241735270197396</v>
      </c>
      <c r="H66" s="29">
        <v>1.7679422085212101E-2</v>
      </c>
      <c r="I66" s="29">
        <v>9.8246898114589601E-3</v>
      </c>
      <c r="J66" s="29">
        <v>50.032684480373398</v>
      </c>
      <c r="K66" s="29">
        <v>-1.48748756382747E-2</v>
      </c>
      <c r="L66" s="29">
        <v>0.6</v>
      </c>
      <c r="M66" s="29">
        <v>-8.5359127626604692E-3</v>
      </c>
      <c r="N66" s="29">
        <v>1.14361751381975</v>
      </c>
      <c r="O66" s="29">
        <v>-3.7134667380447302E-2</v>
      </c>
      <c r="P66" s="29">
        <v>9.1439488364990495E-3</v>
      </c>
      <c r="Q66" s="29">
        <v>1.1904761904761901E-2</v>
      </c>
      <c r="R66" s="30">
        <v>217781.3456</v>
      </c>
      <c r="S66" s="29">
        <v>3</v>
      </c>
      <c r="T66">
        <v>523.39200000000005</v>
      </c>
      <c r="U66" s="21"/>
      <c r="V66">
        <v>56</v>
      </c>
      <c r="W66" t="b">
        <f>V66&gt;=$C$4</f>
        <v>0</v>
      </c>
      <c r="X66">
        <f>IF(V66&lt;=$C$5,11,ROW()-$C$5+1)</f>
        <v>11</v>
      </c>
      <c r="Y66" s="14">
        <f t="shared" si="0"/>
        <v>56</v>
      </c>
      <c r="Z66" s="10">
        <f t="shared" si="7"/>
        <v>0.279200000000003</v>
      </c>
      <c r="AA66" s="15">
        <f t="shared" si="8"/>
        <v>9.8246898114589601E-3</v>
      </c>
      <c r="AB66" s="15">
        <f t="shared" si="9"/>
        <v>0.5024173527019743</v>
      </c>
      <c r="AC66" s="10">
        <f t="shared" si="1"/>
        <v>1.7679422085212095E-2</v>
      </c>
      <c r="AD66">
        <f t="shared" si="10"/>
        <v>0.25750000000000028</v>
      </c>
      <c r="AE66">
        <f t="shared" si="18"/>
        <v>0.25750000000000028</v>
      </c>
      <c r="AF66">
        <f t="shared" si="19"/>
        <v>0</v>
      </c>
      <c r="AG66">
        <f t="shared" si="27"/>
        <v>0.18426255835209118</v>
      </c>
      <c r="AH66">
        <f t="shared" si="27"/>
        <v>0.1823451153430562</v>
      </c>
      <c r="AI66">
        <f t="shared" si="11"/>
        <v>1.0105154613296199</v>
      </c>
      <c r="AJ66">
        <f t="shared" si="20"/>
        <v>50.261511575809159</v>
      </c>
      <c r="AK66" s="14">
        <f t="shared" si="2"/>
        <v>50.261511575809159</v>
      </c>
      <c r="AM66" s="14">
        <f t="shared" si="25"/>
        <v>-1.487487563827472E-2</v>
      </c>
      <c r="AN66" s="36">
        <f t="shared" si="12"/>
        <v>9.1439488364990495E-3</v>
      </c>
      <c r="AO66">
        <f t="shared" si="13"/>
        <v>1</v>
      </c>
      <c r="AP66" s="14">
        <f t="shared" si="22"/>
        <v>0.6</v>
      </c>
      <c r="AQ66">
        <f t="shared" si="14"/>
        <v>1.188411681118251E-2</v>
      </c>
      <c r="AR66">
        <f t="shared" si="15"/>
        <v>-2.7401679746834606E-3</v>
      </c>
      <c r="AU66" s="14"/>
      <c r="AV66" s="19"/>
      <c r="AW66" s="19">
        <f t="shared" si="24"/>
        <v>-3.713466738044735E-2</v>
      </c>
      <c r="AX66">
        <f t="shared" si="3"/>
        <v>0</v>
      </c>
      <c r="AY66">
        <f>IF(W66,SUMPRODUCT(INDEX(AX:AX,X66):INDEX(AX:AX,X66+Y66)),0)</f>
        <v>0</v>
      </c>
      <c r="AZ66">
        <f>IF(V66,COUNT(INDEX(AX:AX,X66):INDEX(AX:AX,ROW())),0)</f>
        <v>56</v>
      </c>
      <c r="BA66" s="14" t="str">
        <f t="shared" si="16"/>
        <v/>
      </c>
      <c r="BB66" s="6">
        <f t="shared" si="4"/>
        <v>163546.74099999998</v>
      </c>
      <c r="BC66" s="6">
        <f>MEDIAN(INDEX(BB:BB,X66):INDEX(BB:BB,X66+Y66-1))</f>
        <v>201739.94445000001</v>
      </c>
      <c r="BD66" s="25" t="str">
        <f t="shared" si="5"/>
        <v/>
      </c>
      <c r="BE66">
        <f t="shared" si="17"/>
        <v>0</v>
      </c>
      <c r="BF66" s="6">
        <f>SUM(INDEX(BE:BE,X66):INDEX(BE:BE,X66+Y66-1))</f>
        <v>2</v>
      </c>
      <c r="BG66" s="25" t="str">
        <f t="shared" si="6"/>
        <v/>
      </c>
    </row>
    <row r="67" spans="1:59" x14ac:dyDescent="0.3">
      <c r="A67" s="1">
        <v>45449</v>
      </c>
      <c r="B67">
        <v>28.101199999999999</v>
      </c>
      <c r="C67">
        <v>28.101199999999999</v>
      </c>
      <c r="D67">
        <v>27.916399999999999</v>
      </c>
      <c r="E67">
        <v>27.9758</v>
      </c>
      <c r="F67">
        <v>3331</v>
      </c>
      <c r="G67" s="29">
        <v>0.50237325608040395</v>
      </c>
      <c r="H67" s="29">
        <v>1.7957422346470998E-2</v>
      </c>
      <c r="I67" s="29">
        <v>1.7936931204826999E-2</v>
      </c>
      <c r="J67" s="29">
        <v>45.806373958346398</v>
      </c>
      <c r="K67" s="29">
        <v>-3.8354714075540697E-2</v>
      </c>
      <c r="L67" s="29">
        <v>0.4</v>
      </c>
      <c r="M67" s="29">
        <v>-3.2888809019734698E-2</v>
      </c>
      <c r="N67" s="29">
        <v>1.1337583669398601</v>
      </c>
      <c r="O67" s="29">
        <v>-5.2124062315766599E-2</v>
      </c>
      <c r="P67" s="29">
        <v>-1.5567488440506301E-2</v>
      </c>
      <c r="Q67" s="29">
        <v>1.1904761904761901E-2</v>
      </c>
      <c r="R67" s="30">
        <v>217781.3456</v>
      </c>
      <c r="S67" s="29">
        <v>3</v>
      </c>
      <c r="T67">
        <v>523.38300000000004</v>
      </c>
      <c r="U67" s="21"/>
      <c r="V67">
        <v>57</v>
      </c>
      <c r="W67" t="b">
        <f>V67&gt;=$C$4</f>
        <v>0</v>
      </c>
      <c r="X67">
        <f>IF(V67&lt;=$C$5,11,ROW()-$C$5+1)</f>
        <v>11</v>
      </c>
      <c r="Y67" s="14">
        <f t="shared" si="0"/>
        <v>57</v>
      </c>
      <c r="Z67" s="10">
        <f t="shared" si="7"/>
        <v>0.50179999999999936</v>
      </c>
      <c r="AA67" s="15">
        <f t="shared" si="8"/>
        <v>1.7936931204827006E-2</v>
      </c>
      <c r="AB67" s="15">
        <f t="shared" si="9"/>
        <v>0.50237325608040462</v>
      </c>
      <c r="AC67" s="10">
        <f t="shared" si="1"/>
        <v>1.7957422346471043E-2</v>
      </c>
      <c r="AD67">
        <f t="shared" si="10"/>
        <v>-0.44239999999999924</v>
      </c>
      <c r="AE67">
        <f t="shared" si="18"/>
        <v>0</v>
      </c>
      <c r="AF67">
        <f t="shared" si="19"/>
        <v>0.44239999999999924</v>
      </c>
      <c r="AG67">
        <f t="shared" si="27"/>
        <v>0.17110094704122752</v>
      </c>
      <c r="AH67">
        <f t="shared" si="27"/>
        <v>0.20092046424712356</v>
      </c>
      <c r="AI67">
        <f t="shared" si="11"/>
        <v>0.8515854653350825</v>
      </c>
      <c r="AJ67">
        <f t="shared" si="20"/>
        <v>45.992231051617729</v>
      </c>
      <c r="AK67" s="14">
        <f t="shared" si="2"/>
        <v>45.992231051617729</v>
      </c>
      <c r="AM67" s="14">
        <f t="shared" si="25"/>
        <v>-3.8354714075540697E-2</v>
      </c>
      <c r="AN67" s="36">
        <f t="shared" si="12"/>
        <v>-1.5567488440506372E-2</v>
      </c>
      <c r="AO67">
        <f t="shared" si="13"/>
        <v>0</v>
      </c>
      <c r="AP67" s="14">
        <f t="shared" si="22"/>
        <v>0.4</v>
      </c>
      <c r="AQ67">
        <f t="shared" si="14"/>
        <v>-1.7195524578128563E-5</v>
      </c>
      <c r="AR67">
        <f t="shared" si="15"/>
        <v>-1.5550292915928172E-2</v>
      </c>
      <c r="AU67" s="14"/>
      <c r="AV67" s="19"/>
      <c r="AW67" s="19">
        <f t="shared" si="24"/>
        <v>-5.2124062315766606E-2</v>
      </c>
      <c r="AX67">
        <f t="shared" si="3"/>
        <v>0</v>
      </c>
      <c r="AY67">
        <f>IF(W67,SUMPRODUCT(INDEX(AX:AX,X67):INDEX(AX:AX,X67+Y67)),0)</f>
        <v>0</v>
      </c>
      <c r="AZ67">
        <f>IF(V67,COUNT(INDEX(AX:AX,X67):INDEX(AX:AX,ROW())),0)</f>
        <v>57</v>
      </c>
      <c r="BA67" s="14" t="str">
        <f t="shared" si="16"/>
        <v/>
      </c>
      <c r="BB67" s="6">
        <f t="shared" si="4"/>
        <v>93187.389800000004</v>
      </c>
      <c r="BC67" s="6">
        <f>MEDIAN(INDEX(BB:BB,X67):INDEX(BB:BB,X67+Y67-1))</f>
        <v>195234.1764</v>
      </c>
      <c r="BD67" s="25" t="str">
        <f t="shared" si="5"/>
        <v/>
      </c>
      <c r="BE67">
        <f t="shared" si="17"/>
        <v>0</v>
      </c>
      <c r="BF67" s="6">
        <f>SUM(INDEX(BE:BE,X67):INDEX(BE:BE,X67+Y67-1))</f>
        <v>2</v>
      </c>
      <c r="BG67" s="25" t="str">
        <f t="shared" si="6"/>
        <v/>
      </c>
    </row>
    <row r="68" spans="1:59" x14ac:dyDescent="0.3">
      <c r="A68" s="1">
        <v>45450</v>
      </c>
      <c r="B68">
        <v>27.5136</v>
      </c>
      <c r="C68">
        <v>27.5532</v>
      </c>
      <c r="D68">
        <v>27.361699999999999</v>
      </c>
      <c r="E68">
        <v>27.361699999999999</v>
      </c>
      <c r="F68">
        <v>3483</v>
      </c>
      <c r="G68" s="29">
        <v>0.51035373778894699</v>
      </c>
      <c r="H68" s="29">
        <v>1.8652120949683201E-2</v>
      </c>
      <c r="I68" s="29">
        <v>2.2443780905426199E-2</v>
      </c>
      <c r="J68" s="29">
        <v>40.670695139256203</v>
      </c>
      <c r="K68" s="29">
        <v>-4.9759502682803998E-2</v>
      </c>
      <c r="L68" s="29">
        <v>0.2</v>
      </c>
      <c r="M68" s="29">
        <v>-4.9638388655232103E-2</v>
      </c>
      <c r="N68" s="29">
        <v>1.13737955769351</v>
      </c>
      <c r="O68" s="29">
        <v>-7.2930995927384001E-2</v>
      </c>
      <c r="P68" s="29">
        <v>-2.1951114892156801E-2</v>
      </c>
      <c r="Q68" s="29">
        <v>1.1904761904761901E-2</v>
      </c>
      <c r="R68" s="30">
        <v>217781.3456</v>
      </c>
      <c r="S68" s="29">
        <v>3</v>
      </c>
      <c r="T68">
        <v>522.74599999999998</v>
      </c>
      <c r="U68" s="21"/>
      <c r="V68">
        <v>58</v>
      </c>
      <c r="W68" t="b">
        <f>V68&gt;=$C$4</f>
        <v>0</v>
      </c>
      <c r="X68">
        <f>IF(V68&lt;=$C$5,11,ROW()-$C$5+1)</f>
        <v>11</v>
      </c>
      <c r="Y68" s="14">
        <f t="shared" si="0"/>
        <v>58</v>
      </c>
      <c r="Z68" s="10">
        <f t="shared" si="7"/>
        <v>0.61410000000000053</v>
      </c>
      <c r="AA68" s="15">
        <f t="shared" si="8"/>
        <v>2.2443780905426217E-2</v>
      </c>
      <c r="AB68" s="15">
        <f t="shared" si="9"/>
        <v>0.51035373778894721</v>
      </c>
      <c r="AC68" s="10">
        <f t="shared" si="1"/>
        <v>1.8652120949683215E-2</v>
      </c>
      <c r="AD68">
        <f t="shared" si="10"/>
        <v>-0.61410000000000053</v>
      </c>
      <c r="AE68">
        <f t="shared" si="18"/>
        <v>0</v>
      </c>
      <c r="AF68">
        <f t="shared" si="19"/>
        <v>0.61410000000000053</v>
      </c>
      <c r="AG68">
        <f t="shared" si="27"/>
        <v>0.15887945082399699</v>
      </c>
      <c r="AH68">
        <f t="shared" si="27"/>
        <v>0.23043328822947193</v>
      </c>
      <c r="AI68">
        <f t="shared" si="11"/>
        <v>0.68948133338174811</v>
      </c>
      <c r="AJ68">
        <f t="shared" si="20"/>
        <v>40.810236831776578</v>
      </c>
      <c r="AK68" s="14">
        <f t="shared" si="2"/>
        <v>40.810236831776578</v>
      </c>
      <c r="AM68" s="14">
        <f t="shared" si="25"/>
        <v>-4.9759502682804047E-2</v>
      </c>
      <c r="AN68" s="36">
        <f t="shared" si="12"/>
        <v>-2.1951114892156842E-2</v>
      </c>
      <c r="AO68">
        <f t="shared" si="13"/>
        <v>0</v>
      </c>
      <c r="AP68" s="14">
        <f t="shared" si="22"/>
        <v>0.2</v>
      </c>
      <c r="AQ68">
        <f t="shared" si="14"/>
        <v>-1.2170819457262283E-3</v>
      </c>
      <c r="AR68">
        <f t="shared" si="15"/>
        <v>-2.0734032946430572E-2</v>
      </c>
      <c r="AU68" s="14"/>
      <c r="AV68" s="19"/>
      <c r="AW68" s="19">
        <f t="shared" si="24"/>
        <v>-7.2930995927384057E-2</v>
      </c>
      <c r="AX68">
        <f t="shared" si="3"/>
        <v>0</v>
      </c>
      <c r="AY68">
        <f>IF(W68,SUMPRODUCT(INDEX(AX:AX,X68):INDEX(AX:AX,X68+Y68)),0)</f>
        <v>0</v>
      </c>
      <c r="AZ68">
        <f>IF(V68,COUNT(INDEX(AX:AX,X68):INDEX(AX:AX,ROW())),0)</f>
        <v>58</v>
      </c>
      <c r="BA68" s="14" t="str">
        <f t="shared" si="16"/>
        <v/>
      </c>
      <c r="BB68" s="6">
        <f t="shared" si="4"/>
        <v>95300.801099999997</v>
      </c>
      <c r="BC68" s="6">
        <f>MEDIAN(INDEX(BB:BB,X68):INDEX(BB:BB,X68+Y68-1))</f>
        <v>189351.30660000001</v>
      </c>
      <c r="BD68" s="25" t="str">
        <f t="shared" si="5"/>
        <v/>
      </c>
      <c r="BE68">
        <f t="shared" si="17"/>
        <v>0</v>
      </c>
      <c r="BF68" s="6">
        <f>SUM(INDEX(BE:BE,X68):INDEX(BE:BE,X68+Y68-1))</f>
        <v>2</v>
      </c>
      <c r="BG68" s="25" t="str">
        <f t="shared" si="6"/>
        <v/>
      </c>
    </row>
    <row r="69" spans="1:59" x14ac:dyDescent="0.3">
      <c r="A69" s="1">
        <v>45453</v>
      </c>
      <c r="B69">
        <v>27.170200000000001</v>
      </c>
      <c r="C69">
        <v>27.500399999999999</v>
      </c>
      <c r="D69">
        <v>27.170200000000001</v>
      </c>
      <c r="E69">
        <v>27.500399999999999</v>
      </c>
      <c r="F69">
        <v>9541</v>
      </c>
      <c r="G69" s="29">
        <v>0.497485613661165</v>
      </c>
      <c r="H69" s="29">
        <v>1.8090122822255798E-2</v>
      </c>
      <c r="I69" s="29">
        <v>1.20070980785733E-2</v>
      </c>
      <c r="J69" s="29">
        <v>42.245687341328598</v>
      </c>
      <c r="K69" s="29">
        <v>-5.7692373586987498E-2</v>
      </c>
      <c r="L69" s="29">
        <v>0.4</v>
      </c>
      <c r="M69" s="29">
        <v>-5.7321191343404701E-2</v>
      </c>
      <c r="N69" s="29">
        <v>1.14463518763389</v>
      </c>
      <c r="O69" s="29">
        <v>-6.8231563111993507E-2</v>
      </c>
      <c r="P69" s="29">
        <v>5.0691294766040899E-3</v>
      </c>
      <c r="Q69" s="29">
        <v>1.1904761904761901E-2</v>
      </c>
      <c r="R69" s="30">
        <v>220180.92619999999</v>
      </c>
      <c r="S69" s="29">
        <v>3</v>
      </c>
      <c r="T69">
        <v>524.36099999999999</v>
      </c>
      <c r="U69" s="21"/>
      <c r="V69">
        <v>59</v>
      </c>
      <c r="W69" t="b">
        <f>V69&gt;=$C$4</f>
        <v>0</v>
      </c>
      <c r="X69">
        <f>IF(V69&lt;=$C$5,11,ROW()-$C$5+1)</f>
        <v>11</v>
      </c>
      <c r="Y69" s="14">
        <f t="shared" si="0"/>
        <v>59</v>
      </c>
      <c r="Z69" s="10">
        <f t="shared" si="7"/>
        <v>0.33019999999999783</v>
      </c>
      <c r="AA69" s="15">
        <f t="shared" si="8"/>
        <v>1.2007098078573324E-2</v>
      </c>
      <c r="AB69" s="15">
        <f t="shared" si="9"/>
        <v>0.49748561366116512</v>
      </c>
      <c r="AC69" s="10">
        <f t="shared" si="1"/>
        <v>1.8090122822255864E-2</v>
      </c>
      <c r="AD69">
        <f t="shared" si="10"/>
        <v>0.13870000000000005</v>
      </c>
      <c r="AE69">
        <f t="shared" si="18"/>
        <v>0.13870000000000005</v>
      </c>
      <c r="AF69">
        <f t="shared" si="19"/>
        <v>0</v>
      </c>
      <c r="AG69">
        <f t="shared" si="27"/>
        <v>0.15743806147942577</v>
      </c>
      <c r="AH69">
        <f t="shared" si="27"/>
        <v>0.21397376764165249</v>
      </c>
      <c r="AI69">
        <f t="shared" si="11"/>
        <v>0.73578206905760257</v>
      </c>
      <c r="AJ69">
        <f t="shared" si="20"/>
        <v>42.389081104926738</v>
      </c>
      <c r="AK69" s="14">
        <f t="shared" si="2"/>
        <v>42.389081104926738</v>
      </c>
      <c r="AM69" s="14">
        <f t="shared" si="25"/>
        <v>-5.7692373586987533E-2</v>
      </c>
      <c r="AN69" s="36">
        <f t="shared" si="12"/>
        <v>5.0691294766040951E-3</v>
      </c>
      <c r="AO69">
        <f t="shared" si="13"/>
        <v>1</v>
      </c>
      <c r="AP69" s="14">
        <f t="shared" si="22"/>
        <v>0.4</v>
      </c>
      <c r="AQ69">
        <f t="shared" si="14"/>
        <v>3.0894545343245206E-3</v>
      </c>
      <c r="AR69">
        <f t="shared" si="15"/>
        <v>1.9796749422795693E-3</v>
      </c>
      <c r="AU69" s="14"/>
      <c r="AV69" s="19"/>
      <c r="AW69" s="19">
        <f t="shared" si="24"/>
        <v>-6.8231563111993521E-2</v>
      </c>
      <c r="AX69">
        <f t="shared" si="3"/>
        <v>0</v>
      </c>
      <c r="AY69">
        <f>IF(W69,SUMPRODUCT(INDEX(AX:AX,X69):INDEX(AX:AX,X69+Y69)),0)</f>
        <v>0</v>
      </c>
      <c r="AZ69">
        <f>IF(V69,COUNT(INDEX(AX:AX,X69):INDEX(AX:AX,ROW())),0)</f>
        <v>59</v>
      </c>
      <c r="BA69" s="14" t="str">
        <f t="shared" si="16"/>
        <v/>
      </c>
      <c r="BB69" s="6">
        <f t="shared" si="4"/>
        <v>262381.31640000001</v>
      </c>
      <c r="BC69" s="6">
        <f>MEDIAN(INDEX(BB:BB,X69):INDEX(BB:BB,X69+Y69-1))</f>
        <v>195234.1764</v>
      </c>
      <c r="BD69" s="25" t="str">
        <f t="shared" si="5"/>
        <v/>
      </c>
      <c r="BE69">
        <f t="shared" si="17"/>
        <v>0</v>
      </c>
      <c r="BF69" s="6">
        <f>SUM(INDEX(BE:BE,X69):INDEX(BE:BE,X69+Y69-1))</f>
        <v>2</v>
      </c>
      <c r="BG69" s="25" t="str">
        <f t="shared" si="6"/>
        <v/>
      </c>
    </row>
    <row r="70" spans="1:59" x14ac:dyDescent="0.3">
      <c r="A70" s="1">
        <v>45454</v>
      </c>
      <c r="B70">
        <v>27.2165</v>
      </c>
      <c r="C70">
        <v>27.2165</v>
      </c>
      <c r="D70">
        <v>27.1768</v>
      </c>
      <c r="E70">
        <v>27.1768</v>
      </c>
      <c r="F70">
        <v>1665</v>
      </c>
      <c r="G70" s="29">
        <v>0.48506521268536701</v>
      </c>
      <c r="H70" s="29">
        <v>1.78485036017988E-2</v>
      </c>
      <c r="I70" s="29">
        <v>1.19072149774807E-2</v>
      </c>
      <c r="J70" s="29">
        <v>39.604093973317099</v>
      </c>
      <c r="K70" s="29">
        <v>-6.9201604257927804E-2</v>
      </c>
      <c r="L70" s="29">
        <v>0.4</v>
      </c>
      <c r="M70" s="29">
        <v>-5.7661410246222802E-2</v>
      </c>
      <c r="N70" s="29">
        <v>1.18816576041827</v>
      </c>
      <c r="O70" s="29">
        <v>-7.9195776948045304E-2</v>
      </c>
      <c r="P70" s="29">
        <v>-1.17671015694317E-2</v>
      </c>
      <c r="Q70" s="29">
        <v>1.1904761904761901E-2</v>
      </c>
      <c r="R70" s="30">
        <v>220180.92619999999</v>
      </c>
      <c r="S70" s="29">
        <v>3</v>
      </c>
      <c r="T70">
        <v>525.62400000000002</v>
      </c>
      <c r="U70" s="21"/>
      <c r="V70">
        <v>60</v>
      </c>
      <c r="W70" t="b">
        <f>V70&gt;=$C$4</f>
        <v>0</v>
      </c>
      <c r="X70">
        <f>IF(V70&lt;=$C$5,11,ROW()-$C$5+1)</f>
        <v>11</v>
      </c>
      <c r="Y70" s="14">
        <f t="shared" si="0"/>
        <v>60</v>
      </c>
      <c r="Z70" s="10">
        <f t="shared" si="7"/>
        <v>0.323599999999999</v>
      </c>
      <c r="AA70" s="15">
        <f t="shared" si="8"/>
        <v>1.1907214977480755E-2</v>
      </c>
      <c r="AB70" s="15">
        <f t="shared" si="9"/>
        <v>0.48506521268536756</v>
      </c>
      <c r="AC70" s="10">
        <f t="shared" si="1"/>
        <v>1.7848503601798873E-2</v>
      </c>
      <c r="AD70">
        <f t="shared" si="10"/>
        <v>-0.323599999999999</v>
      </c>
      <c r="AE70">
        <f t="shared" si="18"/>
        <v>0</v>
      </c>
      <c r="AF70">
        <f t="shared" si="19"/>
        <v>0.323599999999999</v>
      </c>
      <c r="AG70">
        <f t="shared" si="27"/>
        <v>0.14619248565946677</v>
      </c>
      <c r="AH70">
        <f t="shared" si="27"/>
        <v>0.22180421281010582</v>
      </c>
      <c r="AI70">
        <f t="shared" si="11"/>
        <v>0.65910599175421059</v>
      </c>
      <c r="AJ70">
        <f t="shared" si="20"/>
        <v>39.72657533816286</v>
      </c>
      <c r="AK70" s="14">
        <f t="shared" si="2"/>
        <v>39.72657533816286</v>
      </c>
      <c r="AM70" s="14">
        <f t="shared" si="25"/>
        <v>-6.9201604257927873E-2</v>
      </c>
      <c r="AN70" s="36">
        <f t="shared" si="12"/>
        <v>-1.1767101569431726E-2</v>
      </c>
      <c r="AO70">
        <f t="shared" si="13"/>
        <v>0</v>
      </c>
      <c r="AP70" s="14">
        <f t="shared" si="22"/>
        <v>0.4</v>
      </c>
      <c r="AQ70">
        <f t="shared" si="14"/>
        <v>2.4086459519301329E-3</v>
      </c>
      <c r="AR70">
        <f t="shared" si="15"/>
        <v>-1.4175747521361833E-2</v>
      </c>
      <c r="AU70" s="14"/>
      <c r="AV70" s="19"/>
      <c r="AW70" s="19">
        <f t="shared" si="24"/>
        <v>-7.919577694804536E-2</v>
      </c>
      <c r="AX70">
        <f t="shared" si="3"/>
        <v>0</v>
      </c>
      <c r="AY70">
        <f>IF(W70,SUMPRODUCT(INDEX(AX:AX,X70):INDEX(AX:AX,X70+Y70)),0)</f>
        <v>0</v>
      </c>
      <c r="AZ70">
        <f>IF(V70,COUNT(INDEX(AX:AX,X70):INDEX(AX:AX,ROW())),0)</f>
        <v>60</v>
      </c>
      <c r="BA70" s="14" t="str">
        <f t="shared" si="16"/>
        <v/>
      </c>
      <c r="BB70" s="6">
        <f t="shared" si="4"/>
        <v>45249.372000000003</v>
      </c>
      <c r="BC70" s="6">
        <f>MEDIAN(INDEX(BB:BB,X70):INDEX(BB:BB,X70+Y70-1))</f>
        <v>189351.30660000001</v>
      </c>
      <c r="BD70" s="25" t="str">
        <f t="shared" si="5"/>
        <v/>
      </c>
      <c r="BE70">
        <f t="shared" si="17"/>
        <v>0</v>
      </c>
      <c r="BF70" s="6">
        <f>SUM(INDEX(BE:BE,X70):INDEX(BE:BE,X70+Y70-1))</f>
        <v>2</v>
      </c>
      <c r="BG70" s="25" t="str">
        <f t="shared" si="6"/>
        <v/>
      </c>
    </row>
    <row r="71" spans="1:59" x14ac:dyDescent="0.3">
      <c r="A71" s="1">
        <v>45455</v>
      </c>
      <c r="B71">
        <v>27.924299999999999</v>
      </c>
      <c r="C71">
        <v>28.081399999999999</v>
      </c>
      <c r="D71">
        <v>27.625800000000002</v>
      </c>
      <c r="E71">
        <v>27.625800000000002</v>
      </c>
      <c r="F71">
        <v>10298</v>
      </c>
      <c r="G71" s="29">
        <v>0.51503198320784105</v>
      </c>
      <c r="H71" s="29">
        <v>1.8643151807652299E-2</v>
      </c>
      <c r="I71" s="29">
        <v>3.2744753093122997E-2</v>
      </c>
      <c r="J71" s="29">
        <v>44.764940265932502</v>
      </c>
      <c r="K71" s="29">
        <v>-4.6817584283037797E-2</v>
      </c>
      <c r="L71" s="29">
        <v>0.4</v>
      </c>
      <c r="M71" s="29">
        <v>-5.6195093234110302E-2</v>
      </c>
      <c r="N71" s="29">
        <v>1.2148945122332799</v>
      </c>
      <c r="O71" s="29">
        <v>-6.3982760840544398E-2</v>
      </c>
      <c r="P71" s="29">
        <v>1.6521444761708502E-2</v>
      </c>
      <c r="Q71" s="29">
        <v>1.1904761904761901E-2</v>
      </c>
      <c r="R71" s="30">
        <v>220448.2211</v>
      </c>
      <c r="S71" s="29">
        <v>3</v>
      </c>
      <c r="T71">
        <v>529.94100000000003</v>
      </c>
      <c r="U71" s="21"/>
      <c r="V71">
        <v>61</v>
      </c>
      <c r="W71" t="b">
        <f>V71&gt;=$C$4</f>
        <v>0</v>
      </c>
      <c r="X71">
        <f>IF(V71&lt;=$C$5,11,ROW()-$C$5+1)</f>
        <v>11</v>
      </c>
      <c r="Y71" s="14">
        <f t="shared" si="0"/>
        <v>61</v>
      </c>
      <c r="Z71" s="10">
        <f t="shared" si="7"/>
        <v>0.90459999999999852</v>
      </c>
      <c r="AA71" s="15">
        <f t="shared" si="8"/>
        <v>3.2744753093123039E-2</v>
      </c>
      <c r="AB71" s="15">
        <f t="shared" si="9"/>
        <v>0.51503198320784116</v>
      </c>
      <c r="AC71" s="10">
        <f t="shared" si="1"/>
        <v>1.8643151807652306E-2</v>
      </c>
      <c r="AD71">
        <f t="shared" si="10"/>
        <v>0.44900000000000162</v>
      </c>
      <c r="AE71">
        <f t="shared" si="18"/>
        <v>0.44900000000000162</v>
      </c>
      <c r="AF71">
        <f t="shared" si="19"/>
        <v>0</v>
      </c>
      <c r="AG71">
        <f t="shared" si="27"/>
        <v>0.16782159382664785</v>
      </c>
      <c r="AH71">
        <f t="shared" si="27"/>
        <v>0.20596105475224111</v>
      </c>
      <c r="AI71">
        <f t="shared" si="11"/>
        <v>0.81482197704088888</v>
      </c>
      <c r="AJ71">
        <f t="shared" si="20"/>
        <v>44.898176644823081</v>
      </c>
      <c r="AK71" s="14">
        <f t="shared" si="2"/>
        <v>44.898176644823081</v>
      </c>
      <c r="AM71" s="14">
        <f t="shared" si="25"/>
        <v>-4.6817584283037839E-2</v>
      </c>
      <c r="AN71" s="36">
        <f t="shared" si="12"/>
        <v>1.6521444761708581E-2</v>
      </c>
      <c r="AO71">
        <f t="shared" si="13"/>
        <v>1</v>
      </c>
      <c r="AP71" s="14">
        <f t="shared" si="22"/>
        <v>0.4</v>
      </c>
      <c r="AQ71">
        <f t="shared" si="14"/>
        <v>8.2130952924523992E-3</v>
      </c>
      <c r="AR71">
        <f t="shared" si="15"/>
        <v>8.3083494692561023E-3</v>
      </c>
      <c r="AU71" s="14"/>
      <c r="AV71" s="19"/>
      <c r="AW71" s="19">
        <f t="shared" si="24"/>
        <v>-6.3982760840544439E-2</v>
      </c>
      <c r="AX71">
        <f t="shared" si="3"/>
        <v>0</v>
      </c>
      <c r="AY71">
        <f>IF(W71,SUMPRODUCT(INDEX(AX:AX,X71):INDEX(AX:AX,X71+Y71)),0)</f>
        <v>0</v>
      </c>
      <c r="AZ71">
        <f>IF(V71,COUNT(INDEX(AX:AX,X71):INDEX(AX:AX,ROW())),0)</f>
        <v>61</v>
      </c>
      <c r="BA71" s="14" t="str">
        <f t="shared" si="16"/>
        <v/>
      </c>
      <c r="BB71" s="6">
        <f t="shared" si="4"/>
        <v>284490.48840000003</v>
      </c>
      <c r="BC71" s="6">
        <f>MEDIAN(INDEX(BB:BB,X71):INDEX(BB:BB,X71+Y71-1))</f>
        <v>195234.1764</v>
      </c>
      <c r="BD71" s="25" t="str">
        <f t="shared" si="5"/>
        <v/>
      </c>
      <c r="BE71">
        <f t="shared" si="17"/>
        <v>0</v>
      </c>
      <c r="BF71" s="6">
        <f>SUM(INDEX(BE:BE,X71):INDEX(BE:BE,X71+Y71-1))</f>
        <v>2</v>
      </c>
      <c r="BG71" s="25" t="str">
        <f t="shared" si="6"/>
        <v/>
      </c>
    </row>
    <row r="72" spans="1:59" x14ac:dyDescent="0.3">
      <c r="A72" s="1">
        <v>45456</v>
      </c>
      <c r="B72">
        <v>27.506799999999998</v>
      </c>
      <c r="C72">
        <v>27.506799999999998</v>
      </c>
      <c r="D72">
        <v>27.103200000000001</v>
      </c>
      <c r="E72">
        <v>27.209099999999999</v>
      </c>
      <c r="F72">
        <v>17837</v>
      </c>
      <c r="G72" s="29">
        <v>0.51557255583585204</v>
      </c>
      <c r="H72" s="29">
        <v>1.8948533977083099E-2</v>
      </c>
      <c r="I72" s="29">
        <v>1.9206809486532101E-2</v>
      </c>
      <c r="J72" s="29">
        <v>41.242674757835601</v>
      </c>
      <c r="K72" s="29">
        <v>-7.6449184356480002E-2</v>
      </c>
      <c r="L72" s="29">
        <v>0.4</v>
      </c>
      <c r="M72" s="29">
        <v>-5.3192282580311098E-2</v>
      </c>
      <c r="N72" s="29">
        <v>1.1898218578583299</v>
      </c>
      <c r="O72" s="29">
        <v>-7.8101388484187198E-2</v>
      </c>
      <c r="P72" s="29">
        <v>-1.5083726082140699E-2</v>
      </c>
      <c r="Q72" s="29">
        <v>1.1904761904761901E-2</v>
      </c>
      <c r="R72" s="30">
        <v>222440.74739999999</v>
      </c>
      <c r="S72" s="29">
        <v>3</v>
      </c>
      <c r="T72">
        <v>531.00800000000004</v>
      </c>
      <c r="U72" s="21"/>
      <c r="V72">
        <v>62</v>
      </c>
      <c r="W72" t="b">
        <f>V72&gt;=$C$4</f>
        <v>0</v>
      </c>
      <c r="X72">
        <f>IF(V72&lt;=$C$5,11,ROW()-$C$5+1)</f>
        <v>11</v>
      </c>
      <c r="Y72" s="14">
        <f t="shared" si="0"/>
        <v>62</v>
      </c>
      <c r="Z72" s="10">
        <f t="shared" si="7"/>
        <v>0.52260000000000062</v>
      </c>
      <c r="AA72" s="15">
        <f t="shared" si="8"/>
        <v>1.9206809486532101E-2</v>
      </c>
      <c r="AB72" s="15">
        <f t="shared" si="9"/>
        <v>0.51557255583585249</v>
      </c>
      <c r="AC72" s="10">
        <f t="shared" si="1"/>
        <v>1.8948533977083126E-2</v>
      </c>
      <c r="AD72">
        <f t="shared" si="10"/>
        <v>-0.41670000000000229</v>
      </c>
      <c r="AE72">
        <f t="shared" si="18"/>
        <v>0</v>
      </c>
      <c r="AF72">
        <f t="shared" si="19"/>
        <v>0.41670000000000229</v>
      </c>
      <c r="AG72">
        <f t="shared" si="27"/>
        <v>0.15583433712474443</v>
      </c>
      <c r="AH72">
        <f t="shared" si="27"/>
        <v>0.22101383655565263</v>
      </c>
      <c r="AI72">
        <f t="shared" si="11"/>
        <v>0.70508860238487558</v>
      </c>
      <c r="AJ72">
        <f t="shared" si="20"/>
        <v>41.352021320105088</v>
      </c>
      <c r="AK72" s="14">
        <f t="shared" si="2"/>
        <v>41.352021320105088</v>
      </c>
      <c r="AM72" s="14">
        <f t="shared" si="25"/>
        <v>-7.6449184356480071E-2</v>
      </c>
      <c r="AN72" s="36">
        <f t="shared" si="12"/>
        <v>-1.5083726082140703E-2</v>
      </c>
      <c r="AO72">
        <f t="shared" si="13"/>
        <v>0</v>
      </c>
      <c r="AP72" s="14">
        <f t="shared" si="22"/>
        <v>0.4</v>
      </c>
      <c r="AQ72">
        <f t="shared" si="14"/>
        <v>2.013431683904443E-3</v>
      </c>
      <c r="AR72">
        <f t="shared" si="15"/>
        <v>-1.7097157766045142E-2</v>
      </c>
      <c r="AU72" s="14"/>
      <c r="AV72" s="19"/>
      <c r="AW72" s="19">
        <f t="shared" si="24"/>
        <v>-7.810138848418724E-2</v>
      </c>
      <c r="AX72">
        <f t="shared" si="3"/>
        <v>0</v>
      </c>
      <c r="AY72">
        <f>IF(W72,SUMPRODUCT(INDEX(AX:AX,X72):INDEX(AX:AX,X72+Y72)),0)</f>
        <v>0</v>
      </c>
      <c r="AZ72">
        <f>IF(V72,COUNT(INDEX(AX:AX,X72):INDEX(AX:AX,ROW())),0)</f>
        <v>62</v>
      </c>
      <c r="BA72" s="14" t="str">
        <f t="shared" si="16"/>
        <v/>
      </c>
      <c r="BB72" s="6">
        <f t="shared" si="4"/>
        <v>485328.71669999999</v>
      </c>
      <c r="BC72" s="6">
        <f>MEDIAN(INDEX(BB:BB,X72):INDEX(BB:BB,X72+Y72-1))</f>
        <v>201739.94445000001</v>
      </c>
      <c r="BD72" s="25" t="str">
        <f t="shared" si="5"/>
        <v/>
      </c>
      <c r="BE72">
        <f t="shared" si="17"/>
        <v>0</v>
      </c>
      <c r="BF72" s="6">
        <f>SUM(INDEX(BE:BE,X72):INDEX(BE:BE,X72+Y72-1))</f>
        <v>2</v>
      </c>
      <c r="BG72" s="25" t="str">
        <f t="shared" si="6"/>
        <v/>
      </c>
    </row>
    <row r="73" spans="1:59" x14ac:dyDescent="0.3">
      <c r="A73" s="1">
        <v>45457</v>
      </c>
      <c r="B73">
        <v>26.8386</v>
      </c>
      <c r="C73">
        <v>27.096599999999999</v>
      </c>
      <c r="D73">
        <v>26.7394</v>
      </c>
      <c r="E73">
        <v>27.017199999999999</v>
      </c>
      <c r="F73">
        <v>8918</v>
      </c>
      <c r="G73" s="29">
        <v>0.51229594470471995</v>
      </c>
      <c r="H73" s="29">
        <v>1.89618444807278E-2</v>
      </c>
      <c r="I73" s="29">
        <v>1.7385221266452401E-2</v>
      </c>
      <c r="J73" s="29">
        <v>39.693708647676303</v>
      </c>
      <c r="K73" s="29">
        <v>-5.6316037653469299E-2</v>
      </c>
      <c r="L73" s="29">
        <v>0.4</v>
      </c>
      <c r="M73" s="29">
        <v>-6.6763225397466805E-2</v>
      </c>
      <c r="N73" s="29">
        <v>1.20884481461627</v>
      </c>
      <c r="O73" s="29">
        <v>-8.4603343475343998E-2</v>
      </c>
      <c r="P73" s="29">
        <v>-7.0527874865394802E-3</v>
      </c>
      <c r="Q73" s="29">
        <v>1.1904761904761901E-2</v>
      </c>
      <c r="R73" s="30">
        <v>222440.74739999999</v>
      </c>
      <c r="S73" s="29">
        <v>3</v>
      </c>
      <c r="T73">
        <v>531.33100000000002</v>
      </c>
      <c r="U73" s="21"/>
      <c r="V73">
        <v>63</v>
      </c>
      <c r="W73" t="b">
        <f>V73&gt;=$C$4</f>
        <v>0</v>
      </c>
      <c r="X73">
        <f>IF(V73&lt;=$C$5,11,ROW()-$C$5+1)</f>
        <v>11</v>
      </c>
      <c r="Y73" s="14">
        <f t="shared" si="0"/>
        <v>63</v>
      </c>
      <c r="Z73" s="10">
        <f t="shared" si="7"/>
        <v>0.46969999999999956</v>
      </c>
      <c r="AA73" s="15">
        <f t="shared" si="8"/>
        <v>1.7385221266452467E-2</v>
      </c>
      <c r="AB73" s="15">
        <f t="shared" si="9"/>
        <v>0.51229594470472006</v>
      </c>
      <c r="AC73" s="10">
        <f t="shared" si="1"/>
        <v>1.8961844480727835E-2</v>
      </c>
      <c r="AD73">
        <f t="shared" si="10"/>
        <v>-0.1919000000000004</v>
      </c>
      <c r="AE73">
        <f t="shared" si="18"/>
        <v>0</v>
      </c>
      <c r="AF73">
        <f t="shared" si="19"/>
        <v>0.1919000000000004</v>
      </c>
      <c r="AG73">
        <f t="shared" si="27"/>
        <v>0.14470331304440553</v>
      </c>
      <c r="AH73">
        <f t="shared" si="27"/>
        <v>0.21893427680167749</v>
      </c>
      <c r="AI73">
        <f t="shared" si="11"/>
        <v>0.66094407489917906</v>
      </c>
      <c r="AJ73">
        <f t="shared" si="20"/>
        <v>39.793276901228538</v>
      </c>
      <c r="AK73" s="14">
        <f t="shared" si="2"/>
        <v>39.793276901228538</v>
      </c>
      <c r="AM73" s="14">
        <f t="shared" si="25"/>
        <v>-5.6316037653469375E-2</v>
      </c>
      <c r="AN73" s="36">
        <f t="shared" si="12"/>
        <v>-7.0527874865394802E-3</v>
      </c>
      <c r="AO73">
        <f t="shared" si="13"/>
        <v>0</v>
      </c>
      <c r="AP73" s="14">
        <f t="shared" si="22"/>
        <v>0.4</v>
      </c>
      <c r="AQ73">
        <f t="shared" si="14"/>
        <v>6.0827708810418102E-4</v>
      </c>
      <c r="AR73">
        <f t="shared" si="15"/>
        <v>-7.6610645746436612E-3</v>
      </c>
      <c r="AU73" s="14"/>
      <c r="AV73" s="19"/>
      <c r="AW73" s="19">
        <f t="shared" si="24"/>
        <v>-8.4603343475344039E-2</v>
      </c>
      <c r="AX73">
        <f t="shared" si="3"/>
        <v>0</v>
      </c>
      <c r="AY73">
        <f>IF(W73,SUMPRODUCT(INDEX(AX:AX,X73):INDEX(AX:AX,X73+Y73)),0)</f>
        <v>0</v>
      </c>
      <c r="AZ73">
        <f>IF(V73,COUNT(INDEX(AX:AX,X73):INDEX(AX:AX,ROW())),0)</f>
        <v>63</v>
      </c>
      <c r="BA73" s="14" t="str">
        <f t="shared" si="16"/>
        <v/>
      </c>
      <c r="BB73" s="6">
        <f t="shared" si="4"/>
        <v>240939.38959999999</v>
      </c>
      <c r="BC73" s="6">
        <f>MEDIAN(INDEX(BB:BB,X73):INDEX(BB:BB,X73+Y73-1))</f>
        <v>208245.71249999999</v>
      </c>
      <c r="BD73" s="25" t="str">
        <f t="shared" si="5"/>
        <v/>
      </c>
      <c r="BE73">
        <f t="shared" si="17"/>
        <v>0</v>
      </c>
      <c r="BF73" s="6">
        <f>SUM(INDEX(BE:BE,X73):INDEX(BE:BE,X73+Y73-1))</f>
        <v>2</v>
      </c>
      <c r="BG73" s="25" t="str">
        <f t="shared" si="6"/>
        <v/>
      </c>
    </row>
    <row r="74" spans="1:59" x14ac:dyDescent="0.3">
      <c r="A74" s="1">
        <v>45460</v>
      </c>
      <c r="B74">
        <v>26.792300000000001</v>
      </c>
      <c r="C74">
        <v>27.053599999999999</v>
      </c>
      <c r="D74">
        <v>26.792300000000001</v>
      </c>
      <c r="E74">
        <v>27.053599999999999</v>
      </c>
      <c r="F74">
        <v>3779</v>
      </c>
      <c r="G74" s="29">
        <v>0.49436766294009699</v>
      </c>
      <c r="H74" s="29">
        <v>1.8273636888994301E-2</v>
      </c>
      <c r="I74" s="29">
        <v>9.6586036608805603E-3</v>
      </c>
      <c r="J74" s="29">
        <v>40.152853409193497</v>
      </c>
      <c r="K74" s="29">
        <v>-8.3370038828767104E-2</v>
      </c>
      <c r="L74" s="29">
        <v>0.4</v>
      </c>
      <c r="M74" s="29">
        <v>-6.6285504839804596E-2</v>
      </c>
      <c r="N74" s="29">
        <v>1.2037601086838901</v>
      </c>
      <c r="O74" s="29">
        <v>-8.2344002279418793E-2</v>
      </c>
      <c r="P74" s="29">
        <v>1.34728987459831E-3</v>
      </c>
      <c r="Q74" s="29">
        <v>1.1904761904761901E-2</v>
      </c>
      <c r="R74" s="30">
        <v>220448.2211</v>
      </c>
      <c r="S74" s="29">
        <v>3</v>
      </c>
      <c r="T74">
        <v>535.55999999999995</v>
      </c>
      <c r="U74" s="21"/>
      <c r="V74">
        <v>64</v>
      </c>
      <c r="W74" t="b">
        <f>V74&gt;=$C$4</f>
        <v>0</v>
      </c>
      <c r="X74">
        <f>IF(V74&lt;=$C$5,11,ROW()-$C$5+1)</f>
        <v>11</v>
      </c>
      <c r="Y74" s="14">
        <f t="shared" si="0"/>
        <v>64</v>
      </c>
      <c r="Z74" s="10">
        <f t="shared" si="7"/>
        <v>0.26129999999999853</v>
      </c>
      <c r="AA74" s="15">
        <f t="shared" si="8"/>
        <v>9.658603660880569E-3</v>
      </c>
      <c r="AB74" s="15">
        <f t="shared" si="9"/>
        <v>0.4943676629400971</v>
      </c>
      <c r="AC74" s="10">
        <f t="shared" si="1"/>
        <v>1.8273636888994332E-2</v>
      </c>
      <c r="AD74">
        <f t="shared" si="10"/>
        <v>3.6400000000000432E-2</v>
      </c>
      <c r="AE74">
        <f t="shared" si="18"/>
        <v>3.6400000000000432E-2</v>
      </c>
      <c r="AF74">
        <f t="shared" si="19"/>
        <v>0</v>
      </c>
      <c r="AG74">
        <f t="shared" si="27"/>
        <v>0.13696736211266231</v>
      </c>
      <c r="AH74">
        <f t="shared" si="27"/>
        <v>0.20329611417298624</v>
      </c>
      <c r="AI74">
        <f t="shared" si="11"/>
        <v>0.67373330114965069</v>
      </c>
      <c r="AJ74">
        <f t="shared" si="20"/>
        <v>40.253324749341971</v>
      </c>
      <c r="AK74" s="14">
        <f t="shared" si="2"/>
        <v>40.253324749341971</v>
      </c>
      <c r="AM74" s="14">
        <f t="shared" si="25"/>
        <v>-8.3370038828767146E-2</v>
      </c>
      <c r="AN74" s="36">
        <f t="shared" si="12"/>
        <v>1.347289874598312E-3</v>
      </c>
      <c r="AO74">
        <f t="shared" si="13"/>
        <v>1</v>
      </c>
      <c r="AP74" s="14">
        <f t="shared" si="22"/>
        <v>0.4</v>
      </c>
      <c r="AQ74">
        <f t="shared" si="14"/>
        <v>7.9592570356330494E-3</v>
      </c>
      <c r="AR74">
        <f t="shared" si="15"/>
        <v>-6.6119671610347392E-3</v>
      </c>
      <c r="AS74">
        <f t="shared" ref="AS74:AS137" si="28">AVERAGE(AR12:AR74)</f>
        <v>-9.1556014523441114E-4</v>
      </c>
      <c r="AT74">
        <f t="shared" ref="AT74:AT137" si="29">_xlfn.STDEV.S(AR12:AR74)</f>
        <v>1.3812373420811885E-2</v>
      </c>
      <c r="AU74" s="14">
        <f>AS74/AT74</f>
        <v>-6.6285504839804346E-2</v>
      </c>
      <c r="AV74" s="19">
        <f t="shared" ref="AV74:AV137" si="30">_xlfn.COVARIANCE.S(P12:P74,AQ12:AQ74)/_xlfn.VAR.S(AQ12:AQ74)</f>
        <v>1.203760108683938</v>
      </c>
      <c r="AW74" s="19">
        <f t="shared" si="24"/>
        <v>-8.2344002279418849E-2</v>
      </c>
      <c r="AX74">
        <f t="shared" si="3"/>
        <v>0</v>
      </c>
      <c r="AY74">
        <f>IF(W74,SUMPRODUCT(INDEX(AX:AX,X74):INDEX(AX:AX,X74+Y74)),0)</f>
        <v>0</v>
      </c>
      <c r="AZ74">
        <f>IF(V74,COUNT(INDEX(AX:AX,X74):INDEX(AX:AX,ROW())),0)</f>
        <v>64</v>
      </c>
      <c r="BA74" s="14" t="str">
        <f t="shared" si="16"/>
        <v/>
      </c>
      <c r="BB74" s="6">
        <f t="shared" si="4"/>
        <v>102235.55439999999</v>
      </c>
      <c r="BC74" s="6">
        <f>MEDIAN(INDEX(BB:BB,X74):INDEX(BB:BB,X74+Y74-1))</f>
        <v>201739.94445000001</v>
      </c>
      <c r="BD74" s="25" t="str">
        <f t="shared" si="5"/>
        <v/>
      </c>
      <c r="BE74">
        <f t="shared" si="17"/>
        <v>0</v>
      </c>
      <c r="BF74" s="6">
        <f>SUM(INDEX(BE:BE,X74):INDEX(BE:BE,X74+Y74-1))</f>
        <v>2</v>
      </c>
      <c r="BG74" s="25" t="str">
        <f t="shared" si="6"/>
        <v/>
      </c>
    </row>
    <row r="75" spans="1:59" x14ac:dyDescent="0.3">
      <c r="A75" s="1">
        <v>45461</v>
      </c>
      <c r="B75">
        <v>27.314900000000002</v>
      </c>
      <c r="C75">
        <v>27.314900000000002</v>
      </c>
      <c r="D75">
        <v>27.314900000000002</v>
      </c>
      <c r="E75">
        <v>27.314900000000002</v>
      </c>
      <c r="F75">
        <v>1662</v>
      </c>
      <c r="G75" s="29">
        <v>0.47771997273008998</v>
      </c>
      <c r="H75" s="29">
        <v>1.7489354628063399E-2</v>
      </c>
      <c r="I75" s="29">
        <v>9.5662074545395399E-3</v>
      </c>
      <c r="J75" s="29">
        <v>43.479565477026902</v>
      </c>
      <c r="K75" s="29">
        <v>-7.0567699259581798E-2</v>
      </c>
      <c r="L75" s="29">
        <v>0.6</v>
      </c>
      <c r="M75" s="29">
        <v>-5.5919795234890698E-2</v>
      </c>
      <c r="N75" s="29">
        <v>1.21088859458561</v>
      </c>
      <c r="O75" s="29">
        <v>-7.3480726700405605E-2</v>
      </c>
      <c r="P75" s="29">
        <v>9.6586036608807806E-3</v>
      </c>
      <c r="Q75" s="29">
        <v>1.5873015873015799E-2</v>
      </c>
      <c r="R75" s="30">
        <v>220180.92619999999</v>
      </c>
      <c r="S75" s="29">
        <v>3</v>
      </c>
      <c r="T75">
        <v>536.92100000000005</v>
      </c>
      <c r="U75" s="21"/>
      <c r="V75">
        <v>65</v>
      </c>
      <c r="W75" t="b">
        <f>V75&gt;=$C$4</f>
        <v>0</v>
      </c>
      <c r="X75">
        <f>IF(V75&lt;=$C$5,11,ROW()-$C$5+1)</f>
        <v>11</v>
      </c>
      <c r="Y75" s="14">
        <f t="shared" ref="Y75:Y138" si="31">ROW()-X75+1</f>
        <v>65</v>
      </c>
      <c r="Z75" s="10">
        <f t="shared" si="7"/>
        <v>0.26130000000000209</v>
      </c>
      <c r="AA75" s="15">
        <f t="shared" si="8"/>
        <v>9.5662074545395399E-3</v>
      </c>
      <c r="AB75" s="15">
        <f t="shared" si="9"/>
        <v>0.47771997273009031</v>
      </c>
      <c r="AC75" s="10">
        <f t="shared" ref="AC75:AC138" si="32">AB75/E75</f>
        <v>1.7489354628063447E-2</v>
      </c>
      <c r="AD75">
        <f t="shared" si="10"/>
        <v>0.26130000000000209</v>
      </c>
      <c r="AE75">
        <f t="shared" si="18"/>
        <v>0.26130000000000209</v>
      </c>
      <c r="AF75">
        <f t="shared" si="19"/>
        <v>0</v>
      </c>
      <c r="AG75">
        <f t="shared" si="27"/>
        <v>0.14584826481890087</v>
      </c>
      <c r="AH75">
        <f t="shared" si="27"/>
        <v>0.18877496316063008</v>
      </c>
      <c r="AI75">
        <f t="shared" si="11"/>
        <v>0.77260385793214248</v>
      </c>
      <c r="AJ75">
        <f t="shared" si="20"/>
        <v>43.585816113106908</v>
      </c>
      <c r="AK75" s="14">
        <f t="shared" ref="AK75:AK138" si="33">IF(AH75=0,
    IF(AG75=0, 50, 100),
    IF(AG75=0, 0, 100-(100/(1+AG75/AH75)))
)</f>
        <v>43.585816113106908</v>
      </c>
      <c r="AM75" s="14">
        <f t="shared" si="25"/>
        <v>-7.056769925958184E-2</v>
      </c>
      <c r="AN75" s="36">
        <f t="shared" si="12"/>
        <v>9.6586036608807824E-3</v>
      </c>
      <c r="AO75">
        <f t="shared" si="13"/>
        <v>1</v>
      </c>
      <c r="AP75" s="14">
        <f t="shared" si="22"/>
        <v>0.6</v>
      </c>
      <c r="AQ75">
        <f t="shared" si="14"/>
        <v>2.5412652177161377E-3</v>
      </c>
      <c r="AR75">
        <f t="shared" si="15"/>
        <v>7.117338443164643E-3</v>
      </c>
      <c r="AS75">
        <f t="shared" si="28"/>
        <v>-7.7442414126673638E-4</v>
      </c>
      <c r="AT75">
        <f t="shared" si="29"/>
        <v>1.3848837214331298E-2</v>
      </c>
      <c r="AU75" s="14">
        <f t="shared" ref="AU75:AU138" si="34">AS75/AT75</f>
        <v>-5.5919795234890414E-2</v>
      </c>
      <c r="AV75" s="19">
        <f t="shared" si="30"/>
        <v>1.2108885945856647</v>
      </c>
      <c r="AW75" s="19">
        <f t="shared" si="24"/>
        <v>-7.3480726700405619E-2</v>
      </c>
      <c r="AX75">
        <f t="shared" ref="AX75:AX138" si="35">IF(OR(F75=0,C75=D75),1,0)</f>
        <v>1</v>
      </c>
      <c r="AY75">
        <f>IF(W75,SUMPRODUCT(INDEX(AX:AX,X75):INDEX(AX:AX,X75+Y75)),0)</f>
        <v>0</v>
      </c>
      <c r="AZ75">
        <f>IF(V75,COUNT(INDEX(AX:AX,X75):INDEX(AX:AX,ROW())),0)</f>
        <v>65</v>
      </c>
      <c r="BA75" s="14" t="str">
        <f t="shared" si="16"/>
        <v/>
      </c>
      <c r="BB75" s="6">
        <f t="shared" ref="BB75:BB138" si="36">E75*F75</f>
        <v>45397.363799999999</v>
      </c>
      <c r="BC75" s="6">
        <f>MEDIAN(INDEX(BB:BB,X75):INDEX(BB:BB,X75+Y75-1))</f>
        <v>195234.1764</v>
      </c>
      <c r="BD75" s="25" t="str">
        <f t="shared" ref="BD75:BD138" si="37">IF(W75,BC75,"")</f>
        <v/>
      </c>
      <c r="BE75">
        <f t="shared" si="17"/>
        <v>0</v>
      </c>
      <c r="BF75" s="6">
        <f>SUM(INDEX(BE:BE,X75):INDEX(BE:BE,X75+Y75-1))</f>
        <v>2</v>
      </c>
      <c r="BG75" s="25" t="str">
        <f t="shared" ref="BG75:BG138" si="38">IF(W75,BF75,"")</f>
        <v/>
      </c>
    </row>
    <row r="76" spans="1:59" x14ac:dyDescent="0.3">
      <c r="A76" s="1">
        <v>45463</v>
      </c>
      <c r="B76">
        <v>27.222300000000001</v>
      </c>
      <c r="C76">
        <v>27.222300000000001</v>
      </c>
      <c r="D76">
        <v>26.6203</v>
      </c>
      <c r="E76">
        <v>27.017199999999999</v>
      </c>
      <c r="F76">
        <v>8465</v>
      </c>
      <c r="G76" s="29">
        <v>0.49321140324936902</v>
      </c>
      <c r="H76" s="29">
        <v>1.82554596053391E-2</v>
      </c>
      <c r="I76" s="29">
        <v>2.57095479916498E-2</v>
      </c>
      <c r="J76" s="29">
        <v>40.703512431056197</v>
      </c>
      <c r="K76" s="29">
        <v>-8.0697408536585302E-2</v>
      </c>
      <c r="L76" s="29">
        <v>0.4</v>
      </c>
      <c r="M76" s="29">
        <v>-8.2987944489591195E-2</v>
      </c>
      <c r="N76" s="29">
        <v>1.1768235401893801</v>
      </c>
      <c r="O76" s="29">
        <v>-8.3578687434704202E-2</v>
      </c>
      <c r="P76" s="29">
        <v>-1.0898813468107201E-2</v>
      </c>
      <c r="Q76" s="29">
        <v>1.5873015873015799E-2</v>
      </c>
      <c r="R76" s="30">
        <v>220180.92619999999</v>
      </c>
      <c r="S76" s="29">
        <v>3</v>
      </c>
      <c r="T76">
        <v>535.46199999999999</v>
      </c>
      <c r="U76" s="21"/>
      <c r="V76">
        <v>66</v>
      </c>
      <c r="W76" t="b">
        <f>V76&gt;=$C$4</f>
        <v>0</v>
      </c>
      <c r="X76">
        <f>IF(V76&lt;=$C$5,11,ROW()-$C$5+1)</f>
        <v>11</v>
      </c>
      <c r="Y76" s="14">
        <f t="shared" si="31"/>
        <v>66</v>
      </c>
      <c r="Z76" s="10">
        <f t="shared" ref="Z76:Z139" si="39">MAX(C76-D76,ABS(C76-E75),ABS(D76-E75))</f>
        <v>0.69460000000000122</v>
      </c>
      <c r="AA76" s="15">
        <f t="shared" ref="AA76:AA139" si="40">Z76/E76</f>
        <v>2.570954799164981E-2</v>
      </c>
      <c r="AB76" s="15">
        <f t="shared" ref="AB76:AB139" si="41">(Z76+13*AB75)/14</f>
        <v>0.49321140324936963</v>
      </c>
      <c r="AC76" s="10">
        <f t="shared" si="32"/>
        <v>1.825545960533918E-2</v>
      </c>
      <c r="AD76">
        <f t="shared" ref="AD76:AD139" si="42">E76-E75</f>
        <v>-0.29770000000000252</v>
      </c>
      <c r="AE76">
        <f t="shared" si="18"/>
        <v>0</v>
      </c>
      <c r="AF76">
        <f t="shared" si="19"/>
        <v>0.29770000000000252</v>
      </c>
      <c r="AG76">
        <f t="shared" si="27"/>
        <v>0.13543053161755081</v>
      </c>
      <c r="AH76">
        <f t="shared" si="27"/>
        <v>0.19655532293487096</v>
      </c>
      <c r="AI76">
        <f t="shared" ref="AI76:AI139" si="43">AG76/AH76</f>
        <v>0.68901991355597125</v>
      </c>
      <c r="AJ76">
        <f t="shared" si="20"/>
        <v>40.794066903885465</v>
      </c>
      <c r="AK76" s="14">
        <f t="shared" si="33"/>
        <v>40.794066903885465</v>
      </c>
      <c r="AM76" s="14">
        <f t="shared" si="25"/>
        <v>-8.0697408536585358E-2</v>
      </c>
      <c r="AN76" s="36">
        <f t="shared" ref="AN76:AN139" si="44">E76/E75-1</f>
        <v>-1.0898813468107282E-2</v>
      </c>
      <c r="AO76">
        <f t="shared" si="13"/>
        <v>0</v>
      </c>
      <c r="AP76" s="14">
        <f t="shared" si="22"/>
        <v>0.4</v>
      </c>
      <c r="AQ76">
        <f t="shared" ref="AQ76:AQ139" si="45">T76/T75-1</f>
        <v>-2.7173457547760016E-3</v>
      </c>
      <c r="AR76">
        <f t="shared" ref="AR76:AR139" si="46">P76-AQ76</f>
        <v>-8.1814677133311992E-3</v>
      </c>
      <c r="AS76">
        <f t="shared" si="28"/>
        <v>-1.1397211758898118E-3</v>
      </c>
      <c r="AT76">
        <f t="shared" si="29"/>
        <v>1.3733575194560553E-2</v>
      </c>
      <c r="AU76" s="14">
        <f t="shared" si="34"/>
        <v>-8.2987944489590765E-2</v>
      </c>
      <c r="AV76" s="19">
        <f t="shared" si="30"/>
        <v>1.1768235401894296</v>
      </c>
      <c r="AW76" s="19">
        <f t="shared" si="24"/>
        <v>-8.3578687434704202E-2</v>
      </c>
      <c r="AX76">
        <f t="shared" si="35"/>
        <v>0</v>
      </c>
      <c r="AY76">
        <f>IF(W76,SUMPRODUCT(INDEX(AX:AX,X76):INDEX(AX:AX,X76+Y76)),0)</f>
        <v>0</v>
      </c>
      <c r="AZ76">
        <f>IF(V76,COUNT(INDEX(AX:AX,X76):INDEX(AX:AX,ROW())),0)</f>
        <v>66</v>
      </c>
      <c r="BA76" s="14" t="str">
        <f t="shared" ref="BA76:BA139" si="47">IF(W76,AY76/AZ76,"")</f>
        <v/>
      </c>
      <c r="BB76" s="6">
        <f t="shared" si="36"/>
        <v>228700.598</v>
      </c>
      <c r="BC76" s="6">
        <f>MEDIAN(INDEX(BB:BB,X76):INDEX(BB:BB,X76+Y76-1))</f>
        <v>201739.94445000001</v>
      </c>
      <c r="BD76" s="25" t="str">
        <f t="shared" si="37"/>
        <v/>
      </c>
      <c r="BE76">
        <f t="shared" ref="BE76:BE139" si="48">IF(F75=F76,1,0)</f>
        <v>0</v>
      </c>
      <c r="BF76" s="6">
        <f>SUM(INDEX(BE:BE,X76):INDEX(BE:BE,X76+Y76-1))</f>
        <v>2</v>
      </c>
      <c r="BG76" s="25" t="str">
        <f t="shared" si="38"/>
        <v/>
      </c>
    </row>
    <row r="77" spans="1:59" x14ac:dyDescent="0.3">
      <c r="A77" s="1">
        <v>45464</v>
      </c>
      <c r="B77">
        <v>26.871700000000001</v>
      </c>
      <c r="C77">
        <v>26.944500000000001</v>
      </c>
      <c r="D77">
        <v>26.537600000000001</v>
      </c>
      <c r="E77">
        <v>26.832000000000001</v>
      </c>
      <c r="F77">
        <v>2872</v>
      </c>
      <c r="G77" s="29">
        <v>0.49223916016012897</v>
      </c>
      <c r="H77" s="29">
        <v>1.8345228091835399E-2</v>
      </c>
      <c r="I77" s="29">
        <v>1.7874180083482301E-2</v>
      </c>
      <c r="J77" s="29">
        <v>39.033842220677997</v>
      </c>
      <c r="K77" s="29">
        <v>-8.8023166495591706E-2</v>
      </c>
      <c r="L77" s="29">
        <v>0.4</v>
      </c>
      <c r="M77" s="29">
        <v>-0.10169127370332801</v>
      </c>
      <c r="N77" s="29">
        <v>1.16963070171256</v>
      </c>
      <c r="O77" s="29">
        <v>-8.9860656961046295E-2</v>
      </c>
      <c r="P77" s="29">
        <v>-6.8548924388907003E-3</v>
      </c>
      <c r="Q77" s="29">
        <v>1.5873015873015799E-2</v>
      </c>
      <c r="R77" s="30">
        <v>217781.3456</v>
      </c>
      <c r="S77" s="29">
        <v>3</v>
      </c>
      <c r="T77">
        <v>534.74400000000003</v>
      </c>
      <c r="U77" s="21"/>
      <c r="V77">
        <v>67</v>
      </c>
      <c r="W77" t="b">
        <f>V77&gt;=$C$4</f>
        <v>0</v>
      </c>
      <c r="X77">
        <f>IF(V77&lt;=$C$5,11,ROW()-$C$5+1)</f>
        <v>11</v>
      </c>
      <c r="Y77" s="14">
        <f t="shared" si="31"/>
        <v>67</v>
      </c>
      <c r="Z77" s="10">
        <f t="shared" si="39"/>
        <v>0.47959999999999781</v>
      </c>
      <c r="AA77" s="15">
        <f t="shared" si="40"/>
        <v>1.7874180083482325E-2</v>
      </c>
      <c r="AB77" s="15">
        <f t="shared" si="41"/>
        <v>0.49223916016012881</v>
      </c>
      <c r="AC77" s="10">
        <f t="shared" si="32"/>
        <v>1.8345228091835451E-2</v>
      </c>
      <c r="AD77">
        <f t="shared" si="42"/>
        <v>-0.18519999999999825</v>
      </c>
      <c r="AE77">
        <f t="shared" ref="AE77:AE140" si="49">MAX($AD77,0)</f>
        <v>0</v>
      </c>
      <c r="AF77">
        <f t="shared" ref="AF77:AF140" si="50">MAX(-$AD77,0)</f>
        <v>0.18519999999999825</v>
      </c>
      <c r="AG77">
        <f t="shared" si="27"/>
        <v>0.12575692221629717</v>
      </c>
      <c r="AH77">
        <f t="shared" si="27"/>
        <v>0.19574422843952291</v>
      </c>
      <c r="AI77">
        <f t="shared" si="43"/>
        <v>0.6424553266210401</v>
      </c>
      <c r="AJ77">
        <f t="shared" ref="AJ77:AJ140" si="51">(100-(100/(1+AI77)))</f>
        <v>39.115543431110453</v>
      </c>
      <c r="AK77" s="14">
        <f t="shared" si="33"/>
        <v>39.115543431110453</v>
      </c>
      <c r="AM77" s="14">
        <f t="shared" si="25"/>
        <v>-8.802316649559172E-2</v>
      </c>
      <c r="AN77" s="36">
        <f t="shared" si="44"/>
        <v>-6.8548924388907029E-3</v>
      </c>
      <c r="AO77">
        <f t="shared" si="13"/>
        <v>0</v>
      </c>
      <c r="AP77" s="14">
        <f t="shared" si="22"/>
        <v>0.4</v>
      </c>
      <c r="AQ77">
        <f t="shared" si="45"/>
        <v>-1.3408981402974751E-3</v>
      </c>
      <c r="AR77">
        <f t="shared" si="46"/>
        <v>-5.5139942985932252E-3</v>
      </c>
      <c r="AS77">
        <f t="shared" si="28"/>
        <v>-1.389745855857335E-3</v>
      </c>
      <c r="AT77">
        <f t="shared" si="29"/>
        <v>1.3666323620960321E-2</v>
      </c>
      <c r="AU77" s="14">
        <f t="shared" si="34"/>
        <v>-0.10169127370332819</v>
      </c>
      <c r="AV77" s="19">
        <f t="shared" si="30"/>
        <v>1.1696307017126106</v>
      </c>
      <c r="AW77" s="19">
        <f t="shared" si="24"/>
        <v>-8.9860656961046392E-2</v>
      </c>
      <c r="AX77">
        <f t="shared" si="35"/>
        <v>0</v>
      </c>
      <c r="AY77">
        <f>IF(W77,SUMPRODUCT(INDEX(AX:AX,X77):INDEX(AX:AX,X77+Y77)),0)</f>
        <v>0</v>
      </c>
      <c r="AZ77">
        <f>IF(V77,COUNT(INDEX(AX:AX,X77):INDEX(AX:AX,ROW())),0)</f>
        <v>67</v>
      </c>
      <c r="BA77" s="14" t="str">
        <f t="shared" si="47"/>
        <v/>
      </c>
      <c r="BB77" s="6">
        <f t="shared" si="36"/>
        <v>77061.504000000001</v>
      </c>
      <c r="BC77" s="6">
        <f>MEDIAN(INDEX(BB:BB,X77):INDEX(BB:BB,X77+Y77-1))</f>
        <v>195234.1764</v>
      </c>
      <c r="BD77" s="25" t="str">
        <f t="shared" si="37"/>
        <v/>
      </c>
      <c r="BE77">
        <f t="shared" si="48"/>
        <v>0</v>
      </c>
      <c r="BF77" s="6">
        <f>SUM(INDEX(BE:BE,X77):INDEX(BE:BE,X77+Y77-1))</f>
        <v>2</v>
      </c>
      <c r="BG77" s="25" t="str">
        <f t="shared" si="38"/>
        <v/>
      </c>
    </row>
    <row r="78" spans="1:59" x14ac:dyDescent="0.3">
      <c r="A78" s="1">
        <v>45467</v>
      </c>
      <c r="B78">
        <v>26.785699999999999</v>
      </c>
      <c r="C78">
        <v>27.4406</v>
      </c>
      <c r="D78">
        <v>26.785699999999999</v>
      </c>
      <c r="E78">
        <v>27.314900000000002</v>
      </c>
      <c r="F78">
        <v>5139</v>
      </c>
      <c r="G78" s="29">
        <v>0.50385779157726196</v>
      </c>
      <c r="H78" s="29">
        <v>1.84462616219449E-2</v>
      </c>
      <c r="I78" s="29">
        <v>2.3975925227622999E-2</v>
      </c>
      <c r="J78" s="29">
        <v>45.330951536565202</v>
      </c>
      <c r="K78" s="29">
        <v>-6.6476418318523495E-2</v>
      </c>
      <c r="L78" s="29">
        <v>0.6</v>
      </c>
      <c r="M78" s="29">
        <v>-6.0610142600710799E-2</v>
      </c>
      <c r="N78" s="29">
        <v>1.1251934124466001</v>
      </c>
      <c r="O78" s="29">
        <v>-7.3480726700405605E-2</v>
      </c>
      <c r="P78" s="29">
        <v>1.7997167561120998E-2</v>
      </c>
      <c r="Q78" s="29">
        <v>1.5873015873015799E-2</v>
      </c>
      <c r="R78" s="30">
        <v>215113.61619999999</v>
      </c>
      <c r="S78" s="29">
        <v>3</v>
      </c>
      <c r="T78">
        <v>533.00599999999997</v>
      </c>
      <c r="U78" s="21"/>
      <c r="V78">
        <v>68</v>
      </c>
      <c r="W78" t="b">
        <f>V78&gt;=$C$4</f>
        <v>0</v>
      </c>
      <c r="X78">
        <f>IF(V78&lt;=$C$5,11,ROW()-$C$5+1)</f>
        <v>11</v>
      </c>
      <c r="Y78" s="14">
        <f t="shared" si="31"/>
        <v>68</v>
      </c>
      <c r="Z78" s="10">
        <f t="shared" si="39"/>
        <v>0.65490000000000137</v>
      </c>
      <c r="AA78" s="15">
        <f t="shared" si="40"/>
        <v>2.3975925227623068E-2</v>
      </c>
      <c r="AB78" s="15">
        <f t="shared" si="41"/>
        <v>0.50385779157726251</v>
      </c>
      <c r="AC78" s="10">
        <f t="shared" si="32"/>
        <v>1.844626162194489E-2</v>
      </c>
      <c r="AD78">
        <f t="shared" si="42"/>
        <v>0.48290000000000077</v>
      </c>
      <c r="AE78">
        <f t="shared" si="49"/>
        <v>0.48290000000000077</v>
      </c>
      <c r="AF78">
        <f t="shared" si="50"/>
        <v>0</v>
      </c>
      <c r="AG78">
        <f t="shared" ref="AG78:AH93" si="52">(AE78+13*AG77)/14</f>
        <v>0.15126714205799027</v>
      </c>
      <c r="AH78">
        <f t="shared" si="52"/>
        <v>0.18176249783669984</v>
      </c>
      <c r="AI78">
        <f t="shared" si="43"/>
        <v>0.83222415986983522</v>
      </c>
      <c r="AJ78">
        <f t="shared" si="51"/>
        <v>45.421525274994629</v>
      </c>
      <c r="AK78" s="14">
        <f t="shared" si="33"/>
        <v>45.421525274994629</v>
      </c>
      <c r="AM78" s="14">
        <f t="shared" si="25"/>
        <v>-6.6476418318523578E-2</v>
      </c>
      <c r="AN78" s="36">
        <f t="shared" si="44"/>
        <v>1.7997167561121019E-2</v>
      </c>
      <c r="AO78">
        <f t="shared" ref="AO78:AO141" si="53">IF(AN78&gt;0,1,0)</f>
        <v>1</v>
      </c>
      <c r="AP78" s="14">
        <f t="shared" si="22"/>
        <v>0.6</v>
      </c>
      <c r="AQ78">
        <f t="shared" si="45"/>
        <v>-3.2501533444041497E-3</v>
      </c>
      <c r="AR78">
        <f t="shared" si="46"/>
        <v>2.1247320905525148E-2</v>
      </c>
      <c r="AS78">
        <f t="shared" si="28"/>
        <v>-8.407667598648046E-4</v>
      </c>
      <c r="AT78">
        <f t="shared" si="29"/>
        <v>1.3871717237222759E-2</v>
      </c>
      <c r="AU78" s="14">
        <f t="shared" si="34"/>
        <v>-6.0610142600710445E-2</v>
      </c>
      <c r="AV78" s="19">
        <f t="shared" si="30"/>
        <v>1.1251934124466469</v>
      </c>
      <c r="AW78" s="19">
        <f t="shared" si="24"/>
        <v>-7.3480726700405619E-2</v>
      </c>
      <c r="AX78">
        <f t="shared" si="35"/>
        <v>0</v>
      </c>
      <c r="AY78">
        <f>IF(W78,SUMPRODUCT(INDEX(AX:AX,X78):INDEX(AX:AX,X78+Y78)),0)</f>
        <v>0</v>
      </c>
      <c r="AZ78">
        <f>IF(V78,COUNT(INDEX(AX:AX,X78):INDEX(AX:AX,ROW())),0)</f>
        <v>68</v>
      </c>
      <c r="BA78" s="14" t="str">
        <f t="shared" si="47"/>
        <v/>
      </c>
      <c r="BB78" s="6">
        <f t="shared" si="36"/>
        <v>140371.27110000001</v>
      </c>
      <c r="BC78" s="6">
        <f>MEDIAN(INDEX(BB:BB,X78):INDEX(BB:BB,X78+Y78-1))</f>
        <v>189351.30660000001</v>
      </c>
      <c r="BD78" s="25" t="str">
        <f t="shared" si="37"/>
        <v/>
      </c>
      <c r="BE78">
        <f t="shared" si="48"/>
        <v>0</v>
      </c>
      <c r="BF78" s="6">
        <f>SUM(INDEX(BE:BE,X78):INDEX(BE:BE,X78+Y78-1))</f>
        <v>2</v>
      </c>
      <c r="BG78" s="25" t="str">
        <f t="shared" si="38"/>
        <v/>
      </c>
    </row>
    <row r="79" spans="1:59" x14ac:dyDescent="0.3">
      <c r="A79" s="1">
        <v>45468</v>
      </c>
      <c r="B79">
        <v>27.195799999999998</v>
      </c>
      <c r="C79">
        <v>27.3215</v>
      </c>
      <c r="D79">
        <v>26.9511</v>
      </c>
      <c r="E79">
        <v>27.215699999999998</v>
      </c>
      <c r="F79">
        <v>3627</v>
      </c>
      <c r="G79" s="29">
        <v>0.49432509217888598</v>
      </c>
      <c r="H79" s="29">
        <v>1.81632326994671E-2</v>
      </c>
      <c r="I79" s="29">
        <v>1.36097914071657E-2</v>
      </c>
      <c r="J79" s="29">
        <v>44.318266662230499</v>
      </c>
      <c r="K79" s="29">
        <v>-6.8500980590133806E-2</v>
      </c>
      <c r="L79" s="29">
        <v>0.4</v>
      </c>
      <c r="M79" s="29">
        <v>-6.3011135474771302E-2</v>
      </c>
      <c r="N79" s="29">
        <v>1.11217545635431</v>
      </c>
      <c r="O79" s="29">
        <v>-7.6845582947776894E-2</v>
      </c>
      <c r="P79" s="29">
        <v>-3.6317174875252199E-3</v>
      </c>
      <c r="Q79" s="29">
        <v>1.5873015873015799E-2</v>
      </c>
      <c r="R79" s="30">
        <v>215113.61619999999</v>
      </c>
      <c r="S79" s="29">
        <v>3</v>
      </c>
      <c r="T79">
        <v>535.05899999999997</v>
      </c>
      <c r="U79" s="21"/>
      <c r="V79">
        <v>69</v>
      </c>
      <c r="W79" t="b">
        <f>V79&gt;=$C$4</f>
        <v>0</v>
      </c>
      <c r="X79">
        <f>IF(V79&lt;=$C$5,11,ROW()-$C$5+1)</f>
        <v>11</v>
      </c>
      <c r="Y79" s="14">
        <f t="shared" si="31"/>
        <v>69</v>
      </c>
      <c r="Z79" s="10">
        <f t="shared" si="39"/>
        <v>0.37040000000000006</v>
      </c>
      <c r="AA79" s="15">
        <f t="shared" si="40"/>
        <v>1.3609791407165721E-2</v>
      </c>
      <c r="AB79" s="15">
        <f t="shared" si="41"/>
        <v>0.49432509217888665</v>
      </c>
      <c r="AC79" s="10">
        <f t="shared" si="32"/>
        <v>1.8163232699467097E-2</v>
      </c>
      <c r="AD79">
        <f t="shared" si="42"/>
        <v>-9.9200000000003286E-2</v>
      </c>
      <c r="AE79">
        <f t="shared" si="49"/>
        <v>0</v>
      </c>
      <c r="AF79">
        <f t="shared" si="50"/>
        <v>9.9200000000003286E-2</v>
      </c>
      <c r="AG79">
        <f t="shared" si="52"/>
        <v>0.14046234619670525</v>
      </c>
      <c r="AH79">
        <f t="shared" si="52"/>
        <v>0.17586517656265008</v>
      </c>
      <c r="AI79">
        <f t="shared" si="43"/>
        <v>0.79869334533472602</v>
      </c>
      <c r="AJ79">
        <f t="shared" si="51"/>
        <v>44.404086299996514</v>
      </c>
      <c r="AK79" s="14">
        <f t="shared" si="33"/>
        <v>44.404086299996514</v>
      </c>
      <c r="AM79" s="14">
        <f t="shared" si="25"/>
        <v>-6.8500980590133875E-2</v>
      </c>
      <c r="AN79" s="36">
        <f t="shared" si="44"/>
        <v>-3.6317174875252212E-3</v>
      </c>
      <c r="AO79">
        <f t="shared" si="53"/>
        <v>0</v>
      </c>
      <c r="AP79" s="14">
        <f t="shared" ref="AP79:AP142" si="54">SUM(AO75:AO79) / 5</f>
        <v>0.4</v>
      </c>
      <c r="AQ79">
        <f t="shared" si="45"/>
        <v>3.8517390048142808E-3</v>
      </c>
      <c r="AR79">
        <f t="shared" si="46"/>
        <v>-7.4834564923395002E-3</v>
      </c>
      <c r="AS79">
        <f t="shared" si="28"/>
        <v>-8.7494765609272902E-4</v>
      </c>
      <c r="AT79">
        <f t="shared" si="29"/>
        <v>1.3885603703222404E-2</v>
      </c>
      <c r="AU79" s="14">
        <f t="shared" si="34"/>
        <v>-6.3011135474771024E-2</v>
      </c>
      <c r="AV79" s="19">
        <f t="shared" si="30"/>
        <v>1.1121754563543587</v>
      </c>
      <c r="AW79" s="19">
        <f t="shared" si="24"/>
        <v>-7.6845582947776991E-2</v>
      </c>
      <c r="AX79">
        <f t="shared" si="35"/>
        <v>0</v>
      </c>
      <c r="AY79">
        <f>IF(W79,SUMPRODUCT(INDEX(AX:AX,X79):INDEX(AX:AX,X79+Y79)),0)</f>
        <v>0</v>
      </c>
      <c r="AZ79">
        <f>IF(V79,COUNT(INDEX(AX:AX,X79):INDEX(AX:AX,ROW())),0)</f>
        <v>69</v>
      </c>
      <c r="BA79" s="14" t="str">
        <f t="shared" si="47"/>
        <v/>
      </c>
      <c r="BB79" s="6">
        <f t="shared" si="36"/>
        <v>98711.343899999993</v>
      </c>
      <c r="BC79" s="6">
        <f>MEDIAN(INDEX(BB:BB,X79):INDEX(BB:BB,X79+Y79-1))</f>
        <v>183468.4368</v>
      </c>
      <c r="BD79" s="25" t="str">
        <f t="shared" si="37"/>
        <v/>
      </c>
      <c r="BE79">
        <f t="shared" si="48"/>
        <v>0</v>
      </c>
      <c r="BF79" s="6">
        <f>SUM(INDEX(BE:BE,X79):INDEX(BE:BE,X79+Y79-1))</f>
        <v>2</v>
      </c>
      <c r="BG79" s="25" t="str">
        <f t="shared" si="38"/>
        <v/>
      </c>
    </row>
    <row r="80" spans="1:59" x14ac:dyDescent="0.3">
      <c r="A80" s="1">
        <v>45469</v>
      </c>
      <c r="B80">
        <v>27.116399999999999</v>
      </c>
      <c r="C80">
        <v>27.116399999999999</v>
      </c>
      <c r="D80">
        <v>26.9114</v>
      </c>
      <c r="E80">
        <v>27.1098</v>
      </c>
      <c r="F80">
        <v>5441</v>
      </c>
      <c r="G80" s="29">
        <v>0.48075187130896602</v>
      </c>
      <c r="H80" s="29">
        <v>1.77335085950086E-2</v>
      </c>
      <c r="I80" s="29">
        <v>1.1224723162841401E-2</v>
      </c>
      <c r="J80" s="29">
        <v>43.208534941031203</v>
      </c>
      <c r="K80" s="29">
        <v>-8.0437702671532996E-2</v>
      </c>
      <c r="L80" s="29">
        <v>0.2</v>
      </c>
      <c r="M80" s="29">
        <v>-5.1414086611338297E-2</v>
      </c>
      <c r="N80" s="29">
        <v>1.0972424147894</v>
      </c>
      <c r="O80" s="29">
        <v>-6.6003803538944902E-2</v>
      </c>
      <c r="P80" s="29">
        <v>-3.8911363661415701E-3</v>
      </c>
      <c r="Q80" s="29">
        <v>1.5873015873015799E-2</v>
      </c>
      <c r="R80" s="30">
        <v>214073.56890000001</v>
      </c>
      <c r="S80" s="29">
        <v>3</v>
      </c>
      <c r="T80">
        <v>535.72699999999998</v>
      </c>
      <c r="U80" s="21"/>
      <c r="V80">
        <v>70</v>
      </c>
      <c r="W80" t="b">
        <f>V80&gt;=$C$4</f>
        <v>0</v>
      </c>
      <c r="X80">
        <f>IF(V80&lt;=$C$5,11,ROW()-$C$5+1)</f>
        <v>11</v>
      </c>
      <c r="Y80" s="14">
        <f t="shared" si="31"/>
        <v>70</v>
      </c>
      <c r="Z80" s="10">
        <f t="shared" si="39"/>
        <v>0.30429999999999779</v>
      </c>
      <c r="AA80" s="15">
        <f t="shared" si="40"/>
        <v>1.1224723162841401E-2</v>
      </c>
      <c r="AB80" s="15">
        <f t="shared" si="41"/>
        <v>0.48075187130896602</v>
      </c>
      <c r="AC80" s="10">
        <f t="shared" si="32"/>
        <v>1.7733508595008669E-2</v>
      </c>
      <c r="AD80">
        <f t="shared" si="42"/>
        <v>-0.10589999999999833</v>
      </c>
      <c r="AE80">
        <f t="shared" si="49"/>
        <v>0</v>
      </c>
      <c r="AF80">
        <f t="shared" si="50"/>
        <v>0.10589999999999833</v>
      </c>
      <c r="AG80">
        <f t="shared" si="52"/>
        <v>0.13042932146836916</v>
      </c>
      <c r="AH80">
        <f t="shared" si="52"/>
        <v>0.17086766395103209</v>
      </c>
      <c r="AI80">
        <f t="shared" si="43"/>
        <v>0.76333531138898292</v>
      </c>
      <c r="AJ80">
        <f t="shared" si="51"/>
        <v>43.289288569154898</v>
      </c>
      <c r="AK80" s="14">
        <f t="shared" si="33"/>
        <v>43.289288569154898</v>
      </c>
      <c r="AM80" s="14">
        <f t="shared" si="25"/>
        <v>-8.0437702671533051E-2</v>
      </c>
      <c r="AN80" s="36">
        <f t="shared" si="44"/>
        <v>-3.8911363661415788E-3</v>
      </c>
      <c r="AO80">
        <f t="shared" si="53"/>
        <v>0</v>
      </c>
      <c r="AP80" s="14">
        <f t="shared" si="54"/>
        <v>0.2</v>
      </c>
      <c r="AQ80">
        <f t="shared" si="45"/>
        <v>1.2484604501559193E-3</v>
      </c>
      <c r="AR80">
        <f t="shared" si="46"/>
        <v>-5.1395968162974894E-3</v>
      </c>
      <c r="AS80">
        <f t="shared" si="28"/>
        <v>-7.0784683192069437E-4</v>
      </c>
      <c r="AT80">
        <f t="shared" si="29"/>
        <v>1.376756602274436E-2</v>
      </c>
      <c r="AU80" s="14">
        <f t="shared" si="34"/>
        <v>-5.1414086611338117E-2</v>
      </c>
      <c r="AV80" s="19">
        <f t="shared" si="30"/>
        <v>1.0972424147894491</v>
      </c>
      <c r="AW80" s="19">
        <f t="shared" si="24"/>
        <v>-6.6003803538944972E-2</v>
      </c>
      <c r="AX80">
        <f t="shared" si="35"/>
        <v>0</v>
      </c>
      <c r="AY80">
        <f>IF(W80,SUMPRODUCT(INDEX(AX:AX,X80):INDEX(AX:AX,X80+Y80)),0)</f>
        <v>0</v>
      </c>
      <c r="AZ80">
        <f>IF(V80,COUNT(INDEX(AX:AX,X80):INDEX(AX:AX,ROW())),0)</f>
        <v>70</v>
      </c>
      <c r="BA80" s="14" t="str">
        <f t="shared" si="47"/>
        <v/>
      </c>
      <c r="BB80" s="6">
        <f t="shared" si="36"/>
        <v>147504.42180000001</v>
      </c>
      <c r="BC80" s="6">
        <f>MEDIAN(INDEX(BB:BB,X80):INDEX(BB:BB,X80+Y80-1))</f>
        <v>180492.04139999999</v>
      </c>
      <c r="BD80" s="25" t="str">
        <f t="shared" si="37"/>
        <v/>
      </c>
      <c r="BE80">
        <f t="shared" si="48"/>
        <v>0</v>
      </c>
      <c r="BF80" s="6">
        <f>SUM(INDEX(BE:BE,X80):INDEX(BE:BE,X80+Y80-1))</f>
        <v>2</v>
      </c>
      <c r="BG80" s="25" t="str">
        <f t="shared" si="38"/>
        <v/>
      </c>
    </row>
    <row r="81" spans="1:59" x14ac:dyDescent="0.3">
      <c r="A81" s="1">
        <v>45470</v>
      </c>
      <c r="B81">
        <v>27.083400000000001</v>
      </c>
      <c r="C81">
        <v>27.658899999999999</v>
      </c>
      <c r="D81">
        <v>27.083400000000001</v>
      </c>
      <c r="E81">
        <v>27.581499999999998</v>
      </c>
      <c r="F81">
        <v>7558</v>
      </c>
      <c r="G81" s="29">
        <v>0.48751959478689699</v>
      </c>
      <c r="H81" s="29">
        <v>1.7675601210481499E-2</v>
      </c>
      <c r="I81" s="29">
        <v>2.08654351648749E-2</v>
      </c>
      <c r="J81" s="29">
        <v>49.2984479306675</v>
      </c>
      <c r="K81" s="29">
        <v>-4.9752632159197403E-2</v>
      </c>
      <c r="L81" s="29">
        <v>0.4</v>
      </c>
      <c r="M81" s="29">
        <v>-3.3852404627550403E-2</v>
      </c>
      <c r="N81" s="29">
        <v>1.0996703185035599</v>
      </c>
      <c r="O81" s="29">
        <v>-3.8821417992368101E-2</v>
      </c>
      <c r="P81" s="29">
        <v>1.7399611948446501E-2</v>
      </c>
      <c r="Q81" s="29">
        <v>1.5873015873015799E-2</v>
      </c>
      <c r="R81" s="30">
        <v>212645.93770000001</v>
      </c>
      <c r="S81" s="29">
        <v>3</v>
      </c>
      <c r="T81">
        <v>536.57100000000003</v>
      </c>
      <c r="U81" s="21"/>
      <c r="V81">
        <v>71</v>
      </c>
      <c r="W81" t="b">
        <f>V81&gt;=$C$4</f>
        <v>0</v>
      </c>
      <c r="X81">
        <f>IF(V81&lt;=$C$5,11,ROW()-$C$5+1)</f>
        <v>11</v>
      </c>
      <c r="Y81" s="14">
        <f t="shared" si="31"/>
        <v>71</v>
      </c>
      <c r="Z81" s="10">
        <f t="shared" si="39"/>
        <v>0.57549999999999812</v>
      </c>
      <c r="AA81" s="15">
        <f t="shared" si="40"/>
        <v>2.0865435164874942E-2</v>
      </c>
      <c r="AB81" s="15">
        <f t="shared" si="41"/>
        <v>0.48751959478689688</v>
      </c>
      <c r="AC81" s="10">
        <f t="shared" si="32"/>
        <v>1.7675601210481551E-2</v>
      </c>
      <c r="AD81">
        <f t="shared" si="42"/>
        <v>0.47169999999999845</v>
      </c>
      <c r="AE81">
        <f t="shared" si="49"/>
        <v>0.47169999999999845</v>
      </c>
      <c r="AF81">
        <f t="shared" si="50"/>
        <v>0</v>
      </c>
      <c r="AG81">
        <f t="shared" si="52"/>
        <v>0.15480579850634268</v>
      </c>
      <c r="AH81">
        <f t="shared" si="52"/>
        <v>0.15866283081167265</v>
      </c>
      <c r="AI81">
        <f t="shared" si="43"/>
        <v>0.97569038516709605</v>
      </c>
      <c r="AJ81">
        <f t="shared" si="51"/>
        <v>49.384781770073559</v>
      </c>
      <c r="AK81" s="14">
        <f t="shared" si="33"/>
        <v>49.384781770073559</v>
      </c>
      <c r="AM81" s="14">
        <f t="shared" si="25"/>
        <v>-4.9752632159197452E-2</v>
      </c>
      <c r="AN81" s="36">
        <f t="shared" si="44"/>
        <v>1.7399611948446525E-2</v>
      </c>
      <c r="AO81">
        <f t="shared" si="53"/>
        <v>1</v>
      </c>
      <c r="AP81" s="14">
        <f t="shared" si="54"/>
        <v>0.4</v>
      </c>
      <c r="AQ81">
        <f t="shared" si="45"/>
        <v>1.5754292764786904E-3</v>
      </c>
      <c r="AR81">
        <f t="shared" si="46"/>
        <v>1.582418267196781E-2</v>
      </c>
      <c r="AS81">
        <f t="shared" si="28"/>
        <v>-4.7133232902005266E-4</v>
      </c>
      <c r="AT81">
        <f t="shared" si="29"/>
        <v>1.392315654399532E-2</v>
      </c>
      <c r="AU81" s="14">
        <f t="shared" si="34"/>
        <v>-3.3852404627550174E-2</v>
      </c>
      <c r="AV81" s="19">
        <f t="shared" si="30"/>
        <v>1.0996703185036063</v>
      </c>
      <c r="AW81" s="19">
        <f t="shared" si="24"/>
        <v>-3.8821417992368157E-2</v>
      </c>
      <c r="AX81">
        <f t="shared" si="35"/>
        <v>0</v>
      </c>
      <c r="AY81">
        <f>IF(W81,SUMPRODUCT(INDEX(AX:AX,X81):INDEX(AX:AX,X81+Y81)),0)</f>
        <v>0</v>
      </c>
      <c r="AZ81">
        <f>IF(V81,COUNT(INDEX(AX:AX,X81):INDEX(AX:AX,ROW())),0)</f>
        <v>71</v>
      </c>
      <c r="BA81" s="14" t="str">
        <f t="shared" si="47"/>
        <v/>
      </c>
      <c r="BB81" s="6">
        <f t="shared" si="36"/>
        <v>208460.97699999998</v>
      </c>
      <c r="BC81" s="6">
        <f>MEDIAN(INDEX(BB:BB,X81):INDEX(BB:BB,X81+Y81-1))</f>
        <v>183468.4368</v>
      </c>
      <c r="BD81" s="25" t="str">
        <f t="shared" si="37"/>
        <v/>
      </c>
      <c r="BE81">
        <f t="shared" si="48"/>
        <v>0</v>
      </c>
      <c r="BF81" s="6">
        <f>SUM(INDEX(BE:BE,X81):INDEX(BE:BE,X81+Y81-1))</f>
        <v>2</v>
      </c>
      <c r="BG81" s="25" t="str">
        <f t="shared" si="38"/>
        <v/>
      </c>
    </row>
    <row r="82" spans="1:59" x14ac:dyDescent="0.3">
      <c r="A82" s="1">
        <v>45471</v>
      </c>
      <c r="B82">
        <v>27.784600000000001</v>
      </c>
      <c r="C82">
        <v>27.784600000000001</v>
      </c>
      <c r="D82">
        <v>27.4009</v>
      </c>
      <c r="E82">
        <v>27.513400000000001</v>
      </c>
      <c r="F82">
        <v>4081</v>
      </c>
      <c r="G82" s="29">
        <v>0.480103909444976</v>
      </c>
      <c r="H82" s="29">
        <v>1.74498211578712E-2</v>
      </c>
      <c r="I82" s="29">
        <v>1.3945931800504499E-2</v>
      </c>
      <c r="J82" s="29">
        <v>48.490010867490703</v>
      </c>
      <c r="K82" s="29">
        <v>-9.0439229951917392E-3</v>
      </c>
      <c r="L82" s="29">
        <v>0.4</v>
      </c>
      <c r="M82" s="29">
        <v>-4.5001099562683902E-2</v>
      </c>
      <c r="N82" s="29">
        <v>1.09937977311957</v>
      </c>
      <c r="O82" s="29">
        <v>-4.1194612395671702E-2</v>
      </c>
      <c r="P82" s="29">
        <v>-2.46904628102162E-3</v>
      </c>
      <c r="Q82" s="29">
        <v>1.5873015873015799E-2</v>
      </c>
      <c r="R82" s="30">
        <v>210968.8107</v>
      </c>
      <c r="S82" s="29">
        <v>3</v>
      </c>
      <c r="T82">
        <v>534.46</v>
      </c>
      <c r="U82" s="21"/>
      <c r="V82">
        <v>72</v>
      </c>
      <c r="W82" t="b">
        <f>V82&gt;=$C$4</f>
        <v>0</v>
      </c>
      <c r="X82">
        <f>IF(V82&lt;=$C$5,11,ROW()-$C$5+1)</f>
        <v>11</v>
      </c>
      <c r="Y82" s="14">
        <f t="shared" si="31"/>
        <v>72</v>
      </c>
      <c r="Z82" s="10">
        <f t="shared" si="39"/>
        <v>0.38370000000000104</v>
      </c>
      <c r="AA82" s="15">
        <f t="shared" si="40"/>
        <v>1.3945931800504519E-2</v>
      </c>
      <c r="AB82" s="15">
        <f t="shared" si="41"/>
        <v>0.48010390944497577</v>
      </c>
      <c r="AC82" s="10">
        <f t="shared" si="32"/>
        <v>1.7449821157871283E-2</v>
      </c>
      <c r="AD82">
        <f t="shared" si="42"/>
        <v>-6.8099999999997607E-2</v>
      </c>
      <c r="AE82">
        <f t="shared" si="49"/>
        <v>0</v>
      </c>
      <c r="AF82">
        <f t="shared" si="50"/>
        <v>6.8099999999997607E-2</v>
      </c>
      <c r="AG82">
        <f t="shared" si="52"/>
        <v>0.14374824147017534</v>
      </c>
      <c r="AH82">
        <f t="shared" si="52"/>
        <v>0.15219405718226728</v>
      </c>
      <c r="AI82">
        <f t="shared" si="43"/>
        <v>0.94450627134555432</v>
      </c>
      <c r="AJ82">
        <f t="shared" si="51"/>
        <v>48.573063777880094</v>
      </c>
      <c r="AK82" s="14">
        <f t="shared" si="33"/>
        <v>48.573063777880094</v>
      </c>
      <c r="AM82" s="14">
        <f t="shared" si="25"/>
        <v>-9.0439229951917444E-3</v>
      </c>
      <c r="AN82" s="36">
        <f t="shared" si="44"/>
        <v>-2.4690462810216252E-3</v>
      </c>
      <c r="AO82">
        <f t="shared" si="53"/>
        <v>0</v>
      </c>
      <c r="AP82" s="14">
        <f t="shared" si="54"/>
        <v>0.4</v>
      </c>
      <c r="AQ82">
        <f t="shared" si="45"/>
        <v>-3.9342416940162384E-3</v>
      </c>
      <c r="AR82">
        <f t="shared" si="46"/>
        <v>1.4651954129946184E-3</v>
      </c>
      <c r="AS82">
        <f t="shared" si="28"/>
        <v>-6.2315989608661721E-4</v>
      </c>
      <c r="AT82">
        <f t="shared" si="29"/>
        <v>1.3847659327048093E-2</v>
      </c>
      <c r="AU82" s="14">
        <f t="shared" si="34"/>
        <v>-4.5001099562683729E-2</v>
      </c>
      <c r="AV82" s="19">
        <f t="shared" si="30"/>
        <v>1.0993797731196238</v>
      </c>
      <c r="AW82" s="19">
        <f t="shared" si="24"/>
        <v>-4.1194612395671792E-2</v>
      </c>
      <c r="AX82">
        <f t="shared" si="35"/>
        <v>0</v>
      </c>
      <c r="AY82">
        <f>IF(W82,SUMPRODUCT(INDEX(AX:AX,X82):INDEX(AX:AX,X82+Y82)),0)</f>
        <v>0</v>
      </c>
      <c r="AZ82">
        <f>IF(V82,COUNT(INDEX(AX:AX,X82):INDEX(AX:AX,ROW())),0)</f>
        <v>72</v>
      </c>
      <c r="BA82" s="14" t="str">
        <f t="shared" si="47"/>
        <v/>
      </c>
      <c r="BB82" s="6">
        <f t="shared" si="36"/>
        <v>112282.1854</v>
      </c>
      <c r="BC82" s="6">
        <f>MEDIAN(INDEX(BB:BB,X82):INDEX(BB:BB,X82+Y82-1))</f>
        <v>180492.04139999999</v>
      </c>
      <c r="BD82" s="25" t="str">
        <f t="shared" si="37"/>
        <v/>
      </c>
      <c r="BE82">
        <f t="shared" si="48"/>
        <v>0</v>
      </c>
      <c r="BF82" s="6">
        <f>SUM(INDEX(BE:BE,X82):INDEX(BE:BE,X82+Y82-1))</f>
        <v>2</v>
      </c>
      <c r="BG82" s="25" t="str">
        <f t="shared" si="38"/>
        <v/>
      </c>
    </row>
    <row r="83" spans="1:59" x14ac:dyDescent="0.3">
      <c r="A83" s="1">
        <v>45474</v>
      </c>
      <c r="B83">
        <v>27.533200000000001</v>
      </c>
      <c r="C83">
        <v>27.744900000000001</v>
      </c>
      <c r="D83">
        <v>27.235499999999998</v>
      </c>
      <c r="E83">
        <v>27.619199999999999</v>
      </c>
      <c r="F83">
        <v>3174</v>
      </c>
      <c r="G83" s="29">
        <v>0.48219648734176301</v>
      </c>
      <c r="H83" s="29">
        <v>1.7458742010694101E-2</v>
      </c>
      <c r="I83" s="29">
        <v>1.8443691345151302E-2</v>
      </c>
      <c r="J83" s="29">
        <v>49.865548499159303</v>
      </c>
      <c r="K83" s="29">
        <v>-1.9688435040942101E-2</v>
      </c>
      <c r="L83" s="29">
        <v>0.4</v>
      </c>
      <c r="M83" s="29">
        <v>-2.7042695802488199E-2</v>
      </c>
      <c r="N83" s="29">
        <v>1.0882703180223601</v>
      </c>
      <c r="O83" s="29">
        <v>-3.7507623146486299E-2</v>
      </c>
      <c r="P83" s="29">
        <v>3.8453989692295298E-3</v>
      </c>
      <c r="Q83" s="29">
        <v>1.5873015873015799E-2</v>
      </c>
      <c r="R83" s="30">
        <v>210968.8107</v>
      </c>
      <c r="S83" s="29">
        <v>3</v>
      </c>
      <c r="T83">
        <v>535.55999999999995</v>
      </c>
      <c r="U83" s="21"/>
      <c r="V83">
        <v>73</v>
      </c>
      <c r="W83" t="b">
        <f>V83&gt;=$C$4</f>
        <v>0</v>
      </c>
      <c r="X83">
        <f>IF(V83&lt;=$C$5,11,ROW()-$C$5+1)</f>
        <v>11</v>
      </c>
      <c r="Y83" s="14">
        <f t="shared" si="31"/>
        <v>73</v>
      </c>
      <c r="Z83" s="10">
        <f t="shared" si="39"/>
        <v>0.50940000000000296</v>
      </c>
      <c r="AA83" s="15">
        <f t="shared" si="40"/>
        <v>1.8443691345151308E-2</v>
      </c>
      <c r="AB83" s="15">
        <f t="shared" si="41"/>
        <v>0.48219648734176346</v>
      </c>
      <c r="AC83" s="10">
        <f t="shared" si="32"/>
        <v>1.7458742010694136E-2</v>
      </c>
      <c r="AD83">
        <f t="shared" si="42"/>
        <v>0.10579999999999856</v>
      </c>
      <c r="AE83">
        <f t="shared" si="49"/>
        <v>0.10579999999999856</v>
      </c>
      <c r="AF83">
        <f t="shared" si="50"/>
        <v>0</v>
      </c>
      <c r="AG83">
        <f t="shared" si="52"/>
        <v>0.14103765279373415</v>
      </c>
      <c r="AH83">
        <f t="shared" si="52"/>
        <v>0.14132305309781962</v>
      </c>
      <c r="AI83">
        <f t="shared" si="43"/>
        <v>0.9979805113332223</v>
      </c>
      <c r="AJ83">
        <f t="shared" si="51"/>
        <v>49.949461752621644</v>
      </c>
      <c r="AK83" s="14">
        <f t="shared" si="33"/>
        <v>49.949461752621644</v>
      </c>
      <c r="AM83" s="14">
        <f t="shared" si="25"/>
        <v>-1.9688435040942198E-2</v>
      </c>
      <c r="AN83" s="36">
        <f t="shared" si="44"/>
        <v>3.8453989692295298E-3</v>
      </c>
      <c r="AO83">
        <f t="shared" si="53"/>
        <v>1</v>
      </c>
      <c r="AP83" s="14">
        <f t="shared" si="54"/>
        <v>0.4</v>
      </c>
      <c r="AQ83">
        <f t="shared" si="45"/>
        <v>2.0581521535754099E-3</v>
      </c>
      <c r="AR83">
        <f t="shared" si="46"/>
        <v>1.7872468156541199E-3</v>
      </c>
      <c r="AS83">
        <f t="shared" si="28"/>
        <v>-3.7165367164011061E-4</v>
      </c>
      <c r="AT83">
        <f t="shared" si="29"/>
        <v>1.3743218292827056E-2</v>
      </c>
      <c r="AU83" s="14">
        <f t="shared" si="34"/>
        <v>-2.7042695802488005E-2</v>
      </c>
      <c r="AV83" s="19">
        <f t="shared" si="30"/>
        <v>1.0882703180224107</v>
      </c>
      <c r="AW83" s="19">
        <f t="shared" si="24"/>
        <v>-3.7507623146486369E-2</v>
      </c>
      <c r="AX83">
        <f t="shared" si="35"/>
        <v>0</v>
      </c>
      <c r="AY83">
        <f>IF(W83,SUMPRODUCT(INDEX(AX:AX,X83):INDEX(AX:AX,X83+Y83)),0)</f>
        <v>0</v>
      </c>
      <c r="AZ83">
        <f>IF(V83,COUNT(INDEX(AX:AX,X83):INDEX(AX:AX,ROW())),0)</f>
        <v>73</v>
      </c>
      <c r="BA83" s="14" t="str">
        <f t="shared" si="47"/>
        <v/>
      </c>
      <c r="BB83" s="6">
        <f t="shared" si="36"/>
        <v>87663.340799999991</v>
      </c>
      <c r="BC83" s="6">
        <f>MEDIAN(INDEX(BB:BB,X83):INDEX(BB:BB,X83+Y83-1))</f>
        <v>177515.64600000001</v>
      </c>
      <c r="BD83" s="25" t="str">
        <f t="shared" si="37"/>
        <v/>
      </c>
      <c r="BE83">
        <f t="shared" si="48"/>
        <v>0</v>
      </c>
      <c r="BF83" s="6">
        <f>SUM(INDEX(BE:BE,X83):INDEX(BE:BE,X83+Y83-1))</f>
        <v>2</v>
      </c>
      <c r="BG83" s="25" t="str">
        <f t="shared" si="38"/>
        <v/>
      </c>
    </row>
    <row r="84" spans="1:59" x14ac:dyDescent="0.3">
      <c r="A84" s="1">
        <v>45475</v>
      </c>
      <c r="B84">
        <v>27.546500000000002</v>
      </c>
      <c r="C84">
        <v>27.672799999999999</v>
      </c>
      <c r="D84">
        <v>27.546500000000002</v>
      </c>
      <c r="E84">
        <v>27.672799999999999</v>
      </c>
      <c r="F84">
        <v>3476</v>
      </c>
      <c r="G84" s="29">
        <v>0.45677530967449398</v>
      </c>
      <c r="H84" s="29">
        <v>1.6506291725972601E-2</v>
      </c>
      <c r="I84" s="29">
        <v>4.56404845190934E-3</v>
      </c>
      <c r="J84" s="29">
        <v>50.585493443441599</v>
      </c>
      <c r="K84" s="29">
        <v>-3.5639734453137201E-2</v>
      </c>
      <c r="L84" s="29">
        <v>0.6</v>
      </c>
      <c r="M84" s="29">
        <v>-2.0885704183386599E-2</v>
      </c>
      <c r="N84" s="29">
        <v>1.0526564207565401</v>
      </c>
      <c r="O84" s="29">
        <v>-3.2967340177941201E-2</v>
      </c>
      <c r="P84" s="29">
        <v>1.94067894797811E-3</v>
      </c>
      <c r="Q84" s="29">
        <v>1.5873015873015799E-2</v>
      </c>
      <c r="R84" s="30">
        <v>209815.98194999999</v>
      </c>
      <c r="S84" s="29">
        <v>3</v>
      </c>
      <c r="T84">
        <v>539.16399999999999</v>
      </c>
      <c r="U84" s="21"/>
      <c r="V84">
        <v>74</v>
      </c>
      <c r="W84" t="b">
        <f>V84&gt;=$C$4</f>
        <v>0</v>
      </c>
      <c r="X84">
        <f>IF(V84&lt;=$C$5,11,ROW()-$C$5+1)</f>
        <v>11</v>
      </c>
      <c r="Y84" s="14">
        <f t="shared" si="31"/>
        <v>74</v>
      </c>
      <c r="Z84" s="10">
        <f t="shared" si="39"/>
        <v>0.12629999999999697</v>
      </c>
      <c r="AA84" s="15">
        <f t="shared" si="40"/>
        <v>4.564048451909347E-3</v>
      </c>
      <c r="AB84" s="15">
        <f t="shared" si="41"/>
        <v>0.45677530967449442</v>
      </c>
      <c r="AC84" s="10">
        <f t="shared" si="32"/>
        <v>1.6506291725972597E-2</v>
      </c>
      <c r="AD84">
        <f t="shared" si="42"/>
        <v>5.3599999999999426E-2</v>
      </c>
      <c r="AE84">
        <f t="shared" si="49"/>
        <v>5.3599999999999426E-2</v>
      </c>
      <c r="AF84">
        <f t="shared" si="50"/>
        <v>0</v>
      </c>
      <c r="AG84">
        <f t="shared" si="52"/>
        <v>0.13479210616561024</v>
      </c>
      <c r="AH84">
        <f t="shared" si="52"/>
        <v>0.13122854930511821</v>
      </c>
      <c r="AI84">
        <f t="shared" si="43"/>
        <v>1.0271553475166935</v>
      </c>
      <c r="AJ84">
        <f t="shared" si="51"/>
        <v>50.669789504537952</v>
      </c>
      <c r="AK84" s="14">
        <f t="shared" si="33"/>
        <v>50.669789504537952</v>
      </c>
      <c r="AM84" s="14">
        <f t="shared" si="25"/>
        <v>-3.5639734453137284E-2</v>
      </c>
      <c r="AN84" s="36">
        <f t="shared" si="44"/>
        <v>1.9406789479781139E-3</v>
      </c>
      <c r="AO84">
        <f t="shared" si="53"/>
        <v>1</v>
      </c>
      <c r="AP84" s="14">
        <f t="shared" si="54"/>
        <v>0.6</v>
      </c>
      <c r="AQ84">
        <f t="shared" si="45"/>
        <v>6.7294047352304265E-3</v>
      </c>
      <c r="AR84">
        <f t="shared" si="46"/>
        <v>-4.788725787252316E-3</v>
      </c>
      <c r="AS84">
        <f t="shared" si="28"/>
        <v>-2.8608982787300366E-4</v>
      </c>
      <c r="AT84">
        <f t="shared" si="29"/>
        <v>1.3697878001191485E-2</v>
      </c>
      <c r="AU84" s="14">
        <f t="shared" si="34"/>
        <v>-2.0885704183386557E-2</v>
      </c>
      <c r="AV84" s="19">
        <f t="shared" si="30"/>
        <v>1.0526564207565856</v>
      </c>
      <c r="AW84" s="19">
        <f t="shared" si="24"/>
        <v>-3.2967340177941229E-2</v>
      </c>
      <c r="AX84">
        <f t="shared" si="35"/>
        <v>0</v>
      </c>
      <c r="AY84">
        <f>IF(W84,SUMPRODUCT(INDEX(AX:AX,X84):INDEX(AX:AX,X84+Y84)),0)</f>
        <v>0</v>
      </c>
      <c r="AZ84">
        <f>IF(V84,COUNT(INDEX(AX:AX,X84):INDEX(AX:AX,ROW())),0)</f>
        <v>74</v>
      </c>
      <c r="BA84" s="14" t="str">
        <f t="shared" si="47"/>
        <v/>
      </c>
      <c r="BB84" s="6">
        <f t="shared" si="36"/>
        <v>96190.652799999996</v>
      </c>
      <c r="BC84" s="6">
        <f>MEDIAN(INDEX(BB:BB,X84):INDEX(BB:BB,X84+Y84-1))</f>
        <v>174920.74849999999</v>
      </c>
      <c r="BD84" s="25" t="str">
        <f t="shared" si="37"/>
        <v/>
      </c>
      <c r="BE84">
        <f t="shared" si="48"/>
        <v>0</v>
      </c>
      <c r="BF84" s="6">
        <f>SUM(INDEX(BE:BE,X84):INDEX(BE:BE,X84+Y84-1))</f>
        <v>2</v>
      </c>
      <c r="BG84" s="25" t="str">
        <f t="shared" si="38"/>
        <v/>
      </c>
    </row>
    <row r="85" spans="1:59" x14ac:dyDescent="0.3">
      <c r="A85" s="1">
        <v>45476</v>
      </c>
      <c r="B85">
        <v>27.6721</v>
      </c>
      <c r="C85">
        <v>28.5321</v>
      </c>
      <c r="D85">
        <v>27.6721</v>
      </c>
      <c r="E85">
        <v>28.525500000000001</v>
      </c>
      <c r="F85">
        <v>6953</v>
      </c>
      <c r="G85" s="29">
        <v>0.48557707326917299</v>
      </c>
      <c r="H85" s="29">
        <v>1.7022561331761801E-2</v>
      </c>
      <c r="I85" s="29">
        <v>3.0148463655325902E-2</v>
      </c>
      <c r="J85" s="29">
        <v>60.342282035971898</v>
      </c>
      <c r="K85" s="29">
        <v>-3.16953334125413E-3</v>
      </c>
      <c r="L85" s="29">
        <v>0.8</v>
      </c>
      <c r="M85" s="29">
        <v>4.7658538842237103E-3</v>
      </c>
      <c r="N85" s="29">
        <v>1.0862245857055199</v>
      </c>
      <c r="O85" s="29">
        <v>0</v>
      </c>
      <c r="P85" s="29">
        <v>3.0813650949669001E-2</v>
      </c>
      <c r="Q85" s="29">
        <v>1.5873015873015799E-2</v>
      </c>
      <c r="R85" s="30">
        <v>209815.98194999999</v>
      </c>
      <c r="S85" s="29">
        <v>3</v>
      </c>
      <c r="T85">
        <v>541.57000000000005</v>
      </c>
      <c r="U85" s="21"/>
      <c r="V85">
        <v>75</v>
      </c>
      <c r="W85" t="b">
        <f>V85&gt;=$C$4</f>
        <v>0</v>
      </c>
      <c r="X85">
        <f>IF(V85&lt;=$C$5,11,ROW()-$C$5+1)</f>
        <v>11</v>
      </c>
      <c r="Y85" s="14">
        <f t="shared" si="31"/>
        <v>75</v>
      </c>
      <c r="Z85" s="10">
        <f t="shared" si="39"/>
        <v>0.85999999999999943</v>
      </c>
      <c r="AA85" s="15">
        <f t="shared" si="40"/>
        <v>3.0148463655325915E-2</v>
      </c>
      <c r="AB85" s="15">
        <f t="shared" si="41"/>
        <v>0.48557707326917338</v>
      </c>
      <c r="AC85" s="10">
        <f t="shared" si="32"/>
        <v>1.7022561331761873E-2</v>
      </c>
      <c r="AD85">
        <f t="shared" si="42"/>
        <v>0.85270000000000223</v>
      </c>
      <c r="AE85">
        <f t="shared" si="49"/>
        <v>0.85270000000000223</v>
      </c>
      <c r="AF85">
        <f t="shared" si="50"/>
        <v>0</v>
      </c>
      <c r="AG85">
        <f t="shared" si="52"/>
        <v>0.18607124143949538</v>
      </c>
      <c r="AH85">
        <f t="shared" si="52"/>
        <v>0.12185508149760978</v>
      </c>
      <c r="AI85">
        <f t="shared" si="43"/>
        <v>1.5269879528425347</v>
      </c>
      <c r="AJ85">
        <f t="shared" si="51"/>
        <v>60.427195591687358</v>
      </c>
      <c r="AK85" s="14">
        <f t="shared" si="33"/>
        <v>60.427195591687358</v>
      </c>
      <c r="AM85" s="14">
        <f t="shared" si="25"/>
        <v>-3.1695333412541382E-3</v>
      </c>
      <c r="AN85" s="36">
        <f t="shared" si="44"/>
        <v>3.0813650949669036E-2</v>
      </c>
      <c r="AO85">
        <f t="shared" si="53"/>
        <v>1</v>
      </c>
      <c r="AP85" s="14">
        <f t="shared" si="54"/>
        <v>0.8</v>
      </c>
      <c r="AQ85">
        <f t="shared" si="45"/>
        <v>4.462464111105513E-3</v>
      </c>
      <c r="AR85">
        <f t="shared" si="46"/>
        <v>2.6351186838563488E-2</v>
      </c>
      <c r="AS85">
        <f t="shared" si="28"/>
        <v>6.7169739929544034E-5</v>
      </c>
      <c r="AT85">
        <f t="shared" si="29"/>
        <v>1.4093957045534485E-2</v>
      </c>
      <c r="AU85" s="14">
        <f t="shared" si="34"/>
        <v>4.7658538842238083E-3</v>
      </c>
      <c r="AV85" s="19">
        <f t="shared" si="30"/>
        <v>1.0862245857055677</v>
      </c>
      <c r="AW85" s="19">
        <f t="shared" si="24"/>
        <v>0</v>
      </c>
      <c r="AX85">
        <f t="shared" si="35"/>
        <v>0</v>
      </c>
      <c r="AY85">
        <f>IF(W85,SUMPRODUCT(INDEX(AX:AX,X85):INDEX(AX:AX,X85+Y85)),0)</f>
        <v>0</v>
      </c>
      <c r="AZ85">
        <f>IF(V85,COUNT(INDEX(AX:AX,X85):INDEX(AX:AX,ROW())),0)</f>
        <v>75</v>
      </c>
      <c r="BA85" s="14" t="str">
        <f t="shared" si="47"/>
        <v/>
      </c>
      <c r="BB85" s="6">
        <f t="shared" si="36"/>
        <v>198337.8015</v>
      </c>
      <c r="BC85" s="6">
        <f>MEDIAN(INDEX(BB:BB,X85):INDEX(BB:BB,X85+Y85-1))</f>
        <v>177515.64600000001</v>
      </c>
      <c r="BD85" s="25" t="str">
        <f t="shared" si="37"/>
        <v/>
      </c>
      <c r="BE85">
        <f t="shared" si="48"/>
        <v>0</v>
      </c>
      <c r="BF85" s="6">
        <f>SUM(INDEX(BE:BE,X85):INDEX(BE:BE,X85+Y85-1))</f>
        <v>2</v>
      </c>
      <c r="BG85" s="25" t="str">
        <f t="shared" si="38"/>
        <v/>
      </c>
    </row>
    <row r="86" spans="1:59" x14ac:dyDescent="0.3">
      <c r="A86" s="1">
        <v>45478</v>
      </c>
      <c r="B86">
        <v>28.4528</v>
      </c>
      <c r="C86">
        <v>28.4528</v>
      </c>
      <c r="D86">
        <v>28.148499999999999</v>
      </c>
      <c r="E86">
        <v>28.426300000000001</v>
      </c>
      <c r="F86">
        <v>6651</v>
      </c>
      <c r="G86" s="29">
        <v>0.477821568035661</v>
      </c>
      <c r="H86" s="29">
        <v>1.68091368920915E-2</v>
      </c>
      <c r="I86" s="29">
        <v>1.3262366189057399E-2</v>
      </c>
      <c r="J86" s="29">
        <v>58.885610262681098</v>
      </c>
      <c r="K86" s="29">
        <v>9.4315837319385292E-3</v>
      </c>
      <c r="L86" s="29">
        <v>0.6</v>
      </c>
      <c r="M86" s="29">
        <v>-2.7578455386568601E-3</v>
      </c>
      <c r="N86" s="29">
        <v>1.0613039176197501</v>
      </c>
      <c r="O86" s="29">
        <v>-3.4775902262887898E-3</v>
      </c>
      <c r="P86" s="29">
        <v>-3.4775902262887898E-3</v>
      </c>
      <c r="Q86" s="29">
        <v>1.5873015873015799E-2</v>
      </c>
      <c r="R86" s="30">
        <v>209815.98194999999</v>
      </c>
      <c r="S86" s="29">
        <v>3</v>
      </c>
      <c r="T86">
        <v>544.69299999999998</v>
      </c>
      <c r="U86" s="21"/>
      <c r="V86">
        <v>76</v>
      </c>
      <c r="W86" t="b">
        <f>V86&gt;=$C$4</f>
        <v>0</v>
      </c>
      <c r="X86">
        <f>IF(V86&lt;=$C$5,11,ROW()-$C$5+1)</f>
        <v>11</v>
      </c>
      <c r="Y86" s="14">
        <f t="shared" si="31"/>
        <v>76</v>
      </c>
      <c r="Z86" s="10">
        <f t="shared" si="39"/>
        <v>0.37700000000000244</v>
      </c>
      <c r="AA86" s="15">
        <f t="shared" si="40"/>
        <v>1.3262366189057403E-2</v>
      </c>
      <c r="AB86" s="15">
        <f t="shared" si="41"/>
        <v>0.47782156803566117</v>
      </c>
      <c r="AC86" s="10">
        <f t="shared" si="32"/>
        <v>1.6809136892091518E-2</v>
      </c>
      <c r="AD86">
        <f t="shared" si="42"/>
        <v>-9.9199999999999733E-2</v>
      </c>
      <c r="AE86">
        <f t="shared" si="49"/>
        <v>0</v>
      </c>
      <c r="AF86">
        <f t="shared" si="50"/>
        <v>9.9199999999999733E-2</v>
      </c>
      <c r="AG86">
        <f t="shared" si="52"/>
        <v>0.17278043847953142</v>
      </c>
      <c r="AH86">
        <f t="shared" si="52"/>
        <v>0.12023686139063763</v>
      </c>
      <c r="AI86">
        <f t="shared" si="43"/>
        <v>1.4370005710493798</v>
      </c>
      <c r="AJ86">
        <f t="shared" si="51"/>
        <v>58.965951346929842</v>
      </c>
      <c r="AK86" s="14">
        <f t="shared" si="33"/>
        <v>58.965951346929842</v>
      </c>
      <c r="AM86" s="14">
        <f t="shared" si="25"/>
        <v>9.4315837319385309E-3</v>
      </c>
      <c r="AN86" s="36">
        <f t="shared" si="44"/>
        <v>-3.4775902262887959E-3</v>
      </c>
      <c r="AO86">
        <f t="shared" si="53"/>
        <v>0</v>
      </c>
      <c r="AP86" s="14">
        <f t="shared" si="54"/>
        <v>0.6</v>
      </c>
      <c r="AQ86">
        <f t="shared" si="45"/>
        <v>5.766567572058845E-3</v>
      </c>
      <c r="AR86">
        <f t="shared" si="46"/>
        <v>-9.2441577983476339E-3</v>
      </c>
      <c r="AS86">
        <f t="shared" si="28"/>
        <v>-3.899359539370117E-5</v>
      </c>
      <c r="AT86">
        <f t="shared" si="29"/>
        <v>1.4139151321974642E-2</v>
      </c>
      <c r="AU86" s="14">
        <f t="shared" si="34"/>
        <v>-2.7578455386568007E-3</v>
      </c>
      <c r="AV86" s="19">
        <f t="shared" si="30"/>
        <v>1.0613039176197983</v>
      </c>
      <c r="AW86" s="19">
        <f t="shared" si="24"/>
        <v>-3.4775902262887959E-3</v>
      </c>
      <c r="AX86">
        <f t="shared" si="35"/>
        <v>0</v>
      </c>
      <c r="AY86">
        <f>IF(W86,SUMPRODUCT(INDEX(AX:AX,X86):INDEX(AX:AX,X86+Y86)),0)</f>
        <v>0</v>
      </c>
      <c r="AZ86">
        <f>IF(V86,COUNT(INDEX(AX:AX,X86):INDEX(AX:AX,ROW())),0)</f>
        <v>76</v>
      </c>
      <c r="BA86" s="14" t="str">
        <f t="shared" si="47"/>
        <v/>
      </c>
      <c r="BB86" s="6">
        <f t="shared" si="36"/>
        <v>189063.32130000001</v>
      </c>
      <c r="BC86" s="6">
        <f>MEDIAN(INDEX(BB:BB,X86):INDEX(BB:BB,X86+Y86-1))</f>
        <v>180492.04139999999</v>
      </c>
      <c r="BD86" s="25" t="str">
        <f t="shared" si="37"/>
        <v/>
      </c>
      <c r="BE86">
        <f t="shared" si="48"/>
        <v>0</v>
      </c>
      <c r="BF86" s="6">
        <f>SUM(INDEX(BE:BE,X86):INDEX(BE:BE,X86+Y86-1))</f>
        <v>2</v>
      </c>
      <c r="BG86" s="25" t="str">
        <f t="shared" si="38"/>
        <v/>
      </c>
    </row>
    <row r="87" spans="1:59" x14ac:dyDescent="0.3">
      <c r="A87" s="1">
        <v>45481</v>
      </c>
      <c r="B87">
        <v>28.260899999999999</v>
      </c>
      <c r="C87">
        <v>28.260899999999999</v>
      </c>
      <c r="D87">
        <v>27.963200000000001</v>
      </c>
      <c r="E87">
        <v>28.171600000000002</v>
      </c>
      <c r="F87">
        <v>3930</v>
      </c>
      <c r="G87" s="29">
        <v>0.47677002746168501</v>
      </c>
      <c r="H87" s="29">
        <v>1.6923782371668101E-2</v>
      </c>
      <c r="I87" s="29">
        <v>1.6438540941941499E-2</v>
      </c>
      <c r="J87" s="29">
        <v>55.201021326909</v>
      </c>
      <c r="K87" s="29">
        <v>-8.67753763433287E-3</v>
      </c>
      <c r="L87" s="29">
        <v>0.6</v>
      </c>
      <c r="M87" s="29">
        <v>-1.0752882055293201E-2</v>
      </c>
      <c r="N87" s="29">
        <v>1.0744740726556099</v>
      </c>
      <c r="O87" s="29">
        <v>-1.2406443357697401E-2</v>
      </c>
      <c r="P87" s="29">
        <v>-8.9600123828988895E-3</v>
      </c>
      <c r="Q87" s="29">
        <v>1.5873015873015799E-2</v>
      </c>
      <c r="R87" s="30">
        <v>209815.98194999999</v>
      </c>
      <c r="S87" s="29">
        <v>3</v>
      </c>
      <c r="T87">
        <v>545.32100000000003</v>
      </c>
      <c r="U87" s="21"/>
      <c r="V87">
        <v>77</v>
      </c>
      <c r="W87" t="b">
        <f>V87&gt;=$C$4</f>
        <v>0</v>
      </c>
      <c r="X87">
        <f>IF(V87&lt;=$C$5,11,ROW()-$C$5+1)</f>
        <v>11</v>
      </c>
      <c r="Y87" s="14">
        <f t="shared" si="31"/>
        <v>77</v>
      </c>
      <c r="Z87" s="10">
        <f t="shared" si="39"/>
        <v>0.46310000000000073</v>
      </c>
      <c r="AA87" s="15">
        <f t="shared" si="40"/>
        <v>1.6438540941941554E-2</v>
      </c>
      <c r="AB87" s="15">
        <f t="shared" si="41"/>
        <v>0.47677002746168545</v>
      </c>
      <c r="AC87" s="10">
        <f t="shared" si="32"/>
        <v>1.6923782371668115E-2</v>
      </c>
      <c r="AD87">
        <f t="shared" si="42"/>
        <v>-0.2546999999999997</v>
      </c>
      <c r="AE87">
        <f t="shared" si="49"/>
        <v>0</v>
      </c>
      <c r="AF87">
        <f t="shared" si="50"/>
        <v>0.2546999999999997</v>
      </c>
      <c r="AG87">
        <f t="shared" si="52"/>
        <v>0.16043897858813633</v>
      </c>
      <c r="AH87">
        <f t="shared" si="52"/>
        <v>0.12984137129130635</v>
      </c>
      <c r="AI87">
        <f t="shared" si="43"/>
        <v>1.2356537596031896</v>
      </c>
      <c r="AJ87">
        <f t="shared" si="51"/>
        <v>55.270354557161305</v>
      </c>
      <c r="AK87" s="14">
        <f t="shared" si="33"/>
        <v>55.270354557161305</v>
      </c>
      <c r="AM87" s="14">
        <f t="shared" si="25"/>
        <v>-8.6775376343328769E-3</v>
      </c>
      <c r="AN87" s="36">
        <f t="shared" si="44"/>
        <v>-8.9600123828988965E-3</v>
      </c>
      <c r="AO87">
        <f t="shared" si="53"/>
        <v>0</v>
      </c>
      <c r="AP87" s="14">
        <f t="shared" si="54"/>
        <v>0.6</v>
      </c>
      <c r="AQ87">
        <f t="shared" si="45"/>
        <v>1.1529430339660696E-3</v>
      </c>
      <c r="AR87">
        <f t="shared" si="46"/>
        <v>-1.0112955416864959E-2</v>
      </c>
      <c r="AS87">
        <f t="shared" si="28"/>
        <v>-1.5260083298573008E-4</v>
      </c>
      <c r="AT87">
        <f t="shared" si="29"/>
        <v>1.4191621576525275E-2</v>
      </c>
      <c r="AU87" s="14">
        <f t="shared" si="34"/>
        <v>-1.0752882055293176E-2</v>
      </c>
      <c r="AV87" s="19">
        <f t="shared" si="30"/>
        <v>1.0744740726556612</v>
      </c>
      <c r="AW87" s="19">
        <f t="shared" si="24"/>
        <v>-1.2406443357697472E-2</v>
      </c>
      <c r="AX87">
        <f t="shared" si="35"/>
        <v>0</v>
      </c>
      <c r="AY87">
        <f>IF(W87,SUMPRODUCT(INDEX(AX:AX,X87):INDEX(AX:AX,X87+Y87)),0)</f>
        <v>0</v>
      </c>
      <c r="AZ87">
        <f>IF(V87,COUNT(INDEX(AX:AX,X87):INDEX(AX:AX,ROW())),0)</f>
        <v>77</v>
      </c>
      <c r="BA87" s="14" t="str">
        <f t="shared" si="47"/>
        <v/>
      </c>
      <c r="BB87" s="6">
        <f t="shared" si="36"/>
        <v>110714.38800000001</v>
      </c>
      <c r="BC87" s="6">
        <f>MEDIAN(INDEX(BB:BB,X87):INDEX(BB:BB,X87+Y87-1))</f>
        <v>177515.64600000001</v>
      </c>
      <c r="BD87" s="25" t="str">
        <f t="shared" si="37"/>
        <v/>
      </c>
      <c r="BE87">
        <f t="shared" si="48"/>
        <v>0</v>
      </c>
      <c r="BF87" s="6">
        <f>SUM(INDEX(BE:BE,X87):INDEX(BE:BE,X87+Y87-1))</f>
        <v>2</v>
      </c>
      <c r="BG87" s="25" t="str">
        <f t="shared" si="38"/>
        <v/>
      </c>
    </row>
    <row r="88" spans="1:59" x14ac:dyDescent="0.3">
      <c r="A88" s="1">
        <v>45482</v>
      </c>
      <c r="B88">
        <v>28.1021</v>
      </c>
      <c r="C88">
        <v>28.4528</v>
      </c>
      <c r="D88">
        <v>28.0625</v>
      </c>
      <c r="E88">
        <v>28.327100000000002</v>
      </c>
      <c r="F88">
        <v>4081</v>
      </c>
      <c r="G88" s="29">
        <v>0.470593596928708</v>
      </c>
      <c r="H88" s="29">
        <v>1.6612840598886101E-2</v>
      </c>
      <c r="I88" s="29">
        <v>1.37783253492238E-2</v>
      </c>
      <c r="J88" s="29">
        <v>56.971231811379504</v>
      </c>
      <c r="K88" s="29">
        <v>1.25572816505694E-2</v>
      </c>
      <c r="L88" s="29">
        <v>0.6</v>
      </c>
      <c r="M88" s="29">
        <v>-1.1700524882666499E-2</v>
      </c>
      <c r="N88" s="29">
        <v>1.07548465531626</v>
      </c>
      <c r="O88" s="29">
        <v>-6.9551804525774799E-3</v>
      </c>
      <c r="P88" s="29">
        <v>5.5197432875662101E-3</v>
      </c>
      <c r="Q88" s="29">
        <v>1.5873015873015799E-2</v>
      </c>
      <c r="R88" s="30">
        <v>208968.16625000001</v>
      </c>
      <c r="S88" s="29">
        <v>3</v>
      </c>
      <c r="T88">
        <v>545.85199999999998</v>
      </c>
      <c r="U88" s="21"/>
      <c r="V88">
        <v>78</v>
      </c>
      <c r="W88" t="b">
        <f>V88&gt;=$C$4</f>
        <v>0</v>
      </c>
      <c r="X88">
        <f>IF(V88&lt;=$C$5,11,ROW()-$C$5+1)</f>
        <v>11</v>
      </c>
      <c r="Y88" s="14">
        <f t="shared" si="31"/>
        <v>78</v>
      </c>
      <c r="Z88" s="10">
        <f t="shared" si="39"/>
        <v>0.39029999999999987</v>
      </c>
      <c r="AA88" s="15">
        <f t="shared" si="40"/>
        <v>1.3778325349223883E-2</v>
      </c>
      <c r="AB88" s="15">
        <f t="shared" si="41"/>
        <v>0.47059359692870789</v>
      </c>
      <c r="AC88" s="10">
        <f t="shared" si="32"/>
        <v>1.6612840598886149E-2</v>
      </c>
      <c r="AD88">
        <f t="shared" si="42"/>
        <v>0.15549999999999997</v>
      </c>
      <c r="AE88">
        <f t="shared" si="49"/>
        <v>0.15549999999999997</v>
      </c>
      <c r="AF88">
        <f t="shared" si="50"/>
        <v>0</v>
      </c>
      <c r="AG88">
        <f t="shared" si="52"/>
        <v>0.16008619440326943</v>
      </c>
      <c r="AH88">
        <f t="shared" si="52"/>
        <v>0.12056698762764162</v>
      </c>
      <c r="AI88">
        <f t="shared" si="43"/>
        <v>1.3277780058474937</v>
      </c>
      <c r="AJ88">
        <f t="shared" si="51"/>
        <v>57.040577001417212</v>
      </c>
      <c r="AK88" s="14">
        <f t="shared" si="33"/>
        <v>57.040577001417212</v>
      </c>
      <c r="AM88" s="14">
        <f t="shared" si="25"/>
        <v>1.2557281650569463E-2</v>
      </c>
      <c r="AN88" s="36">
        <f t="shared" si="44"/>
        <v>5.5197432875662145E-3</v>
      </c>
      <c r="AO88">
        <f t="shared" si="53"/>
        <v>1</v>
      </c>
      <c r="AP88" s="14">
        <f t="shared" si="54"/>
        <v>0.6</v>
      </c>
      <c r="AQ88">
        <f t="shared" si="45"/>
        <v>9.7373840361902886E-4</v>
      </c>
      <c r="AR88">
        <f t="shared" si="46"/>
        <v>4.5460048839471813E-3</v>
      </c>
      <c r="AS88">
        <f t="shared" si="28"/>
        <v>-1.6599189251572153E-4</v>
      </c>
      <c r="AT88">
        <f t="shared" si="29"/>
        <v>1.4186704800023788E-2</v>
      </c>
      <c r="AU88" s="14">
        <f t="shared" si="34"/>
        <v>-1.1700524882666425E-2</v>
      </c>
      <c r="AV88" s="19">
        <f t="shared" si="30"/>
        <v>1.0754846553163142</v>
      </c>
      <c r="AW88" s="19">
        <f t="shared" si="24"/>
        <v>-6.9551804525774807E-3</v>
      </c>
      <c r="AX88">
        <f t="shared" si="35"/>
        <v>0</v>
      </c>
      <c r="AY88">
        <f>IF(W88,SUMPRODUCT(INDEX(AX:AX,X88):INDEX(AX:AX,X88+Y88)),0)</f>
        <v>0</v>
      </c>
      <c r="AZ88">
        <f>IF(V88,COUNT(INDEX(AX:AX,X88):INDEX(AX:AX,ROW())),0)</f>
        <v>78</v>
      </c>
      <c r="BA88" s="14" t="str">
        <f t="shared" si="47"/>
        <v/>
      </c>
      <c r="BB88" s="6">
        <f t="shared" si="36"/>
        <v>115602.89510000001</v>
      </c>
      <c r="BC88" s="6">
        <f>MEDIAN(INDEX(BB:BB,X88):INDEX(BB:BB,X88+Y88-1))</f>
        <v>174920.74849999999</v>
      </c>
      <c r="BD88" s="25" t="str">
        <f t="shared" si="37"/>
        <v/>
      </c>
      <c r="BE88">
        <f t="shared" si="48"/>
        <v>0</v>
      </c>
      <c r="BF88" s="6">
        <f>SUM(INDEX(BE:BE,X88):INDEX(BE:BE,X88+Y88-1))</f>
        <v>2</v>
      </c>
      <c r="BG88" s="25" t="str">
        <f t="shared" si="38"/>
        <v/>
      </c>
    </row>
    <row r="89" spans="1:59" x14ac:dyDescent="0.3">
      <c r="A89" s="1">
        <v>45483</v>
      </c>
      <c r="B89">
        <v>28.4924</v>
      </c>
      <c r="C89">
        <v>29.127500000000001</v>
      </c>
      <c r="D89">
        <v>28.4924</v>
      </c>
      <c r="E89">
        <v>29.127500000000001</v>
      </c>
      <c r="F89">
        <v>8767</v>
      </c>
      <c r="G89" s="29">
        <v>0.49415119714808597</v>
      </c>
      <c r="H89" s="29">
        <v>1.6965108476459899E-2</v>
      </c>
      <c r="I89" s="29">
        <v>2.7479186335936798E-2</v>
      </c>
      <c r="J89" s="29">
        <v>64.702666095609203</v>
      </c>
      <c r="K89" s="29">
        <v>6.4535463805245996E-2</v>
      </c>
      <c r="L89" s="29">
        <v>0.6</v>
      </c>
      <c r="M89" s="29">
        <v>-1.9721095885624198E-3</v>
      </c>
      <c r="N89" s="29">
        <v>1.1366664193257801</v>
      </c>
      <c r="O89" s="29">
        <v>0</v>
      </c>
      <c r="P89" s="29">
        <v>2.82556280028665E-2</v>
      </c>
      <c r="Q89" s="29">
        <v>1.5873015873015799E-2</v>
      </c>
      <c r="R89" s="30">
        <v>209815.98194999999</v>
      </c>
      <c r="S89" s="29">
        <v>3</v>
      </c>
      <c r="T89">
        <v>551.25300000000004</v>
      </c>
      <c r="U89" s="21"/>
      <c r="V89">
        <v>79</v>
      </c>
      <c r="W89" t="b">
        <f>V89&gt;=$C$4</f>
        <v>0</v>
      </c>
      <c r="X89">
        <f>IF(V89&lt;=$C$5,11,ROW()-$C$5+1)</f>
        <v>11</v>
      </c>
      <c r="Y89" s="14">
        <f t="shared" si="31"/>
        <v>79</v>
      </c>
      <c r="Z89" s="10">
        <f t="shared" si="39"/>
        <v>0.80039999999999978</v>
      </c>
      <c r="AA89" s="15">
        <f t="shared" si="40"/>
        <v>2.7479186335936819E-2</v>
      </c>
      <c r="AB89" s="15">
        <f t="shared" si="41"/>
        <v>0.49415119714808586</v>
      </c>
      <c r="AC89" s="10">
        <f t="shared" si="32"/>
        <v>1.6965108476459902E-2</v>
      </c>
      <c r="AD89">
        <f t="shared" si="42"/>
        <v>0.80039999999999978</v>
      </c>
      <c r="AE89">
        <f t="shared" si="49"/>
        <v>0.80039999999999978</v>
      </c>
      <c r="AF89">
        <f t="shared" si="50"/>
        <v>0</v>
      </c>
      <c r="AG89">
        <f t="shared" si="52"/>
        <v>0.20582289480303587</v>
      </c>
      <c r="AH89">
        <f t="shared" si="52"/>
        <v>0.11195505993995293</v>
      </c>
      <c r="AI89">
        <f t="shared" si="43"/>
        <v>1.8384420937600223</v>
      </c>
      <c r="AJ89">
        <f t="shared" si="51"/>
        <v>64.769406351520047</v>
      </c>
      <c r="AK89" s="14">
        <f t="shared" si="33"/>
        <v>64.769406351520047</v>
      </c>
      <c r="AM89" s="14">
        <f t="shared" si="25"/>
        <v>6.4535463805245996E-2</v>
      </c>
      <c r="AN89" s="36">
        <f t="shared" si="44"/>
        <v>2.8255628002866517E-2</v>
      </c>
      <c r="AO89">
        <f t="shared" si="53"/>
        <v>1</v>
      </c>
      <c r="AP89" s="14">
        <f t="shared" si="54"/>
        <v>0.6</v>
      </c>
      <c r="AQ89">
        <f t="shared" si="45"/>
        <v>9.8946234510455255E-3</v>
      </c>
      <c r="AR89">
        <f t="shared" si="46"/>
        <v>1.8361004551820975E-2</v>
      </c>
      <c r="AS89">
        <f t="shared" si="28"/>
        <v>-2.8251110569135056E-5</v>
      </c>
      <c r="AT89">
        <f t="shared" si="29"/>
        <v>1.4325324887107731E-2</v>
      </c>
      <c r="AU89" s="14">
        <f t="shared" si="34"/>
        <v>-1.9721095885622828E-3</v>
      </c>
      <c r="AV89" s="19">
        <f t="shared" si="30"/>
        <v>1.136666419325828</v>
      </c>
      <c r="AW89" s="19">
        <f t="shared" si="24"/>
        <v>0</v>
      </c>
      <c r="AX89">
        <f t="shared" si="35"/>
        <v>0</v>
      </c>
      <c r="AY89">
        <f>IF(W89,SUMPRODUCT(INDEX(AX:AX,X89):INDEX(AX:AX,X89+Y89)),0)</f>
        <v>0</v>
      </c>
      <c r="AZ89">
        <f>IF(V89,COUNT(INDEX(AX:AX,X89):INDEX(AX:AX,ROW())),0)</f>
        <v>79</v>
      </c>
      <c r="BA89" s="14" t="str">
        <f t="shared" si="47"/>
        <v/>
      </c>
      <c r="BB89" s="6">
        <f t="shared" si="36"/>
        <v>255360.79250000001</v>
      </c>
      <c r="BC89" s="6">
        <f>MEDIAN(INDEX(BB:BB,X89):INDEX(BB:BB,X89+Y89-1))</f>
        <v>177515.64600000001</v>
      </c>
      <c r="BD89" s="25" t="str">
        <f t="shared" si="37"/>
        <v/>
      </c>
      <c r="BE89">
        <f t="shared" si="48"/>
        <v>0</v>
      </c>
      <c r="BF89" s="6">
        <f>SUM(INDEX(BE:BE,X89):INDEX(BE:BE,X89+Y89-1))</f>
        <v>2</v>
      </c>
      <c r="BG89" s="25" t="str">
        <f t="shared" si="38"/>
        <v/>
      </c>
    </row>
    <row r="90" spans="1:59" x14ac:dyDescent="0.3">
      <c r="A90" s="1">
        <v>45484</v>
      </c>
      <c r="B90">
        <v>29.682600000000001</v>
      </c>
      <c r="C90">
        <v>29.703099999999999</v>
      </c>
      <c r="D90">
        <v>29.4451</v>
      </c>
      <c r="E90">
        <v>29.703099999999999</v>
      </c>
      <c r="F90">
        <v>7255</v>
      </c>
      <c r="G90" s="29">
        <v>0.49996896878036501</v>
      </c>
      <c r="H90" s="29">
        <v>1.6832215114932901E-2</v>
      </c>
      <c r="I90" s="29">
        <v>1.93784487141072E-2</v>
      </c>
      <c r="J90" s="29">
        <v>69.014465395208305</v>
      </c>
      <c r="K90" s="29">
        <v>8.0097016770665094E-2</v>
      </c>
      <c r="L90" s="29">
        <v>0.6</v>
      </c>
      <c r="M90" s="29">
        <v>7.1652185427607498E-2</v>
      </c>
      <c r="N90" s="29">
        <v>0.85988478695802995</v>
      </c>
      <c r="O90" s="29">
        <v>0</v>
      </c>
      <c r="P90" s="29">
        <v>1.9761393871770599E-2</v>
      </c>
      <c r="Q90" s="29">
        <v>1.5873015873015799E-2</v>
      </c>
      <c r="R90" s="30">
        <v>210968.8107</v>
      </c>
      <c r="S90" s="29">
        <v>3</v>
      </c>
      <c r="T90">
        <v>546.5</v>
      </c>
      <c r="U90" s="21"/>
      <c r="V90">
        <v>80</v>
      </c>
      <c r="W90" t="b">
        <f>V90&gt;=$C$4</f>
        <v>0</v>
      </c>
      <c r="X90">
        <f>IF(V90&lt;=$C$5,11,ROW()-$C$5+1)</f>
        <v>11</v>
      </c>
      <c r="Y90" s="14">
        <f t="shared" si="31"/>
        <v>80</v>
      </c>
      <c r="Z90" s="10">
        <f t="shared" si="39"/>
        <v>0.57559999999999789</v>
      </c>
      <c r="AA90" s="15">
        <f t="shared" si="40"/>
        <v>1.937844871410721E-2</v>
      </c>
      <c r="AB90" s="15">
        <f t="shared" si="41"/>
        <v>0.49996896878036529</v>
      </c>
      <c r="AC90" s="10">
        <f t="shared" si="32"/>
        <v>1.6832215114932964E-2</v>
      </c>
      <c r="AD90">
        <f t="shared" si="42"/>
        <v>0.57559999999999789</v>
      </c>
      <c r="AE90">
        <f t="shared" si="49"/>
        <v>0.57559999999999789</v>
      </c>
      <c r="AF90">
        <f t="shared" si="50"/>
        <v>0</v>
      </c>
      <c r="AG90">
        <f t="shared" si="52"/>
        <v>0.23223554517424744</v>
      </c>
      <c r="AH90">
        <f t="shared" si="52"/>
        <v>0.103958269944242</v>
      </c>
      <c r="AI90">
        <f t="shared" si="43"/>
        <v>2.2339304540062752</v>
      </c>
      <c r="AJ90">
        <f t="shared" si="51"/>
        <v>69.077875538072419</v>
      </c>
      <c r="AK90" s="14">
        <f t="shared" si="33"/>
        <v>69.077875538072419</v>
      </c>
      <c r="AM90" s="14">
        <f t="shared" si="25"/>
        <v>8.0097016770665164E-2</v>
      </c>
      <c r="AN90" s="36">
        <f t="shared" si="44"/>
        <v>1.9761393871770672E-2</v>
      </c>
      <c r="AO90">
        <f t="shared" si="53"/>
        <v>1</v>
      </c>
      <c r="AP90" s="14">
        <f t="shared" si="54"/>
        <v>0.6</v>
      </c>
      <c r="AQ90">
        <f t="shared" si="45"/>
        <v>-8.6221752988193678E-3</v>
      </c>
      <c r="AR90">
        <f t="shared" si="46"/>
        <v>2.8383569170589967E-2</v>
      </c>
      <c r="AS90">
        <f t="shared" si="28"/>
        <v>1.002250679463195E-3</v>
      </c>
      <c r="AT90">
        <f t="shared" si="29"/>
        <v>1.3987719613601983E-2</v>
      </c>
      <c r="AU90" s="14">
        <f t="shared" si="34"/>
        <v>7.1652185427607748E-2</v>
      </c>
      <c r="AV90" s="19">
        <f t="shared" si="30"/>
        <v>0.85988478695806581</v>
      </c>
      <c r="AW90" s="19">
        <f t="shared" si="24"/>
        <v>0</v>
      </c>
      <c r="AX90">
        <f t="shared" si="35"/>
        <v>0</v>
      </c>
      <c r="AY90">
        <f>IF(W90,SUMPRODUCT(INDEX(AX:AX,X90):INDEX(AX:AX,X90+Y90)),0)</f>
        <v>0</v>
      </c>
      <c r="AZ90">
        <f>IF(V90,COUNT(INDEX(AX:AX,X90):INDEX(AX:AX,ROW())),0)</f>
        <v>80</v>
      </c>
      <c r="BA90" s="14" t="str">
        <f t="shared" si="47"/>
        <v/>
      </c>
      <c r="BB90" s="6">
        <f t="shared" si="36"/>
        <v>215495.99049999999</v>
      </c>
      <c r="BC90" s="6">
        <f>MEDIAN(INDEX(BB:BB,X90):INDEX(BB:BB,X90+Y90-1))</f>
        <v>180492.04139999999</v>
      </c>
      <c r="BD90" s="25" t="str">
        <f t="shared" si="37"/>
        <v/>
      </c>
      <c r="BE90">
        <f t="shared" si="48"/>
        <v>0</v>
      </c>
      <c r="BF90" s="6">
        <f>SUM(INDEX(BE:BE,X90):INDEX(BE:BE,X90+Y90-1))</f>
        <v>2</v>
      </c>
      <c r="BG90" s="25" t="str">
        <f t="shared" si="38"/>
        <v/>
      </c>
    </row>
    <row r="91" spans="1:59" x14ac:dyDescent="0.3">
      <c r="A91" s="1">
        <v>45485</v>
      </c>
      <c r="B91">
        <v>29.8155</v>
      </c>
      <c r="C91">
        <v>30.410900000000002</v>
      </c>
      <c r="D91">
        <v>29.8155</v>
      </c>
      <c r="E91">
        <v>30.410900000000002</v>
      </c>
      <c r="F91">
        <v>1662</v>
      </c>
      <c r="G91" s="29">
        <v>0.51481404243891005</v>
      </c>
      <c r="H91" s="29">
        <v>1.69286026536179E-2</v>
      </c>
      <c r="I91" s="29">
        <v>2.3274549585839299E-2</v>
      </c>
      <c r="J91" s="29">
        <v>73.328969502464403</v>
      </c>
      <c r="K91" s="29">
        <v>0.11900223720231901</v>
      </c>
      <c r="L91" s="29">
        <v>0.8</v>
      </c>
      <c r="M91" s="29">
        <v>8.3047108548691101E-2</v>
      </c>
      <c r="N91" s="29">
        <v>0.87783262331309098</v>
      </c>
      <c r="O91" s="29">
        <v>0</v>
      </c>
      <c r="P91" s="29">
        <v>2.3829162612656701E-2</v>
      </c>
      <c r="Q91" s="29">
        <v>1.5873015873015799E-2</v>
      </c>
      <c r="R91" s="30">
        <v>210968.8107</v>
      </c>
      <c r="S91" s="29">
        <v>3</v>
      </c>
      <c r="T91">
        <v>549.947</v>
      </c>
      <c r="U91" s="21"/>
      <c r="V91">
        <v>81</v>
      </c>
      <c r="W91" t="b">
        <f>V91&gt;=$C$4</f>
        <v>0</v>
      </c>
      <c r="X91">
        <f>IF(V91&lt;=$C$5,11,ROW()-$C$5+1)</f>
        <v>11</v>
      </c>
      <c r="Y91" s="14">
        <f t="shared" si="31"/>
        <v>81</v>
      </c>
      <c r="Z91" s="10">
        <f t="shared" si="39"/>
        <v>0.70780000000000243</v>
      </c>
      <c r="AA91" s="15">
        <f t="shared" si="40"/>
        <v>2.3274549585839365E-2</v>
      </c>
      <c r="AB91" s="15">
        <f t="shared" si="41"/>
        <v>0.51481404243891082</v>
      </c>
      <c r="AC91" s="10">
        <f t="shared" si="32"/>
        <v>1.6928602653617973E-2</v>
      </c>
      <c r="AD91">
        <f t="shared" si="42"/>
        <v>0.70780000000000243</v>
      </c>
      <c r="AE91">
        <f t="shared" si="49"/>
        <v>0.70780000000000243</v>
      </c>
      <c r="AF91">
        <f t="shared" si="50"/>
        <v>0</v>
      </c>
      <c r="AG91">
        <f t="shared" si="52"/>
        <v>0.2662044348046585</v>
      </c>
      <c r="AH91">
        <f t="shared" si="52"/>
        <v>9.6532679233939003E-2</v>
      </c>
      <c r="AI91">
        <f t="shared" si="43"/>
        <v>2.7576613113527486</v>
      </c>
      <c r="AJ91">
        <f t="shared" si="51"/>
        <v>73.387702692130006</v>
      </c>
      <c r="AK91" s="14">
        <f t="shared" si="33"/>
        <v>73.387702692130006</v>
      </c>
      <c r="AM91" s="14">
        <f t="shared" si="25"/>
        <v>0.11900223720231962</v>
      </c>
      <c r="AN91" s="36">
        <f t="shared" si="44"/>
        <v>2.3829162612656773E-2</v>
      </c>
      <c r="AO91">
        <f t="shared" si="53"/>
        <v>1</v>
      </c>
      <c r="AP91" s="14">
        <f t="shared" si="54"/>
        <v>0.8</v>
      </c>
      <c r="AQ91">
        <f t="shared" si="45"/>
        <v>6.3074107959744108E-3</v>
      </c>
      <c r="AR91">
        <f t="shared" si="46"/>
        <v>1.752175181668229E-2</v>
      </c>
      <c r="AS91">
        <f t="shared" si="28"/>
        <v>1.1729718988279896E-3</v>
      </c>
      <c r="AT91">
        <f t="shared" si="29"/>
        <v>1.4124175053491053E-2</v>
      </c>
      <c r="AU91" s="14">
        <f t="shared" si="34"/>
        <v>8.3047108548691323E-2</v>
      </c>
      <c r="AV91" s="19">
        <f t="shared" si="30"/>
        <v>0.8778326233131275</v>
      </c>
      <c r="AW91" s="19">
        <f t="shared" si="24"/>
        <v>0</v>
      </c>
      <c r="AX91">
        <f t="shared" si="35"/>
        <v>0</v>
      </c>
      <c r="AY91">
        <f>IF(W91,SUMPRODUCT(INDEX(AX:AX,X91):INDEX(AX:AX,X91+Y91)),0)</f>
        <v>0</v>
      </c>
      <c r="AZ91">
        <f>IF(V91,COUNT(INDEX(AX:AX,X91):INDEX(AX:AX,ROW())),0)</f>
        <v>81</v>
      </c>
      <c r="BA91" s="14" t="str">
        <f t="shared" si="47"/>
        <v/>
      </c>
      <c r="BB91" s="6">
        <f t="shared" si="36"/>
        <v>50542.915800000002</v>
      </c>
      <c r="BC91" s="6">
        <f>MEDIAN(INDEX(BB:BB,X91):INDEX(BB:BB,X91+Y91-1))</f>
        <v>177515.64600000001</v>
      </c>
      <c r="BD91" s="25" t="str">
        <f t="shared" si="37"/>
        <v/>
      </c>
      <c r="BE91">
        <f t="shared" si="48"/>
        <v>0</v>
      </c>
      <c r="BF91" s="6">
        <f>SUM(INDEX(BE:BE,X91):INDEX(BE:BE,X91+Y91-1))</f>
        <v>2</v>
      </c>
      <c r="BG91" s="25" t="str">
        <f t="shared" si="38"/>
        <v/>
      </c>
    </row>
    <row r="92" spans="1:59" x14ac:dyDescent="0.3">
      <c r="A92" s="1">
        <v>45488</v>
      </c>
      <c r="B92">
        <v>30.404299999999999</v>
      </c>
      <c r="C92">
        <v>30.569700000000001</v>
      </c>
      <c r="D92">
        <v>30.298400000000001</v>
      </c>
      <c r="E92">
        <v>30.430800000000001</v>
      </c>
      <c r="F92">
        <v>4686</v>
      </c>
      <c r="G92" s="29">
        <v>0.49742018226470303</v>
      </c>
      <c r="H92" s="29">
        <v>1.6345944972353699E-2</v>
      </c>
      <c r="I92" s="29">
        <v>8.9153094890702805E-3</v>
      </c>
      <c r="J92" s="29">
        <v>73.440942101873802</v>
      </c>
      <c r="K92" s="29">
        <v>0.101535521143279</v>
      </c>
      <c r="L92" s="29">
        <v>1</v>
      </c>
      <c r="M92" s="29">
        <v>7.7056780274162295E-2</v>
      </c>
      <c r="N92" s="29">
        <v>0.87757811331366498</v>
      </c>
      <c r="O92" s="29">
        <v>0</v>
      </c>
      <c r="P92" s="29">
        <v>6.5437063684403696E-4</v>
      </c>
      <c r="Q92" s="29">
        <v>1.5873015873015799E-2</v>
      </c>
      <c r="R92" s="30">
        <v>210968.8107</v>
      </c>
      <c r="S92" s="29">
        <v>3</v>
      </c>
      <c r="T92">
        <v>551.45899999999995</v>
      </c>
      <c r="U92" s="21"/>
      <c r="V92">
        <v>82</v>
      </c>
      <c r="W92" t="b">
        <f>V92&gt;=$C$4</f>
        <v>0</v>
      </c>
      <c r="X92">
        <f>IF(V92&lt;=$C$5,11,ROW()-$C$5+1)</f>
        <v>11</v>
      </c>
      <c r="Y92" s="14">
        <f t="shared" si="31"/>
        <v>82</v>
      </c>
      <c r="Z92" s="10">
        <f t="shared" si="39"/>
        <v>0.2713000000000001</v>
      </c>
      <c r="AA92" s="15">
        <f t="shared" si="40"/>
        <v>8.9153094890702875E-3</v>
      </c>
      <c r="AB92" s="15">
        <f t="shared" si="41"/>
        <v>0.49742018226470291</v>
      </c>
      <c r="AC92" s="10">
        <f t="shared" si="32"/>
        <v>1.6345944972353765E-2</v>
      </c>
      <c r="AD92">
        <f t="shared" si="42"/>
        <v>1.9899999999999807E-2</v>
      </c>
      <c r="AE92">
        <f t="shared" si="49"/>
        <v>1.9899999999999807E-2</v>
      </c>
      <c r="AF92">
        <f t="shared" si="50"/>
        <v>0</v>
      </c>
      <c r="AG92">
        <f t="shared" si="52"/>
        <v>0.24861126089004001</v>
      </c>
      <c r="AH92">
        <f t="shared" si="52"/>
        <v>8.9637487860086212E-2</v>
      </c>
      <c r="AI92">
        <f t="shared" si="43"/>
        <v>2.7735188348662061</v>
      </c>
      <c r="AJ92">
        <f t="shared" si="51"/>
        <v>73.499536009724039</v>
      </c>
      <c r="AK92" s="14">
        <f t="shared" si="33"/>
        <v>73.499536009724039</v>
      </c>
      <c r="AM92" s="14">
        <f t="shared" si="25"/>
        <v>0.10153552114327913</v>
      </c>
      <c r="AN92" s="36">
        <f t="shared" si="44"/>
        <v>6.5437063684403718E-4</v>
      </c>
      <c r="AO92">
        <f t="shared" si="53"/>
        <v>1</v>
      </c>
      <c r="AP92" s="14">
        <f t="shared" si="54"/>
        <v>1</v>
      </c>
      <c r="AQ92">
        <f t="shared" si="45"/>
        <v>2.7493558470179646E-3</v>
      </c>
      <c r="AR92">
        <f t="shared" si="46"/>
        <v>-2.0949852101739275E-3</v>
      </c>
      <c r="AS92">
        <f t="shared" si="28"/>
        <v>1.0886294657408418E-3</v>
      </c>
      <c r="AT92">
        <f t="shared" si="29"/>
        <v>1.4127627210319156E-2</v>
      </c>
      <c r="AU92" s="14">
        <f t="shared" si="34"/>
        <v>7.7056780274162448E-2</v>
      </c>
      <c r="AV92" s="19">
        <f t="shared" si="30"/>
        <v>0.87757811331370528</v>
      </c>
      <c r="AW92" s="19">
        <f t="shared" si="24"/>
        <v>0</v>
      </c>
      <c r="AX92">
        <f t="shared" si="35"/>
        <v>0</v>
      </c>
      <c r="AY92">
        <f>IF(W92,SUMPRODUCT(INDEX(AX:AX,X92):INDEX(AX:AX,X92+Y92)),0)</f>
        <v>0</v>
      </c>
      <c r="AZ92">
        <f>IF(V92,COUNT(INDEX(AX:AX,X92):INDEX(AX:AX,ROW())),0)</f>
        <v>82</v>
      </c>
      <c r="BA92" s="14" t="str">
        <f t="shared" si="47"/>
        <v/>
      </c>
      <c r="BB92" s="6">
        <f t="shared" si="36"/>
        <v>142598.72880000001</v>
      </c>
      <c r="BC92" s="6">
        <f>MEDIAN(INDEX(BB:BB,X92):INDEX(BB:BB,X92+Y92-1))</f>
        <v>174920.74849999999</v>
      </c>
      <c r="BD92" s="25" t="str">
        <f t="shared" si="37"/>
        <v/>
      </c>
      <c r="BE92">
        <f t="shared" si="48"/>
        <v>0</v>
      </c>
      <c r="BF92" s="6">
        <f>SUM(INDEX(BE:BE,X92):INDEX(BE:BE,X92+Y92-1))</f>
        <v>2</v>
      </c>
      <c r="BG92" s="25" t="str">
        <f t="shared" si="38"/>
        <v/>
      </c>
    </row>
    <row r="93" spans="1:59" x14ac:dyDescent="0.3">
      <c r="A93" s="1">
        <v>45489</v>
      </c>
      <c r="B93">
        <v>30.53</v>
      </c>
      <c r="C93">
        <v>31.224599999999999</v>
      </c>
      <c r="D93">
        <v>30.53</v>
      </c>
      <c r="E93">
        <v>31.184899999999999</v>
      </c>
      <c r="F93">
        <v>3627</v>
      </c>
      <c r="G93" s="29">
        <v>0.51859016924579504</v>
      </c>
      <c r="H93" s="29">
        <v>1.6629528048696499E-2</v>
      </c>
      <c r="I93" s="29">
        <v>2.5454627079131101E-2</v>
      </c>
      <c r="J93" s="29">
        <v>77.325718650051996</v>
      </c>
      <c r="K93" s="29">
        <v>0.146120231834202</v>
      </c>
      <c r="L93" s="29">
        <v>1</v>
      </c>
      <c r="M93" s="29">
        <v>9.2758100802237994E-2</v>
      </c>
      <c r="N93" s="29">
        <v>0.92076437097230801</v>
      </c>
      <c r="O93" s="29">
        <v>0</v>
      </c>
      <c r="P93" s="29">
        <v>2.4780814175112E-2</v>
      </c>
      <c r="Q93" s="29">
        <v>1.5873015873015799E-2</v>
      </c>
      <c r="R93" s="30">
        <v>209815.98194999999</v>
      </c>
      <c r="S93" s="29">
        <v>3</v>
      </c>
      <c r="T93">
        <v>554.72900000000004</v>
      </c>
      <c r="U93" s="21"/>
      <c r="V93">
        <v>83</v>
      </c>
      <c r="W93" t="b">
        <f>V93&gt;=$C$4</f>
        <v>0</v>
      </c>
      <c r="X93">
        <f>IF(V93&lt;=$C$5,11,ROW()-$C$5+1)</f>
        <v>11</v>
      </c>
      <c r="Y93" s="14">
        <f t="shared" si="31"/>
        <v>83</v>
      </c>
      <c r="Z93" s="10">
        <f t="shared" si="39"/>
        <v>0.7937999999999974</v>
      </c>
      <c r="AA93" s="15">
        <f t="shared" si="40"/>
        <v>2.5454627079131164E-2</v>
      </c>
      <c r="AB93" s="15">
        <f t="shared" si="41"/>
        <v>0.51859016924579537</v>
      </c>
      <c r="AC93" s="10">
        <f t="shared" si="32"/>
        <v>1.6629528048696496E-2</v>
      </c>
      <c r="AD93">
        <f t="shared" si="42"/>
        <v>0.75409999999999755</v>
      </c>
      <c r="AE93">
        <f t="shared" si="49"/>
        <v>0.75409999999999755</v>
      </c>
      <c r="AF93">
        <f t="shared" si="50"/>
        <v>0</v>
      </c>
      <c r="AG93">
        <f t="shared" si="52"/>
        <v>0.28471759939789415</v>
      </c>
      <c r="AH93">
        <f t="shared" si="52"/>
        <v>8.3234810155794342E-2</v>
      </c>
      <c r="AI93">
        <f t="shared" si="43"/>
        <v>3.4206553587973039</v>
      </c>
      <c r="AJ93">
        <f t="shared" si="51"/>
        <v>77.378919666063652</v>
      </c>
      <c r="AK93" s="14">
        <f t="shared" si="33"/>
        <v>77.378919666063652</v>
      </c>
      <c r="AM93" s="14">
        <f t="shared" si="25"/>
        <v>0.14612023183420253</v>
      </c>
      <c r="AN93" s="36">
        <f t="shared" si="44"/>
        <v>2.478081417511202E-2</v>
      </c>
      <c r="AO93">
        <f t="shared" si="53"/>
        <v>1</v>
      </c>
      <c r="AP93" s="14">
        <f t="shared" si="54"/>
        <v>1</v>
      </c>
      <c r="AQ93">
        <f t="shared" si="45"/>
        <v>5.9297246032798956E-3</v>
      </c>
      <c r="AR93">
        <f t="shared" si="46"/>
        <v>1.8851089571832104E-2</v>
      </c>
      <c r="AS93">
        <f t="shared" si="28"/>
        <v>1.3264622552105847E-3</v>
      </c>
      <c r="AT93">
        <f t="shared" si="29"/>
        <v>1.4300230855724672E-2</v>
      </c>
      <c r="AU93" s="14">
        <f t="shared" si="34"/>
        <v>9.2758100802238092E-2</v>
      </c>
      <c r="AV93" s="19">
        <f t="shared" si="30"/>
        <v>0.92076437097235375</v>
      </c>
      <c r="AW93" s="19">
        <f t="shared" si="24"/>
        <v>0</v>
      </c>
      <c r="AX93">
        <f t="shared" si="35"/>
        <v>0</v>
      </c>
      <c r="AY93">
        <f>IF(W93,SUMPRODUCT(INDEX(AX:AX,X93):INDEX(AX:AX,X93+Y93)),0)</f>
        <v>0</v>
      </c>
      <c r="AZ93">
        <f>IF(V93,COUNT(INDEX(AX:AX,X93):INDEX(AX:AX,ROW())),0)</f>
        <v>83</v>
      </c>
      <c r="BA93" s="14" t="str">
        <f t="shared" si="47"/>
        <v/>
      </c>
      <c r="BB93" s="6">
        <f t="shared" si="36"/>
        <v>113107.6323</v>
      </c>
      <c r="BC93" s="6">
        <f>MEDIAN(INDEX(BB:BB,X93):INDEX(BB:BB,X93+Y93-1))</f>
        <v>172325.851</v>
      </c>
      <c r="BD93" s="25" t="str">
        <f t="shared" si="37"/>
        <v/>
      </c>
      <c r="BE93">
        <f t="shared" si="48"/>
        <v>0</v>
      </c>
      <c r="BF93" s="6">
        <f>SUM(INDEX(BE:BE,X93):INDEX(BE:BE,X93+Y93-1))</f>
        <v>2</v>
      </c>
      <c r="BG93" s="25" t="str">
        <f t="shared" si="38"/>
        <v/>
      </c>
    </row>
    <row r="94" spans="1:59" x14ac:dyDescent="0.3">
      <c r="A94" s="1">
        <v>45490</v>
      </c>
      <c r="B94">
        <v>31.132000000000001</v>
      </c>
      <c r="C94">
        <v>31.132000000000001</v>
      </c>
      <c r="D94">
        <v>30.840900000000001</v>
      </c>
      <c r="E94">
        <v>30.840900000000001</v>
      </c>
      <c r="F94">
        <v>5441</v>
      </c>
      <c r="G94" s="29">
        <v>0.506119442871095</v>
      </c>
      <c r="H94" s="29">
        <v>1.6410657369632299E-2</v>
      </c>
      <c r="I94" s="29">
        <v>1.11540195000793E-2</v>
      </c>
      <c r="J94" s="29">
        <v>72.141840543891306</v>
      </c>
      <c r="K94" s="29">
        <v>0.141528359711591</v>
      </c>
      <c r="L94" s="29">
        <v>0.8</v>
      </c>
      <c r="M94" s="29">
        <v>9.8652967756584706E-2</v>
      </c>
      <c r="N94" s="29">
        <v>0.91211485621764798</v>
      </c>
      <c r="O94" s="29">
        <v>-1.1030979736987899E-2</v>
      </c>
      <c r="P94" s="29">
        <v>-1.1030979736987899E-2</v>
      </c>
      <c r="Q94" s="29">
        <v>1.5873015873015799E-2</v>
      </c>
      <c r="R94" s="30">
        <v>208968.16625000001</v>
      </c>
      <c r="S94" s="29">
        <v>3</v>
      </c>
      <c r="T94">
        <v>546.952</v>
      </c>
      <c r="U94" s="21"/>
      <c r="V94">
        <v>84</v>
      </c>
      <c r="W94" t="b">
        <f>V94&gt;=$C$4</f>
        <v>0</v>
      </c>
      <c r="X94">
        <f>IF(V94&lt;=$C$5,11,ROW()-$C$5+1)</f>
        <v>11</v>
      </c>
      <c r="Y94" s="14">
        <f t="shared" si="31"/>
        <v>84</v>
      </c>
      <c r="Z94" s="10">
        <f t="shared" si="39"/>
        <v>0.34399999999999764</v>
      </c>
      <c r="AA94" s="15">
        <f t="shared" si="40"/>
        <v>1.1154019500079363E-2</v>
      </c>
      <c r="AB94" s="15">
        <f t="shared" si="41"/>
        <v>0.50611944287109556</v>
      </c>
      <c r="AC94" s="10">
        <f t="shared" si="32"/>
        <v>1.6410657369632389E-2</v>
      </c>
      <c r="AD94">
        <f t="shared" si="42"/>
        <v>-0.34399999999999764</v>
      </c>
      <c r="AE94">
        <f t="shared" si="49"/>
        <v>0</v>
      </c>
      <c r="AF94">
        <f t="shared" si="50"/>
        <v>0.34399999999999764</v>
      </c>
      <c r="AG94">
        <f t="shared" ref="AG94:AH109" si="55">(AE94+13*AG93)/14</f>
        <v>0.26438062801233031</v>
      </c>
      <c r="AH94">
        <f t="shared" si="55"/>
        <v>0.10186089514466601</v>
      </c>
      <c r="AI94">
        <f t="shared" si="43"/>
        <v>2.5955066233891695</v>
      </c>
      <c r="AJ94">
        <f t="shared" si="51"/>
        <v>72.187507777210328</v>
      </c>
      <c r="AK94" s="14">
        <f t="shared" si="33"/>
        <v>72.187507777210328</v>
      </c>
      <c r="AM94" s="14">
        <f t="shared" si="25"/>
        <v>0.14152835971159128</v>
      </c>
      <c r="AN94" s="36">
        <f t="shared" si="44"/>
        <v>-1.1030979736987967E-2</v>
      </c>
      <c r="AO94">
        <f t="shared" si="53"/>
        <v>0</v>
      </c>
      <c r="AP94" s="14">
        <f t="shared" si="54"/>
        <v>0.8</v>
      </c>
      <c r="AQ94">
        <f t="shared" si="45"/>
        <v>-1.4019458149835407E-2</v>
      </c>
      <c r="AR94">
        <f t="shared" si="46"/>
        <v>2.9884784128475072E-3</v>
      </c>
      <c r="AS94">
        <f t="shared" si="28"/>
        <v>1.4101637027298863E-3</v>
      </c>
      <c r="AT94">
        <f t="shared" si="29"/>
        <v>1.4294184298736008E-2</v>
      </c>
      <c r="AU94" s="14">
        <f t="shared" si="34"/>
        <v>9.8652967756584956E-2</v>
      </c>
      <c r="AV94" s="19">
        <f t="shared" si="30"/>
        <v>0.91211485621768829</v>
      </c>
      <c r="AW94" s="19">
        <f t="shared" si="24"/>
        <v>-1.1030979736987967E-2</v>
      </c>
      <c r="AX94">
        <f t="shared" si="35"/>
        <v>0</v>
      </c>
      <c r="AY94">
        <f>IF(W94,SUMPRODUCT(INDEX(AX:AX,X94):INDEX(AX:AX,X94+Y94)),0)</f>
        <v>0</v>
      </c>
      <c r="AZ94">
        <f>IF(V94,COUNT(INDEX(AX:AX,X94):INDEX(AX:AX,ROW())),0)</f>
        <v>84</v>
      </c>
      <c r="BA94" s="14" t="str">
        <f t="shared" si="47"/>
        <v/>
      </c>
      <c r="BB94" s="6">
        <f t="shared" si="36"/>
        <v>167805.33689999999</v>
      </c>
      <c r="BC94" s="6">
        <f>MEDIAN(INDEX(BB:BB,X94):INDEX(BB:BB,X94+Y94-1))</f>
        <v>170065.59395000001</v>
      </c>
      <c r="BD94" s="25" t="str">
        <f t="shared" si="37"/>
        <v/>
      </c>
      <c r="BE94">
        <f t="shared" si="48"/>
        <v>0</v>
      </c>
      <c r="BF94" s="6">
        <f>SUM(INDEX(BE:BE,X94):INDEX(BE:BE,X94+Y94-1))</f>
        <v>2</v>
      </c>
      <c r="BG94" s="25" t="str">
        <f t="shared" si="38"/>
        <v/>
      </c>
    </row>
    <row r="95" spans="1:59" x14ac:dyDescent="0.3">
      <c r="A95" s="1">
        <v>45491</v>
      </c>
      <c r="B95">
        <v>30.840900000000001</v>
      </c>
      <c r="C95">
        <v>30.840900000000001</v>
      </c>
      <c r="D95">
        <v>30.434699999999999</v>
      </c>
      <c r="E95">
        <v>30.622599999999998</v>
      </c>
      <c r="F95">
        <v>3627</v>
      </c>
      <c r="G95" s="29">
        <v>0.49898233980887402</v>
      </c>
      <c r="H95" s="29">
        <v>1.62945778545543E-2</v>
      </c>
      <c r="I95" s="29">
        <v>1.32647129897527E-2</v>
      </c>
      <c r="J95" s="29">
        <v>68.981433592964606</v>
      </c>
      <c r="K95" s="29">
        <v>0.13192329301830399</v>
      </c>
      <c r="L95" s="29">
        <v>0.6</v>
      </c>
      <c r="M95" s="29">
        <v>8.4937219579959297E-2</v>
      </c>
      <c r="N95" s="29">
        <v>0.95519237151188396</v>
      </c>
      <c r="O95" s="29">
        <v>-1.8031162517757E-2</v>
      </c>
      <c r="P95" s="29">
        <v>-7.0782629560097697E-3</v>
      </c>
      <c r="Q95" s="29">
        <v>1.5873015873015799E-2</v>
      </c>
      <c r="R95" s="30">
        <v>208353.34474999999</v>
      </c>
      <c r="S95" s="29">
        <v>3</v>
      </c>
      <c r="T95">
        <v>542.74800000000005</v>
      </c>
      <c r="U95" s="21"/>
      <c r="V95">
        <v>85</v>
      </c>
      <c r="W95" t="b">
        <f>V95&gt;=$C$4</f>
        <v>0</v>
      </c>
      <c r="X95">
        <f>IF(V95&lt;=$C$5,11,ROW()-$C$5+1)</f>
        <v>11</v>
      </c>
      <c r="Y95" s="14">
        <f t="shared" si="31"/>
        <v>85</v>
      </c>
      <c r="Z95" s="10">
        <f t="shared" si="39"/>
        <v>0.40620000000000189</v>
      </c>
      <c r="AA95" s="15">
        <f t="shared" si="40"/>
        <v>1.3264712989752729E-2</v>
      </c>
      <c r="AB95" s="15">
        <f t="shared" si="41"/>
        <v>0.49898233980887458</v>
      </c>
      <c r="AC95" s="10">
        <f t="shared" si="32"/>
        <v>1.6294577854554303E-2</v>
      </c>
      <c r="AD95">
        <f t="shared" si="42"/>
        <v>-0.21830000000000283</v>
      </c>
      <c r="AE95">
        <f t="shared" si="49"/>
        <v>0</v>
      </c>
      <c r="AF95">
        <f t="shared" si="50"/>
        <v>0.21830000000000283</v>
      </c>
      <c r="AG95">
        <f t="shared" si="55"/>
        <v>0.24549629744002099</v>
      </c>
      <c r="AH95">
        <f t="shared" si="55"/>
        <v>0.11017797406290435</v>
      </c>
      <c r="AI95">
        <f t="shared" si="43"/>
        <v>2.2281794480978458</v>
      </c>
      <c r="AJ95">
        <f t="shared" si="51"/>
        <v>69.022787732905172</v>
      </c>
      <c r="AK95" s="14">
        <f t="shared" si="33"/>
        <v>69.022787732905172</v>
      </c>
      <c r="AM95" s="14">
        <f t="shared" si="25"/>
        <v>0.1319232930183043</v>
      </c>
      <c r="AN95" s="36">
        <f t="shared" si="44"/>
        <v>-7.0782629560097732E-3</v>
      </c>
      <c r="AO95">
        <f t="shared" si="53"/>
        <v>0</v>
      </c>
      <c r="AP95" s="14">
        <f t="shared" si="54"/>
        <v>0.6</v>
      </c>
      <c r="AQ95">
        <f t="shared" si="45"/>
        <v>-7.6862320642395732E-3</v>
      </c>
      <c r="AR95">
        <f t="shared" si="46"/>
        <v>6.0796910822980346E-4</v>
      </c>
      <c r="AS95">
        <f t="shared" si="28"/>
        <v>1.2071048519769459E-3</v>
      </c>
      <c r="AT95">
        <f t="shared" si="29"/>
        <v>1.4211730239657583E-2</v>
      </c>
      <c r="AU95" s="14">
        <f t="shared" si="34"/>
        <v>8.493721957995945E-2</v>
      </c>
      <c r="AV95" s="19">
        <f t="shared" si="30"/>
        <v>0.9551923715119266</v>
      </c>
      <c r="AW95" s="19">
        <f t="shared" si="24"/>
        <v>-1.8031162517757049E-2</v>
      </c>
      <c r="AX95">
        <f t="shared" si="35"/>
        <v>0</v>
      </c>
      <c r="AY95">
        <f>IF(W95,SUMPRODUCT(INDEX(AX:AX,X95):INDEX(AX:AX,X95+Y95)),0)</f>
        <v>0</v>
      </c>
      <c r="AZ95">
        <f>IF(V95,COUNT(INDEX(AX:AX,X95):INDEX(AX:AX,ROW())),0)</f>
        <v>85</v>
      </c>
      <c r="BA95" s="14" t="str">
        <f t="shared" si="47"/>
        <v/>
      </c>
      <c r="BB95" s="6">
        <f t="shared" si="36"/>
        <v>111068.17019999999</v>
      </c>
      <c r="BC95" s="6">
        <f>MEDIAN(INDEX(BB:BB,X95):INDEX(BB:BB,X95+Y95-1))</f>
        <v>167805.33689999999</v>
      </c>
      <c r="BD95" s="25" t="str">
        <f t="shared" si="37"/>
        <v/>
      </c>
      <c r="BE95">
        <f t="shared" si="48"/>
        <v>0</v>
      </c>
      <c r="BF95" s="6">
        <f>SUM(INDEX(BE:BE,X95):INDEX(BE:BE,X95+Y95-1))</f>
        <v>2</v>
      </c>
      <c r="BG95" s="25" t="str">
        <f t="shared" si="38"/>
        <v/>
      </c>
    </row>
    <row r="96" spans="1:59" x14ac:dyDescent="0.3">
      <c r="A96" s="1">
        <v>45492</v>
      </c>
      <c r="B96">
        <v>30.450600000000001</v>
      </c>
      <c r="C96">
        <v>30.639099999999999</v>
      </c>
      <c r="D96">
        <v>30.430800000000001</v>
      </c>
      <c r="E96">
        <v>30.430800000000001</v>
      </c>
      <c r="F96">
        <v>2267</v>
      </c>
      <c r="G96" s="29">
        <v>0.47821931553681202</v>
      </c>
      <c r="H96" s="29">
        <v>1.5714976784600199E-2</v>
      </c>
      <c r="I96" s="29">
        <v>6.8450385793340203E-3</v>
      </c>
      <c r="J96" s="29">
        <v>66.235887735145397</v>
      </c>
      <c r="K96" s="29">
        <v>0.114073271364713</v>
      </c>
      <c r="L96" s="29">
        <v>0.4</v>
      </c>
      <c r="M96" s="29">
        <v>0.1017267162727</v>
      </c>
      <c r="N96" s="29">
        <v>0.93628965722050495</v>
      </c>
      <c r="O96" s="29">
        <v>-2.4181575057159E-2</v>
      </c>
      <c r="P96" s="29">
        <v>-6.2633479848215297E-3</v>
      </c>
      <c r="Q96" s="29">
        <v>1.5873015873015799E-2</v>
      </c>
      <c r="R96" s="30">
        <v>208353.34474999999</v>
      </c>
      <c r="S96" s="29">
        <v>3</v>
      </c>
      <c r="T96">
        <v>539.14400000000001</v>
      </c>
      <c r="U96" s="21"/>
      <c r="V96">
        <v>86</v>
      </c>
      <c r="W96" t="b">
        <f>V96&gt;=$C$4</f>
        <v>0</v>
      </c>
      <c r="X96">
        <f>IF(V96&lt;=$C$5,11,ROW()-$C$5+1)</f>
        <v>11</v>
      </c>
      <c r="Y96" s="14">
        <f t="shared" si="31"/>
        <v>86</v>
      </c>
      <c r="Z96" s="10">
        <f t="shared" si="39"/>
        <v>0.20829999999999771</v>
      </c>
      <c r="AA96" s="15">
        <f t="shared" si="40"/>
        <v>6.8450385793340203E-3</v>
      </c>
      <c r="AB96" s="15">
        <f t="shared" si="41"/>
        <v>0.47821931553681196</v>
      </c>
      <c r="AC96" s="10">
        <f t="shared" si="32"/>
        <v>1.5714976784600206E-2</v>
      </c>
      <c r="AD96">
        <f t="shared" si="42"/>
        <v>-0.19179999999999708</v>
      </c>
      <c r="AE96">
        <f t="shared" si="49"/>
        <v>0</v>
      </c>
      <c r="AF96">
        <f t="shared" si="50"/>
        <v>0.19179999999999708</v>
      </c>
      <c r="AG96">
        <f t="shared" si="55"/>
        <v>0.22796084762287666</v>
      </c>
      <c r="AH96">
        <f t="shared" si="55"/>
        <v>0.11600811877269668</v>
      </c>
      <c r="AI96">
        <f t="shared" si="43"/>
        <v>1.9650421887241984</v>
      </c>
      <c r="AJ96">
        <f t="shared" si="51"/>
        <v>66.273667072835778</v>
      </c>
      <c r="AK96" s="14">
        <f t="shared" si="33"/>
        <v>66.273667072835778</v>
      </c>
      <c r="AM96" s="14">
        <f t="shared" ref="AM96:AM159" si="56">E96/E75-1</f>
        <v>0.11407327136471301</v>
      </c>
      <c r="AN96" s="36">
        <f t="shared" si="44"/>
        <v>-6.2633479848215323E-3</v>
      </c>
      <c r="AO96">
        <f t="shared" si="53"/>
        <v>0</v>
      </c>
      <c r="AP96" s="14">
        <f t="shared" si="54"/>
        <v>0.4</v>
      </c>
      <c r="AQ96">
        <f t="shared" si="45"/>
        <v>-6.6402824146750694E-3</v>
      </c>
      <c r="AR96">
        <f t="shared" si="46"/>
        <v>3.7693442985353969E-4</v>
      </c>
      <c r="AS96">
        <f t="shared" si="28"/>
        <v>1.4324700368520582E-3</v>
      </c>
      <c r="AT96">
        <f t="shared" si="29"/>
        <v>1.4081551920068032E-2</v>
      </c>
      <c r="AU96" s="14">
        <f t="shared" si="34"/>
        <v>0.10172671627270026</v>
      </c>
      <c r="AV96" s="19">
        <f t="shared" si="30"/>
        <v>0.9362896572205458</v>
      </c>
      <c r="AW96" s="19">
        <f t="shared" ref="AW96:AW159" si="57">(E96/MAX(E76:E96)-1)</f>
        <v>-2.418157505715901E-2</v>
      </c>
      <c r="AX96">
        <f t="shared" si="35"/>
        <v>0</v>
      </c>
      <c r="AY96">
        <f>IF(W96,SUMPRODUCT(INDEX(AX:AX,X96):INDEX(AX:AX,X96+Y96)),0)</f>
        <v>0</v>
      </c>
      <c r="AZ96">
        <f>IF(V96,COUNT(INDEX(AX:AX,X96):INDEX(AX:AX,ROW())),0)</f>
        <v>86</v>
      </c>
      <c r="BA96" s="14" t="str">
        <f t="shared" si="47"/>
        <v/>
      </c>
      <c r="BB96" s="6">
        <f t="shared" si="36"/>
        <v>68986.623600000006</v>
      </c>
      <c r="BC96" s="6">
        <f>MEDIAN(INDEX(BB:BB,X96):INDEX(BB:BB,X96+Y96-1))</f>
        <v>167230.87164999999</v>
      </c>
      <c r="BD96" s="25" t="str">
        <f t="shared" si="37"/>
        <v/>
      </c>
      <c r="BE96">
        <f t="shared" si="48"/>
        <v>0</v>
      </c>
      <c r="BF96" s="6">
        <f>SUM(INDEX(BE:BE,X96):INDEX(BE:BE,X96+Y96-1))</f>
        <v>2</v>
      </c>
      <c r="BG96" s="25" t="str">
        <f t="shared" si="38"/>
        <v/>
      </c>
    </row>
    <row r="97" spans="1:59" x14ac:dyDescent="0.3">
      <c r="A97" s="1">
        <v>45495</v>
      </c>
      <c r="B97">
        <v>30.470400000000001</v>
      </c>
      <c r="C97">
        <v>31.059200000000001</v>
      </c>
      <c r="D97">
        <v>30.470400000000001</v>
      </c>
      <c r="E97">
        <v>31.0261</v>
      </c>
      <c r="F97">
        <v>1813</v>
      </c>
      <c r="G97" s="29">
        <v>0.48894650728418199</v>
      </c>
      <c r="H97" s="29">
        <v>1.5759199747444299E-2</v>
      </c>
      <c r="I97" s="29">
        <v>2.0253915251997399E-2</v>
      </c>
      <c r="J97" s="29">
        <v>70.2003123281158</v>
      </c>
      <c r="K97" s="29">
        <v>0.14838325215048101</v>
      </c>
      <c r="L97" s="29">
        <v>0.4</v>
      </c>
      <c r="M97" s="29">
        <v>9.0752868467126005E-2</v>
      </c>
      <c r="N97" s="29">
        <v>1.0463901619021301</v>
      </c>
      <c r="O97" s="29">
        <v>-5.0922080878886798E-3</v>
      </c>
      <c r="P97" s="29">
        <v>1.9562417024856199E-2</v>
      </c>
      <c r="Q97" s="29">
        <v>1.5873015873015799E-2</v>
      </c>
      <c r="R97" s="30">
        <v>208353.34474999999</v>
      </c>
      <c r="S97" s="29">
        <v>3</v>
      </c>
      <c r="T97">
        <v>544.70299999999997</v>
      </c>
      <c r="U97" s="21"/>
      <c r="V97">
        <v>87</v>
      </c>
      <c r="W97" t="b">
        <f>V97&gt;=$C$4</f>
        <v>0</v>
      </c>
      <c r="X97">
        <f>IF(V97&lt;=$C$5,11,ROW()-$C$5+1)</f>
        <v>11</v>
      </c>
      <c r="Y97" s="14">
        <f t="shared" si="31"/>
        <v>87</v>
      </c>
      <c r="Z97" s="10">
        <f t="shared" si="39"/>
        <v>0.62839999999999918</v>
      </c>
      <c r="AA97" s="15">
        <f t="shared" si="40"/>
        <v>2.0253915251997486E-2</v>
      </c>
      <c r="AB97" s="15">
        <f t="shared" si="41"/>
        <v>0.48894650728418249</v>
      </c>
      <c r="AC97" s="10">
        <f t="shared" si="32"/>
        <v>1.575919974744433E-2</v>
      </c>
      <c r="AD97">
        <f t="shared" si="42"/>
        <v>0.59529999999999816</v>
      </c>
      <c r="AE97">
        <f t="shared" si="49"/>
        <v>0.59529999999999816</v>
      </c>
      <c r="AF97">
        <f t="shared" si="50"/>
        <v>0</v>
      </c>
      <c r="AG97">
        <f t="shared" si="55"/>
        <v>0.25419935850695674</v>
      </c>
      <c r="AH97">
        <f t="shared" si="55"/>
        <v>0.10772182457464692</v>
      </c>
      <c r="AI97">
        <f t="shared" si="43"/>
        <v>2.3597758347548852</v>
      </c>
      <c r="AJ97">
        <f t="shared" si="51"/>
        <v>70.236109514938647</v>
      </c>
      <c r="AK97" s="14">
        <f t="shared" si="33"/>
        <v>70.236109514938647</v>
      </c>
      <c r="AM97" s="14">
        <f t="shared" si="56"/>
        <v>0.14838325215048198</v>
      </c>
      <c r="AN97" s="36">
        <f t="shared" si="44"/>
        <v>1.9562417024856282E-2</v>
      </c>
      <c r="AO97">
        <f t="shared" si="53"/>
        <v>1</v>
      </c>
      <c r="AP97" s="14">
        <f t="shared" si="54"/>
        <v>0.4</v>
      </c>
      <c r="AQ97">
        <f t="shared" si="45"/>
        <v>1.0310788954342343E-2</v>
      </c>
      <c r="AR97">
        <f t="shared" si="46"/>
        <v>9.2516280705138565E-3</v>
      </c>
      <c r="AS97">
        <f t="shared" si="28"/>
        <v>1.2631817850138575E-3</v>
      </c>
      <c r="AT97">
        <f t="shared" si="29"/>
        <v>1.3918918557063861E-2</v>
      </c>
      <c r="AU97" s="14">
        <f t="shared" si="34"/>
        <v>9.0752868467126116E-2</v>
      </c>
      <c r="AV97" s="19">
        <f t="shared" si="30"/>
        <v>1.0463901619021787</v>
      </c>
      <c r="AW97" s="19">
        <f t="shared" si="57"/>
        <v>-5.0922080878886833E-3</v>
      </c>
      <c r="AX97">
        <f t="shared" si="35"/>
        <v>0</v>
      </c>
      <c r="AY97">
        <f>IF(W97,SUMPRODUCT(INDEX(AX:AX,X97):INDEX(AX:AX,X97+Y97)),0)</f>
        <v>0</v>
      </c>
      <c r="AZ97">
        <f>IF(V97,COUNT(INDEX(AX:AX,X97):INDEX(AX:AX,ROW())),0)</f>
        <v>87</v>
      </c>
      <c r="BA97" s="14" t="str">
        <f t="shared" si="47"/>
        <v/>
      </c>
      <c r="BB97" s="6">
        <f t="shared" si="36"/>
        <v>56250.319300000003</v>
      </c>
      <c r="BC97" s="6">
        <f>MEDIAN(INDEX(BB:BB,X97):INDEX(BB:BB,X97+Y97-1))</f>
        <v>166656.40639999998</v>
      </c>
      <c r="BD97" s="25" t="str">
        <f t="shared" si="37"/>
        <v/>
      </c>
      <c r="BE97">
        <f t="shared" si="48"/>
        <v>0</v>
      </c>
      <c r="BF97" s="6">
        <f>SUM(INDEX(BE:BE,X97):INDEX(BE:BE,X97+Y97-1))</f>
        <v>2</v>
      </c>
      <c r="BG97" s="25" t="str">
        <f t="shared" si="38"/>
        <v/>
      </c>
    </row>
    <row r="98" spans="1:59" x14ac:dyDescent="0.3">
      <c r="A98" s="1">
        <v>45496</v>
      </c>
      <c r="B98">
        <v>30.8277</v>
      </c>
      <c r="C98">
        <v>31.363499999999998</v>
      </c>
      <c r="D98">
        <v>30.8277</v>
      </c>
      <c r="E98">
        <v>31.211400000000001</v>
      </c>
      <c r="F98">
        <v>5593</v>
      </c>
      <c r="G98" s="29">
        <v>0.49229318533531202</v>
      </c>
      <c r="H98" s="29">
        <v>1.5772864573050601E-2</v>
      </c>
      <c r="I98" s="29">
        <v>1.7166804436840301E-2</v>
      </c>
      <c r="J98" s="29">
        <v>71.328795243225997</v>
      </c>
      <c r="K98" s="29">
        <v>0.16321556350626101</v>
      </c>
      <c r="L98" s="29">
        <v>0.4</v>
      </c>
      <c r="M98" s="29">
        <v>8.5784065181692598E-2</v>
      </c>
      <c r="N98" s="29">
        <v>1.0030875302881299</v>
      </c>
      <c r="O98" s="29">
        <v>0</v>
      </c>
      <c r="P98" s="29">
        <v>5.9723909869433501E-3</v>
      </c>
      <c r="Q98" s="29">
        <v>1.5873015873015799E-2</v>
      </c>
      <c r="R98" s="30">
        <v>208353.34474999999</v>
      </c>
      <c r="S98" s="29">
        <v>3</v>
      </c>
      <c r="T98">
        <v>543.84799999999996</v>
      </c>
      <c r="U98" s="21"/>
      <c r="V98">
        <v>88</v>
      </c>
      <c r="W98" t="b">
        <f>V98&gt;=$C$4</f>
        <v>0</v>
      </c>
      <c r="X98">
        <f>IF(V98&lt;=$C$5,11,ROW()-$C$5+1)</f>
        <v>11</v>
      </c>
      <c r="Y98" s="14">
        <f t="shared" si="31"/>
        <v>88</v>
      </c>
      <c r="Z98" s="10">
        <f t="shared" si="39"/>
        <v>0.53579999999999828</v>
      </c>
      <c r="AA98" s="15">
        <f t="shared" si="40"/>
        <v>1.7166804436840329E-2</v>
      </c>
      <c r="AB98" s="15">
        <f t="shared" si="41"/>
        <v>0.49229318533531219</v>
      </c>
      <c r="AC98" s="10">
        <f t="shared" si="32"/>
        <v>1.5772864573050622E-2</v>
      </c>
      <c r="AD98">
        <f t="shared" si="42"/>
        <v>0.18530000000000157</v>
      </c>
      <c r="AE98">
        <f t="shared" si="49"/>
        <v>0.18530000000000157</v>
      </c>
      <c r="AF98">
        <f t="shared" si="50"/>
        <v>0</v>
      </c>
      <c r="AG98">
        <f t="shared" si="55"/>
        <v>0.24927797575645996</v>
      </c>
      <c r="AH98">
        <f t="shared" si="55"/>
        <v>0.10002740853360072</v>
      </c>
      <c r="AI98">
        <f t="shared" si="43"/>
        <v>2.4920967104003671</v>
      </c>
      <c r="AJ98">
        <f t="shared" si="51"/>
        <v>71.363908765134099</v>
      </c>
      <c r="AK98" s="14">
        <f t="shared" si="33"/>
        <v>71.363908765134099</v>
      </c>
      <c r="AM98" s="14">
        <f t="shared" si="56"/>
        <v>0.1632155635062611</v>
      </c>
      <c r="AN98" s="36">
        <f t="shared" si="44"/>
        <v>5.9723909869433545E-3</v>
      </c>
      <c r="AO98">
        <f t="shared" si="53"/>
        <v>1</v>
      </c>
      <c r="AP98" s="14">
        <f t="shared" si="54"/>
        <v>0.4</v>
      </c>
      <c r="AQ98">
        <f t="shared" si="45"/>
        <v>-1.5696627336365676E-3</v>
      </c>
      <c r="AR98">
        <f t="shared" si="46"/>
        <v>7.5420537205799177E-3</v>
      </c>
      <c r="AS98">
        <f t="shared" si="28"/>
        <v>1.190068699376043E-3</v>
      </c>
      <c r="AT98">
        <f t="shared" si="29"/>
        <v>1.3872841032369467E-2</v>
      </c>
      <c r="AU98" s="14">
        <f t="shared" si="34"/>
        <v>8.5784065181692681E-2</v>
      </c>
      <c r="AV98" s="19">
        <f t="shared" si="30"/>
        <v>1.003087530288183</v>
      </c>
      <c r="AW98" s="19">
        <f t="shared" si="57"/>
        <v>0</v>
      </c>
      <c r="AX98">
        <f t="shared" si="35"/>
        <v>0</v>
      </c>
      <c r="AY98">
        <f>IF(W98,SUMPRODUCT(INDEX(AX:AX,X98):INDEX(AX:AX,X98+Y98)),0)</f>
        <v>0</v>
      </c>
      <c r="AZ98">
        <f>IF(V98,COUNT(INDEX(AX:AX,X98):INDEX(AX:AX,ROW())),0)</f>
        <v>88</v>
      </c>
      <c r="BA98" s="14" t="str">
        <f t="shared" si="47"/>
        <v/>
      </c>
      <c r="BB98" s="6">
        <f t="shared" si="36"/>
        <v>174565.3602</v>
      </c>
      <c r="BC98" s="6">
        <f>MEDIAN(INDEX(BB:BB,X98):INDEX(BB:BB,X98+Y98-1))</f>
        <v>167230.87164999999</v>
      </c>
      <c r="BD98" s="25" t="str">
        <f t="shared" si="37"/>
        <v/>
      </c>
      <c r="BE98">
        <f t="shared" si="48"/>
        <v>0</v>
      </c>
      <c r="BF98" s="6">
        <f>SUM(INDEX(BE:BE,X98):INDEX(BE:BE,X98+Y98-1))</f>
        <v>2</v>
      </c>
      <c r="BG98" s="25" t="str">
        <f t="shared" si="38"/>
        <v/>
      </c>
    </row>
    <row r="99" spans="1:59" x14ac:dyDescent="0.3">
      <c r="A99" s="1">
        <v>45497</v>
      </c>
      <c r="B99">
        <v>31.059200000000001</v>
      </c>
      <c r="C99">
        <v>31.059200000000001</v>
      </c>
      <c r="D99">
        <v>30.2455</v>
      </c>
      <c r="E99">
        <v>30.2455</v>
      </c>
      <c r="F99">
        <v>4988</v>
      </c>
      <c r="G99" s="29">
        <v>0.52612224352564696</v>
      </c>
      <c r="H99" s="29">
        <v>1.7395058555012999E-2</v>
      </c>
      <c r="I99" s="29">
        <v>3.1935329222529001E-2</v>
      </c>
      <c r="J99" s="29">
        <v>58.823936497391799</v>
      </c>
      <c r="K99" s="29">
        <v>0.107289428114325</v>
      </c>
      <c r="L99" s="29">
        <v>0.4</v>
      </c>
      <c r="M99" s="29">
        <v>6.92295301828489E-2</v>
      </c>
      <c r="N99" s="29">
        <v>1.06497021082237</v>
      </c>
      <c r="O99" s="29">
        <v>-3.0947025766226401E-2</v>
      </c>
      <c r="P99" s="29">
        <v>-3.0947025766226401E-2</v>
      </c>
      <c r="Q99" s="29">
        <v>1.5873015873015799E-2</v>
      </c>
      <c r="R99" s="30">
        <v>208353.34474999999</v>
      </c>
      <c r="S99" s="29">
        <v>3</v>
      </c>
      <c r="T99">
        <v>531.52300000000002</v>
      </c>
      <c r="U99" s="21"/>
      <c r="V99">
        <v>89</v>
      </c>
      <c r="W99" t="b">
        <f>V99&gt;=$C$4</f>
        <v>0</v>
      </c>
      <c r="X99">
        <f>IF(V99&lt;=$C$5,11,ROW()-$C$5+1)</f>
        <v>11</v>
      </c>
      <c r="Y99" s="14">
        <f t="shared" si="31"/>
        <v>89</v>
      </c>
      <c r="Z99" s="10">
        <f t="shared" si="39"/>
        <v>0.96590000000000131</v>
      </c>
      <c r="AA99" s="15">
        <f t="shared" si="40"/>
        <v>3.1935329222529014E-2</v>
      </c>
      <c r="AB99" s="15">
        <f t="shared" si="41"/>
        <v>0.52612224352564707</v>
      </c>
      <c r="AC99" s="10">
        <f t="shared" si="32"/>
        <v>1.7395058555013047E-2</v>
      </c>
      <c r="AD99">
        <f t="shared" si="42"/>
        <v>-0.96590000000000131</v>
      </c>
      <c r="AE99">
        <f t="shared" si="49"/>
        <v>0</v>
      </c>
      <c r="AF99">
        <f t="shared" si="50"/>
        <v>0.96590000000000131</v>
      </c>
      <c r="AG99">
        <f t="shared" si="55"/>
        <v>0.23147240605956995</v>
      </c>
      <c r="AH99">
        <f t="shared" si="55"/>
        <v>0.16187545078120077</v>
      </c>
      <c r="AI99">
        <f t="shared" si="43"/>
        <v>1.429941383591512</v>
      </c>
      <c r="AJ99">
        <f t="shared" si="51"/>
        <v>58.846743927543798</v>
      </c>
      <c r="AK99" s="14">
        <f t="shared" si="33"/>
        <v>58.846743927543798</v>
      </c>
      <c r="AM99" s="14">
        <f t="shared" si="56"/>
        <v>0.10728942811432574</v>
      </c>
      <c r="AN99" s="36">
        <f t="shared" si="44"/>
        <v>-3.0947025766226433E-2</v>
      </c>
      <c r="AO99">
        <f t="shared" si="53"/>
        <v>0</v>
      </c>
      <c r="AP99" s="14">
        <f t="shared" si="54"/>
        <v>0.4</v>
      </c>
      <c r="AQ99">
        <f t="shared" si="45"/>
        <v>-2.2662582192082947E-2</v>
      </c>
      <c r="AR99">
        <f t="shared" si="46"/>
        <v>-8.284443574143454E-3</v>
      </c>
      <c r="AS99">
        <f t="shared" si="28"/>
        <v>9.6294827343547666E-4</v>
      </c>
      <c r="AT99">
        <f t="shared" si="29"/>
        <v>1.3909501781857226E-2</v>
      </c>
      <c r="AU99" s="14">
        <f t="shared" si="34"/>
        <v>6.9229530182848997E-2</v>
      </c>
      <c r="AV99" s="19">
        <f t="shared" si="30"/>
        <v>1.0649702108224184</v>
      </c>
      <c r="AW99" s="19">
        <f t="shared" si="57"/>
        <v>-3.0947025766226433E-2</v>
      </c>
      <c r="AX99">
        <f t="shared" si="35"/>
        <v>0</v>
      </c>
      <c r="AY99">
        <f>IF(W99,SUMPRODUCT(INDEX(AX:AX,X99):INDEX(AX:AX,X99+Y99)),0)</f>
        <v>0</v>
      </c>
      <c r="AZ99">
        <f>IF(V99,COUNT(INDEX(AX:AX,X99):INDEX(AX:AX,ROW())),0)</f>
        <v>89</v>
      </c>
      <c r="BA99" s="14" t="str">
        <f t="shared" si="47"/>
        <v/>
      </c>
      <c r="BB99" s="6">
        <f t="shared" si="36"/>
        <v>150864.554</v>
      </c>
      <c r="BC99" s="6">
        <f>MEDIAN(INDEX(BB:BB,X99):INDEX(BB:BB,X99+Y99-1))</f>
        <v>166656.40639999998</v>
      </c>
      <c r="BD99" s="25" t="str">
        <f t="shared" si="37"/>
        <v/>
      </c>
      <c r="BE99">
        <f t="shared" si="48"/>
        <v>0</v>
      </c>
      <c r="BF99" s="6">
        <f>SUM(INDEX(BE:BE,X99):INDEX(BE:BE,X99+Y99-1))</f>
        <v>2</v>
      </c>
      <c r="BG99" s="25" t="str">
        <f t="shared" si="38"/>
        <v/>
      </c>
    </row>
    <row r="100" spans="1:59" x14ac:dyDescent="0.3">
      <c r="A100" s="1">
        <v>45498</v>
      </c>
      <c r="B100">
        <v>30.338100000000001</v>
      </c>
      <c r="C100">
        <v>31.059200000000001</v>
      </c>
      <c r="D100">
        <v>30.338100000000001</v>
      </c>
      <c r="E100">
        <v>30.589500000000001</v>
      </c>
      <c r="F100">
        <v>6651</v>
      </c>
      <c r="G100" s="29">
        <v>0.54666351184524298</v>
      </c>
      <c r="H100" s="29">
        <v>1.7870952838236701E-2</v>
      </c>
      <c r="I100" s="29">
        <v>2.6600630935451699E-2</v>
      </c>
      <c r="J100" s="29">
        <v>61.418162281130897</v>
      </c>
      <c r="K100" s="29">
        <v>0.123965211256737</v>
      </c>
      <c r="L100" s="29">
        <v>0.6</v>
      </c>
      <c r="M100" s="29">
        <v>8.5348816952523499E-2</v>
      </c>
      <c r="N100" s="29">
        <v>1.0297356977127801</v>
      </c>
      <c r="O100" s="29">
        <v>-1.9925411868740299E-2</v>
      </c>
      <c r="P100" s="29">
        <v>1.1373592765865999E-2</v>
      </c>
      <c r="Q100" s="29">
        <v>1.5873015873015799E-2</v>
      </c>
      <c r="R100" s="30">
        <v>208353.34474999999</v>
      </c>
      <c r="S100" s="29">
        <v>3</v>
      </c>
      <c r="T100">
        <v>528.75400000000002</v>
      </c>
      <c r="U100" s="21"/>
      <c r="V100">
        <v>90</v>
      </c>
      <c r="W100" t="b">
        <f>V100&gt;=$C$4</f>
        <v>0</v>
      </c>
      <c r="X100">
        <f>IF(V100&lt;=$C$5,11,ROW()-$C$5+1)</f>
        <v>11</v>
      </c>
      <c r="Y100" s="14">
        <f t="shared" si="31"/>
        <v>90</v>
      </c>
      <c r="Z100" s="10">
        <f t="shared" si="39"/>
        <v>0.81370000000000076</v>
      </c>
      <c r="AA100" s="15">
        <f t="shared" si="40"/>
        <v>2.660063093545173E-2</v>
      </c>
      <c r="AB100" s="15">
        <f t="shared" si="41"/>
        <v>0.54666351184524375</v>
      </c>
      <c r="AC100" s="10">
        <f t="shared" si="32"/>
        <v>1.7870952838236771E-2</v>
      </c>
      <c r="AD100">
        <f t="shared" si="42"/>
        <v>0.34400000000000119</v>
      </c>
      <c r="AE100">
        <f t="shared" si="49"/>
        <v>0.34400000000000119</v>
      </c>
      <c r="AF100">
        <f t="shared" si="50"/>
        <v>0</v>
      </c>
      <c r="AG100">
        <f t="shared" si="55"/>
        <v>0.23951009134102932</v>
      </c>
      <c r="AH100">
        <f t="shared" si="55"/>
        <v>0.15031291858254359</v>
      </c>
      <c r="AI100">
        <f t="shared" si="43"/>
        <v>1.5934098918417552</v>
      </c>
      <c r="AJ100">
        <f t="shared" si="51"/>
        <v>61.440727007876397</v>
      </c>
      <c r="AK100" s="14">
        <f t="shared" si="33"/>
        <v>61.440727007876397</v>
      </c>
      <c r="AM100" s="14">
        <f t="shared" si="56"/>
        <v>0.12396521125673798</v>
      </c>
      <c r="AN100" s="36">
        <f t="shared" si="44"/>
        <v>1.1373592765866025E-2</v>
      </c>
      <c r="AO100">
        <f t="shared" si="53"/>
        <v>1</v>
      </c>
      <c r="AP100" s="14">
        <f t="shared" si="54"/>
        <v>0.6</v>
      </c>
      <c r="AQ100">
        <f t="shared" si="45"/>
        <v>-5.2095581940950764E-3</v>
      </c>
      <c r="AR100">
        <f t="shared" si="46"/>
        <v>1.6583150959961074E-2</v>
      </c>
      <c r="AS100">
        <f t="shared" si="28"/>
        <v>1.1989728159134661E-3</v>
      </c>
      <c r="AT100">
        <f t="shared" si="29"/>
        <v>1.4047913711333689E-2</v>
      </c>
      <c r="AU100" s="14">
        <f t="shared" si="34"/>
        <v>8.5348816952523651E-2</v>
      </c>
      <c r="AV100" s="19">
        <f t="shared" si="30"/>
        <v>1.0297356977128183</v>
      </c>
      <c r="AW100" s="19">
        <f t="shared" si="57"/>
        <v>-1.9925411868740306E-2</v>
      </c>
      <c r="AX100">
        <f t="shared" si="35"/>
        <v>0</v>
      </c>
      <c r="AY100">
        <f>IF(W100,SUMPRODUCT(INDEX(AX:AX,X100):INDEX(AX:AX,X100+Y100)),0)</f>
        <v>0</v>
      </c>
      <c r="AZ100">
        <f>IF(V100,COUNT(INDEX(AX:AX,X100):INDEX(AX:AX,ROW())),0)</f>
        <v>90</v>
      </c>
      <c r="BA100" s="14" t="str">
        <f t="shared" si="47"/>
        <v/>
      </c>
      <c r="BB100" s="6">
        <f t="shared" si="36"/>
        <v>203450.76450000002</v>
      </c>
      <c r="BC100" s="6">
        <f>MEDIAN(INDEX(BB:BB,X100):INDEX(BB:BB,X100+Y100-1))</f>
        <v>167230.87164999999</v>
      </c>
      <c r="BD100" s="25" t="str">
        <f t="shared" si="37"/>
        <v/>
      </c>
      <c r="BE100">
        <f t="shared" si="48"/>
        <v>0</v>
      </c>
      <c r="BF100" s="6">
        <f>SUM(INDEX(BE:BE,X100):INDEX(BE:BE,X100+Y100-1))</f>
        <v>2</v>
      </c>
      <c r="BG100" s="25" t="str">
        <f t="shared" si="38"/>
        <v/>
      </c>
    </row>
    <row r="101" spans="1:59" x14ac:dyDescent="0.3">
      <c r="A101" s="1">
        <v>45499</v>
      </c>
      <c r="B101">
        <v>31.186900000000001</v>
      </c>
      <c r="C101">
        <v>31.330400000000001</v>
      </c>
      <c r="D101">
        <v>31.186900000000001</v>
      </c>
      <c r="E101">
        <v>31.3172</v>
      </c>
      <c r="F101">
        <v>9523</v>
      </c>
      <c r="G101" s="29">
        <v>0.56053754671344003</v>
      </c>
      <c r="H101" s="29">
        <v>1.78987121043209E-2</v>
      </c>
      <c r="I101" s="29">
        <v>2.36579259959383E-2</v>
      </c>
      <c r="J101" s="29">
        <v>66.260745028296398</v>
      </c>
      <c r="K101" s="29">
        <v>0.15519848910726</v>
      </c>
      <c r="L101" s="29">
        <v>0.8</v>
      </c>
      <c r="M101" s="29">
        <v>9.924493845606E-2</v>
      </c>
      <c r="N101" s="29">
        <v>1.0654094768706399</v>
      </c>
      <c r="O101" s="29">
        <v>0</v>
      </c>
      <c r="P101" s="29">
        <v>2.37892087154087E-2</v>
      </c>
      <c r="Q101" s="29">
        <v>1.5873015873015799E-2</v>
      </c>
      <c r="R101" s="30">
        <v>208968.16625000001</v>
      </c>
      <c r="S101" s="29">
        <v>3</v>
      </c>
      <c r="T101">
        <v>534.67600000000004</v>
      </c>
      <c r="U101" s="21"/>
      <c r="V101">
        <v>91</v>
      </c>
      <c r="W101" t="b">
        <f>V101&gt;=$C$4</f>
        <v>0</v>
      </c>
      <c r="X101">
        <f>IF(V101&lt;=$C$5,11,ROW()-$C$5+1)</f>
        <v>11</v>
      </c>
      <c r="Y101" s="14">
        <f t="shared" si="31"/>
        <v>91</v>
      </c>
      <c r="Z101" s="10">
        <f t="shared" si="39"/>
        <v>0.74089999999999989</v>
      </c>
      <c r="AA101" s="15">
        <f t="shared" si="40"/>
        <v>2.3657925995938332E-2</v>
      </c>
      <c r="AB101" s="15">
        <f t="shared" si="41"/>
        <v>0.56053754671344058</v>
      </c>
      <c r="AC101" s="10">
        <f t="shared" si="32"/>
        <v>1.7898712104320966E-2</v>
      </c>
      <c r="AD101">
        <f t="shared" si="42"/>
        <v>0.72769999999999868</v>
      </c>
      <c r="AE101">
        <f t="shared" si="49"/>
        <v>0.72769999999999868</v>
      </c>
      <c r="AF101">
        <f t="shared" si="50"/>
        <v>0</v>
      </c>
      <c r="AG101">
        <f t="shared" si="55"/>
        <v>0.27438079910238428</v>
      </c>
      <c r="AH101">
        <f t="shared" si="55"/>
        <v>0.13957628154093332</v>
      </c>
      <c r="AI101">
        <f t="shared" si="43"/>
        <v>1.9658125010438614</v>
      </c>
      <c r="AJ101">
        <f t="shared" si="51"/>
        <v>66.282426834196855</v>
      </c>
      <c r="AK101" s="14">
        <f t="shared" si="33"/>
        <v>66.282426834196855</v>
      </c>
      <c r="AM101" s="14">
        <f t="shared" si="56"/>
        <v>0.1551984891072602</v>
      </c>
      <c r="AN101" s="36">
        <f t="shared" si="44"/>
        <v>2.3789208715408794E-2</v>
      </c>
      <c r="AO101">
        <f t="shared" si="53"/>
        <v>1</v>
      </c>
      <c r="AP101" s="14">
        <f t="shared" si="54"/>
        <v>0.8</v>
      </c>
      <c r="AQ101">
        <f t="shared" si="45"/>
        <v>1.1199915272508632E-2</v>
      </c>
      <c r="AR101">
        <f t="shared" si="46"/>
        <v>1.2589293442900069E-2</v>
      </c>
      <c r="AS101">
        <f t="shared" si="28"/>
        <v>1.4013060759401083E-3</v>
      </c>
      <c r="AT101">
        <f t="shared" si="29"/>
        <v>1.4119672980204697E-2</v>
      </c>
      <c r="AU101" s="14">
        <f t="shared" si="34"/>
        <v>9.924493845606E-2</v>
      </c>
      <c r="AV101" s="19">
        <f t="shared" si="30"/>
        <v>1.0654094768706794</v>
      </c>
      <c r="AW101" s="19">
        <f t="shared" si="57"/>
        <v>0</v>
      </c>
      <c r="AX101">
        <f t="shared" si="35"/>
        <v>0</v>
      </c>
      <c r="AY101">
        <f>IF(W101,SUMPRODUCT(INDEX(AX:AX,X101):INDEX(AX:AX,X101+Y101)),0)</f>
        <v>0</v>
      </c>
      <c r="AZ101">
        <f>IF(V101,COUNT(INDEX(AX:AX,X101):INDEX(AX:AX,ROW())),0)</f>
        <v>91</v>
      </c>
      <c r="BA101" s="14" t="str">
        <f t="shared" si="47"/>
        <v/>
      </c>
      <c r="BB101" s="6">
        <f t="shared" si="36"/>
        <v>298233.69559999998</v>
      </c>
      <c r="BC101" s="6">
        <f>MEDIAN(INDEX(BB:BB,X101):INDEX(BB:BB,X101+Y101-1))</f>
        <v>167805.33689999999</v>
      </c>
      <c r="BD101" s="25" t="str">
        <f t="shared" si="37"/>
        <v/>
      </c>
      <c r="BE101">
        <f t="shared" si="48"/>
        <v>0</v>
      </c>
      <c r="BF101" s="6">
        <f>SUM(INDEX(BE:BE,X101):INDEX(BE:BE,X101+Y101-1))</f>
        <v>2</v>
      </c>
      <c r="BG101" s="25" t="str">
        <f t="shared" si="38"/>
        <v/>
      </c>
    </row>
    <row r="102" spans="1:59" x14ac:dyDescent="0.3">
      <c r="A102" s="1">
        <v>45502</v>
      </c>
      <c r="B102">
        <v>31.191500000000001</v>
      </c>
      <c r="C102">
        <v>31.4297</v>
      </c>
      <c r="D102">
        <v>31.032800000000002</v>
      </c>
      <c r="E102">
        <v>31.303999999999998</v>
      </c>
      <c r="F102">
        <v>4081</v>
      </c>
      <c r="G102" s="29">
        <v>0.54884915051962302</v>
      </c>
      <c r="H102" s="29">
        <v>1.7532876006888E-2</v>
      </c>
      <c r="I102" s="29">
        <v>1.2678890876565201E-2</v>
      </c>
      <c r="J102" s="29">
        <v>66.098678564070298</v>
      </c>
      <c r="K102" s="29">
        <v>0.13496365317332201</v>
      </c>
      <c r="L102" s="29">
        <v>0.6</v>
      </c>
      <c r="M102" s="29">
        <v>9.4243597340380195E-2</v>
      </c>
      <c r="N102" s="29">
        <v>1.0615019399485699</v>
      </c>
      <c r="O102" s="29">
        <v>-4.2149362011933901E-4</v>
      </c>
      <c r="P102" s="29">
        <v>-4.2149362011933901E-4</v>
      </c>
      <c r="Q102" s="29">
        <v>1.5873015873015799E-2</v>
      </c>
      <c r="R102" s="30">
        <v>208968.16625000001</v>
      </c>
      <c r="S102" s="29">
        <v>3</v>
      </c>
      <c r="T102">
        <v>534.99</v>
      </c>
      <c r="U102" s="21"/>
      <c r="V102">
        <v>92</v>
      </c>
      <c r="W102" t="b">
        <f>V102&gt;=$C$4</f>
        <v>0</v>
      </c>
      <c r="X102">
        <f>IF(V102&lt;=$C$5,11,ROW()-$C$5+1)</f>
        <v>11</v>
      </c>
      <c r="Y102" s="14">
        <f t="shared" si="31"/>
        <v>92</v>
      </c>
      <c r="Z102" s="10">
        <f t="shared" si="39"/>
        <v>0.3968999999999987</v>
      </c>
      <c r="AA102" s="15">
        <f t="shared" si="40"/>
        <v>1.2678890876565254E-2</v>
      </c>
      <c r="AB102" s="15">
        <f t="shared" si="41"/>
        <v>0.54884915051962335</v>
      </c>
      <c r="AC102" s="10">
        <f t="shared" si="32"/>
        <v>1.7532876006888045E-2</v>
      </c>
      <c r="AD102">
        <f t="shared" si="42"/>
        <v>-1.3200000000001211E-2</v>
      </c>
      <c r="AE102">
        <f t="shared" si="49"/>
        <v>0</v>
      </c>
      <c r="AF102">
        <f t="shared" si="50"/>
        <v>1.3200000000001211E-2</v>
      </c>
      <c r="AG102">
        <f t="shared" si="55"/>
        <v>0.25478217059507113</v>
      </c>
      <c r="AH102">
        <f t="shared" si="55"/>
        <v>0.1305494042880096</v>
      </c>
      <c r="AI102">
        <f t="shared" si="43"/>
        <v>1.9516149612830656</v>
      </c>
      <c r="AJ102">
        <f t="shared" si="51"/>
        <v>66.120242202414488</v>
      </c>
      <c r="AK102" s="14">
        <f t="shared" si="33"/>
        <v>66.120242202414488</v>
      </c>
      <c r="AM102" s="14">
        <f t="shared" si="56"/>
        <v>0.13496365317332271</v>
      </c>
      <c r="AN102" s="36">
        <f t="shared" si="44"/>
        <v>-4.2149362011933977E-4</v>
      </c>
      <c r="AO102">
        <f t="shared" si="53"/>
        <v>0</v>
      </c>
      <c r="AP102" s="14">
        <f t="shared" si="54"/>
        <v>0.6</v>
      </c>
      <c r="AQ102">
        <f t="shared" si="45"/>
        <v>5.8727154388815705E-4</v>
      </c>
      <c r="AR102">
        <f t="shared" si="46"/>
        <v>-1.008765164007496E-3</v>
      </c>
      <c r="AS102">
        <f t="shared" si="28"/>
        <v>1.3307618107947384E-3</v>
      </c>
      <c r="AT102">
        <f t="shared" si="29"/>
        <v>1.4120447949248129E-2</v>
      </c>
      <c r="AU102" s="14">
        <f t="shared" si="34"/>
        <v>9.4243597340380222E-2</v>
      </c>
      <c r="AV102" s="19">
        <f t="shared" si="30"/>
        <v>1.0615019399486132</v>
      </c>
      <c r="AW102" s="19">
        <f t="shared" si="57"/>
        <v>-4.2149362011933977E-4</v>
      </c>
      <c r="AX102">
        <f t="shared" si="35"/>
        <v>0</v>
      </c>
      <c r="AY102">
        <f>IF(W102,SUMPRODUCT(INDEX(AX:AX,X102):INDEX(AX:AX,X102+Y102)),0)</f>
        <v>0</v>
      </c>
      <c r="AZ102">
        <f>IF(V102,COUNT(INDEX(AX:AX,X102):INDEX(AX:AX,ROW())),0)</f>
        <v>92</v>
      </c>
      <c r="BA102" s="14" t="str">
        <f t="shared" si="47"/>
        <v/>
      </c>
      <c r="BB102" s="6">
        <f t="shared" si="36"/>
        <v>127751.624</v>
      </c>
      <c r="BC102" s="6">
        <f>MEDIAN(INDEX(BB:BB,X102):INDEX(BB:BB,X102+Y102-1))</f>
        <v>167230.87164999999</v>
      </c>
      <c r="BD102" s="25" t="str">
        <f t="shared" si="37"/>
        <v/>
      </c>
      <c r="BE102">
        <f t="shared" si="48"/>
        <v>0</v>
      </c>
      <c r="BF102" s="6">
        <f>SUM(INDEX(BE:BE,X102):INDEX(BE:BE,X102+Y102-1))</f>
        <v>2</v>
      </c>
      <c r="BG102" s="25" t="str">
        <f t="shared" si="38"/>
        <v/>
      </c>
    </row>
    <row r="103" spans="1:59" x14ac:dyDescent="0.3">
      <c r="A103" s="1">
        <v>45503</v>
      </c>
      <c r="B103">
        <v>31.694299999999998</v>
      </c>
      <c r="C103">
        <v>31.694299999999998</v>
      </c>
      <c r="D103">
        <v>31.552099999999999</v>
      </c>
      <c r="E103">
        <v>31.621500000000001</v>
      </c>
      <c r="F103">
        <v>2872</v>
      </c>
      <c r="G103" s="29">
        <v>0.53752421119679294</v>
      </c>
      <c r="H103" s="29">
        <v>1.6998694280688498E-2</v>
      </c>
      <c r="I103" s="29">
        <v>1.23428679853896E-2</v>
      </c>
      <c r="J103" s="29">
        <v>68.118574764876499</v>
      </c>
      <c r="K103" s="29">
        <v>0.14931269853962001</v>
      </c>
      <c r="L103" s="29">
        <v>0.6</v>
      </c>
      <c r="M103" s="29">
        <v>0.112870471450139</v>
      </c>
      <c r="N103" s="29">
        <v>1.0341949424133901</v>
      </c>
      <c r="O103" s="29">
        <v>0</v>
      </c>
      <c r="P103" s="29">
        <v>1.0142473805264601E-2</v>
      </c>
      <c r="Q103" s="29">
        <v>1.5873015873015799E-2</v>
      </c>
      <c r="R103" s="30">
        <v>208968.16625000001</v>
      </c>
      <c r="S103" s="29">
        <v>3</v>
      </c>
      <c r="T103">
        <v>532.279</v>
      </c>
      <c r="U103" s="21"/>
      <c r="V103">
        <v>93</v>
      </c>
      <c r="W103" t="b">
        <f>V103&gt;=$C$4</f>
        <v>0</v>
      </c>
      <c r="X103">
        <f>IF(V103&lt;=$C$5,11,ROW()-$C$5+1)</f>
        <v>11</v>
      </c>
      <c r="Y103" s="14">
        <f t="shared" si="31"/>
        <v>93</v>
      </c>
      <c r="Z103" s="10">
        <f t="shared" si="39"/>
        <v>0.39029999999999987</v>
      </c>
      <c r="AA103" s="15">
        <f t="shared" si="40"/>
        <v>1.2342867985389683E-2</v>
      </c>
      <c r="AB103" s="15">
        <f t="shared" si="41"/>
        <v>0.53752421119679306</v>
      </c>
      <c r="AC103" s="10">
        <f t="shared" si="32"/>
        <v>1.699869428068855E-2</v>
      </c>
      <c r="AD103">
        <f t="shared" si="42"/>
        <v>0.31750000000000256</v>
      </c>
      <c r="AE103">
        <f t="shared" si="49"/>
        <v>0.31750000000000256</v>
      </c>
      <c r="AF103">
        <f t="shared" si="50"/>
        <v>0</v>
      </c>
      <c r="AG103">
        <f t="shared" si="55"/>
        <v>0.25926201555256623</v>
      </c>
      <c r="AH103">
        <f t="shared" si="55"/>
        <v>0.12122444683886605</v>
      </c>
      <c r="AI103">
        <f t="shared" si="43"/>
        <v>2.1386941521554848</v>
      </c>
      <c r="AJ103">
        <f t="shared" si="51"/>
        <v>68.139616301471932</v>
      </c>
      <c r="AK103" s="14">
        <f t="shared" si="33"/>
        <v>68.139616301471932</v>
      </c>
      <c r="AM103" s="14">
        <f t="shared" si="56"/>
        <v>0.1493126985396207</v>
      </c>
      <c r="AN103" s="36">
        <f t="shared" si="44"/>
        <v>1.0142473805264673E-2</v>
      </c>
      <c r="AO103">
        <f t="shared" si="53"/>
        <v>1</v>
      </c>
      <c r="AP103" s="14">
        <f t="shared" si="54"/>
        <v>0.6</v>
      </c>
      <c r="AQ103">
        <f t="shared" si="45"/>
        <v>-5.0673844370923149E-3</v>
      </c>
      <c r="AR103">
        <f t="shared" si="46"/>
        <v>1.5209858242356915E-2</v>
      </c>
      <c r="AS103">
        <f t="shared" si="28"/>
        <v>1.6051059738385843E-3</v>
      </c>
      <c r="AT103">
        <f t="shared" si="29"/>
        <v>1.4220778501378427E-2</v>
      </c>
      <c r="AU103" s="14">
        <f t="shared" si="34"/>
        <v>0.11287047145013901</v>
      </c>
      <c r="AV103" s="19">
        <f t="shared" si="30"/>
        <v>1.0341949424134289</v>
      </c>
      <c r="AW103" s="19">
        <f t="shared" si="57"/>
        <v>0</v>
      </c>
      <c r="AX103">
        <f t="shared" si="35"/>
        <v>0</v>
      </c>
      <c r="AY103">
        <f>IF(W103,SUMPRODUCT(INDEX(AX:AX,X103):INDEX(AX:AX,X103+Y103)),0)</f>
        <v>0</v>
      </c>
      <c r="AZ103">
        <f>IF(V103,COUNT(INDEX(AX:AX,X103):INDEX(AX:AX,ROW())),0)</f>
        <v>93</v>
      </c>
      <c r="BA103" s="14" t="str">
        <f t="shared" si="47"/>
        <v/>
      </c>
      <c r="BB103" s="6">
        <f t="shared" si="36"/>
        <v>90816.948000000004</v>
      </c>
      <c r="BC103" s="6">
        <f>MEDIAN(INDEX(BB:BB,X103):INDEX(BB:BB,X103+Y103-1))</f>
        <v>166656.40639999998</v>
      </c>
      <c r="BD103" s="25" t="str">
        <f t="shared" si="37"/>
        <v/>
      </c>
      <c r="BE103">
        <f t="shared" si="48"/>
        <v>0</v>
      </c>
      <c r="BF103" s="6">
        <f>SUM(INDEX(BE:BE,X103):INDEX(BE:BE,X103+Y103-1))</f>
        <v>2</v>
      </c>
      <c r="BG103" s="25" t="str">
        <f t="shared" si="38"/>
        <v/>
      </c>
    </row>
    <row r="104" spans="1:59" x14ac:dyDescent="0.3">
      <c r="A104" s="1">
        <v>45504</v>
      </c>
      <c r="B104">
        <v>31.8597</v>
      </c>
      <c r="C104">
        <v>32.6205</v>
      </c>
      <c r="D104">
        <v>31.786899999999999</v>
      </c>
      <c r="E104">
        <v>32.349200000000003</v>
      </c>
      <c r="F104">
        <v>7709</v>
      </c>
      <c r="G104" s="29">
        <v>0.57048676753987904</v>
      </c>
      <c r="H104" s="29">
        <v>1.7635266638429299E-2</v>
      </c>
      <c r="I104" s="29">
        <v>3.0881752871786499E-2</v>
      </c>
      <c r="J104" s="29">
        <v>72.206057316015404</v>
      </c>
      <c r="K104" s="29">
        <v>0.17125767581971901</v>
      </c>
      <c r="L104" s="29">
        <v>0.8</v>
      </c>
      <c r="M104" s="29">
        <v>0.121765551421328</v>
      </c>
      <c r="N104" s="29">
        <v>1.0441814183850699</v>
      </c>
      <c r="O104" s="29">
        <v>0</v>
      </c>
      <c r="P104" s="29">
        <v>2.3012823553594901E-2</v>
      </c>
      <c r="Q104" s="29">
        <v>1.5873015873015799E-2</v>
      </c>
      <c r="R104" s="30">
        <v>208968.16625000001</v>
      </c>
      <c r="S104" s="29">
        <v>3</v>
      </c>
      <c r="T104">
        <v>540.93100000000004</v>
      </c>
      <c r="U104" s="21"/>
      <c r="V104">
        <v>94</v>
      </c>
      <c r="W104" t="b">
        <f>V104&gt;=$C$4</f>
        <v>0</v>
      </c>
      <c r="X104">
        <f>IF(V104&lt;=$C$5,11,ROW()-$C$5+1)</f>
        <v>11</v>
      </c>
      <c r="Y104" s="14">
        <f t="shared" si="31"/>
        <v>94</v>
      </c>
      <c r="Z104" s="10">
        <f t="shared" si="39"/>
        <v>0.99899999999999878</v>
      </c>
      <c r="AA104" s="15">
        <f t="shared" si="40"/>
        <v>3.0881752871786586E-2</v>
      </c>
      <c r="AB104" s="15">
        <f t="shared" si="41"/>
        <v>0.57048676753987915</v>
      </c>
      <c r="AC104" s="10">
        <f t="shared" si="32"/>
        <v>1.7635266638429362E-2</v>
      </c>
      <c r="AD104">
        <f t="shared" si="42"/>
        <v>0.72770000000000223</v>
      </c>
      <c r="AE104">
        <f t="shared" si="49"/>
        <v>0.72770000000000223</v>
      </c>
      <c r="AF104">
        <f t="shared" si="50"/>
        <v>0</v>
      </c>
      <c r="AG104">
        <f t="shared" si="55"/>
        <v>0.29272187158452595</v>
      </c>
      <c r="AH104">
        <f t="shared" si="55"/>
        <v>0.11256555777894704</v>
      </c>
      <c r="AI104">
        <f t="shared" si="43"/>
        <v>2.6004568125479786</v>
      </c>
      <c r="AJ104">
        <f t="shared" si="51"/>
        <v>72.225746563189077</v>
      </c>
      <c r="AK104" s="14">
        <f t="shared" si="33"/>
        <v>72.225746563189077</v>
      </c>
      <c r="AM104" s="14">
        <f t="shared" si="56"/>
        <v>0.17125767581971973</v>
      </c>
      <c r="AN104" s="36">
        <f t="shared" si="44"/>
        <v>2.3012823553594908E-2</v>
      </c>
      <c r="AO104">
        <f t="shared" si="53"/>
        <v>1</v>
      </c>
      <c r="AP104" s="14">
        <f t="shared" si="54"/>
        <v>0.8</v>
      </c>
      <c r="AQ104">
        <f t="shared" si="45"/>
        <v>1.6254633378359973E-2</v>
      </c>
      <c r="AR104">
        <f t="shared" si="46"/>
        <v>6.758190175234928E-3</v>
      </c>
      <c r="AS104">
        <f t="shared" si="28"/>
        <v>1.7327862085836873E-3</v>
      </c>
      <c r="AT104">
        <f t="shared" si="29"/>
        <v>1.42305125575949E-2</v>
      </c>
      <c r="AU104" s="14">
        <f t="shared" si="34"/>
        <v>0.12176555142132882</v>
      </c>
      <c r="AV104" s="19">
        <f t="shared" si="30"/>
        <v>1.0441814183851106</v>
      </c>
      <c r="AW104" s="19">
        <f t="shared" si="57"/>
        <v>0</v>
      </c>
      <c r="AX104">
        <f t="shared" si="35"/>
        <v>0</v>
      </c>
      <c r="AY104">
        <f>IF(W104,SUMPRODUCT(INDEX(AX:AX,X104):INDEX(AX:AX,X104+Y104)),0)</f>
        <v>0</v>
      </c>
      <c r="AZ104">
        <f>IF(V104,COUNT(INDEX(AX:AX,X104):INDEX(AX:AX,ROW())),0)</f>
        <v>94</v>
      </c>
      <c r="BA104" s="14" t="str">
        <f t="shared" si="47"/>
        <v/>
      </c>
      <c r="BB104" s="6">
        <f t="shared" si="36"/>
        <v>249379.98280000003</v>
      </c>
      <c r="BC104" s="6">
        <f>MEDIAN(INDEX(BB:BB,X104):INDEX(BB:BB,X104+Y104-1))</f>
        <v>167230.87164999999</v>
      </c>
      <c r="BD104" s="25" t="str">
        <f t="shared" si="37"/>
        <v/>
      </c>
      <c r="BE104">
        <f t="shared" si="48"/>
        <v>0</v>
      </c>
      <c r="BF104" s="6">
        <f>SUM(INDEX(BE:BE,X104):INDEX(BE:BE,X104+Y104-1))</f>
        <v>2</v>
      </c>
      <c r="BG104" s="25" t="str">
        <f t="shared" si="38"/>
        <v/>
      </c>
    </row>
    <row r="105" spans="1:59" x14ac:dyDescent="0.3">
      <c r="A105" s="1">
        <v>45505</v>
      </c>
      <c r="B105">
        <v>32.216900000000003</v>
      </c>
      <c r="C105">
        <v>32.216900000000003</v>
      </c>
      <c r="D105">
        <v>31.2974</v>
      </c>
      <c r="E105">
        <v>31.363499999999998</v>
      </c>
      <c r="F105">
        <v>4383</v>
      </c>
      <c r="G105" s="29">
        <v>0.60486628414417298</v>
      </c>
      <c r="H105" s="29">
        <v>1.9285675519128E-2</v>
      </c>
      <c r="I105" s="29">
        <v>3.3535797981730397E-2</v>
      </c>
      <c r="J105" s="29">
        <v>60.829530094196301</v>
      </c>
      <c r="K105" s="29">
        <v>0.13336922899019901</v>
      </c>
      <c r="L105" s="29">
        <v>0.6</v>
      </c>
      <c r="M105" s="29">
        <v>7.4098338040761103E-2</v>
      </c>
      <c r="N105" s="29">
        <v>1.1732137063014501</v>
      </c>
      <c r="O105" s="29">
        <v>-3.0470614420140301E-2</v>
      </c>
      <c r="P105" s="29">
        <v>-3.0470614420140301E-2</v>
      </c>
      <c r="Q105" s="29">
        <v>1.5873015873015799E-2</v>
      </c>
      <c r="R105" s="30">
        <v>208353.34474999999</v>
      </c>
      <c r="S105" s="29">
        <v>3</v>
      </c>
      <c r="T105">
        <v>533.27099999999996</v>
      </c>
      <c r="U105" s="21"/>
      <c r="V105">
        <v>95</v>
      </c>
      <c r="W105" t="b">
        <f>V105&gt;=$C$4</f>
        <v>0</v>
      </c>
      <c r="X105">
        <f>IF(V105&lt;=$C$5,11,ROW()-$C$5+1)</f>
        <v>11</v>
      </c>
      <c r="Y105" s="14">
        <f t="shared" si="31"/>
        <v>95</v>
      </c>
      <c r="Z105" s="10">
        <f t="shared" si="39"/>
        <v>1.0518000000000036</v>
      </c>
      <c r="AA105" s="15">
        <f t="shared" si="40"/>
        <v>3.3535797981730474E-2</v>
      </c>
      <c r="AB105" s="15">
        <f t="shared" si="41"/>
        <v>0.60486628414417376</v>
      </c>
      <c r="AC105" s="10">
        <f t="shared" si="32"/>
        <v>1.9285675519128086E-2</v>
      </c>
      <c r="AD105">
        <f t="shared" si="42"/>
        <v>-0.98570000000000491</v>
      </c>
      <c r="AE105">
        <f t="shared" si="49"/>
        <v>0</v>
      </c>
      <c r="AF105">
        <f t="shared" si="50"/>
        <v>0.98570000000000491</v>
      </c>
      <c r="AG105">
        <f t="shared" si="55"/>
        <v>0.27181316647134551</v>
      </c>
      <c r="AH105">
        <f t="shared" si="55"/>
        <v>0.17493230365187973</v>
      </c>
      <c r="AI105">
        <f t="shared" si="43"/>
        <v>1.5538191677408049</v>
      </c>
      <c r="AJ105">
        <f t="shared" si="51"/>
        <v>60.842959727464418</v>
      </c>
      <c r="AK105" s="14">
        <f t="shared" si="33"/>
        <v>60.842959727464418</v>
      </c>
      <c r="AM105" s="14">
        <f t="shared" si="56"/>
        <v>0.13336922899019976</v>
      </c>
      <c r="AN105" s="36">
        <f t="shared" si="44"/>
        <v>-3.0470614420140318E-2</v>
      </c>
      <c r="AO105">
        <f t="shared" si="53"/>
        <v>0</v>
      </c>
      <c r="AP105" s="14">
        <f t="shared" si="54"/>
        <v>0.6</v>
      </c>
      <c r="AQ105">
        <f t="shared" si="45"/>
        <v>-1.4160770967092118E-2</v>
      </c>
      <c r="AR105">
        <f t="shared" si="46"/>
        <v>-1.6309843453048183E-2</v>
      </c>
      <c r="AS105">
        <f t="shared" si="28"/>
        <v>1.0390932064143288E-3</v>
      </c>
      <c r="AT105">
        <f t="shared" si="29"/>
        <v>1.4023164808942539E-2</v>
      </c>
      <c r="AU105" s="14">
        <f t="shared" si="34"/>
        <v>7.4098338040761061E-2</v>
      </c>
      <c r="AV105" s="19">
        <f t="shared" si="30"/>
        <v>1.1732137063014991</v>
      </c>
      <c r="AW105" s="19">
        <f t="shared" si="57"/>
        <v>-3.0470614420140318E-2</v>
      </c>
      <c r="AX105">
        <f t="shared" si="35"/>
        <v>0</v>
      </c>
      <c r="AY105">
        <f>IF(W105,SUMPRODUCT(INDEX(AX:AX,X105):INDEX(AX:AX,X105+Y105)),0)</f>
        <v>0</v>
      </c>
      <c r="AZ105">
        <f>IF(V105,COUNT(INDEX(AX:AX,X105):INDEX(AX:AX,ROW())),0)</f>
        <v>95</v>
      </c>
      <c r="BA105" s="14" t="str">
        <f t="shared" si="47"/>
        <v/>
      </c>
      <c r="BB105" s="6">
        <f t="shared" si="36"/>
        <v>137466.2205</v>
      </c>
      <c r="BC105" s="6">
        <f>MEDIAN(INDEX(BB:BB,X105):INDEX(BB:BB,X105+Y105-1))</f>
        <v>166656.40639999998</v>
      </c>
      <c r="BD105" s="25" t="str">
        <f t="shared" si="37"/>
        <v/>
      </c>
      <c r="BE105">
        <f t="shared" si="48"/>
        <v>0</v>
      </c>
      <c r="BF105" s="6">
        <f>SUM(INDEX(BE:BE,X105):INDEX(BE:BE,X105+Y105-1))</f>
        <v>2</v>
      </c>
      <c r="BG105" s="25" t="str">
        <f t="shared" si="38"/>
        <v/>
      </c>
    </row>
    <row r="106" spans="1:59" x14ac:dyDescent="0.3">
      <c r="A106" s="1">
        <v>45506</v>
      </c>
      <c r="B106">
        <v>30.788</v>
      </c>
      <c r="C106">
        <v>30.900400000000001</v>
      </c>
      <c r="D106">
        <v>29.947800000000001</v>
      </c>
      <c r="E106">
        <v>30.033799999999999</v>
      </c>
      <c r="F106">
        <v>7104</v>
      </c>
      <c r="G106" s="29">
        <v>0.66278297813387499</v>
      </c>
      <c r="H106" s="29">
        <v>2.2067902767344601E-2</v>
      </c>
      <c r="I106" s="29">
        <v>4.7136892434523597E-2</v>
      </c>
      <c r="J106" s="29">
        <v>49.499512252709302</v>
      </c>
      <c r="K106" s="29">
        <v>5.2875497362009298E-2</v>
      </c>
      <c r="L106" s="29">
        <v>0.4</v>
      </c>
      <c r="M106" s="29">
        <v>4.37653594402641E-2</v>
      </c>
      <c r="N106" s="29">
        <v>1.2991101940919201</v>
      </c>
      <c r="O106" s="29">
        <v>-7.1575185785119996E-2</v>
      </c>
      <c r="P106" s="29">
        <v>-4.2396416216302399E-2</v>
      </c>
      <c r="Q106" s="29">
        <v>1.5873015873015799E-2</v>
      </c>
      <c r="R106" s="30">
        <v>208353.34474999999</v>
      </c>
      <c r="S106" s="29">
        <v>3</v>
      </c>
      <c r="T106">
        <v>523.34299999999996</v>
      </c>
      <c r="U106" s="21"/>
      <c r="V106">
        <v>96</v>
      </c>
      <c r="W106" t="b">
        <f>V106&gt;=$C$4</f>
        <v>0</v>
      </c>
      <c r="X106">
        <f>IF(V106&lt;=$C$5,11,ROW()-$C$5+1)</f>
        <v>11</v>
      </c>
      <c r="Y106" s="14">
        <f t="shared" si="31"/>
        <v>96</v>
      </c>
      <c r="Z106" s="10">
        <f t="shared" si="39"/>
        <v>1.4156999999999975</v>
      </c>
      <c r="AA106" s="15">
        <f t="shared" si="40"/>
        <v>4.7136892434523688E-2</v>
      </c>
      <c r="AB106" s="15">
        <f t="shared" si="41"/>
        <v>0.66278297813387543</v>
      </c>
      <c r="AC106" s="10">
        <f t="shared" si="32"/>
        <v>2.206790276734464E-2</v>
      </c>
      <c r="AD106">
        <f t="shared" si="42"/>
        <v>-1.329699999999999</v>
      </c>
      <c r="AE106">
        <f t="shared" si="49"/>
        <v>0</v>
      </c>
      <c r="AF106">
        <f t="shared" si="50"/>
        <v>1.329699999999999</v>
      </c>
      <c r="AG106">
        <f t="shared" si="55"/>
        <v>0.25239794029482082</v>
      </c>
      <c r="AH106">
        <f t="shared" si="55"/>
        <v>0.25741571053388823</v>
      </c>
      <c r="AI106">
        <f t="shared" si="43"/>
        <v>0.98050713288376845</v>
      </c>
      <c r="AJ106">
        <f t="shared" si="51"/>
        <v>49.507881925983057</v>
      </c>
      <c r="AK106" s="14">
        <f t="shared" si="33"/>
        <v>49.507881925983057</v>
      </c>
      <c r="AM106" s="14">
        <f t="shared" si="56"/>
        <v>5.287549736200936E-2</v>
      </c>
      <c r="AN106" s="36">
        <f t="shared" si="44"/>
        <v>-4.2396416216302413E-2</v>
      </c>
      <c r="AO106">
        <f t="shared" si="53"/>
        <v>0</v>
      </c>
      <c r="AP106" s="14">
        <f t="shared" si="54"/>
        <v>0.4</v>
      </c>
      <c r="AQ106">
        <f t="shared" si="45"/>
        <v>-1.8617175882431281E-2</v>
      </c>
      <c r="AR106">
        <f t="shared" si="46"/>
        <v>-2.3779240333871118E-2</v>
      </c>
      <c r="AS106">
        <f t="shared" si="28"/>
        <v>6.2875380922460618E-4</v>
      </c>
      <c r="AT106">
        <f t="shared" si="29"/>
        <v>1.4366471960153801E-2</v>
      </c>
      <c r="AU106" s="14">
        <f t="shared" si="34"/>
        <v>4.3765359440264072E-2</v>
      </c>
      <c r="AV106" s="19">
        <f t="shared" si="30"/>
        <v>1.2991101940919634</v>
      </c>
      <c r="AW106" s="19">
        <f t="shared" si="57"/>
        <v>-7.157518578512001E-2</v>
      </c>
      <c r="AX106">
        <f t="shared" si="35"/>
        <v>0</v>
      </c>
      <c r="AY106">
        <f>IF(W106,SUMPRODUCT(INDEX(AX:AX,X106):INDEX(AX:AX,X106+Y106)),0)</f>
        <v>0</v>
      </c>
      <c r="AZ106">
        <f>IF(V106,COUNT(INDEX(AX:AX,X106):INDEX(AX:AX,ROW())),0)</f>
        <v>96</v>
      </c>
      <c r="BA106" s="14" t="str">
        <f t="shared" si="47"/>
        <v/>
      </c>
      <c r="BB106" s="6">
        <f t="shared" si="36"/>
        <v>213360.1152</v>
      </c>
      <c r="BC106" s="6">
        <f>MEDIAN(INDEX(BB:BB,X106):INDEX(BB:BB,X106+Y106-1))</f>
        <v>167230.87164999999</v>
      </c>
      <c r="BD106" s="25" t="str">
        <f t="shared" si="37"/>
        <v/>
      </c>
      <c r="BE106">
        <f t="shared" si="48"/>
        <v>0</v>
      </c>
      <c r="BF106" s="6">
        <f>SUM(INDEX(BE:BE,X106):INDEX(BE:BE,X106+Y106-1))</f>
        <v>2</v>
      </c>
      <c r="BG106" s="25" t="str">
        <f t="shared" si="38"/>
        <v/>
      </c>
    </row>
    <row r="107" spans="1:59" x14ac:dyDescent="0.3">
      <c r="A107" s="1">
        <v>45509</v>
      </c>
      <c r="B107">
        <v>28.8431</v>
      </c>
      <c r="C107">
        <v>29.352499999999999</v>
      </c>
      <c r="D107">
        <v>27.989699999999999</v>
      </c>
      <c r="E107">
        <v>28.9026</v>
      </c>
      <c r="F107">
        <v>7255</v>
      </c>
      <c r="G107" s="29">
        <v>0.76144847969574103</v>
      </c>
      <c r="H107" s="29">
        <v>2.6345328091443E-2</v>
      </c>
      <c r="I107" s="29">
        <v>7.0723741116716102E-2</v>
      </c>
      <c r="J107" s="29">
        <v>42.284064732982799</v>
      </c>
      <c r="K107" s="29">
        <v>1.6755610121612599E-2</v>
      </c>
      <c r="L107" s="29">
        <v>0.4</v>
      </c>
      <c r="M107" s="29">
        <v>2.15118181688938E-2</v>
      </c>
      <c r="N107" s="29">
        <v>1.27790461685732</v>
      </c>
      <c r="O107" s="29">
        <v>-0.10654359304093999</v>
      </c>
      <c r="P107" s="29">
        <v>-3.7664231632360802E-2</v>
      </c>
      <c r="Q107" s="29">
        <v>1.5873015873015799E-2</v>
      </c>
      <c r="R107" s="30">
        <v>208968.16625000001</v>
      </c>
      <c r="S107" s="29">
        <v>3</v>
      </c>
      <c r="T107">
        <v>508.101</v>
      </c>
      <c r="U107" s="21"/>
      <c r="V107">
        <v>97</v>
      </c>
      <c r="W107" t="b">
        <f>V107&gt;=$C$4</f>
        <v>0</v>
      </c>
      <c r="X107">
        <f>IF(V107&lt;=$C$5,11,ROW()-$C$5+1)</f>
        <v>11</v>
      </c>
      <c r="Y107" s="14">
        <f t="shared" si="31"/>
        <v>97</v>
      </c>
      <c r="Z107" s="10">
        <f t="shared" si="39"/>
        <v>2.0441000000000003</v>
      </c>
      <c r="AA107" s="15">
        <f t="shared" si="40"/>
        <v>7.0723741116716157E-2</v>
      </c>
      <c r="AB107" s="15">
        <f t="shared" si="41"/>
        <v>0.76144847969574148</v>
      </c>
      <c r="AC107" s="10">
        <f t="shared" si="32"/>
        <v>2.6345328091443035E-2</v>
      </c>
      <c r="AD107">
        <f t="shared" si="42"/>
        <v>-1.1311999999999998</v>
      </c>
      <c r="AE107">
        <f t="shared" si="49"/>
        <v>0</v>
      </c>
      <c r="AF107">
        <f t="shared" si="50"/>
        <v>1.1311999999999998</v>
      </c>
      <c r="AG107">
        <f t="shared" si="55"/>
        <v>0.23436951598804789</v>
      </c>
      <c r="AH107">
        <f t="shared" si="55"/>
        <v>0.31982887406718191</v>
      </c>
      <c r="AI107">
        <f t="shared" si="43"/>
        <v>0.73279661403809715</v>
      </c>
      <c r="AJ107">
        <f t="shared" si="51"/>
        <v>42.289822596686236</v>
      </c>
      <c r="AK107" s="14">
        <f t="shared" si="33"/>
        <v>42.289822596686236</v>
      </c>
      <c r="AM107" s="14">
        <f t="shared" si="56"/>
        <v>1.6755610121612641E-2</v>
      </c>
      <c r="AN107" s="36">
        <f t="shared" si="44"/>
        <v>-3.7664231632360878E-2</v>
      </c>
      <c r="AO107">
        <f t="shared" si="53"/>
        <v>0</v>
      </c>
      <c r="AP107" s="14">
        <f t="shared" si="54"/>
        <v>0.4</v>
      </c>
      <c r="AQ107">
        <f t="shared" si="45"/>
        <v>-2.91243027995024E-2</v>
      </c>
      <c r="AR107">
        <f t="shared" si="46"/>
        <v>-8.5399288328584025E-3</v>
      </c>
      <c r="AS107">
        <f t="shared" si="28"/>
        <v>3.0852290057781348E-4</v>
      </c>
      <c r="AT107">
        <f t="shared" si="29"/>
        <v>1.4342018798947318E-2</v>
      </c>
      <c r="AU107" s="14">
        <f t="shared" si="34"/>
        <v>2.1511818168893949E-2</v>
      </c>
      <c r="AV107" s="19">
        <f t="shared" si="30"/>
        <v>1.2779046168573618</v>
      </c>
      <c r="AW107" s="19">
        <f t="shared" si="57"/>
        <v>-0.10654359304094085</v>
      </c>
      <c r="AX107">
        <f t="shared" si="35"/>
        <v>0</v>
      </c>
      <c r="AY107">
        <f>IF(W107,SUMPRODUCT(INDEX(AX:AX,X107):INDEX(AX:AX,X107+Y107)),0)</f>
        <v>0</v>
      </c>
      <c r="AZ107">
        <f>IF(V107,COUNT(INDEX(AX:AX,X107):INDEX(AX:AX,ROW())),0)</f>
        <v>97</v>
      </c>
      <c r="BA107" s="14" t="str">
        <f t="shared" si="47"/>
        <v/>
      </c>
      <c r="BB107" s="6">
        <f t="shared" si="36"/>
        <v>209688.36299999998</v>
      </c>
      <c r="BC107" s="6">
        <f>MEDIAN(INDEX(BB:BB,X107):INDEX(BB:BB,X107+Y107-1))</f>
        <v>167805.33689999999</v>
      </c>
      <c r="BD107" s="25" t="str">
        <f t="shared" si="37"/>
        <v/>
      </c>
      <c r="BE107">
        <f t="shared" si="48"/>
        <v>0</v>
      </c>
      <c r="BF107" s="6">
        <f>SUM(INDEX(BE:BE,X107):INDEX(BE:BE,X107+Y107-1))</f>
        <v>2</v>
      </c>
      <c r="BG107" s="25" t="str">
        <f t="shared" si="38"/>
        <v/>
      </c>
    </row>
    <row r="108" spans="1:59" x14ac:dyDescent="0.3">
      <c r="A108" s="1">
        <v>45510</v>
      </c>
      <c r="B108">
        <v>28.8232</v>
      </c>
      <c r="C108">
        <v>29.7163</v>
      </c>
      <c r="D108">
        <v>28.773599999999998</v>
      </c>
      <c r="E108">
        <v>29.577400000000001</v>
      </c>
      <c r="F108">
        <v>22674</v>
      </c>
      <c r="G108" s="29">
        <v>0.77439501686033096</v>
      </c>
      <c r="H108" s="29">
        <v>2.6181984111528701E-2</v>
      </c>
      <c r="I108" s="29">
        <v>3.1872307910769698E-2</v>
      </c>
      <c r="J108" s="29">
        <v>47.2260590358676</v>
      </c>
      <c r="K108" s="29">
        <v>4.99013190589103E-2</v>
      </c>
      <c r="L108" s="29">
        <v>0.4</v>
      </c>
      <c r="M108" s="29">
        <v>2.0542891546553001E-2</v>
      </c>
      <c r="N108" s="29">
        <v>1.27336770093184</v>
      </c>
      <c r="O108" s="29">
        <v>-8.5683726336354502E-2</v>
      </c>
      <c r="P108" s="29">
        <v>2.33473805124799E-2</v>
      </c>
      <c r="Q108" s="29">
        <v>1.5873015873015799E-2</v>
      </c>
      <c r="R108" s="30">
        <v>208968.16625000001</v>
      </c>
      <c r="S108" s="29">
        <v>3</v>
      </c>
      <c r="T108">
        <v>512.78599999999994</v>
      </c>
      <c r="U108" s="21"/>
      <c r="V108">
        <v>98</v>
      </c>
      <c r="W108" t="b">
        <f>V108&gt;=$C$4</f>
        <v>0</v>
      </c>
      <c r="X108">
        <f>IF(V108&lt;=$C$5,11,ROW()-$C$5+1)</f>
        <v>11</v>
      </c>
      <c r="Y108" s="14">
        <f t="shared" si="31"/>
        <v>98</v>
      </c>
      <c r="Z108" s="10">
        <f t="shared" si="39"/>
        <v>0.94270000000000209</v>
      </c>
      <c r="AA108" s="15">
        <f t="shared" si="40"/>
        <v>3.1872307910769782E-2</v>
      </c>
      <c r="AB108" s="15">
        <f t="shared" si="41"/>
        <v>0.77439501686033141</v>
      </c>
      <c r="AC108" s="10">
        <f t="shared" si="32"/>
        <v>2.6181984111528781E-2</v>
      </c>
      <c r="AD108">
        <f t="shared" si="42"/>
        <v>0.67480000000000118</v>
      </c>
      <c r="AE108">
        <f t="shared" si="49"/>
        <v>0.67480000000000118</v>
      </c>
      <c r="AF108">
        <f t="shared" si="50"/>
        <v>0</v>
      </c>
      <c r="AG108">
        <f t="shared" si="55"/>
        <v>0.26582883627461601</v>
      </c>
      <c r="AH108">
        <f t="shared" si="55"/>
        <v>0.29698395449095466</v>
      </c>
      <c r="AI108">
        <f t="shared" si="43"/>
        <v>0.89509494454089256</v>
      </c>
      <c r="AJ108">
        <f t="shared" si="51"/>
        <v>47.232195258572602</v>
      </c>
      <c r="AK108" s="14">
        <f t="shared" si="33"/>
        <v>47.232195258572602</v>
      </c>
      <c r="AM108" s="14">
        <f t="shared" si="56"/>
        <v>4.9901319058910376E-2</v>
      </c>
      <c r="AN108" s="36">
        <f t="shared" si="44"/>
        <v>2.3347380512479976E-2</v>
      </c>
      <c r="AO108">
        <f t="shared" si="53"/>
        <v>1</v>
      </c>
      <c r="AP108" s="14">
        <f t="shared" si="54"/>
        <v>0.4</v>
      </c>
      <c r="AQ108">
        <f t="shared" si="45"/>
        <v>9.2206077138206055E-3</v>
      </c>
      <c r="AR108">
        <f t="shared" si="46"/>
        <v>1.4126772798659294E-2</v>
      </c>
      <c r="AS108">
        <f t="shared" si="28"/>
        <v>2.9433159511628405E-4</v>
      </c>
      <c r="AT108">
        <f t="shared" si="29"/>
        <v>1.4327661441880586E-2</v>
      </c>
      <c r="AU108" s="14">
        <f t="shared" si="34"/>
        <v>2.054289154655314E-2</v>
      </c>
      <c r="AV108" s="19">
        <f t="shared" si="30"/>
        <v>1.2733677009318798</v>
      </c>
      <c r="AW108" s="19">
        <f t="shared" si="57"/>
        <v>-8.5683726336354571E-2</v>
      </c>
      <c r="AX108">
        <f t="shared" si="35"/>
        <v>0</v>
      </c>
      <c r="AY108">
        <f>IF(W108,SUMPRODUCT(INDEX(AX:AX,X108):INDEX(AX:AX,X108+Y108)),0)</f>
        <v>0</v>
      </c>
      <c r="AZ108">
        <f>IF(V108,COUNT(INDEX(AX:AX,X108):INDEX(AX:AX,ROW())),0)</f>
        <v>98</v>
      </c>
      <c r="BA108" s="14" t="str">
        <f t="shared" si="47"/>
        <v/>
      </c>
      <c r="BB108" s="6">
        <f t="shared" si="36"/>
        <v>670637.96759999997</v>
      </c>
      <c r="BC108" s="6">
        <f>MEDIAN(INDEX(BB:BB,X108):INDEX(BB:BB,X108+Y108-1))</f>
        <v>170065.59395000001</v>
      </c>
      <c r="BD108" s="25" t="str">
        <f t="shared" si="37"/>
        <v/>
      </c>
      <c r="BE108">
        <f t="shared" si="48"/>
        <v>0</v>
      </c>
      <c r="BF108" s="6">
        <f>SUM(INDEX(BE:BE,X108):INDEX(BE:BE,X108+Y108-1))</f>
        <v>2</v>
      </c>
      <c r="BG108" s="25" t="str">
        <f t="shared" si="38"/>
        <v/>
      </c>
    </row>
    <row r="109" spans="1:59" x14ac:dyDescent="0.3">
      <c r="A109" s="1">
        <v>45511</v>
      </c>
      <c r="B109">
        <v>30.1661</v>
      </c>
      <c r="C109">
        <v>30.1661</v>
      </c>
      <c r="D109">
        <v>28.644600000000001</v>
      </c>
      <c r="E109">
        <v>28.644600000000001</v>
      </c>
      <c r="F109">
        <v>3325</v>
      </c>
      <c r="G109" s="29">
        <v>0.82775965851316502</v>
      </c>
      <c r="H109" s="29">
        <v>2.88975813421435E-2</v>
      </c>
      <c r="I109" s="29">
        <v>5.3116468723598799E-2</v>
      </c>
      <c r="J109" s="29">
        <v>41.886790824879803</v>
      </c>
      <c r="K109" s="29">
        <v>1.12083481895428E-2</v>
      </c>
      <c r="L109" s="29">
        <v>0.2</v>
      </c>
      <c r="M109" s="29">
        <v>-1.4823886995499099E-2</v>
      </c>
      <c r="N109" s="29">
        <v>1.3103113058567899</v>
      </c>
      <c r="O109" s="29">
        <v>-0.11451906074957</v>
      </c>
      <c r="P109" s="29">
        <v>-3.1537592891870102E-2</v>
      </c>
      <c r="Q109" s="29">
        <v>1.5873015873015799E-2</v>
      </c>
      <c r="R109" s="30">
        <v>208968.16625000001</v>
      </c>
      <c r="S109" s="29">
        <v>3</v>
      </c>
      <c r="T109">
        <v>509.358</v>
      </c>
      <c r="U109" s="21"/>
      <c r="V109">
        <v>99</v>
      </c>
      <c r="W109" t="b">
        <f>V109&gt;=$C$4</f>
        <v>0</v>
      </c>
      <c r="X109">
        <f>IF(V109&lt;=$C$5,11,ROW()-$C$5+1)</f>
        <v>11</v>
      </c>
      <c r="Y109" s="14">
        <f t="shared" si="31"/>
        <v>99</v>
      </c>
      <c r="Z109" s="10">
        <f t="shared" si="39"/>
        <v>1.5214999999999996</v>
      </c>
      <c r="AA109" s="15">
        <f t="shared" si="40"/>
        <v>5.3116468723598848E-2</v>
      </c>
      <c r="AB109" s="15">
        <f t="shared" si="41"/>
        <v>0.82775965851316491</v>
      </c>
      <c r="AC109" s="10">
        <f t="shared" si="32"/>
        <v>2.8897581342143541E-2</v>
      </c>
      <c r="AD109">
        <f t="shared" si="42"/>
        <v>-0.9328000000000003</v>
      </c>
      <c r="AE109">
        <f t="shared" si="49"/>
        <v>0</v>
      </c>
      <c r="AF109">
        <f t="shared" si="50"/>
        <v>0.9328000000000003</v>
      </c>
      <c r="AG109">
        <f t="shared" si="55"/>
        <v>0.24684106225500058</v>
      </c>
      <c r="AH109">
        <f t="shared" si="55"/>
        <v>0.34239938631302935</v>
      </c>
      <c r="AI109">
        <f t="shared" si="43"/>
        <v>0.72091560943784183</v>
      </c>
      <c r="AJ109">
        <f t="shared" si="51"/>
        <v>41.891398130402088</v>
      </c>
      <c r="AK109" s="14">
        <f t="shared" si="33"/>
        <v>41.891398130402088</v>
      </c>
      <c r="AM109" s="14">
        <f t="shared" si="56"/>
        <v>1.120834818954286E-2</v>
      </c>
      <c r="AN109" s="36">
        <f t="shared" si="44"/>
        <v>-3.1537592891870192E-2</v>
      </c>
      <c r="AO109">
        <f t="shared" si="53"/>
        <v>0</v>
      </c>
      <c r="AP109" s="14">
        <f t="shared" si="54"/>
        <v>0.2</v>
      </c>
      <c r="AQ109">
        <f t="shared" si="45"/>
        <v>-6.685049903858431E-3</v>
      </c>
      <c r="AR109">
        <f t="shared" si="46"/>
        <v>-2.4852542988011671E-2</v>
      </c>
      <c r="AS109">
        <f t="shared" si="28"/>
        <v>-2.1706198312391301E-4</v>
      </c>
      <c r="AT109">
        <f t="shared" si="29"/>
        <v>1.4642717068055124E-2</v>
      </c>
      <c r="AU109" s="14">
        <f t="shared" si="34"/>
        <v>-1.4823886995498961E-2</v>
      </c>
      <c r="AV109" s="19">
        <f t="shared" si="30"/>
        <v>1.3103113058568296</v>
      </c>
      <c r="AW109" s="19">
        <f t="shared" si="57"/>
        <v>-0.11451906074957041</v>
      </c>
      <c r="AX109">
        <f t="shared" si="35"/>
        <v>0</v>
      </c>
      <c r="AY109">
        <f>IF(W109,SUMPRODUCT(INDEX(AX:AX,X109):INDEX(AX:AX,X109+Y109)),0)</f>
        <v>0</v>
      </c>
      <c r="AZ109">
        <f>IF(V109,COUNT(INDEX(AX:AX,X109):INDEX(AX:AX,ROW())),0)</f>
        <v>99</v>
      </c>
      <c r="BA109" s="14" t="str">
        <f t="shared" si="47"/>
        <v/>
      </c>
      <c r="BB109" s="6">
        <f t="shared" si="36"/>
        <v>95243.294999999998</v>
      </c>
      <c r="BC109" s="6">
        <f>MEDIAN(INDEX(BB:BB,X109):INDEX(BB:BB,X109+Y109-1))</f>
        <v>167805.33689999999</v>
      </c>
      <c r="BD109" s="25" t="str">
        <f t="shared" si="37"/>
        <v/>
      </c>
      <c r="BE109">
        <f t="shared" si="48"/>
        <v>0</v>
      </c>
      <c r="BF109" s="6">
        <f>SUM(INDEX(BE:BE,X109):INDEX(BE:BE,X109+Y109-1))</f>
        <v>2</v>
      </c>
      <c r="BG109" s="25" t="str">
        <f t="shared" si="38"/>
        <v/>
      </c>
    </row>
    <row r="110" spans="1:59" x14ac:dyDescent="0.3">
      <c r="A110" s="1">
        <v>45512</v>
      </c>
      <c r="B110">
        <v>28.618099999999998</v>
      </c>
      <c r="C110">
        <v>29.431799999999999</v>
      </c>
      <c r="D110">
        <v>28.5718</v>
      </c>
      <c r="E110">
        <v>29.0548</v>
      </c>
      <c r="F110">
        <v>8918</v>
      </c>
      <c r="G110" s="29">
        <v>0.830062540047939</v>
      </c>
      <c r="H110" s="29">
        <v>2.85688609127558E-2</v>
      </c>
      <c r="I110" s="29">
        <v>2.9599240056720301E-2</v>
      </c>
      <c r="J110" s="29">
        <v>44.840141242004897</v>
      </c>
      <c r="K110" s="29">
        <v>-2.4959230967299601E-3</v>
      </c>
      <c r="L110" s="29">
        <v>0.4</v>
      </c>
      <c r="M110" s="29">
        <v>-1.3198508284486999E-2</v>
      </c>
      <c r="N110" s="29">
        <v>1.23265697277875</v>
      </c>
      <c r="O110" s="29">
        <v>-0.10183868534616</v>
      </c>
      <c r="P110" s="29">
        <v>1.43203256460204E-2</v>
      </c>
      <c r="Q110" s="29">
        <v>1.5873015873015799E-2</v>
      </c>
      <c r="R110" s="30">
        <v>209581.85924999899</v>
      </c>
      <c r="S110" s="29">
        <v>3</v>
      </c>
      <c r="T110">
        <v>521.13300000000004</v>
      </c>
      <c r="U110" s="21"/>
      <c r="V110">
        <v>100</v>
      </c>
      <c r="W110" t="b">
        <f>V110&gt;=$C$4</f>
        <v>0</v>
      </c>
      <c r="X110">
        <f>IF(V110&lt;=$C$5,11,ROW()-$C$5+1)</f>
        <v>11</v>
      </c>
      <c r="Y110" s="14">
        <f t="shared" si="31"/>
        <v>100</v>
      </c>
      <c r="Z110" s="10">
        <f t="shared" si="39"/>
        <v>0.85999999999999943</v>
      </c>
      <c r="AA110" s="15">
        <f t="shared" si="40"/>
        <v>2.9599240056720384E-2</v>
      </c>
      <c r="AB110" s="15">
        <f t="shared" si="41"/>
        <v>0.83006254004793878</v>
      </c>
      <c r="AC110" s="10">
        <f t="shared" si="32"/>
        <v>2.8568860912755855E-2</v>
      </c>
      <c r="AD110">
        <f t="shared" si="42"/>
        <v>0.41019999999999968</v>
      </c>
      <c r="AE110">
        <f t="shared" si="49"/>
        <v>0.41019999999999968</v>
      </c>
      <c r="AF110">
        <f t="shared" si="50"/>
        <v>0</v>
      </c>
      <c r="AG110">
        <f t="shared" ref="AG110:AH125" si="58">(AE110+13*AG109)/14</f>
        <v>0.25850955780821477</v>
      </c>
      <c r="AH110">
        <f t="shared" si="58"/>
        <v>0.31794228729067014</v>
      </c>
      <c r="AI110">
        <f t="shared" si="43"/>
        <v>0.81307069912307506</v>
      </c>
      <c r="AJ110">
        <f t="shared" si="51"/>
        <v>44.844952792868568</v>
      </c>
      <c r="AK110" s="14">
        <f t="shared" si="33"/>
        <v>44.844952792868568</v>
      </c>
      <c r="AM110" s="14">
        <f t="shared" si="56"/>
        <v>-2.4959230967299684E-3</v>
      </c>
      <c r="AN110" s="36">
        <f t="shared" si="44"/>
        <v>1.4320325646020482E-2</v>
      </c>
      <c r="AO110">
        <f t="shared" si="53"/>
        <v>1</v>
      </c>
      <c r="AP110" s="14">
        <f t="shared" si="54"/>
        <v>0.4</v>
      </c>
      <c r="AQ110">
        <f t="shared" si="45"/>
        <v>2.3117335940536998E-2</v>
      </c>
      <c r="AR110">
        <f t="shared" si="46"/>
        <v>-8.7970102945165978E-3</v>
      </c>
      <c r="AS110">
        <f t="shared" si="28"/>
        <v>-1.9305637642624926E-4</v>
      </c>
      <c r="AT110">
        <f t="shared" si="29"/>
        <v>1.4627136056970897E-2</v>
      </c>
      <c r="AU110" s="14">
        <f t="shared" si="34"/>
        <v>-1.3198508284487025E-2</v>
      </c>
      <c r="AV110" s="19">
        <f t="shared" si="30"/>
        <v>1.2326569727787837</v>
      </c>
      <c r="AW110" s="19">
        <f t="shared" si="57"/>
        <v>-0.10183868534616014</v>
      </c>
      <c r="AX110">
        <f t="shared" si="35"/>
        <v>0</v>
      </c>
      <c r="AY110">
        <f>IF(W110,SUMPRODUCT(INDEX(AX:AX,X110):INDEX(AX:AX,X110+Y110)),0)</f>
        <v>0</v>
      </c>
      <c r="AZ110">
        <f>IF(V110,COUNT(INDEX(AX:AX,X110):INDEX(AX:AX,ROW())),0)</f>
        <v>100</v>
      </c>
      <c r="BA110" s="14" t="str">
        <f t="shared" si="47"/>
        <v/>
      </c>
      <c r="BB110" s="6">
        <f t="shared" si="36"/>
        <v>259110.7064</v>
      </c>
      <c r="BC110" s="6">
        <f>MEDIAN(INDEX(BB:BB,X110):INDEX(BB:BB,X110+Y110-1))</f>
        <v>170065.59395000001</v>
      </c>
      <c r="BD110" s="25" t="str">
        <f t="shared" si="37"/>
        <v/>
      </c>
      <c r="BE110">
        <f t="shared" si="48"/>
        <v>0</v>
      </c>
      <c r="BF110" s="6">
        <f>SUM(INDEX(BE:BE,X110):INDEX(BE:BE,X110+Y110-1))</f>
        <v>2</v>
      </c>
      <c r="BG110" s="25" t="str">
        <f t="shared" si="38"/>
        <v/>
      </c>
    </row>
    <row r="111" spans="1:59" x14ac:dyDescent="0.3">
      <c r="A111" s="1">
        <v>45513</v>
      </c>
      <c r="B111">
        <v>29.438400000000001</v>
      </c>
      <c r="C111">
        <v>29.808900000000001</v>
      </c>
      <c r="D111">
        <v>29.4054</v>
      </c>
      <c r="E111">
        <v>29.650099999999998</v>
      </c>
      <c r="F111">
        <v>8162</v>
      </c>
      <c r="G111" s="29">
        <v>0.82463664433022899</v>
      </c>
      <c r="H111" s="29">
        <v>2.7812271942766701E-2</v>
      </c>
      <c r="I111" s="29">
        <v>2.54333037662605E-2</v>
      </c>
      <c r="J111" s="29">
        <v>48.898917664707</v>
      </c>
      <c r="K111" s="29">
        <v>-1.78432554177854E-3</v>
      </c>
      <c r="L111" s="29">
        <v>0.6</v>
      </c>
      <c r="M111" s="29">
        <v>-4.1489390437975601E-3</v>
      </c>
      <c r="N111" s="29">
        <v>1.2380358676541099</v>
      </c>
      <c r="O111" s="29">
        <v>-8.3436375551791106E-2</v>
      </c>
      <c r="P111" s="29">
        <v>2.0488869309029701E-2</v>
      </c>
      <c r="Q111" s="29">
        <v>1.5873015873015799E-2</v>
      </c>
      <c r="R111" s="30">
        <v>209922.48569999999</v>
      </c>
      <c r="S111" s="29">
        <v>3</v>
      </c>
      <c r="T111">
        <v>523.43100000000004</v>
      </c>
      <c r="U111" s="21"/>
      <c r="V111">
        <v>101</v>
      </c>
      <c r="W111" t="b">
        <f>V111&gt;=$C$4</f>
        <v>0</v>
      </c>
      <c r="X111">
        <f>IF(V111&lt;=$C$5,11,ROW()-$C$5+1)</f>
        <v>11</v>
      </c>
      <c r="Y111" s="14">
        <f t="shared" si="31"/>
        <v>101</v>
      </c>
      <c r="Z111" s="10">
        <f t="shared" si="39"/>
        <v>0.7541000000000011</v>
      </c>
      <c r="AA111" s="15">
        <f t="shared" si="40"/>
        <v>2.5433303766260525E-2</v>
      </c>
      <c r="AB111" s="15">
        <f t="shared" si="41"/>
        <v>0.82463664433022899</v>
      </c>
      <c r="AC111" s="10">
        <f t="shared" si="32"/>
        <v>2.781227194276677E-2</v>
      </c>
      <c r="AD111">
        <f t="shared" si="42"/>
        <v>0.59529999999999816</v>
      </c>
      <c r="AE111">
        <f t="shared" si="49"/>
        <v>0.59529999999999816</v>
      </c>
      <c r="AF111">
        <f t="shared" si="50"/>
        <v>0</v>
      </c>
      <c r="AG111">
        <f t="shared" si="58"/>
        <v>0.28256601796477071</v>
      </c>
      <c r="AH111">
        <f t="shared" si="58"/>
        <v>0.29523212391276515</v>
      </c>
      <c r="AI111">
        <f t="shared" si="43"/>
        <v>0.9570978056854782</v>
      </c>
      <c r="AJ111">
        <f t="shared" si="51"/>
        <v>48.903933309058736</v>
      </c>
      <c r="AK111" s="14">
        <f t="shared" si="33"/>
        <v>48.903933309058736</v>
      </c>
      <c r="AM111" s="14">
        <f t="shared" si="56"/>
        <v>-1.784325541778542E-3</v>
      </c>
      <c r="AN111" s="36">
        <f t="shared" si="44"/>
        <v>2.0488869309029711E-2</v>
      </c>
      <c r="AO111">
        <f t="shared" si="53"/>
        <v>1</v>
      </c>
      <c r="AP111" s="14">
        <f t="shared" si="54"/>
        <v>0.6</v>
      </c>
      <c r="AQ111">
        <f t="shared" si="45"/>
        <v>4.4096228793801817E-3</v>
      </c>
      <c r="AR111">
        <f t="shared" si="46"/>
        <v>1.6079246429649519E-2</v>
      </c>
      <c r="AS111">
        <f t="shared" si="28"/>
        <v>-6.1143563302314076E-5</v>
      </c>
      <c r="AT111">
        <f t="shared" si="29"/>
        <v>1.4737156332465296E-2</v>
      </c>
      <c r="AU111" s="14">
        <f t="shared" si="34"/>
        <v>-4.1489390437975844E-3</v>
      </c>
      <c r="AV111" s="19">
        <f t="shared" si="30"/>
        <v>1.2380358676541388</v>
      </c>
      <c r="AW111" s="19">
        <f t="shared" si="57"/>
        <v>-8.3436375551791175E-2</v>
      </c>
      <c r="AX111">
        <f t="shared" si="35"/>
        <v>0</v>
      </c>
      <c r="AY111">
        <f>IF(W111,SUMPRODUCT(INDEX(AX:AX,X111):INDEX(AX:AX,X111+Y111)),0)</f>
        <v>0</v>
      </c>
      <c r="AZ111">
        <f>IF(V111,COUNT(INDEX(AX:AX,X111):INDEX(AX:AX,ROW())),0)</f>
        <v>101</v>
      </c>
      <c r="BA111" s="14" t="str">
        <f t="shared" si="47"/>
        <v/>
      </c>
      <c r="BB111" s="6">
        <f t="shared" si="36"/>
        <v>242004.11619999999</v>
      </c>
      <c r="BC111" s="6">
        <f>MEDIAN(INDEX(BB:BB,X111):INDEX(BB:BB,X111+Y111-1))</f>
        <v>172325.851</v>
      </c>
      <c r="BD111" s="25" t="str">
        <f t="shared" si="37"/>
        <v/>
      </c>
      <c r="BE111">
        <f t="shared" si="48"/>
        <v>0</v>
      </c>
      <c r="BF111" s="6">
        <f>SUM(INDEX(BE:BE,X111):INDEX(BE:BE,X111+Y111-1))</f>
        <v>2</v>
      </c>
      <c r="BG111" s="25" t="str">
        <f t="shared" si="38"/>
        <v/>
      </c>
    </row>
    <row r="112" spans="1:59" x14ac:dyDescent="0.3">
      <c r="A112" s="1">
        <v>45516</v>
      </c>
      <c r="B112">
        <v>30.219100000000001</v>
      </c>
      <c r="C112">
        <v>30.219100000000001</v>
      </c>
      <c r="D112">
        <v>29.160599999999999</v>
      </c>
      <c r="E112">
        <v>29.160599999999999</v>
      </c>
      <c r="F112">
        <v>3930</v>
      </c>
      <c r="G112" s="29">
        <v>0.841341169735213</v>
      </c>
      <c r="H112" s="29">
        <v>2.88519841750585E-2</v>
      </c>
      <c r="I112" s="29">
        <v>3.6298978759010503E-2</v>
      </c>
      <c r="J112" s="29">
        <v>45.907628880883699</v>
      </c>
      <c r="K112" s="29">
        <v>-4.1113548102818497E-2</v>
      </c>
      <c r="L112" s="29">
        <v>0.6</v>
      </c>
      <c r="M112" s="29">
        <v>-2.1372354930688502E-2</v>
      </c>
      <c r="N112" s="29">
        <v>1.2379773026995999</v>
      </c>
      <c r="O112" s="29">
        <v>-9.8568125332311296E-2</v>
      </c>
      <c r="P112" s="29">
        <v>-1.65092191931899E-2</v>
      </c>
      <c r="Q112" s="29">
        <v>1.5873015873015799E-2</v>
      </c>
      <c r="R112" s="30">
        <v>209581.85924999899</v>
      </c>
      <c r="S112" s="29">
        <v>3</v>
      </c>
      <c r="T112">
        <v>523.70600000000002</v>
      </c>
      <c r="U112" s="21"/>
      <c r="V112">
        <v>102</v>
      </c>
      <c r="W112" t="b">
        <f>V112&gt;=$C$4</f>
        <v>0</v>
      </c>
      <c r="X112">
        <f>IF(V112&lt;=$C$5,11,ROW()-$C$5+1)</f>
        <v>11</v>
      </c>
      <c r="Y112" s="14">
        <f t="shared" si="31"/>
        <v>102</v>
      </c>
      <c r="Z112" s="10">
        <f t="shared" si="39"/>
        <v>1.0585000000000022</v>
      </c>
      <c r="AA112" s="15">
        <f t="shared" si="40"/>
        <v>3.6298978759010524E-2</v>
      </c>
      <c r="AB112" s="15">
        <f t="shared" si="41"/>
        <v>0.84134116973521278</v>
      </c>
      <c r="AC112" s="10">
        <f t="shared" si="32"/>
        <v>2.8851984175058566E-2</v>
      </c>
      <c r="AD112">
        <f t="shared" si="42"/>
        <v>-0.4894999999999996</v>
      </c>
      <c r="AE112">
        <f t="shared" si="49"/>
        <v>0</v>
      </c>
      <c r="AF112">
        <f t="shared" si="50"/>
        <v>0.4894999999999996</v>
      </c>
      <c r="AG112">
        <f t="shared" si="58"/>
        <v>0.26238273096728709</v>
      </c>
      <c r="AH112">
        <f t="shared" si="58"/>
        <v>0.30910840077613905</v>
      </c>
      <c r="AI112">
        <f t="shared" si="43"/>
        <v>0.8488372697360258</v>
      </c>
      <c r="AJ112">
        <f t="shared" si="51"/>
        <v>45.911951453532822</v>
      </c>
      <c r="AK112" s="14">
        <f t="shared" si="33"/>
        <v>45.911951453532822</v>
      </c>
      <c r="AM112" s="14">
        <f t="shared" si="56"/>
        <v>-4.1113548102818531E-2</v>
      </c>
      <c r="AN112" s="36">
        <f t="shared" si="44"/>
        <v>-1.6509219193189928E-2</v>
      </c>
      <c r="AO112">
        <f t="shared" si="53"/>
        <v>0</v>
      </c>
      <c r="AP112" s="14">
        <f t="shared" si="54"/>
        <v>0.6</v>
      </c>
      <c r="AQ112">
        <f t="shared" si="45"/>
        <v>5.253796584459014E-4</v>
      </c>
      <c r="AR112">
        <f t="shared" si="46"/>
        <v>-1.7034598851635802E-2</v>
      </c>
      <c r="AS112">
        <f t="shared" si="28"/>
        <v>-3.1826419041365491E-4</v>
      </c>
      <c r="AT112">
        <f t="shared" si="29"/>
        <v>1.4891395517517824E-2</v>
      </c>
      <c r="AU112" s="14">
        <f t="shared" si="34"/>
        <v>-2.1372354930688515E-2</v>
      </c>
      <c r="AV112" s="19">
        <f t="shared" si="30"/>
        <v>1.2379773026996357</v>
      </c>
      <c r="AW112" s="19">
        <f t="shared" si="57"/>
        <v>-9.8568125332311296E-2</v>
      </c>
      <c r="AX112">
        <f t="shared" si="35"/>
        <v>0</v>
      </c>
      <c r="AY112">
        <f>IF(W112,SUMPRODUCT(INDEX(AX:AX,X112):INDEX(AX:AX,X112+Y112)),0)</f>
        <v>0</v>
      </c>
      <c r="AZ112">
        <f>IF(V112,COUNT(INDEX(AX:AX,X112):INDEX(AX:AX,ROW())),0)</f>
        <v>102</v>
      </c>
      <c r="BA112" s="14" t="str">
        <f t="shared" si="47"/>
        <v/>
      </c>
      <c r="BB112" s="6">
        <f t="shared" si="36"/>
        <v>114601.158</v>
      </c>
      <c r="BC112" s="6">
        <f>MEDIAN(INDEX(BB:BB,X112):INDEX(BB:BB,X112+Y112-1))</f>
        <v>170065.59395000001</v>
      </c>
      <c r="BD112" s="25" t="str">
        <f t="shared" si="37"/>
        <v/>
      </c>
      <c r="BE112">
        <f t="shared" si="48"/>
        <v>0</v>
      </c>
      <c r="BF112" s="6">
        <f>SUM(INDEX(BE:BE,X112):INDEX(BE:BE,X112+Y112-1))</f>
        <v>2</v>
      </c>
      <c r="BG112" s="25" t="str">
        <f t="shared" si="38"/>
        <v/>
      </c>
    </row>
    <row r="113" spans="1:59" x14ac:dyDescent="0.3">
      <c r="A113" s="1">
        <v>45517</v>
      </c>
      <c r="B113">
        <v>29.491399999999999</v>
      </c>
      <c r="C113">
        <v>30.1556</v>
      </c>
      <c r="D113">
        <v>29.491399999999999</v>
      </c>
      <c r="E113">
        <v>30.1463</v>
      </c>
      <c r="F113">
        <v>4837</v>
      </c>
      <c r="G113" s="29">
        <v>0.85231680046841196</v>
      </c>
      <c r="H113" s="29">
        <v>2.8272683562109099E-2</v>
      </c>
      <c r="I113" s="29">
        <v>3.3005708826622203E-2</v>
      </c>
      <c r="J113" s="29">
        <v>52.243010520141297</v>
      </c>
      <c r="K113" s="29">
        <v>-9.3490805368245892E-3</v>
      </c>
      <c r="L113" s="29">
        <v>0.6</v>
      </c>
      <c r="M113" s="29">
        <v>5.0606751965664E-3</v>
      </c>
      <c r="N113" s="29">
        <v>1.2819372506754301</v>
      </c>
      <c r="O113" s="29">
        <v>-6.8097510912170894E-2</v>
      </c>
      <c r="P113" s="29">
        <v>3.3802459483001E-2</v>
      </c>
      <c r="Q113" s="29">
        <v>1.5873015873015799E-2</v>
      </c>
      <c r="R113" s="30">
        <v>209581.85924999899</v>
      </c>
      <c r="S113" s="29">
        <v>3</v>
      </c>
      <c r="T113">
        <v>532.31899999999996</v>
      </c>
      <c r="U113" s="21"/>
      <c r="V113">
        <v>103</v>
      </c>
      <c r="W113" t="b">
        <f>V113&gt;=$C$4</f>
        <v>0</v>
      </c>
      <c r="X113">
        <f>IF(V113&lt;=$C$5,11,ROW()-$C$5+1)</f>
        <v>11</v>
      </c>
      <c r="Y113" s="14">
        <f t="shared" si="31"/>
        <v>103</v>
      </c>
      <c r="Z113" s="10">
        <f t="shared" si="39"/>
        <v>0.99500000000000099</v>
      </c>
      <c r="AA113" s="15">
        <f t="shared" si="40"/>
        <v>3.3005708826622203E-2</v>
      </c>
      <c r="AB113" s="15">
        <f t="shared" si="41"/>
        <v>0.85231680046841185</v>
      </c>
      <c r="AC113" s="10">
        <f t="shared" si="32"/>
        <v>2.8272683562109175E-2</v>
      </c>
      <c r="AD113">
        <f t="shared" si="42"/>
        <v>0.98570000000000135</v>
      </c>
      <c r="AE113">
        <f t="shared" si="49"/>
        <v>0.98570000000000135</v>
      </c>
      <c r="AF113">
        <f t="shared" si="50"/>
        <v>0</v>
      </c>
      <c r="AG113">
        <f t="shared" si="58"/>
        <v>0.31404825018390958</v>
      </c>
      <c r="AH113">
        <f t="shared" si="58"/>
        <v>0.28702922929212915</v>
      </c>
      <c r="AI113">
        <f t="shared" si="43"/>
        <v>1.094133342999299</v>
      </c>
      <c r="AJ113">
        <f t="shared" si="51"/>
        <v>52.247548927913002</v>
      </c>
      <c r="AK113" s="14">
        <f t="shared" si="33"/>
        <v>52.247548927913002</v>
      </c>
      <c r="AM113" s="14">
        <f t="shared" si="56"/>
        <v>-9.3490805368245944E-3</v>
      </c>
      <c r="AN113" s="36">
        <f t="shared" si="44"/>
        <v>3.380245948300109E-2</v>
      </c>
      <c r="AO113">
        <f t="shared" si="53"/>
        <v>1</v>
      </c>
      <c r="AP113" s="14">
        <f t="shared" si="54"/>
        <v>0.6</v>
      </c>
      <c r="AQ113">
        <f t="shared" si="45"/>
        <v>1.6446250377119886E-2</v>
      </c>
      <c r="AR113">
        <f t="shared" si="46"/>
        <v>1.7356209105881114E-2</v>
      </c>
      <c r="AS113">
        <f t="shared" si="28"/>
        <v>7.6045915255651224E-5</v>
      </c>
      <c r="AT113">
        <f t="shared" si="29"/>
        <v>1.5026831855806227E-2</v>
      </c>
      <c r="AU113" s="14">
        <f t="shared" si="34"/>
        <v>5.0606751965663202E-3</v>
      </c>
      <c r="AV113" s="19">
        <f t="shared" si="30"/>
        <v>1.2819372506754614</v>
      </c>
      <c r="AW113" s="19">
        <f t="shared" si="57"/>
        <v>-6.8097510912170978E-2</v>
      </c>
      <c r="AX113">
        <f t="shared" si="35"/>
        <v>0</v>
      </c>
      <c r="AY113">
        <f>IF(W113,SUMPRODUCT(INDEX(AX:AX,X113):INDEX(AX:AX,X113+Y113)),0)</f>
        <v>0</v>
      </c>
      <c r="AZ113">
        <f>IF(V113,COUNT(INDEX(AX:AX,X113):INDEX(AX:AX,ROW())),0)</f>
        <v>103</v>
      </c>
      <c r="BA113" s="14" t="str">
        <f t="shared" si="47"/>
        <v/>
      </c>
      <c r="BB113" s="6">
        <f t="shared" si="36"/>
        <v>145817.6531</v>
      </c>
      <c r="BC113" s="6">
        <f>MEDIAN(INDEX(BB:BB,X113):INDEX(BB:BB,X113+Y113-1))</f>
        <v>167805.33689999999</v>
      </c>
      <c r="BD113" s="25" t="str">
        <f t="shared" si="37"/>
        <v/>
      </c>
      <c r="BE113">
        <f t="shared" si="48"/>
        <v>0</v>
      </c>
      <c r="BF113" s="6">
        <f>SUM(INDEX(BE:BE,X113):INDEX(BE:BE,X113+Y113-1))</f>
        <v>2</v>
      </c>
      <c r="BG113" s="25" t="str">
        <f t="shared" si="38"/>
        <v/>
      </c>
    </row>
    <row r="114" spans="1:59" x14ac:dyDescent="0.3">
      <c r="A114" s="1">
        <v>45518</v>
      </c>
      <c r="B114">
        <v>30.543199999999999</v>
      </c>
      <c r="C114">
        <v>30.543199999999999</v>
      </c>
      <c r="D114">
        <v>30.113199999999999</v>
      </c>
      <c r="E114">
        <v>30.2925</v>
      </c>
      <c r="F114">
        <v>11790</v>
      </c>
      <c r="G114" s="29">
        <v>0.82215131472066805</v>
      </c>
      <c r="H114" s="29">
        <v>2.7140424683359501E-2</v>
      </c>
      <c r="I114" s="29">
        <v>1.41949327391268E-2</v>
      </c>
      <c r="J114" s="29">
        <v>53.120034256820702</v>
      </c>
      <c r="K114" s="29">
        <v>-2.8616413713047E-2</v>
      </c>
      <c r="L114" s="29">
        <v>0.8</v>
      </c>
      <c r="M114" s="29">
        <v>-5.7787261087315798E-3</v>
      </c>
      <c r="N114" s="29">
        <v>1.27379381067881</v>
      </c>
      <c r="O114" s="29">
        <v>-6.3578079210614202E-2</v>
      </c>
      <c r="P114" s="29">
        <v>4.8496830456805596E-3</v>
      </c>
      <c r="Q114" s="29">
        <v>1.5873015873015799E-2</v>
      </c>
      <c r="R114" s="30">
        <v>209581.85924999899</v>
      </c>
      <c r="S114" s="29">
        <v>3</v>
      </c>
      <c r="T114">
        <v>533.99800000000005</v>
      </c>
      <c r="U114" s="21"/>
      <c r="V114">
        <v>104</v>
      </c>
      <c r="W114" t="b">
        <f>V114&gt;=$C$4</f>
        <v>0</v>
      </c>
      <c r="X114">
        <f>IF(V114&lt;=$C$5,11,ROW()-$C$5+1)</f>
        <v>11</v>
      </c>
      <c r="Y114" s="14">
        <f t="shared" si="31"/>
        <v>104</v>
      </c>
      <c r="Z114" s="10">
        <f t="shared" si="39"/>
        <v>0.42999999999999972</v>
      </c>
      <c r="AA114" s="15">
        <f t="shared" si="40"/>
        <v>1.4194932739126837E-2</v>
      </c>
      <c r="AB114" s="15">
        <f t="shared" si="41"/>
        <v>0.82215131472066816</v>
      </c>
      <c r="AC114" s="10">
        <f t="shared" si="32"/>
        <v>2.7140424683359515E-2</v>
      </c>
      <c r="AD114">
        <f t="shared" si="42"/>
        <v>0.14620000000000033</v>
      </c>
      <c r="AE114">
        <f t="shared" si="49"/>
        <v>0.14620000000000033</v>
      </c>
      <c r="AF114">
        <f t="shared" si="50"/>
        <v>0</v>
      </c>
      <c r="AG114">
        <f t="shared" si="58"/>
        <v>0.30205908945648746</v>
      </c>
      <c r="AH114">
        <f t="shared" si="58"/>
        <v>0.26652714148554851</v>
      </c>
      <c r="AI114">
        <f t="shared" si="43"/>
        <v>1.1333145576577819</v>
      </c>
      <c r="AJ114">
        <f t="shared" si="51"/>
        <v>53.124587444904307</v>
      </c>
      <c r="AK114" s="14">
        <f t="shared" si="33"/>
        <v>53.124587444904307</v>
      </c>
      <c r="AM114" s="14">
        <f t="shared" si="56"/>
        <v>-2.8616413713047018E-2</v>
      </c>
      <c r="AN114" s="36">
        <f t="shared" si="44"/>
        <v>4.849683045680564E-3</v>
      </c>
      <c r="AO114">
        <f t="shared" si="53"/>
        <v>1</v>
      </c>
      <c r="AP114" s="14">
        <f t="shared" si="54"/>
        <v>0.8</v>
      </c>
      <c r="AQ114">
        <f t="shared" si="45"/>
        <v>3.1541237491055085E-3</v>
      </c>
      <c r="AR114">
        <f t="shared" si="46"/>
        <v>1.6955592965750511E-3</v>
      </c>
      <c r="AS114">
        <f t="shared" si="28"/>
        <v>-8.6402073613242039E-5</v>
      </c>
      <c r="AT114">
        <f t="shared" si="29"/>
        <v>1.4951750954710892E-2</v>
      </c>
      <c r="AU114" s="14">
        <f t="shared" si="34"/>
        <v>-5.7787261087317056E-3</v>
      </c>
      <c r="AV114" s="19">
        <f t="shared" si="30"/>
        <v>1.273793810678838</v>
      </c>
      <c r="AW114" s="19">
        <f t="shared" si="57"/>
        <v>-6.3578079210614202E-2</v>
      </c>
      <c r="AX114">
        <f t="shared" si="35"/>
        <v>0</v>
      </c>
      <c r="AY114">
        <f>IF(W114,SUMPRODUCT(INDEX(AX:AX,X114):INDEX(AX:AX,X114+Y114)),0)</f>
        <v>0</v>
      </c>
      <c r="AZ114">
        <f>IF(V114,COUNT(INDEX(AX:AX,X114):INDEX(AX:AX,ROW())),0)</f>
        <v>104</v>
      </c>
      <c r="BA114" s="14" t="str">
        <f t="shared" si="47"/>
        <v/>
      </c>
      <c r="BB114" s="6">
        <f t="shared" si="36"/>
        <v>357148.57500000001</v>
      </c>
      <c r="BC114" s="6">
        <f>MEDIAN(INDEX(BB:BB,X114):INDEX(BB:BB,X114+Y114-1))</f>
        <v>170065.59395000001</v>
      </c>
      <c r="BD114" s="25" t="str">
        <f t="shared" si="37"/>
        <v/>
      </c>
      <c r="BE114">
        <f t="shared" si="48"/>
        <v>0</v>
      </c>
      <c r="BF114" s="6">
        <f>SUM(INDEX(BE:BE,X114):INDEX(BE:BE,X114+Y114-1))</f>
        <v>2</v>
      </c>
      <c r="BG114" s="25" t="str">
        <f t="shared" si="38"/>
        <v/>
      </c>
    </row>
    <row r="115" spans="1:59" x14ac:dyDescent="0.3">
      <c r="A115" s="1">
        <v>45519</v>
      </c>
      <c r="B115">
        <v>30.774799999999999</v>
      </c>
      <c r="C115">
        <v>30.9071</v>
      </c>
      <c r="D115">
        <v>30.774799999999999</v>
      </c>
      <c r="E115">
        <v>30.794599999999999</v>
      </c>
      <c r="F115">
        <v>2872</v>
      </c>
      <c r="G115" s="29">
        <v>0.80732622081204897</v>
      </c>
      <c r="H115" s="29">
        <v>2.62164866831213E-2</v>
      </c>
      <c r="I115" s="29">
        <v>1.99580445922336E-2</v>
      </c>
      <c r="J115" s="29">
        <v>56.101640112458497</v>
      </c>
      <c r="K115" s="29">
        <v>-1.50125320597005E-3</v>
      </c>
      <c r="L115" s="29">
        <v>0.8</v>
      </c>
      <c r="M115" s="29">
        <v>3.9178568229415602E-2</v>
      </c>
      <c r="N115" s="29">
        <v>1.3591876189774601</v>
      </c>
      <c r="O115" s="29">
        <v>-4.8056829844323898E-2</v>
      </c>
      <c r="P115" s="29">
        <v>1.6575059833292102E-2</v>
      </c>
      <c r="Q115" s="29">
        <v>1.5873015873015799E-2</v>
      </c>
      <c r="R115" s="30">
        <v>208968.16625000001</v>
      </c>
      <c r="S115" s="29">
        <v>3</v>
      </c>
      <c r="T115">
        <v>543.15099999999995</v>
      </c>
      <c r="U115" s="21"/>
      <c r="V115">
        <v>105</v>
      </c>
      <c r="W115" t="b">
        <f>V115&gt;=$C$4</f>
        <v>0</v>
      </c>
      <c r="X115">
        <f>IF(V115&lt;=$C$5,11,ROW()-$C$5+1)</f>
        <v>11</v>
      </c>
      <c r="Y115" s="14">
        <f t="shared" si="31"/>
        <v>105</v>
      </c>
      <c r="Z115" s="10">
        <f t="shared" si="39"/>
        <v>0.61459999999999937</v>
      </c>
      <c r="AA115" s="15">
        <f t="shared" si="40"/>
        <v>1.9958044592233683E-2</v>
      </c>
      <c r="AB115" s="15">
        <f t="shared" si="41"/>
        <v>0.80732622081204897</v>
      </c>
      <c r="AC115" s="10">
        <f t="shared" si="32"/>
        <v>2.6216486683121359E-2</v>
      </c>
      <c r="AD115">
        <f t="shared" si="42"/>
        <v>0.50209999999999866</v>
      </c>
      <c r="AE115">
        <f t="shared" si="49"/>
        <v>0.50209999999999866</v>
      </c>
      <c r="AF115">
        <f t="shared" si="50"/>
        <v>0</v>
      </c>
      <c r="AG115">
        <f t="shared" si="58"/>
        <v>0.31634772592388111</v>
      </c>
      <c r="AH115">
        <f t="shared" si="58"/>
        <v>0.24748948852229505</v>
      </c>
      <c r="AI115">
        <f t="shared" si="43"/>
        <v>1.2782269170813005</v>
      </c>
      <c r="AJ115">
        <f t="shared" si="51"/>
        <v>56.106216088381245</v>
      </c>
      <c r="AK115" s="14">
        <f t="shared" si="33"/>
        <v>56.106216088381245</v>
      </c>
      <c r="AM115" s="14">
        <f t="shared" si="56"/>
        <v>-1.5012532059700545E-3</v>
      </c>
      <c r="AN115" s="36">
        <f t="shared" si="44"/>
        <v>1.6575059833292105E-2</v>
      </c>
      <c r="AO115">
        <f t="shared" si="53"/>
        <v>1</v>
      </c>
      <c r="AP115" s="14">
        <f t="shared" si="54"/>
        <v>0.8</v>
      </c>
      <c r="AQ115">
        <f t="shared" si="45"/>
        <v>1.7140513634882337E-2</v>
      </c>
      <c r="AR115">
        <f t="shared" si="46"/>
        <v>-5.6545380159023564E-4</v>
      </c>
      <c r="AS115">
        <f t="shared" si="28"/>
        <v>5.4940397803539135E-4</v>
      </c>
      <c r="AT115">
        <f t="shared" si="29"/>
        <v>1.4023074422175954E-2</v>
      </c>
      <c r="AU115" s="14">
        <f t="shared" si="34"/>
        <v>3.9178568229415456E-2</v>
      </c>
      <c r="AV115" s="19">
        <f t="shared" si="30"/>
        <v>1.3591876189774919</v>
      </c>
      <c r="AW115" s="19">
        <f t="shared" si="57"/>
        <v>-4.8056829844323912E-2</v>
      </c>
      <c r="AX115">
        <f t="shared" si="35"/>
        <v>0</v>
      </c>
      <c r="AY115">
        <f>IF(W115,SUMPRODUCT(INDEX(AX:AX,X115):INDEX(AX:AX,X115+Y115)),0)</f>
        <v>0</v>
      </c>
      <c r="AZ115">
        <f>IF(V115,COUNT(INDEX(AX:AX,X115):INDEX(AX:AX,ROW())),0)</f>
        <v>105</v>
      </c>
      <c r="BA115" s="14" t="str">
        <f t="shared" si="47"/>
        <v/>
      </c>
      <c r="BB115" s="6">
        <f t="shared" si="36"/>
        <v>88442.091199999995</v>
      </c>
      <c r="BC115" s="6">
        <f>MEDIAN(INDEX(BB:BB,X115):INDEX(BB:BB,X115+Y115-1))</f>
        <v>167805.33689999999</v>
      </c>
      <c r="BD115" s="25" t="str">
        <f t="shared" si="37"/>
        <v/>
      </c>
      <c r="BE115">
        <f t="shared" si="48"/>
        <v>0</v>
      </c>
      <c r="BF115" s="6">
        <f>SUM(INDEX(BE:BE,X115):INDEX(BE:BE,X115+Y115-1))</f>
        <v>2</v>
      </c>
      <c r="BG115" s="25" t="str">
        <f t="shared" si="38"/>
        <v/>
      </c>
    </row>
    <row r="116" spans="1:59" x14ac:dyDescent="0.3">
      <c r="A116" s="1">
        <v>45520</v>
      </c>
      <c r="B116">
        <v>30.735099999999999</v>
      </c>
      <c r="C116">
        <v>30.7681</v>
      </c>
      <c r="D116">
        <v>30.586200000000002</v>
      </c>
      <c r="E116">
        <v>30.7681</v>
      </c>
      <c r="F116">
        <v>5139</v>
      </c>
      <c r="G116" s="29">
        <v>0.764545776468331</v>
      </c>
      <c r="H116" s="29">
        <v>2.4848650923142101E-2</v>
      </c>
      <c r="I116" s="29">
        <v>6.7732489168976099E-3</v>
      </c>
      <c r="J116" s="29">
        <v>55.899565518287602</v>
      </c>
      <c r="K116" s="29">
        <v>4.7513927622082602E-3</v>
      </c>
      <c r="L116" s="29">
        <v>0.6</v>
      </c>
      <c r="M116" s="29">
        <v>-1.71710719619329E-3</v>
      </c>
      <c r="N116" s="29">
        <v>1.37745596560978</v>
      </c>
      <c r="O116" s="29">
        <v>-4.8876015481062997E-2</v>
      </c>
      <c r="P116" s="29">
        <v>-8.6054048437056397E-4</v>
      </c>
      <c r="Q116" s="29">
        <v>1.5873015873015799E-2</v>
      </c>
      <c r="R116" s="30">
        <v>208353.34474999999</v>
      </c>
      <c r="S116" s="29">
        <v>3</v>
      </c>
      <c r="T116">
        <v>544.36900000000003</v>
      </c>
      <c r="U116" s="21"/>
      <c r="V116">
        <v>106</v>
      </c>
      <c r="W116" t="b">
        <f>V116&gt;=$C$4</f>
        <v>0</v>
      </c>
      <c r="X116">
        <f>IF(V116&lt;=$C$5,11,ROW()-$C$5+1)</f>
        <v>11</v>
      </c>
      <c r="Y116" s="14">
        <f t="shared" si="31"/>
        <v>106</v>
      </c>
      <c r="Z116" s="10">
        <f t="shared" si="39"/>
        <v>0.20839999999999748</v>
      </c>
      <c r="AA116" s="15">
        <f t="shared" si="40"/>
        <v>6.7732489168976142E-3</v>
      </c>
      <c r="AB116" s="15">
        <f t="shared" si="41"/>
        <v>0.76454577646833111</v>
      </c>
      <c r="AC116" s="10">
        <f t="shared" si="32"/>
        <v>2.4848650923142188E-2</v>
      </c>
      <c r="AD116">
        <f t="shared" si="42"/>
        <v>-2.6499999999998636E-2</v>
      </c>
      <c r="AE116">
        <f t="shared" si="49"/>
        <v>0</v>
      </c>
      <c r="AF116">
        <f t="shared" si="50"/>
        <v>2.6499999999998636E-2</v>
      </c>
      <c r="AG116">
        <f t="shared" si="58"/>
        <v>0.29375145978646106</v>
      </c>
      <c r="AH116">
        <f t="shared" si="58"/>
        <v>0.23170452505641673</v>
      </c>
      <c r="AI116">
        <f t="shared" si="43"/>
        <v>1.2677847345231466</v>
      </c>
      <c r="AJ116">
        <f t="shared" si="51"/>
        <v>55.904103913536893</v>
      </c>
      <c r="AK116" s="14">
        <f t="shared" si="33"/>
        <v>55.904103913536893</v>
      </c>
      <c r="AM116" s="14">
        <f t="shared" si="56"/>
        <v>4.7513927622082619E-3</v>
      </c>
      <c r="AN116" s="36">
        <f t="shared" si="44"/>
        <v>-8.6054048437056441E-4</v>
      </c>
      <c r="AO116">
        <f t="shared" si="53"/>
        <v>0</v>
      </c>
      <c r="AP116" s="14">
        <f t="shared" si="54"/>
        <v>0.6</v>
      </c>
      <c r="AQ116">
        <f t="shared" si="45"/>
        <v>2.2424703259316114E-3</v>
      </c>
      <c r="AR116">
        <f t="shared" si="46"/>
        <v>-3.1030108103021754E-3</v>
      </c>
      <c r="AS116">
        <f t="shared" si="28"/>
        <v>-2.3010969832606816E-5</v>
      </c>
      <c r="AT116">
        <f t="shared" si="29"/>
        <v>1.3401009490624213E-2</v>
      </c>
      <c r="AU116" s="14">
        <f t="shared" si="34"/>
        <v>-1.7171071961933947E-3</v>
      </c>
      <c r="AV116" s="19">
        <f t="shared" si="30"/>
        <v>1.3774559656098153</v>
      </c>
      <c r="AW116" s="19">
        <f t="shared" si="57"/>
        <v>-4.8876015481063018E-2</v>
      </c>
      <c r="AX116">
        <f t="shared" si="35"/>
        <v>0</v>
      </c>
      <c r="AY116">
        <f>IF(W116,SUMPRODUCT(INDEX(AX:AX,X116):INDEX(AX:AX,X116+Y116)),0)</f>
        <v>0</v>
      </c>
      <c r="AZ116">
        <f>IF(V116,COUNT(INDEX(AX:AX,X116):INDEX(AX:AX,ROW())),0)</f>
        <v>106</v>
      </c>
      <c r="BA116" s="14" t="str">
        <f t="shared" si="47"/>
        <v/>
      </c>
      <c r="BB116" s="6">
        <f t="shared" si="36"/>
        <v>158117.2659</v>
      </c>
      <c r="BC116" s="6">
        <f>MEDIAN(INDEX(BB:BB,X116):INDEX(BB:BB,X116+Y116-1))</f>
        <v>167230.87164999999</v>
      </c>
      <c r="BD116" s="25" t="str">
        <f t="shared" si="37"/>
        <v/>
      </c>
      <c r="BE116">
        <f t="shared" si="48"/>
        <v>0</v>
      </c>
      <c r="BF116" s="6">
        <f>SUM(INDEX(BE:BE,X116):INDEX(BE:BE,X116+Y116-1))</f>
        <v>2</v>
      </c>
      <c r="BG116" s="25" t="str">
        <f t="shared" si="38"/>
        <v/>
      </c>
    </row>
    <row r="117" spans="1:59" x14ac:dyDescent="0.3">
      <c r="A117" s="1">
        <v>45523</v>
      </c>
      <c r="B117">
        <v>30.96</v>
      </c>
      <c r="C117">
        <v>31.085699999999999</v>
      </c>
      <c r="D117">
        <v>30.9269</v>
      </c>
      <c r="E117">
        <v>30.9269</v>
      </c>
      <c r="F117">
        <v>7860</v>
      </c>
      <c r="G117" s="29">
        <v>0.732621078149164</v>
      </c>
      <c r="H117" s="29">
        <v>2.36887977181406E-2</v>
      </c>
      <c r="I117" s="29">
        <v>1.02693771441689E-2</v>
      </c>
      <c r="J117" s="29">
        <v>56.901383435701099</v>
      </c>
      <c r="K117" s="29">
        <v>1.6302561878097199E-2</v>
      </c>
      <c r="L117" s="29">
        <v>0.8</v>
      </c>
      <c r="M117" s="29">
        <v>-1.96246438293536E-4</v>
      </c>
      <c r="N117" s="29">
        <v>1.3649775959108801</v>
      </c>
      <c r="O117" s="29">
        <v>-4.3967084193735899E-2</v>
      </c>
      <c r="P117" s="29">
        <v>5.1611896737204701E-3</v>
      </c>
      <c r="Q117" s="29">
        <v>1.5873015873015799E-2</v>
      </c>
      <c r="R117" s="30">
        <v>208968.16625000001</v>
      </c>
      <c r="S117" s="29">
        <v>3</v>
      </c>
      <c r="T117">
        <v>549.57399999999996</v>
      </c>
      <c r="U117" s="21"/>
      <c r="V117">
        <v>107</v>
      </c>
      <c r="W117" t="b">
        <f>V117&gt;=$C$4</f>
        <v>0</v>
      </c>
      <c r="X117">
        <f>IF(V117&lt;=$C$5,11,ROW()-$C$5+1)</f>
        <v>11</v>
      </c>
      <c r="Y117" s="14">
        <f t="shared" si="31"/>
        <v>107</v>
      </c>
      <c r="Z117" s="10">
        <f t="shared" si="39"/>
        <v>0.31759999999999877</v>
      </c>
      <c r="AA117" s="15">
        <f t="shared" si="40"/>
        <v>1.0269377144168952E-2</v>
      </c>
      <c r="AB117" s="15">
        <f t="shared" si="41"/>
        <v>0.73262107814916455</v>
      </c>
      <c r="AC117" s="10">
        <f t="shared" si="32"/>
        <v>2.3688797718140666E-2</v>
      </c>
      <c r="AD117">
        <f t="shared" si="42"/>
        <v>0.15879999999999939</v>
      </c>
      <c r="AE117">
        <f t="shared" si="49"/>
        <v>0.15879999999999939</v>
      </c>
      <c r="AF117">
        <f t="shared" si="50"/>
        <v>0</v>
      </c>
      <c r="AG117">
        <f t="shared" si="58"/>
        <v>0.28411206980171377</v>
      </c>
      <c r="AH117">
        <f t="shared" si="58"/>
        <v>0.21515420183810124</v>
      </c>
      <c r="AI117">
        <f t="shared" si="43"/>
        <v>1.3205043981223374</v>
      </c>
      <c r="AJ117">
        <f t="shared" si="51"/>
        <v>56.905920936449789</v>
      </c>
      <c r="AK117" s="14">
        <f t="shared" si="33"/>
        <v>56.905920936449789</v>
      </c>
      <c r="AM117" s="14">
        <f t="shared" si="56"/>
        <v>1.6302561878097199E-2</v>
      </c>
      <c r="AN117" s="36">
        <f t="shared" si="44"/>
        <v>5.1611896737204788E-3</v>
      </c>
      <c r="AO117">
        <f t="shared" si="53"/>
        <v>1</v>
      </c>
      <c r="AP117" s="14">
        <f t="shared" si="54"/>
        <v>0.8</v>
      </c>
      <c r="AQ117">
        <f t="shared" si="45"/>
        <v>9.5615290363704197E-3</v>
      </c>
      <c r="AR117">
        <f t="shared" si="46"/>
        <v>-4.4003393626499496E-3</v>
      </c>
      <c r="AS117">
        <f t="shared" si="28"/>
        <v>-2.6283744696685395E-6</v>
      </c>
      <c r="AT117">
        <f t="shared" si="29"/>
        <v>1.3393233999669452E-2</v>
      </c>
      <c r="AU117" s="14">
        <f t="shared" si="34"/>
        <v>-1.9624643829364949E-4</v>
      </c>
      <c r="AV117" s="19">
        <f t="shared" si="30"/>
        <v>1.3649775959109094</v>
      </c>
      <c r="AW117" s="19">
        <f t="shared" si="57"/>
        <v>-4.3967084193735961E-2</v>
      </c>
      <c r="AX117">
        <f t="shared" si="35"/>
        <v>0</v>
      </c>
      <c r="AY117">
        <f>IF(W117,SUMPRODUCT(INDEX(AX:AX,X117):INDEX(AX:AX,X117+Y117)),0)</f>
        <v>0</v>
      </c>
      <c r="AZ117">
        <f>IF(V117,COUNT(INDEX(AX:AX,X117):INDEX(AX:AX,ROW())),0)</f>
        <v>107</v>
      </c>
      <c r="BA117" s="14" t="str">
        <f t="shared" si="47"/>
        <v/>
      </c>
      <c r="BB117" s="6">
        <f t="shared" si="36"/>
        <v>243085.43400000001</v>
      </c>
      <c r="BC117" s="6">
        <f>MEDIAN(INDEX(BB:BB,X117):INDEX(BB:BB,X117+Y117-1))</f>
        <v>167805.33689999999</v>
      </c>
      <c r="BD117" s="25" t="str">
        <f t="shared" si="37"/>
        <v/>
      </c>
      <c r="BE117">
        <f t="shared" si="48"/>
        <v>0</v>
      </c>
      <c r="BF117" s="6">
        <f>SUM(INDEX(BE:BE,X117):INDEX(BE:BE,X117+Y117-1))</f>
        <v>2</v>
      </c>
      <c r="BG117" s="25" t="str">
        <f t="shared" si="38"/>
        <v/>
      </c>
    </row>
    <row r="118" spans="1:59" x14ac:dyDescent="0.3">
      <c r="A118" s="1">
        <v>45524</v>
      </c>
      <c r="B118">
        <v>30.979800000000001</v>
      </c>
      <c r="C118">
        <v>31.059200000000001</v>
      </c>
      <c r="D118">
        <v>30.854099999999999</v>
      </c>
      <c r="E118">
        <v>30.953399999999998</v>
      </c>
      <c r="F118">
        <v>4837</v>
      </c>
      <c r="G118" s="29">
        <v>0.69494100113850998</v>
      </c>
      <c r="H118" s="29">
        <v>2.24512008741692E-2</v>
      </c>
      <c r="I118" s="29">
        <v>6.6260895410520798E-3</v>
      </c>
      <c r="J118" s="29">
        <v>57.076618058689299</v>
      </c>
      <c r="K118" s="29">
        <v>-2.3431884767985901E-3</v>
      </c>
      <c r="L118" s="29">
        <v>0.8</v>
      </c>
      <c r="M118" s="29">
        <v>4.1137488191010201E-3</v>
      </c>
      <c r="N118" s="29">
        <v>1.3633009738697399</v>
      </c>
      <c r="O118" s="29">
        <v>-4.3147898556996897E-2</v>
      </c>
      <c r="P118" s="29">
        <v>8.5685923904432705E-4</v>
      </c>
      <c r="Q118" s="29">
        <v>1.5873015873015799E-2</v>
      </c>
      <c r="R118" s="30">
        <v>208353.34474999999</v>
      </c>
      <c r="S118" s="29">
        <v>3</v>
      </c>
      <c r="T118">
        <v>548.67999999999995</v>
      </c>
      <c r="U118" s="21"/>
      <c r="V118">
        <v>108</v>
      </c>
      <c r="W118" t="b">
        <f>V118&gt;=$C$4</f>
        <v>0</v>
      </c>
      <c r="X118">
        <f>IF(V118&lt;=$C$5,11,ROW()-$C$5+1)</f>
        <v>11</v>
      </c>
      <c r="Y118" s="14">
        <f t="shared" si="31"/>
        <v>108</v>
      </c>
      <c r="Z118" s="10">
        <f t="shared" si="39"/>
        <v>0.20510000000000161</v>
      </c>
      <c r="AA118" s="15">
        <f t="shared" si="40"/>
        <v>6.6260895410520859E-3</v>
      </c>
      <c r="AB118" s="15">
        <f t="shared" si="41"/>
        <v>0.69494100113850998</v>
      </c>
      <c r="AC118" s="10">
        <f t="shared" si="32"/>
        <v>2.2451200874169235E-2</v>
      </c>
      <c r="AD118">
        <f t="shared" si="42"/>
        <v>2.6499999999998636E-2</v>
      </c>
      <c r="AE118">
        <f t="shared" si="49"/>
        <v>2.6499999999998636E-2</v>
      </c>
      <c r="AF118">
        <f t="shared" si="50"/>
        <v>0</v>
      </c>
      <c r="AG118">
        <f t="shared" si="58"/>
        <v>0.26571120767301981</v>
      </c>
      <c r="AH118">
        <f t="shared" si="58"/>
        <v>0.19978604456395116</v>
      </c>
      <c r="AI118">
        <f t="shared" si="43"/>
        <v>1.3299788193562545</v>
      </c>
      <c r="AJ118">
        <f t="shared" si="51"/>
        <v>57.081154914691965</v>
      </c>
      <c r="AK118" s="14">
        <f t="shared" si="33"/>
        <v>57.081154914691965</v>
      </c>
      <c r="AM118" s="14">
        <f t="shared" si="56"/>
        <v>-2.3431884767985967E-3</v>
      </c>
      <c r="AN118" s="36">
        <f t="shared" si="44"/>
        <v>8.5685923904432748E-4</v>
      </c>
      <c r="AO118">
        <f t="shared" si="53"/>
        <v>1</v>
      </c>
      <c r="AP118" s="14">
        <f t="shared" si="54"/>
        <v>0.8</v>
      </c>
      <c r="AQ118">
        <f t="shared" si="45"/>
        <v>-1.6267145097839109E-3</v>
      </c>
      <c r="AR118">
        <f t="shared" si="46"/>
        <v>2.4835737488282379E-3</v>
      </c>
      <c r="AS118">
        <f t="shared" si="28"/>
        <v>5.5107907533889997E-5</v>
      </c>
      <c r="AT118">
        <f t="shared" si="29"/>
        <v>1.3396031201033377E-2</v>
      </c>
      <c r="AU118" s="14">
        <f t="shared" si="34"/>
        <v>4.1137488191009099E-3</v>
      </c>
      <c r="AV118" s="19">
        <f t="shared" si="30"/>
        <v>1.3633009738697708</v>
      </c>
      <c r="AW118" s="19">
        <f t="shared" si="57"/>
        <v>-4.3147898556996966E-2</v>
      </c>
      <c r="AX118">
        <f t="shared" si="35"/>
        <v>0</v>
      </c>
      <c r="AY118">
        <f>IF(W118,SUMPRODUCT(INDEX(AX:AX,X118):INDEX(AX:AX,X118+Y118)),0)</f>
        <v>0</v>
      </c>
      <c r="AZ118">
        <f>IF(V118,COUNT(INDEX(AX:AX,X118):INDEX(AX:AX,ROW())),0)</f>
        <v>108</v>
      </c>
      <c r="BA118" s="14" t="str">
        <f t="shared" si="47"/>
        <v/>
      </c>
      <c r="BB118" s="6">
        <f t="shared" si="36"/>
        <v>149721.59579999998</v>
      </c>
      <c r="BC118" s="6">
        <f>MEDIAN(INDEX(BB:BB,X118):INDEX(BB:BB,X118+Y118-1))</f>
        <v>167230.87164999999</v>
      </c>
      <c r="BD118" s="25" t="str">
        <f t="shared" si="37"/>
        <v/>
      </c>
      <c r="BE118">
        <f t="shared" si="48"/>
        <v>0</v>
      </c>
      <c r="BF118" s="6">
        <f>SUM(INDEX(BE:BE,X118):INDEX(BE:BE,X118+Y118-1))</f>
        <v>2</v>
      </c>
      <c r="BG118" s="25" t="str">
        <f t="shared" si="38"/>
        <v/>
      </c>
    </row>
    <row r="119" spans="1:59" x14ac:dyDescent="0.3">
      <c r="A119" s="1">
        <v>45525</v>
      </c>
      <c r="B119">
        <v>30.918299999999999</v>
      </c>
      <c r="C119">
        <v>31.1783</v>
      </c>
      <c r="D119">
        <v>30.893799999999999</v>
      </c>
      <c r="E119">
        <v>31.1584</v>
      </c>
      <c r="F119">
        <v>8313</v>
      </c>
      <c r="G119" s="29">
        <v>0.66562378677147405</v>
      </c>
      <c r="H119" s="29">
        <v>2.13625791687466E-2</v>
      </c>
      <c r="I119" s="29">
        <v>9.1307640957174092E-3</v>
      </c>
      <c r="J119" s="29">
        <v>58.482912119235998</v>
      </c>
      <c r="K119" s="29">
        <v>-1.6980974900196999E-3</v>
      </c>
      <c r="L119" s="29">
        <v>0.8</v>
      </c>
      <c r="M119" s="29">
        <v>9.4614368402267703E-3</v>
      </c>
      <c r="N119" s="29">
        <v>1.3649692797177</v>
      </c>
      <c r="O119" s="29">
        <v>-3.6810802121845398E-2</v>
      </c>
      <c r="P119" s="29">
        <v>6.6228588781847E-3</v>
      </c>
      <c r="Q119" s="29">
        <v>1.5873015873015799E-2</v>
      </c>
      <c r="R119" s="30">
        <v>208968.16625000001</v>
      </c>
      <c r="S119" s="29">
        <v>3</v>
      </c>
      <c r="T119">
        <v>550.56500000000005</v>
      </c>
      <c r="U119" s="21"/>
      <c r="V119">
        <v>109</v>
      </c>
      <c r="W119" t="b">
        <f>V119&gt;=$C$4</f>
        <v>0</v>
      </c>
      <c r="X119">
        <f>IF(V119&lt;=$C$5,11,ROW()-$C$5+1)</f>
        <v>11</v>
      </c>
      <c r="Y119" s="14">
        <f t="shared" si="31"/>
        <v>109</v>
      </c>
      <c r="Z119" s="10">
        <f t="shared" si="39"/>
        <v>0.28450000000000131</v>
      </c>
      <c r="AA119" s="15">
        <f t="shared" si="40"/>
        <v>9.1307640957174092E-3</v>
      </c>
      <c r="AB119" s="15">
        <f t="shared" si="41"/>
        <v>0.66562378677147371</v>
      </c>
      <c r="AC119" s="10">
        <f t="shared" si="32"/>
        <v>2.1362579168746589E-2</v>
      </c>
      <c r="AD119">
        <f t="shared" si="42"/>
        <v>0.20500000000000185</v>
      </c>
      <c r="AE119">
        <f t="shared" si="49"/>
        <v>0.20500000000000185</v>
      </c>
      <c r="AF119">
        <f t="shared" si="50"/>
        <v>0</v>
      </c>
      <c r="AG119">
        <f t="shared" si="58"/>
        <v>0.26137469283923281</v>
      </c>
      <c r="AH119">
        <f t="shared" si="58"/>
        <v>0.1855156128093832</v>
      </c>
      <c r="AI119">
        <f t="shared" si="43"/>
        <v>1.4089094113485459</v>
      </c>
      <c r="AJ119">
        <f t="shared" si="51"/>
        <v>58.487438535923026</v>
      </c>
      <c r="AK119" s="14">
        <f t="shared" si="33"/>
        <v>58.487438535923026</v>
      </c>
      <c r="AM119" s="14">
        <f t="shared" si="56"/>
        <v>-1.698097490019701E-3</v>
      </c>
      <c r="AN119" s="36">
        <f t="shared" si="44"/>
        <v>6.6228588781847009E-3</v>
      </c>
      <c r="AO119">
        <f t="shared" si="53"/>
        <v>1</v>
      </c>
      <c r="AP119" s="14">
        <f t="shared" si="54"/>
        <v>0.8</v>
      </c>
      <c r="AQ119">
        <f t="shared" si="45"/>
        <v>3.43551797040198E-3</v>
      </c>
      <c r="AR119">
        <f t="shared" si="46"/>
        <v>3.18734090778272E-3</v>
      </c>
      <c r="AS119">
        <f t="shared" si="28"/>
        <v>1.2678882853645949E-4</v>
      </c>
      <c r="AT119">
        <f t="shared" si="29"/>
        <v>1.3400589221015419E-2</v>
      </c>
      <c r="AU119" s="14">
        <f t="shared" si="34"/>
        <v>9.461436840226654E-3</v>
      </c>
      <c r="AV119" s="19">
        <f t="shared" si="30"/>
        <v>1.3649692797177289</v>
      </c>
      <c r="AW119" s="19">
        <f t="shared" si="57"/>
        <v>-3.6810802121845398E-2</v>
      </c>
      <c r="AX119">
        <f t="shared" si="35"/>
        <v>0</v>
      </c>
      <c r="AY119">
        <f>IF(W119,SUMPRODUCT(INDEX(AX:AX,X119):INDEX(AX:AX,X119+Y119)),0)</f>
        <v>0</v>
      </c>
      <c r="AZ119">
        <f>IF(V119,COUNT(INDEX(AX:AX,X119):INDEX(AX:AX,ROW())),0)</f>
        <v>109</v>
      </c>
      <c r="BA119" s="14" t="str">
        <f t="shared" si="47"/>
        <v/>
      </c>
      <c r="BB119" s="6">
        <f t="shared" si="36"/>
        <v>259019.77919999999</v>
      </c>
      <c r="BC119" s="6">
        <f>MEDIAN(INDEX(BB:BB,X119):INDEX(BB:BB,X119+Y119-1))</f>
        <v>167805.33689999999</v>
      </c>
      <c r="BD119" s="25" t="str">
        <f t="shared" si="37"/>
        <v/>
      </c>
      <c r="BE119">
        <f t="shared" si="48"/>
        <v>0</v>
      </c>
      <c r="BF119" s="6">
        <f>SUM(INDEX(BE:BE,X119):INDEX(BE:BE,X119+Y119-1))</f>
        <v>2</v>
      </c>
      <c r="BG119" s="25" t="str">
        <f t="shared" si="38"/>
        <v/>
      </c>
    </row>
    <row r="120" spans="1:59" x14ac:dyDescent="0.3">
      <c r="A120" s="1">
        <v>45526</v>
      </c>
      <c r="B120">
        <v>31.112100000000002</v>
      </c>
      <c r="C120">
        <v>31.112100000000002</v>
      </c>
      <c r="D120">
        <v>31.112100000000002</v>
      </c>
      <c r="E120">
        <v>31.112100000000002</v>
      </c>
      <c r="F120">
        <v>1360</v>
      </c>
      <c r="G120" s="29">
        <v>0.62138637343065395</v>
      </c>
      <c r="H120" s="29">
        <v>1.9972498591565802E-2</v>
      </c>
      <c r="I120" s="29">
        <v>1.4881669832637E-3</v>
      </c>
      <c r="J120" s="29">
        <v>58.020556739883602</v>
      </c>
      <c r="K120" s="29">
        <v>2.8652196194475201E-2</v>
      </c>
      <c r="L120" s="29">
        <v>0.6</v>
      </c>
      <c r="M120" s="29">
        <v>2.0073242283238001E-2</v>
      </c>
      <c r="N120" s="29">
        <v>1.3479542385883001</v>
      </c>
      <c r="O120" s="29">
        <v>-3.8242058536223499E-2</v>
      </c>
      <c r="P120" s="29">
        <v>-1.4859556331519E-3</v>
      </c>
      <c r="Q120" s="29">
        <v>1.9841269841269799E-2</v>
      </c>
      <c r="R120" s="30">
        <v>208353.34474999999</v>
      </c>
      <c r="S120" s="29">
        <v>3</v>
      </c>
      <c r="T120">
        <v>546.24400000000003</v>
      </c>
      <c r="U120" s="21"/>
      <c r="V120">
        <v>110</v>
      </c>
      <c r="W120" t="b">
        <f>V120&gt;=$C$4</f>
        <v>0</v>
      </c>
      <c r="X120">
        <f>IF(V120&lt;=$C$5,11,ROW()-$C$5+1)</f>
        <v>11</v>
      </c>
      <c r="Y120" s="14">
        <f t="shared" si="31"/>
        <v>110</v>
      </c>
      <c r="Z120" s="10">
        <f t="shared" si="39"/>
        <v>4.6299999999998676E-2</v>
      </c>
      <c r="AA120" s="15">
        <f t="shared" si="40"/>
        <v>1.4881669832637037E-3</v>
      </c>
      <c r="AB120" s="15">
        <f t="shared" si="41"/>
        <v>0.62138637343065406</v>
      </c>
      <c r="AC120" s="10">
        <f t="shared" si="32"/>
        <v>1.9972498591565791E-2</v>
      </c>
      <c r="AD120">
        <f t="shared" si="42"/>
        <v>-4.6299999999998676E-2</v>
      </c>
      <c r="AE120">
        <f t="shared" si="49"/>
        <v>0</v>
      </c>
      <c r="AF120">
        <f t="shared" si="50"/>
        <v>4.6299999999998676E-2</v>
      </c>
      <c r="AG120">
        <f t="shared" si="58"/>
        <v>0.24270507192214477</v>
      </c>
      <c r="AH120">
        <f t="shared" si="58"/>
        <v>0.17557164046585574</v>
      </c>
      <c r="AI120">
        <f t="shared" si="43"/>
        <v>1.3823705883146018</v>
      </c>
      <c r="AJ120">
        <f t="shared" si="51"/>
        <v>58.02500228533102</v>
      </c>
      <c r="AK120" s="14">
        <f t="shared" si="33"/>
        <v>58.02500228533102</v>
      </c>
      <c r="AM120" s="14">
        <f t="shared" si="56"/>
        <v>2.8652196194475232E-2</v>
      </c>
      <c r="AN120" s="36">
        <f t="shared" si="44"/>
        <v>-1.485955633151903E-3</v>
      </c>
      <c r="AO120">
        <f t="shared" si="53"/>
        <v>0</v>
      </c>
      <c r="AP120" s="14">
        <f t="shared" si="54"/>
        <v>0.6</v>
      </c>
      <c r="AQ120">
        <f t="shared" si="45"/>
        <v>-7.8483012904925209E-3</v>
      </c>
      <c r="AR120">
        <f t="shared" si="46"/>
        <v>6.3623456573406213E-3</v>
      </c>
      <c r="AS120">
        <f t="shared" si="28"/>
        <v>2.693561600012611E-4</v>
      </c>
      <c r="AT120">
        <f t="shared" si="29"/>
        <v>1.3418667308478899E-2</v>
      </c>
      <c r="AU120" s="14">
        <f t="shared" si="34"/>
        <v>2.0073242283237928E-2</v>
      </c>
      <c r="AV120" s="19">
        <f t="shared" si="30"/>
        <v>1.3479542385883354</v>
      </c>
      <c r="AW120" s="19">
        <f t="shared" si="57"/>
        <v>-3.8242058536223533E-2</v>
      </c>
      <c r="AX120">
        <f t="shared" si="35"/>
        <v>1</v>
      </c>
      <c r="AY120">
        <f>IF(W120,SUMPRODUCT(INDEX(AX:AX,X120):INDEX(AX:AX,X120+Y120)),0)</f>
        <v>0</v>
      </c>
      <c r="AZ120">
        <f>IF(V120,COUNT(INDEX(AX:AX,X120):INDEX(AX:AX,ROW())),0)</f>
        <v>110</v>
      </c>
      <c r="BA120" s="14" t="str">
        <f t="shared" si="47"/>
        <v/>
      </c>
      <c r="BB120" s="6">
        <f t="shared" si="36"/>
        <v>42312.456000000006</v>
      </c>
      <c r="BC120" s="6">
        <f>MEDIAN(INDEX(BB:BB,X120):INDEX(BB:BB,X120+Y120-1))</f>
        <v>167230.87164999999</v>
      </c>
      <c r="BD120" s="25" t="str">
        <f t="shared" si="37"/>
        <v/>
      </c>
      <c r="BE120">
        <f t="shared" si="48"/>
        <v>0</v>
      </c>
      <c r="BF120" s="6">
        <f>SUM(INDEX(BE:BE,X120):INDEX(BE:BE,X120+Y120-1))</f>
        <v>2</v>
      </c>
      <c r="BG120" s="25" t="str">
        <f t="shared" si="38"/>
        <v/>
      </c>
    </row>
    <row r="121" spans="1:59" x14ac:dyDescent="0.3">
      <c r="A121" s="1">
        <v>45527</v>
      </c>
      <c r="B121">
        <v>31.720800000000001</v>
      </c>
      <c r="C121">
        <v>32.494799999999998</v>
      </c>
      <c r="D121">
        <v>31.720800000000001</v>
      </c>
      <c r="E121">
        <v>32.494799999999998</v>
      </c>
      <c r="F121">
        <v>4232</v>
      </c>
      <c r="G121" s="29">
        <v>0.67576591818560705</v>
      </c>
      <c r="H121" s="29">
        <v>2.0796124862611998E-2</v>
      </c>
      <c r="I121" s="29">
        <v>4.2551423612393197E-2</v>
      </c>
      <c r="J121" s="29">
        <v>66.530517813100303</v>
      </c>
      <c r="K121" s="29">
        <v>6.2286078556367197E-2</v>
      </c>
      <c r="L121" s="29">
        <v>0.8</v>
      </c>
      <c r="M121" s="29">
        <v>5.0767401403505399E-2</v>
      </c>
      <c r="N121" s="29">
        <v>1.4171542680014</v>
      </c>
      <c r="O121" s="29">
        <v>0</v>
      </c>
      <c r="P121" s="29">
        <v>4.4442515934314898E-2</v>
      </c>
      <c r="Q121" s="29">
        <v>1.9841269841269799E-2</v>
      </c>
      <c r="R121" s="30">
        <v>207787.05095</v>
      </c>
      <c r="S121" s="29">
        <v>3</v>
      </c>
      <c r="T121">
        <v>552.048</v>
      </c>
      <c r="U121" s="21"/>
      <c r="V121">
        <v>111</v>
      </c>
      <c r="W121" t="b">
        <f>V121&gt;=$C$4</f>
        <v>0</v>
      </c>
      <c r="X121">
        <f>IF(V121&lt;=$C$5,11,ROW()-$C$5+1)</f>
        <v>11</v>
      </c>
      <c r="Y121" s="14">
        <f t="shared" si="31"/>
        <v>111</v>
      </c>
      <c r="Z121" s="10">
        <f t="shared" si="39"/>
        <v>1.3826999999999963</v>
      </c>
      <c r="AA121" s="15">
        <f t="shared" si="40"/>
        <v>4.2551423612393252E-2</v>
      </c>
      <c r="AB121" s="15">
        <f t="shared" si="41"/>
        <v>0.67576591818560705</v>
      </c>
      <c r="AC121" s="10">
        <f t="shared" si="32"/>
        <v>2.0796124862612082E-2</v>
      </c>
      <c r="AD121">
        <f t="shared" si="42"/>
        <v>1.3826999999999963</v>
      </c>
      <c r="AE121">
        <f t="shared" si="49"/>
        <v>1.3826999999999963</v>
      </c>
      <c r="AF121">
        <f t="shared" si="50"/>
        <v>0</v>
      </c>
      <c r="AG121">
        <f t="shared" si="58"/>
        <v>0.32413328107056272</v>
      </c>
      <c r="AH121">
        <f t="shared" si="58"/>
        <v>0.1630308090040089</v>
      </c>
      <c r="AI121">
        <f t="shared" si="43"/>
        <v>1.9881719476874602</v>
      </c>
      <c r="AJ121">
        <f t="shared" si="51"/>
        <v>66.534723653573622</v>
      </c>
      <c r="AK121" s="14">
        <f t="shared" si="33"/>
        <v>66.534723653573622</v>
      </c>
      <c r="AM121" s="14">
        <f t="shared" si="56"/>
        <v>6.2286078556367253E-2</v>
      </c>
      <c r="AN121" s="36">
        <f t="shared" si="44"/>
        <v>4.4442515934314919E-2</v>
      </c>
      <c r="AO121">
        <f t="shared" si="53"/>
        <v>1</v>
      </c>
      <c r="AP121" s="14">
        <f t="shared" si="54"/>
        <v>0.8</v>
      </c>
      <c r="AQ121">
        <f t="shared" si="45"/>
        <v>1.06252883326865E-2</v>
      </c>
      <c r="AR121">
        <f t="shared" si="46"/>
        <v>3.3817227601628398E-2</v>
      </c>
      <c r="AS121">
        <f t="shared" si="28"/>
        <v>7.134811242749642E-4</v>
      </c>
      <c r="AT121">
        <f t="shared" si="29"/>
        <v>1.4053922488648403E-2</v>
      </c>
      <c r="AU121" s="14">
        <f t="shared" si="34"/>
        <v>5.0767401403505344E-2</v>
      </c>
      <c r="AV121" s="19">
        <f t="shared" si="30"/>
        <v>1.417154268001428</v>
      </c>
      <c r="AW121" s="19">
        <f t="shared" si="57"/>
        <v>0</v>
      </c>
      <c r="AX121">
        <f t="shared" si="35"/>
        <v>0</v>
      </c>
      <c r="AY121">
        <f>IF(W121,SUMPRODUCT(INDEX(AX:AX,X121):INDEX(AX:AX,X121+Y121)),0)</f>
        <v>0</v>
      </c>
      <c r="AZ121">
        <f>IF(V121,COUNT(INDEX(AX:AX,X121):INDEX(AX:AX,ROW())),0)</f>
        <v>111</v>
      </c>
      <c r="BA121" s="14" t="str">
        <f t="shared" si="47"/>
        <v/>
      </c>
      <c r="BB121" s="6">
        <f t="shared" si="36"/>
        <v>137517.99359999999</v>
      </c>
      <c r="BC121" s="6">
        <f>MEDIAN(INDEX(BB:BB,X121):INDEX(BB:BB,X121+Y121-1))</f>
        <v>166656.40639999998</v>
      </c>
      <c r="BD121" s="25" t="str">
        <f t="shared" si="37"/>
        <v/>
      </c>
      <c r="BE121">
        <f t="shared" si="48"/>
        <v>0</v>
      </c>
      <c r="BF121" s="6">
        <f>SUM(INDEX(BE:BE,X121):INDEX(BE:BE,X121+Y121-1))</f>
        <v>2</v>
      </c>
      <c r="BG121" s="25" t="str">
        <f t="shared" si="38"/>
        <v/>
      </c>
    </row>
    <row r="122" spans="1:59" x14ac:dyDescent="0.3">
      <c r="A122" s="1">
        <v>45530</v>
      </c>
      <c r="B122">
        <v>32.653500000000001</v>
      </c>
      <c r="C122">
        <v>32.865200000000002</v>
      </c>
      <c r="D122">
        <v>32.613799999999998</v>
      </c>
      <c r="E122">
        <v>32.613799999999998</v>
      </c>
      <c r="F122">
        <v>10127</v>
      </c>
      <c r="G122" s="29">
        <v>0.65395406688663504</v>
      </c>
      <c r="H122" s="29">
        <v>2.0051452663799801E-2</v>
      </c>
      <c r="I122" s="29">
        <v>1.13571555599164E-2</v>
      </c>
      <c r="J122" s="29">
        <v>67.147765533350594</v>
      </c>
      <c r="K122" s="29">
        <v>4.14021687762633E-2</v>
      </c>
      <c r="L122" s="29">
        <v>0.8</v>
      </c>
      <c r="M122" s="29">
        <v>5.4803882590691598E-2</v>
      </c>
      <c r="N122" s="29">
        <v>1.4132898430612899</v>
      </c>
      <c r="O122" s="29">
        <v>0</v>
      </c>
      <c r="P122" s="29">
        <v>3.6621244014427498E-3</v>
      </c>
      <c r="Q122" s="29">
        <v>1.9841269841269799E-2</v>
      </c>
      <c r="R122" s="30">
        <v>207787.05095</v>
      </c>
      <c r="S122" s="29">
        <v>3</v>
      </c>
      <c r="T122">
        <v>550.73199999999997</v>
      </c>
      <c r="U122" s="21"/>
      <c r="V122">
        <v>112</v>
      </c>
      <c r="W122" t="b">
        <f>V122&gt;=$C$4</f>
        <v>0</v>
      </c>
      <c r="X122">
        <f>IF(V122&lt;=$C$5,11,ROW()-$C$5+1)</f>
        <v>11</v>
      </c>
      <c r="Y122" s="14">
        <f t="shared" si="31"/>
        <v>112</v>
      </c>
      <c r="Z122" s="10">
        <f t="shared" si="39"/>
        <v>0.37040000000000362</v>
      </c>
      <c r="AA122" s="15">
        <f t="shared" si="40"/>
        <v>1.1357155559916466E-2</v>
      </c>
      <c r="AB122" s="15">
        <f t="shared" si="41"/>
        <v>0.65395406688663538</v>
      </c>
      <c r="AC122" s="10">
        <f t="shared" si="32"/>
        <v>2.0051452663799846E-2</v>
      </c>
      <c r="AD122">
        <f t="shared" si="42"/>
        <v>0.11899999999999977</v>
      </c>
      <c r="AE122">
        <f t="shared" si="49"/>
        <v>0.11899999999999977</v>
      </c>
      <c r="AF122">
        <f t="shared" si="50"/>
        <v>0</v>
      </c>
      <c r="AG122">
        <f t="shared" si="58"/>
        <v>0.30948090385123678</v>
      </c>
      <c r="AH122">
        <f t="shared" si="58"/>
        <v>0.15138575121800826</v>
      </c>
      <c r="AI122">
        <f t="shared" si="43"/>
        <v>2.0443199003951049</v>
      </c>
      <c r="AJ122">
        <f t="shared" si="51"/>
        <v>67.15194090245852</v>
      </c>
      <c r="AK122" s="14">
        <f t="shared" si="33"/>
        <v>67.15194090245852</v>
      </c>
      <c r="AM122" s="14">
        <f t="shared" si="56"/>
        <v>4.1402168776263348E-2</v>
      </c>
      <c r="AN122" s="36">
        <f t="shared" si="44"/>
        <v>3.6621244014427567E-3</v>
      </c>
      <c r="AO122">
        <f t="shared" si="53"/>
        <v>1</v>
      </c>
      <c r="AP122" s="14">
        <f t="shared" si="54"/>
        <v>0.8</v>
      </c>
      <c r="AQ122">
        <f t="shared" si="45"/>
        <v>-2.3838506796510783E-3</v>
      </c>
      <c r="AR122">
        <f t="shared" si="46"/>
        <v>6.0459750810938281E-3</v>
      </c>
      <c r="AS122">
        <f t="shared" si="28"/>
        <v>7.7100499419668184E-4</v>
      </c>
      <c r="AT122">
        <f t="shared" si="29"/>
        <v>1.4068437449131345E-2</v>
      </c>
      <c r="AU122" s="14">
        <f t="shared" si="34"/>
        <v>5.4803882590691515E-2</v>
      </c>
      <c r="AV122" s="19">
        <f t="shared" si="30"/>
        <v>1.4132898430613181</v>
      </c>
      <c r="AW122" s="19">
        <f t="shared" si="57"/>
        <v>0</v>
      </c>
      <c r="AX122">
        <f t="shared" si="35"/>
        <v>0</v>
      </c>
      <c r="AY122">
        <f>IF(W122,SUMPRODUCT(INDEX(AX:AX,X122):INDEX(AX:AX,X122+Y122)),0)</f>
        <v>0</v>
      </c>
      <c r="AZ122">
        <f>IF(V122,COUNT(INDEX(AX:AX,X122):INDEX(AX:AX,ROW())),0)</f>
        <v>112</v>
      </c>
      <c r="BA122" s="14" t="str">
        <f t="shared" si="47"/>
        <v/>
      </c>
      <c r="BB122" s="6">
        <f t="shared" si="36"/>
        <v>330279.95259999996</v>
      </c>
      <c r="BC122" s="6">
        <f>MEDIAN(INDEX(BB:BB,X122):INDEX(BB:BB,X122+Y122-1))</f>
        <v>167230.87164999999</v>
      </c>
      <c r="BD122" s="25" t="str">
        <f t="shared" si="37"/>
        <v/>
      </c>
      <c r="BE122">
        <f t="shared" si="48"/>
        <v>0</v>
      </c>
      <c r="BF122" s="6">
        <f>SUM(INDEX(BE:BE,X122):INDEX(BE:BE,X122+Y122-1))</f>
        <v>2</v>
      </c>
      <c r="BG122" s="25" t="str">
        <f t="shared" si="38"/>
        <v/>
      </c>
    </row>
    <row r="123" spans="1:59" x14ac:dyDescent="0.3">
      <c r="A123" s="1">
        <v>45531</v>
      </c>
      <c r="B123">
        <v>32.719700000000003</v>
      </c>
      <c r="C123">
        <v>32.944600000000001</v>
      </c>
      <c r="D123">
        <v>32.514600000000002</v>
      </c>
      <c r="E123">
        <v>32.832099999999997</v>
      </c>
      <c r="F123">
        <v>4988</v>
      </c>
      <c r="G123" s="29">
        <v>0.63795734782330404</v>
      </c>
      <c r="H123" s="29">
        <v>1.9430902921936201E-2</v>
      </c>
      <c r="I123" s="29">
        <v>1.3096938666731599E-2</v>
      </c>
      <c r="J123" s="29">
        <v>68.302615040210895</v>
      </c>
      <c r="K123" s="29">
        <v>4.8814847942754799E-2</v>
      </c>
      <c r="L123" s="29">
        <v>0.8</v>
      </c>
      <c r="M123" s="29">
        <v>7.99235453282299E-2</v>
      </c>
      <c r="N123" s="29">
        <v>1.4125571820355201</v>
      </c>
      <c r="O123" s="29">
        <v>0</v>
      </c>
      <c r="P123" s="29">
        <v>6.6934855797238201E-3</v>
      </c>
      <c r="Q123" s="29">
        <v>1.9841269841269799E-2</v>
      </c>
      <c r="R123" s="30">
        <v>207787.05095</v>
      </c>
      <c r="S123" s="29">
        <v>3</v>
      </c>
      <c r="T123">
        <v>551.48900000000003</v>
      </c>
      <c r="U123" s="21"/>
      <c r="V123">
        <v>113</v>
      </c>
      <c r="W123" t="b">
        <f>V123&gt;=$C$4</f>
        <v>0</v>
      </c>
      <c r="X123">
        <f>IF(V123&lt;=$C$5,11,ROW()-$C$5+1)</f>
        <v>11</v>
      </c>
      <c r="Y123" s="14">
        <f t="shared" si="31"/>
        <v>113</v>
      </c>
      <c r="Z123" s="10">
        <f t="shared" si="39"/>
        <v>0.42999999999999972</v>
      </c>
      <c r="AA123" s="15">
        <f t="shared" si="40"/>
        <v>1.3096938666731636E-2</v>
      </c>
      <c r="AB123" s="15">
        <f t="shared" si="41"/>
        <v>0.63795734782330427</v>
      </c>
      <c r="AC123" s="10">
        <f t="shared" si="32"/>
        <v>1.9430902921936284E-2</v>
      </c>
      <c r="AD123">
        <f t="shared" si="42"/>
        <v>0.21829999999999927</v>
      </c>
      <c r="AE123">
        <f t="shared" si="49"/>
        <v>0.21829999999999927</v>
      </c>
      <c r="AF123">
        <f t="shared" si="50"/>
        <v>0</v>
      </c>
      <c r="AG123">
        <f t="shared" si="58"/>
        <v>0.30296798214757692</v>
      </c>
      <c r="AH123">
        <f t="shared" si="58"/>
        <v>0.14057248327386482</v>
      </c>
      <c r="AI123">
        <f t="shared" si="43"/>
        <v>2.1552438648845054</v>
      </c>
      <c r="AJ123">
        <f t="shared" si="51"/>
        <v>68.306728645311722</v>
      </c>
      <c r="AK123" s="14">
        <f t="shared" si="33"/>
        <v>68.306728645311722</v>
      </c>
      <c r="AM123" s="14">
        <f t="shared" si="56"/>
        <v>4.8814847942754813E-2</v>
      </c>
      <c r="AN123" s="36">
        <f t="shared" si="44"/>
        <v>6.6934855797238235E-3</v>
      </c>
      <c r="AO123">
        <f t="shared" si="53"/>
        <v>1</v>
      </c>
      <c r="AP123" s="14">
        <f t="shared" si="54"/>
        <v>0.8</v>
      </c>
      <c r="AQ123">
        <f t="shared" si="45"/>
        <v>1.3745342562263563E-3</v>
      </c>
      <c r="AR123">
        <f t="shared" si="46"/>
        <v>5.3189513234974638E-3</v>
      </c>
      <c r="AS123">
        <f t="shared" si="28"/>
        <v>1.1118199354992035E-3</v>
      </c>
      <c r="AT123">
        <f t="shared" si="29"/>
        <v>1.3911043747286052E-2</v>
      </c>
      <c r="AU123" s="14">
        <f t="shared" si="34"/>
        <v>7.992354532822972E-2</v>
      </c>
      <c r="AV123" s="19">
        <f t="shared" si="30"/>
        <v>1.4125571820355571</v>
      </c>
      <c r="AW123" s="19">
        <f t="shared" si="57"/>
        <v>0</v>
      </c>
      <c r="AX123">
        <f t="shared" si="35"/>
        <v>0</v>
      </c>
      <c r="AY123">
        <f>IF(W123,SUMPRODUCT(INDEX(AX:AX,X123):INDEX(AX:AX,X123+Y123)),0)</f>
        <v>0</v>
      </c>
      <c r="AZ123">
        <f>IF(V123,COUNT(INDEX(AX:AX,X123):INDEX(AX:AX,ROW())),0)</f>
        <v>113</v>
      </c>
      <c r="BA123" s="14" t="str">
        <f t="shared" si="47"/>
        <v/>
      </c>
      <c r="BB123" s="6">
        <f t="shared" si="36"/>
        <v>163766.51479999998</v>
      </c>
      <c r="BC123" s="6">
        <f>MEDIAN(INDEX(BB:BB,X123):INDEX(BB:BB,X123+Y123-1))</f>
        <v>166656.40639999998</v>
      </c>
      <c r="BD123" s="25" t="str">
        <f t="shared" si="37"/>
        <v/>
      </c>
      <c r="BE123">
        <f t="shared" si="48"/>
        <v>0</v>
      </c>
      <c r="BF123" s="6">
        <f>SUM(INDEX(BE:BE,X123):INDEX(BE:BE,X123+Y123-1))</f>
        <v>2</v>
      </c>
      <c r="BG123" s="25" t="str">
        <f t="shared" si="38"/>
        <v/>
      </c>
    </row>
    <row r="124" spans="1:59" x14ac:dyDescent="0.3">
      <c r="A124" s="1">
        <v>45532</v>
      </c>
      <c r="B124">
        <v>32.851999999999997</v>
      </c>
      <c r="C124">
        <v>33.156300000000002</v>
      </c>
      <c r="D124">
        <v>32.706400000000002</v>
      </c>
      <c r="E124">
        <v>32.706400000000002</v>
      </c>
      <c r="F124">
        <v>14662</v>
      </c>
      <c r="G124" s="29">
        <v>0.62452468012163997</v>
      </c>
      <c r="H124" s="29">
        <v>1.9094876847395002E-2</v>
      </c>
      <c r="I124" s="29">
        <v>1.37557175354058E-2</v>
      </c>
      <c r="J124" s="29">
        <v>66.845483450724302</v>
      </c>
      <c r="K124" s="29">
        <v>3.4308935376247102E-2</v>
      </c>
      <c r="L124" s="29">
        <v>0.6</v>
      </c>
      <c r="M124" s="29">
        <v>0.13189274222847899</v>
      </c>
      <c r="N124" s="29">
        <v>1.3538688431527699</v>
      </c>
      <c r="O124" s="29">
        <v>-3.8285702102513999E-3</v>
      </c>
      <c r="P124" s="29">
        <v>-3.8285702102513999E-3</v>
      </c>
      <c r="Q124" s="29">
        <v>1.9841269841269799E-2</v>
      </c>
      <c r="R124" s="30">
        <v>208353.34474999999</v>
      </c>
      <c r="S124" s="29">
        <v>3</v>
      </c>
      <c r="T124">
        <v>548.28700000000003</v>
      </c>
      <c r="U124" s="21"/>
      <c r="V124">
        <v>114</v>
      </c>
      <c r="W124" t="b">
        <f>V124&gt;=$C$4</f>
        <v>0</v>
      </c>
      <c r="X124">
        <f>IF(V124&lt;=$C$5,11,ROW()-$C$5+1)</f>
        <v>11</v>
      </c>
      <c r="Y124" s="14">
        <f t="shared" si="31"/>
        <v>114</v>
      </c>
      <c r="Z124" s="10">
        <f t="shared" si="39"/>
        <v>0.44989999999999952</v>
      </c>
      <c r="AA124" s="15">
        <f t="shared" si="40"/>
        <v>1.3755717535405899E-2</v>
      </c>
      <c r="AB124" s="15">
        <f t="shared" si="41"/>
        <v>0.62452468012163964</v>
      </c>
      <c r="AC124" s="10">
        <f t="shared" si="32"/>
        <v>1.9094876847394995E-2</v>
      </c>
      <c r="AD124">
        <f t="shared" si="42"/>
        <v>-0.12569999999999482</v>
      </c>
      <c r="AE124">
        <f t="shared" si="49"/>
        <v>0</v>
      </c>
      <c r="AF124">
        <f t="shared" si="50"/>
        <v>0.12569999999999482</v>
      </c>
      <c r="AG124">
        <f t="shared" si="58"/>
        <v>0.28132741199417854</v>
      </c>
      <c r="AH124">
        <f t="shared" si="58"/>
        <v>0.13951016304001695</v>
      </c>
      <c r="AI124">
        <f t="shared" si="43"/>
        <v>2.0165370455017162</v>
      </c>
      <c r="AJ124">
        <f t="shared" si="51"/>
        <v>66.849404303149271</v>
      </c>
      <c r="AK124" s="14">
        <f t="shared" si="33"/>
        <v>66.849404303149271</v>
      </c>
      <c r="AM124" s="14">
        <f t="shared" si="56"/>
        <v>3.4308935376247129E-2</v>
      </c>
      <c r="AN124" s="36">
        <f t="shared" si="44"/>
        <v>-3.828570210251403E-3</v>
      </c>
      <c r="AO124">
        <f t="shared" si="53"/>
        <v>0</v>
      </c>
      <c r="AP124" s="14">
        <f t="shared" si="54"/>
        <v>0.6</v>
      </c>
      <c r="AQ124">
        <f t="shared" si="45"/>
        <v>-5.8060994870251514E-3</v>
      </c>
      <c r="AR124">
        <f t="shared" si="46"/>
        <v>1.9775292767737515E-3</v>
      </c>
      <c r="AS124">
        <f t="shared" si="28"/>
        <v>1.7216990458415284E-3</v>
      </c>
      <c r="AT124">
        <f t="shared" si="29"/>
        <v>1.3053781555766059E-2</v>
      </c>
      <c r="AU124" s="14">
        <f t="shared" si="34"/>
        <v>0.13189274222847916</v>
      </c>
      <c r="AV124" s="19">
        <f t="shared" si="30"/>
        <v>1.3538688431527983</v>
      </c>
      <c r="AW124" s="19">
        <f t="shared" si="57"/>
        <v>-3.828570210251403E-3</v>
      </c>
      <c r="AX124">
        <f t="shared" si="35"/>
        <v>0</v>
      </c>
      <c r="AY124">
        <f>IF(W124,SUMPRODUCT(INDEX(AX:AX,X124):INDEX(AX:AX,X124+Y124)),0)</f>
        <v>0</v>
      </c>
      <c r="AZ124">
        <f>IF(V124,COUNT(INDEX(AX:AX,X124):INDEX(AX:AX,ROW())),0)</f>
        <v>114</v>
      </c>
      <c r="BA124" s="14" t="str">
        <f t="shared" si="47"/>
        <v/>
      </c>
      <c r="BB124" s="6">
        <f t="shared" si="36"/>
        <v>479541.23680000001</v>
      </c>
      <c r="BC124" s="6">
        <f>MEDIAN(INDEX(BB:BB,X124):INDEX(BB:BB,X124+Y124-1))</f>
        <v>167230.87164999999</v>
      </c>
      <c r="BD124" s="25" t="str">
        <f t="shared" si="37"/>
        <v/>
      </c>
      <c r="BE124">
        <f t="shared" si="48"/>
        <v>0</v>
      </c>
      <c r="BF124" s="6">
        <f>SUM(INDEX(BE:BE,X124):INDEX(BE:BE,X124+Y124-1))</f>
        <v>2</v>
      </c>
      <c r="BG124" s="25" t="str">
        <f t="shared" si="38"/>
        <v/>
      </c>
    </row>
    <row r="125" spans="1:59" x14ac:dyDescent="0.3">
      <c r="A125" s="1">
        <v>45533</v>
      </c>
      <c r="B125">
        <v>33.0901</v>
      </c>
      <c r="C125">
        <v>33.215800000000002</v>
      </c>
      <c r="D125">
        <v>32.706400000000002</v>
      </c>
      <c r="E125">
        <v>32.838799999999999</v>
      </c>
      <c r="F125">
        <v>14662</v>
      </c>
      <c r="G125" s="29">
        <v>0.61630148868437995</v>
      </c>
      <c r="H125" s="29">
        <v>1.87674789786587E-2</v>
      </c>
      <c r="I125" s="29">
        <v>1.55121380805632E-2</v>
      </c>
      <c r="J125" s="29">
        <v>67.628835802283405</v>
      </c>
      <c r="K125" s="29">
        <v>1.51348410470737E-2</v>
      </c>
      <c r="L125" s="29">
        <v>0.8</v>
      </c>
      <c r="M125" s="29">
        <v>0.11279169795421801</v>
      </c>
      <c r="N125" s="29">
        <v>1.3876987416228601</v>
      </c>
      <c r="O125" s="29">
        <v>0</v>
      </c>
      <c r="P125" s="29">
        <v>4.04813736761E-3</v>
      </c>
      <c r="Q125" s="29">
        <v>1.9841269841269799E-2</v>
      </c>
      <c r="R125" s="30">
        <v>208968.16625000001</v>
      </c>
      <c r="S125" s="29">
        <v>4</v>
      </c>
      <c r="T125">
        <v>548.33600000000001</v>
      </c>
      <c r="U125" s="21"/>
      <c r="V125">
        <v>115</v>
      </c>
      <c r="W125" t="b">
        <f>V125&gt;=$C$4</f>
        <v>0</v>
      </c>
      <c r="X125">
        <f>IF(V125&lt;=$C$5,11,ROW()-$C$5+1)</f>
        <v>11</v>
      </c>
      <c r="Y125" s="14">
        <f t="shared" si="31"/>
        <v>115</v>
      </c>
      <c r="Z125" s="10">
        <f t="shared" si="39"/>
        <v>0.50939999999999941</v>
      </c>
      <c r="AA125" s="15">
        <f t="shared" si="40"/>
        <v>1.5512138080563219E-2</v>
      </c>
      <c r="AB125" s="15">
        <f t="shared" si="41"/>
        <v>0.61630148868437973</v>
      </c>
      <c r="AC125" s="10">
        <f t="shared" si="32"/>
        <v>1.8767478978658773E-2</v>
      </c>
      <c r="AD125">
        <f t="shared" si="42"/>
        <v>0.13239999999999696</v>
      </c>
      <c r="AE125">
        <f t="shared" si="49"/>
        <v>0.13239999999999696</v>
      </c>
      <c r="AF125">
        <f t="shared" si="50"/>
        <v>0</v>
      </c>
      <c r="AG125">
        <f t="shared" si="58"/>
        <v>0.27068973970887983</v>
      </c>
      <c r="AH125">
        <f t="shared" si="58"/>
        <v>0.12954515139430148</v>
      </c>
      <c r="AI125">
        <f t="shared" si="43"/>
        <v>2.0895397226019772</v>
      </c>
      <c r="AJ125">
        <f t="shared" si="51"/>
        <v>67.632719117208467</v>
      </c>
      <c r="AK125" s="14">
        <f t="shared" si="33"/>
        <v>67.632719117208467</v>
      </c>
      <c r="AM125" s="14">
        <f t="shared" si="56"/>
        <v>1.5134841047073744E-2</v>
      </c>
      <c r="AN125" s="36">
        <f t="shared" si="44"/>
        <v>4.0481373676100052E-3</v>
      </c>
      <c r="AO125">
        <f t="shared" si="53"/>
        <v>1</v>
      </c>
      <c r="AP125" s="14">
        <f t="shared" si="54"/>
        <v>0.8</v>
      </c>
      <c r="AQ125">
        <f t="shared" si="45"/>
        <v>8.9369253693627471E-5</v>
      </c>
      <c r="AR125">
        <f t="shared" si="46"/>
        <v>3.9587681139163725E-3</v>
      </c>
      <c r="AS125">
        <f t="shared" si="28"/>
        <v>1.4451966445644781E-3</v>
      </c>
      <c r="AT125">
        <f t="shared" si="29"/>
        <v>1.2812970021526583E-2</v>
      </c>
      <c r="AU125" s="14">
        <f t="shared" si="34"/>
        <v>0.11279169795421813</v>
      </c>
      <c r="AV125" s="19">
        <f t="shared" si="30"/>
        <v>1.387698741622889</v>
      </c>
      <c r="AW125" s="19">
        <f t="shared" si="57"/>
        <v>0</v>
      </c>
      <c r="AX125">
        <f t="shared" si="35"/>
        <v>0</v>
      </c>
      <c r="AY125">
        <f>IF(W125,SUMPRODUCT(INDEX(AX:AX,X125):INDEX(AX:AX,X125+Y125)),0)</f>
        <v>0</v>
      </c>
      <c r="AZ125">
        <f>IF(V125,COUNT(INDEX(AX:AX,X125):INDEX(AX:AX,ROW())),0)</f>
        <v>115</v>
      </c>
      <c r="BA125" s="14" t="str">
        <f t="shared" si="47"/>
        <v/>
      </c>
      <c r="BB125" s="6">
        <f t="shared" si="36"/>
        <v>481482.48560000001</v>
      </c>
      <c r="BC125" s="6">
        <f>MEDIAN(INDEX(BB:BB,X125):INDEX(BB:BB,X125+Y125-1))</f>
        <v>167805.33689999999</v>
      </c>
      <c r="BD125" s="25" t="str">
        <f t="shared" si="37"/>
        <v/>
      </c>
      <c r="BE125">
        <f t="shared" si="48"/>
        <v>1</v>
      </c>
      <c r="BF125" s="6">
        <f>SUM(INDEX(BE:BE,X125):INDEX(BE:BE,X125+Y125-1))</f>
        <v>3</v>
      </c>
      <c r="BG125" s="25" t="str">
        <f t="shared" si="38"/>
        <v/>
      </c>
    </row>
    <row r="126" spans="1:59" x14ac:dyDescent="0.3">
      <c r="A126" s="1">
        <v>45534</v>
      </c>
      <c r="B126">
        <v>32.799100000000003</v>
      </c>
      <c r="C126">
        <v>33.394399999999997</v>
      </c>
      <c r="D126">
        <v>32.799100000000003</v>
      </c>
      <c r="E126">
        <v>33.394399999999997</v>
      </c>
      <c r="F126">
        <v>5895</v>
      </c>
      <c r="G126" s="29">
        <v>0.61480138234978099</v>
      </c>
      <c r="H126" s="29">
        <v>1.8410313775656401E-2</v>
      </c>
      <c r="I126" s="29">
        <v>1.7826342141197101E-2</v>
      </c>
      <c r="J126" s="29">
        <v>70.751835901226002</v>
      </c>
      <c r="K126" s="29">
        <v>6.4753614870789206E-2</v>
      </c>
      <c r="L126" s="29">
        <v>0.8</v>
      </c>
      <c r="M126" s="29">
        <v>0.110424820907171</v>
      </c>
      <c r="N126" s="29">
        <v>1.3844678645100099</v>
      </c>
      <c r="O126" s="29">
        <v>0</v>
      </c>
      <c r="P126" s="29">
        <v>1.6919010438871E-2</v>
      </c>
      <c r="Q126" s="29">
        <v>1.9841269841269799E-2</v>
      </c>
      <c r="R126" s="30">
        <v>208968.16625000001</v>
      </c>
      <c r="S126" s="29">
        <v>4</v>
      </c>
      <c r="T126">
        <v>553.57100000000003</v>
      </c>
      <c r="U126" s="21"/>
      <c r="V126">
        <v>116</v>
      </c>
      <c r="W126" t="b">
        <f>V126&gt;=$C$4</f>
        <v>0</v>
      </c>
      <c r="X126">
        <f>IF(V126&lt;=$C$5,11,ROW()-$C$5+1)</f>
        <v>11</v>
      </c>
      <c r="Y126" s="14">
        <f t="shared" si="31"/>
        <v>116</v>
      </c>
      <c r="Z126" s="10">
        <f t="shared" si="39"/>
        <v>0.59529999999999461</v>
      </c>
      <c r="AA126" s="15">
        <f t="shared" si="40"/>
        <v>1.7826342141197167E-2</v>
      </c>
      <c r="AB126" s="15">
        <f t="shared" si="41"/>
        <v>0.61480138234978088</v>
      </c>
      <c r="AC126" s="10">
        <f t="shared" si="32"/>
        <v>1.8410313775656426E-2</v>
      </c>
      <c r="AD126">
        <f t="shared" si="42"/>
        <v>0.55559999999999832</v>
      </c>
      <c r="AE126">
        <f t="shared" si="49"/>
        <v>0.55559999999999832</v>
      </c>
      <c r="AF126">
        <f t="shared" si="50"/>
        <v>0</v>
      </c>
      <c r="AG126">
        <f t="shared" ref="AG126:AH141" si="59">(AE126+13*AG125)/14</f>
        <v>0.29104047258681687</v>
      </c>
      <c r="AH126">
        <f t="shared" si="59"/>
        <v>0.12029192629470851</v>
      </c>
      <c r="AI126">
        <f t="shared" si="43"/>
        <v>2.4194514258071145</v>
      </c>
      <c r="AJ126">
        <f t="shared" si="51"/>
        <v>70.75554305427913</v>
      </c>
      <c r="AK126" s="14">
        <f t="shared" si="33"/>
        <v>70.75554305427913</v>
      </c>
      <c r="AM126" s="14">
        <f t="shared" si="56"/>
        <v>6.4753614870789233E-2</v>
      </c>
      <c r="AN126" s="36">
        <f t="shared" si="44"/>
        <v>1.6919010438871007E-2</v>
      </c>
      <c r="AO126">
        <f t="shared" si="53"/>
        <v>1</v>
      </c>
      <c r="AP126" s="14">
        <f t="shared" si="54"/>
        <v>0.8</v>
      </c>
      <c r="AQ126">
        <f t="shared" si="45"/>
        <v>9.5470660325056578E-3</v>
      </c>
      <c r="AR126">
        <f t="shared" si="46"/>
        <v>7.3719444063653425E-3</v>
      </c>
      <c r="AS126">
        <f t="shared" si="28"/>
        <v>1.4128999938272375E-3</v>
      </c>
      <c r="AT126">
        <f t="shared" si="29"/>
        <v>1.2795130498921026E-2</v>
      </c>
      <c r="AU126" s="14">
        <f t="shared" si="34"/>
        <v>0.11042482090717114</v>
      </c>
      <c r="AV126" s="19">
        <f t="shared" si="30"/>
        <v>1.3844678645100443</v>
      </c>
      <c r="AW126" s="19">
        <f t="shared" si="57"/>
        <v>0</v>
      </c>
      <c r="AX126">
        <f t="shared" si="35"/>
        <v>0</v>
      </c>
      <c r="AY126">
        <f>IF(W126,SUMPRODUCT(INDEX(AX:AX,X126):INDEX(AX:AX,X126+Y126)),0)</f>
        <v>0</v>
      </c>
      <c r="AZ126">
        <f>IF(V126,COUNT(INDEX(AX:AX,X126):INDEX(AX:AX,ROW())),0)</f>
        <v>116</v>
      </c>
      <c r="BA126" s="14" t="str">
        <f t="shared" si="47"/>
        <v/>
      </c>
      <c r="BB126" s="6">
        <f t="shared" si="36"/>
        <v>196859.98799999998</v>
      </c>
      <c r="BC126" s="6">
        <f>MEDIAN(INDEX(BB:BB,X126):INDEX(BB:BB,X126+Y126-1))</f>
        <v>170065.59395000001</v>
      </c>
      <c r="BD126" s="25" t="str">
        <f t="shared" si="37"/>
        <v/>
      </c>
      <c r="BE126">
        <f t="shared" si="48"/>
        <v>0</v>
      </c>
      <c r="BF126" s="6">
        <f>SUM(INDEX(BE:BE,X126):INDEX(BE:BE,X126+Y126-1))</f>
        <v>3</v>
      </c>
      <c r="BG126" s="25" t="str">
        <f t="shared" si="38"/>
        <v/>
      </c>
    </row>
    <row r="127" spans="1:59" x14ac:dyDescent="0.3">
      <c r="A127" s="1">
        <v>45538</v>
      </c>
      <c r="B127">
        <v>33.407699999999998</v>
      </c>
      <c r="C127">
        <v>33.407699999999998</v>
      </c>
      <c r="D127">
        <v>31.5091</v>
      </c>
      <c r="E127">
        <v>31.700900000000001</v>
      </c>
      <c r="F127">
        <v>21918</v>
      </c>
      <c r="G127" s="29">
        <v>0.70650128361051001</v>
      </c>
      <c r="H127" s="29">
        <v>2.22864739994924E-2</v>
      </c>
      <c r="I127" s="29">
        <v>5.9891044102848699E-2</v>
      </c>
      <c r="J127" s="29">
        <v>53.735006874691997</v>
      </c>
      <c r="K127" s="29">
        <v>5.5507461593271502E-2</v>
      </c>
      <c r="L127" s="29">
        <v>0.6</v>
      </c>
      <c r="M127" s="29">
        <v>7.4063354842917498E-2</v>
      </c>
      <c r="N127" s="29">
        <v>1.47412230771534</v>
      </c>
      <c r="O127" s="29">
        <v>-5.0712095441151697E-2</v>
      </c>
      <c r="P127" s="29">
        <v>-5.0712095441151697E-2</v>
      </c>
      <c r="Q127" s="29">
        <v>1.9841269841269799E-2</v>
      </c>
      <c r="R127" s="30">
        <v>209581.85924999899</v>
      </c>
      <c r="S127" s="29">
        <v>3</v>
      </c>
      <c r="T127">
        <v>542.17899999999997</v>
      </c>
      <c r="U127" s="21"/>
      <c r="V127">
        <v>117</v>
      </c>
      <c r="W127" t="b">
        <f>V127&gt;=$C$4</f>
        <v>0</v>
      </c>
      <c r="X127">
        <f>IF(V127&lt;=$C$5,11,ROW()-$C$5+1)</f>
        <v>11</v>
      </c>
      <c r="Y127" s="14">
        <f t="shared" si="31"/>
        <v>117</v>
      </c>
      <c r="Z127" s="10">
        <f t="shared" si="39"/>
        <v>1.8985999999999983</v>
      </c>
      <c r="AA127" s="15">
        <f t="shared" si="40"/>
        <v>5.9891044102848762E-2</v>
      </c>
      <c r="AB127" s="15">
        <f t="shared" si="41"/>
        <v>0.70650128361051068</v>
      </c>
      <c r="AC127" s="10">
        <f t="shared" si="32"/>
        <v>2.2286473999492466E-2</v>
      </c>
      <c r="AD127">
        <f t="shared" si="42"/>
        <v>-1.6934999999999967</v>
      </c>
      <c r="AE127">
        <f t="shared" si="49"/>
        <v>0</v>
      </c>
      <c r="AF127">
        <f t="shared" si="50"/>
        <v>1.6934999999999967</v>
      </c>
      <c r="AG127">
        <f t="shared" si="59"/>
        <v>0.27025186740204427</v>
      </c>
      <c r="AH127">
        <f t="shared" si="59"/>
        <v>0.23266393155937196</v>
      </c>
      <c r="AI127">
        <f t="shared" si="43"/>
        <v>1.1615546319996768</v>
      </c>
      <c r="AJ127">
        <f t="shared" si="51"/>
        <v>53.737000897595195</v>
      </c>
      <c r="AK127" s="14">
        <f t="shared" si="33"/>
        <v>53.737000897595195</v>
      </c>
      <c r="AM127" s="14">
        <f t="shared" si="56"/>
        <v>5.5507461593271579E-2</v>
      </c>
      <c r="AN127" s="36">
        <f t="shared" si="44"/>
        <v>-5.0712095441151739E-2</v>
      </c>
      <c r="AO127">
        <f t="shared" si="53"/>
        <v>0</v>
      </c>
      <c r="AP127" s="14">
        <f t="shared" si="54"/>
        <v>0.6</v>
      </c>
      <c r="AQ127">
        <f t="shared" si="45"/>
        <v>-2.0579112706409886E-2</v>
      </c>
      <c r="AR127">
        <f t="shared" si="46"/>
        <v>-3.0132982734741812E-2</v>
      </c>
      <c r="AS127">
        <f t="shared" si="28"/>
        <v>9.9140823915054707E-4</v>
      </c>
      <c r="AT127">
        <f t="shared" si="29"/>
        <v>1.3385948304033045E-2</v>
      </c>
      <c r="AU127" s="14">
        <f t="shared" si="34"/>
        <v>7.4063354842917345E-2</v>
      </c>
      <c r="AV127" s="19">
        <f t="shared" si="30"/>
        <v>1.4741223077153707</v>
      </c>
      <c r="AW127" s="19">
        <f t="shared" si="57"/>
        <v>-5.0712095441151739E-2</v>
      </c>
      <c r="AX127">
        <f t="shared" si="35"/>
        <v>0</v>
      </c>
      <c r="AY127">
        <f>IF(W127,SUMPRODUCT(INDEX(AX:AX,X127):INDEX(AX:AX,X127+Y127)),0)</f>
        <v>0</v>
      </c>
      <c r="AZ127">
        <f>IF(V127,COUNT(INDEX(AX:AX,X127):INDEX(AX:AX,ROW())),0)</f>
        <v>117</v>
      </c>
      <c r="BA127" s="14" t="str">
        <f t="shared" si="47"/>
        <v/>
      </c>
      <c r="BB127" s="6">
        <f t="shared" si="36"/>
        <v>694820.32620000001</v>
      </c>
      <c r="BC127" s="6">
        <f>MEDIAN(INDEX(BB:BB,X127):INDEX(BB:BB,X127+Y127-1))</f>
        <v>172325.851</v>
      </c>
      <c r="BD127" s="25" t="str">
        <f t="shared" si="37"/>
        <v/>
      </c>
      <c r="BE127">
        <f t="shared" si="48"/>
        <v>0</v>
      </c>
      <c r="BF127" s="6">
        <f>SUM(INDEX(BE:BE,X127):INDEX(BE:BE,X127+Y127-1))</f>
        <v>3</v>
      </c>
      <c r="BG127" s="25" t="str">
        <f t="shared" si="38"/>
        <v/>
      </c>
    </row>
    <row r="128" spans="1:59" x14ac:dyDescent="0.3">
      <c r="A128" s="1">
        <v>45539</v>
      </c>
      <c r="B128">
        <v>31.8034</v>
      </c>
      <c r="C128">
        <v>32.130899999999997</v>
      </c>
      <c r="D128">
        <v>31.423100000000002</v>
      </c>
      <c r="E128">
        <v>31.423100000000002</v>
      </c>
      <c r="F128">
        <v>3627</v>
      </c>
      <c r="G128" s="29">
        <v>0.70659404906690204</v>
      </c>
      <c r="H128" s="29">
        <v>2.24864526118334E-2</v>
      </c>
      <c r="I128" s="29">
        <v>2.2524830459120598E-2</v>
      </c>
      <c r="J128" s="29">
        <v>51.544933674916102</v>
      </c>
      <c r="K128" s="29">
        <v>8.7206687287648896E-2</v>
      </c>
      <c r="L128" s="29">
        <v>0.4</v>
      </c>
      <c r="M128" s="29">
        <v>8.7358553360640301E-2</v>
      </c>
      <c r="N128" s="29">
        <v>1.4785191963920501</v>
      </c>
      <c r="O128" s="29">
        <v>-5.9030855472773702E-2</v>
      </c>
      <c r="P128" s="29">
        <v>-8.7631581437750405E-3</v>
      </c>
      <c r="Q128" s="29">
        <v>1.9841269841269799E-2</v>
      </c>
      <c r="R128" s="30">
        <v>209581.85924999899</v>
      </c>
      <c r="S128" s="29">
        <v>3</v>
      </c>
      <c r="T128">
        <v>541.06899999999996</v>
      </c>
      <c r="U128" s="21"/>
      <c r="V128">
        <v>118</v>
      </c>
      <c r="W128" t="b">
        <f>V128&gt;=$C$4</f>
        <v>0</v>
      </c>
      <c r="X128">
        <f>IF(V128&lt;=$C$5,11,ROW()-$C$5+1)</f>
        <v>11</v>
      </c>
      <c r="Y128" s="14">
        <f t="shared" si="31"/>
        <v>118</v>
      </c>
      <c r="Z128" s="10">
        <f t="shared" si="39"/>
        <v>0.70779999999999532</v>
      </c>
      <c r="AA128" s="15">
        <f t="shared" si="40"/>
        <v>2.2524830459120689E-2</v>
      </c>
      <c r="AB128" s="15">
        <f t="shared" si="41"/>
        <v>0.70659404906690249</v>
      </c>
      <c r="AC128" s="10">
        <f t="shared" si="32"/>
        <v>2.2486452611833411E-2</v>
      </c>
      <c r="AD128">
        <f t="shared" si="42"/>
        <v>-0.27779999999999916</v>
      </c>
      <c r="AE128">
        <f t="shared" si="49"/>
        <v>0</v>
      </c>
      <c r="AF128">
        <f t="shared" si="50"/>
        <v>0.27779999999999916</v>
      </c>
      <c r="AG128">
        <f t="shared" si="59"/>
        <v>0.25094816258761254</v>
      </c>
      <c r="AH128">
        <f t="shared" si="59"/>
        <v>0.23588793644798819</v>
      </c>
      <c r="AI128">
        <f t="shared" si="43"/>
        <v>1.0638448339766837</v>
      </c>
      <c r="AJ128">
        <f t="shared" si="51"/>
        <v>51.546745010226019</v>
      </c>
      <c r="AK128" s="14">
        <f t="shared" si="33"/>
        <v>51.546745010226019</v>
      </c>
      <c r="AM128" s="14">
        <f t="shared" si="56"/>
        <v>8.720668728764891E-2</v>
      </c>
      <c r="AN128" s="36">
        <f t="shared" si="44"/>
        <v>-8.7631581437750405E-3</v>
      </c>
      <c r="AO128">
        <f t="shared" si="53"/>
        <v>0</v>
      </c>
      <c r="AP128" s="14">
        <f t="shared" si="54"/>
        <v>0.4</v>
      </c>
      <c r="AQ128">
        <f t="shared" si="45"/>
        <v>-2.0472943437499502E-3</v>
      </c>
      <c r="AR128">
        <f t="shared" si="46"/>
        <v>-6.7158638000250903E-3</v>
      </c>
      <c r="AS128">
        <f t="shared" si="28"/>
        <v>1.1552241493653582E-3</v>
      </c>
      <c r="AT128">
        <f t="shared" si="29"/>
        <v>1.3223938640516127E-2</v>
      </c>
      <c r="AU128" s="14">
        <f t="shared" si="34"/>
        <v>8.7358553360640079E-2</v>
      </c>
      <c r="AV128" s="19">
        <f t="shared" si="30"/>
        <v>1.4785191963920812</v>
      </c>
      <c r="AW128" s="19">
        <f t="shared" si="57"/>
        <v>-5.9030855472773758E-2</v>
      </c>
      <c r="AX128">
        <f t="shared" si="35"/>
        <v>0</v>
      </c>
      <c r="AY128">
        <f>IF(W128,SUMPRODUCT(INDEX(AX:AX,X128):INDEX(AX:AX,X128+Y128)),0)</f>
        <v>0</v>
      </c>
      <c r="AZ128">
        <f>IF(V128,COUNT(INDEX(AX:AX,X128):INDEX(AX:AX,ROW())),0)</f>
        <v>118</v>
      </c>
      <c r="BA128" s="14" t="str">
        <f t="shared" si="47"/>
        <v/>
      </c>
      <c r="BB128" s="6">
        <f t="shared" si="36"/>
        <v>113971.5837</v>
      </c>
      <c r="BC128" s="6">
        <f>MEDIAN(INDEX(BB:BB,X128):INDEX(BB:BB,X128+Y128-1))</f>
        <v>170065.59395000001</v>
      </c>
      <c r="BD128" s="25" t="str">
        <f t="shared" si="37"/>
        <v/>
      </c>
      <c r="BE128">
        <f t="shared" si="48"/>
        <v>0</v>
      </c>
      <c r="BF128" s="6">
        <f>SUM(INDEX(BE:BE,X128):INDEX(BE:BE,X128+Y128-1))</f>
        <v>3</v>
      </c>
      <c r="BG128" s="25" t="str">
        <f t="shared" si="38"/>
        <v/>
      </c>
    </row>
    <row r="129" spans="1:59" x14ac:dyDescent="0.3">
      <c r="A129" s="1">
        <v>45540</v>
      </c>
      <c r="B129">
        <v>31.565300000000001</v>
      </c>
      <c r="C129">
        <v>31.872900000000001</v>
      </c>
      <c r="D129">
        <v>31.171700000000001</v>
      </c>
      <c r="E129">
        <v>31.171700000000001</v>
      </c>
      <c r="F129">
        <v>10430</v>
      </c>
      <c r="G129" s="29">
        <v>0.70620875984783804</v>
      </c>
      <c r="H129" s="29">
        <v>2.2655445800127599E-2</v>
      </c>
      <c r="I129" s="29">
        <v>2.2494762877866701E-2</v>
      </c>
      <c r="J129" s="29">
        <v>49.575740826018702</v>
      </c>
      <c r="K129" s="29">
        <v>5.3902641881977402E-2</v>
      </c>
      <c r="L129" s="29">
        <v>0.4</v>
      </c>
      <c r="M129" s="29">
        <v>8.3848369744698004E-2</v>
      </c>
      <c r="N129" s="29">
        <v>1.5006526321904201</v>
      </c>
      <c r="O129" s="29">
        <v>-6.6559063795127202E-2</v>
      </c>
      <c r="P129" s="29">
        <v>-8.0004837205750398E-3</v>
      </c>
      <c r="Q129" s="29">
        <v>1.9841269841269799E-2</v>
      </c>
      <c r="R129" s="30">
        <v>209922.48569999999</v>
      </c>
      <c r="S129" s="29">
        <v>3</v>
      </c>
      <c r="T129">
        <v>539.75300000000004</v>
      </c>
      <c r="U129" s="21"/>
      <c r="V129">
        <v>119</v>
      </c>
      <c r="W129" t="b">
        <f>V129&gt;=$C$4</f>
        <v>0</v>
      </c>
      <c r="X129">
        <f>IF(V129&lt;=$C$5,11,ROW()-$C$5+1)</f>
        <v>11</v>
      </c>
      <c r="Y129" s="14">
        <f t="shared" si="31"/>
        <v>119</v>
      </c>
      <c r="Z129" s="10">
        <f t="shared" si="39"/>
        <v>0.70120000000000005</v>
      </c>
      <c r="AA129" s="15">
        <f t="shared" si="40"/>
        <v>2.2494762877866784E-2</v>
      </c>
      <c r="AB129" s="15">
        <f t="shared" si="41"/>
        <v>0.70620875984783804</v>
      </c>
      <c r="AC129" s="10">
        <f t="shared" si="32"/>
        <v>2.2655445800127617E-2</v>
      </c>
      <c r="AD129">
        <f t="shared" si="42"/>
        <v>-0.25140000000000029</v>
      </c>
      <c r="AE129">
        <f t="shared" si="49"/>
        <v>0</v>
      </c>
      <c r="AF129">
        <f t="shared" si="50"/>
        <v>0.25140000000000029</v>
      </c>
      <c r="AG129">
        <f t="shared" si="59"/>
        <v>0.23302329383135451</v>
      </c>
      <c r="AH129">
        <f t="shared" si="59"/>
        <v>0.23699594098741764</v>
      </c>
      <c r="AI129">
        <f t="shared" si="43"/>
        <v>0.98323748862739369</v>
      </c>
      <c r="AJ129">
        <f t="shared" si="51"/>
        <v>49.577395257281871</v>
      </c>
      <c r="AK129" s="14">
        <f t="shared" si="33"/>
        <v>49.577395257281871</v>
      </c>
      <c r="AM129" s="14">
        <f t="shared" si="56"/>
        <v>5.3902641881977464E-2</v>
      </c>
      <c r="AN129" s="36">
        <f t="shared" si="44"/>
        <v>-8.0004837205750468E-3</v>
      </c>
      <c r="AO129">
        <f t="shared" si="53"/>
        <v>0</v>
      </c>
      <c r="AP129" s="14">
        <f t="shared" si="54"/>
        <v>0.4</v>
      </c>
      <c r="AQ129">
        <f t="shared" si="45"/>
        <v>-2.4322221380266296E-3</v>
      </c>
      <c r="AR129">
        <f t="shared" si="46"/>
        <v>-5.5682615825484102E-3</v>
      </c>
      <c r="AS129">
        <f t="shared" si="28"/>
        <v>1.1103337746373432E-3</v>
      </c>
      <c r="AT129">
        <f t="shared" si="29"/>
        <v>1.3242162942679698E-2</v>
      </c>
      <c r="AU129" s="14">
        <f t="shared" si="34"/>
        <v>8.3848369744697837E-2</v>
      </c>
      <c r="AV129" s="19">
        <f t="shared" si="30"/>
        <v>1.5006526321904543</v>
      </c>
      <c r="AW129" s="19">
        <f t="shared" si="57"/>
        <v>-6.6559063795127216E-2</v>
      </c>
      <c r="AX129">
        <f t="shared" si="35"/>
        <v>0</v>
      </c>
      <c r="AY129">
        <f>IF(W129,SUMPRODUCT(INDEX(AX:AX,X129):INDEX(AX:AX,X129+Y129)),0)</f>
        <v>0</v>
      </c>
      <c r="AZ129">
        <f>IF(V129,COUNT(INDEX(AX:AX,X129):INDEX(AX:AX,ROW())),0)</f>
        <v>119</v>
      </c>
      <c r="BA129" s="14" t="str">
        <f t="shared" si="47"/>
        <v/>
      </c>
      <c r="BB129" s="6">
        <f t="shared" si="36"/>
        <v>325120.83100000001</v>
      </c>
      <c r="BC129" s="6">
        <f>MEDIAN(INDEX(BB:BB,X129):INDEX(BB:BB,X129+Y129-1))</f>
        <v>172325.851</v>
      </c>
      <c r="BD129" s="25" t="str">
        <f t="shared" si="37"/>
        <v/>
      </c>
      <c r="BE129">
        <f t="shared" si="48"/>
        <v>0</v>
      </c>
      <c r="BF129" s="6">
        <f>SUM(INDEX(BE:BE,X129):INDEX(BE:BE,X129+Y129-1))</f>
        <v>3</v>
      </c>
      <c r="BG129" s="25" t="str">
        <f t="shared" si="38"/>
        <v/>
      </c>
    </row>
    <row r="130" spans="1:59" x14ac:dyDescent="0.3">
      <c r="A130" s="1">
        <v>45541</v>
      </c>
      <c r="B130">
        <v>31.264299999999999</v>
      </c>
      <c r="C130">
        <v>31.284099999999999</v>
      </c>
      <c r="D130">
        <v>30.4969</v>
      </c>
      <c r="E130">
        <v>30.609400000000001</v>
      </c>
      <c r="F130">
        <v>13906</v>
      </c>
      <c r="G130" s="29">
        <v>0.71199384843013502</v>
      </c>
      <c r="H130" s="29">
        <v>2.3260627403024401E-2</v>
      </c>
      <c r="I130" s="29">
        <v>2.5717590021365901E-2</v>
      </c>
      <c r="J130" s="29">
        <v>45.3981322675073</v>
      </c>
      <c r="K130" s="29">
        <v>6.85923350299881E-2</v>
      </c>
      <c r="L130" s="29">
        <v>0.2</v>
      </c>
      <c r="M130" s="29">
        <v>0.102343883834782</v>
      </c>
      <c r="N130" s="29">
        <v>1.48080061044608</v>
      </c>
      <c r="O130" s="29">
        <v>-8.3397216299738702E-2</v>
      </c>
      <c r="P130" s="29">
        <v>-1.8038798012299601E-2</v>
      </c>
      <c r="Q130" s="29">
        <v>1.9841269841269799E-2</v>
      </c>
      <c r="R130" s="30">
        <v>210968.8107</v>
      </c>
      <c r="S130" s="29">
        <v>3</v>
      </c>
      <c r="T130">
        <v>530.66899999999998</v>
      </c>
      <c r="U130" s="21"/>
      <c r="V130">
        <v>120</v>
      </c>
      <c r="W130" t="b">
        <f>V130&gt;=$C$4</f>
        <v>0</v>
      </c>
      <c r="X130">
        <f>IF(V130&lt;=$C$5,11,ROW()-$C$5+1)</f>
        <v>11</v>
      </c>
      <c r="Y130" s="14">
        <f t="shared" si="31"/>
        <v>120</v>
      </c>
      <c r="Z130" s="10">
        <f t="shared" si="39"/>
        <v>0.78719999999999857</v>
      </c>
      <c r="AA130" s="15">
        <f t="shared" si="40"/>
        <v>2.5717590021365939E-2</v>
      </c>
      <c r="AB130" s="15">
        <f t="shared" si="41"/>
        <v>0.71199384843013525</v>
      </c>
      <c r="AC130" s="10">
        <f t="shared" si="32"/>
        <v>2.3260627403024405E-2</v>
      </c>
      <c r="AD130">
        <f t="shared" si="42"/>
        <v>-0.56230000000000047</v>
      </c>
      <c r="AE130">
        <f t="shared" si="49"/>
        <v>0</v>
      </c>
      <c r="AF130">
        <f t="shared" si="50"/>
        <v>0.56230000000000047</v>
      </c>
      <c r="AG130">
        <f t="shared" si="59"/>
        <v>0.2163787728434006</v>
      </c>
      <c r="AH130">
        <f t="shared" si="59"/>
        <v>0.26023194520260212</v>
      </c>
      <c r="AI130">
        <f t="shared" si="43"/>
        <v>0.83148428481730063</v>
      </c>
      <c r="AJ130">
        <f t="shared" si="51"/>
        <v>45.399476900247883</v>
      </c>
      <c r="AK130" s="14">
        <f t="shared" si="33"/>
        <v>45.399476900247883</v>
      </c>
      <c r="AM130" s="14">
        <f t="shared" si="56"/>
        <v>6.8592335029988183E-2</v>
      </c>
      <c r="AN130" s="36">
        <f t="shared" si="44"/>
        <v>-1.8038798012299684E-2</v>
      </c>
      <c r="AO130">
        <f t="shared" si="53"/>
        <v>0</v>
      </c>
      <c r="AP130" s="14">
        <f t="shared" si="54"/>
        <v>0.2</v>
      </c>
      <c r="AQ130">
        <f t="shared" si="45"/>
        <v>-1.6829920352457672E-2</v>
      </c>
      <c r="AR130">
        <f t="shared" si="46"/>
        <v>-1.2088776598419282E-3</v>
      </c>
      <c r="AS130">
        <f t="shared" si="28"/>
        <v>1.337975286638712E-3</v>
      </c>
      <c r="AT130">
        <f t="shared" si="29"/>
        <v>1.3073329216220243E-2</v>
      </c>
      <c r="AU130" s="14">
        <f t="shared" si="34"/>
        <v>0.10234388383478245</v>
      </c>
      <c r="AV130" s="19">
        <f t="shared" si="30"/>
        <v>1.4808006104461131</v>
      </c>
      <c r="AW130" s="19">
        <f t="shared" si="57"/>
        <v>-8.339721629973873E-2</v>
      </c>
      <c r="AX130">
        <f t="shared" si="35"/>
        <v>0</v>
      </c>
      <c r="AY130">
        <f>IF(W130,SUMPRODUCT(INDEX(AX:AX,X130):INDEX(AX:AX,X130+Y130)),0)</f>
        <v>0</v>
      </c>
      <c r="AZ130">
        <f>IF(V130,COUNT(INDEX(AX:AX,X130):INDEX(AX:AX,ROW())),0)</f>
        <v>120</v>
      </c>
      <c r="BA130" s="14" t="str">
        <f t="shared" si="47"/>
        <v/>
      </c>
      <c r="BB130" s="6">
        <f t="shared" si="36"/>
        <v>425654.31640000001</v>
      </c>
      <c r="BC130" s="6">
        <f>MEDIAN(INDEX(BB:BB,X130):INDEX(BB:BB,X130+Y130-1))</f>
        <v>173445.60560000001</v>
      </c>
      <c r="BD130" s="25" t="str">
        <f t="shared" si="37"/>
        <v/>
      </c>
      <c r="BE130">
        <f t="shared" si="48"/>
        <v>0</v>
      </c>
      <c r="BF130" s="6">
        <f>SUM(INDEX(BE:BE,X130):INDEX(BE:BE,X130+Y130-1))</f>
        <v>3</v>
      </c>
      <c r="BG130" s="25" t="str">
        <f t="shared" si="38"/>
        <v/>
      </c>
    </row>
    <row r="131" spans="1:59" x14ac:dyDescent="0.3">
      <c r="A131" s="1">
        <v>45544</v>
      </c>
      <c r="B131">
        <v>31.330400000000001</v>
      </c>
      <c r="C131">
        <v>31.515699999999999</v>
      </c>
      <c r="D131">
        <v>31.1981</v>
      </c>
      <c r="E131">
        <v>31.2577</v>
      </c>
      <c r="F131">
        <v>3023</v>
      </c>
      <c r="G131" s="29">
        <v>0.72587285925655398</v>
      </c>
      <c r="H131" s="29">
        <v>2.32222095437781E-2</v>
      </c>
      <c r="I131" s="29">
        <v>2.89944557660991E-2</v>
      </c>
      <c r="J131" s="29">
        <v>50.569939131307102</v>
      </c>
      <c r="K131" s="29">
        <v>7.5818797582499306E-2</v>
      </c>
      <c r="L131" s="29">
        <v>0.2</v>
      </c>
      <c r="M131" s="29">
        <v>0.14254504497349399</v>
      </c>
      <c r="N131" s="29">
        <v>1.4808919648129999</v>
      </c>
      <c r="O131" s="29">
        <v>-6.3983781711903706E-2</v>
      </c>
      <c r="P131" s="29">
        <v>2.1179768306467801E-2</v>
      </c>
      <c r="Q131" s="29">
        <v>1.9841269841269799E-2</v>
      </c>
      <c r="R131" s="30">
        <v>210968.8107</v>
      </c>
      <c r="S131" s="29">
        <v>3</v>
      </c>
      <c r="T131">
        <v>536.61</v>
      </c>
      <c r="U131" s="21"/>
      <c r="V131">
        <v>121</v>
      </c>
      <c r="W131" t="b">
        <f>V131&gt;=$C$4</f>
        <v>0</v>
      </c>
      <c r="X131">
        <f>IF(V131&lt;=$C$5,11,ROW()-$C$5+1)</f>
        <v>11</v>
      </c>
      <c r="Y131" s="14">
        <f t="shared" si="31"/>
        <v>121</v>
      </c>
      <c r="Z131" s="10">
        <f t="shared" si="39"/>
        <v>0.90629999999999811</v>
      </c>
      <c r="AA131" s="15">
        <f t="shared" si="40"/>
        <v>2.8994455766099173E-2</v>
      </c>
      <c r="AB131" s="15">
        <f t="shared" si="41"/>
        <v>0.72587285925655398</v>
      </c>
      <c r="AC131" s="10">
        <f t="shared" si="32"/>
        <v>2.3222209543778141E-2</v>
      </c>
      <c r="AD131">
        <f t="shared" si="42"/>
        <v>0.64829999999999899</v>
      </c>
      <c r="AE131">
        <f t="shared" si="49"/>
        <v>0.64829999999999899</v>
      </c>
      <c r="AF131">
        <f t="shared" si="50"/>
        <v>0</v>
      </c>
      <c r="AG131">
        <f t="shared" si="59"/>
        <v>0.24723028906887193</v>
      </c>
      <c r="AH131">
        <f t="shared" si="59"/>
        <v>0.24164394911670198</v>
      </c>
      <c r="AI131">
        <f t="shared" si="43"/>
        <v>1.0231180626396401</v>
      </c>
      <c r="AJ131">
        <f t="shared" si="51"/>
        <v>50.571347344145536</v>
      </c>
      <c r="AK131" s="14">
        <f t="shared" si="33"/>
        <v>50.571347344145536</v>
      </c>
      <c r="AM131" s="14">
        <f t="shared" si="56"/>
        <v>7.581879758249932E-2</v>
      </c>
      <c r="AN131" s="36">
        <f t="shared" si="44"/>
        <v>2.1179768306467839E-2</v>
      </c>
      <c r="AO131">
        <f t="shared" si="53"/>
        <v>1</v>
      </c>
      <c r="AP131" s="14">
        <f t="shared" si="54"/>
        <v>0.2</v>
      </c>
      <c r="AQ131">
        <f t="shared" si="45"/>
        <v>1.1195302533217655E-2</v>
      </c>
      <c r="AR131">
        <f t="shared" si="46"/>
        <v>9.9844657732501459E-3</v>
      </c>
      <c r="AS131">
        <f t="shared" si="28"/>
        <v>1.8255705044114212E-3</v>
      </c>
      <c r="AT131">
        <f t="shared" si="29"/>
        <v>1.2806972734484572E-2</v>
      </c>
      <c r="AU131" s="14">
        <f t="shared" si="34"/>
        <v>0.14254504497349449</v>
      </c>
      <c r="AV131" s="19">
        <f t="shared" si="30"/>
        <v>1.4808919648130296</v>
      </c>
      <c r="AW131" s="19">
        <f t="shared" si="57"/>
        <v>-6.3983781711903776E-2</v>
      </c>
      <c r="AX131">
        <f t="shared" si="35"/>
        <v>0</v>
      </c>
      <c r="AY131">
        <f>IF(W131,SUMPRODUCT(INDEX(AX:AX,X131):INDEX(AX:AX,X131+Y131)),0)</f>
        <v>0</v>
      </c>
      <c r="AZ131">
        <f>IF(V131,COUNT(INDEX(AX:AX,X131):INDEX(AX:AX,ROW())),0)</f>
        <v>121</v>
      </c>
      <c r="BA131" s="14" t="str">
        <f t="shared" si="47"/>
        <v/>
      </c>
      <c r="BB131" s="6">
        <f t="shared" si="36"/>
        <v>94492.027100000007</v>
      </c>
      <c r="BC131" s="6">
        <f>MEDIAN(INDEX(BB:BB,X131):INDEX(BB:BB,X131+Y131-1))</f>
        <v>172325.851</v>
      </c>
      <c r="BD131" s="25" t="str">
        <f t="shared" si="37"/>
        <v/>
      </c>
      <c r="BE131">
        <f t="shared" si="48"/>
        <v>0</v>
      </c>
      <c r="BF131" s="6">
        <f>SUM(INDEX(BE:BE,X131):INDEX(BE:BE,X131+Y131-1))</f>
        <v>3</v>
      </c>
      <c r="BG131" s="25" t="str">
        <f t="shared" si="38"/>
        <v/>
      </c>
    </row>
    <row r="132" spans="1:59" x14ac:dyDescent="0.3">
      <c r="A132" s="1">
        <v>45545</v>
      </c>
      <c r="B132">
        <v>31.059200000000001</v>
      </c>
      <c r="C132">
        <v>31.284099999999999</v>
      </c>
      <c r="D132">
        <v>30.609400000000001</v>
      </c>
      <c r="E132">
        <v>31.284099999999999</v>
      </c>
      <c r="F132">
        <v>11186</v>
      </c>
      <c r="G132" s="29">
        <v>0.72221765502394297</v>
      </c>
      <c r="H132" s="29">
        <v>2.3085773764434402E-2</v>
      </c>
      <c r="I132" s="29">
        <v>2.15668662355636E-2</v>
      </c>
      <c r="J132" s="29">
        <v>50.774413224066301</v>
      </c>
      <c r="K132" s="29">
        <v>5.5109426275122102E-2</v>
      </c>
      <c r="L132" s="29">
        <v>0.4</v>
      </c>
      <c r="M132" s="29">
        <v>0.13555172709247101</v>
      </c>
      <c r="N132" s="29">
        <v>1.4766057271058901</v>
      </c>
      <c r="O132" s="29">
        <v>-6.3193230002635103E-2</v>
      </c>
      <c r="P132" s="29">
        <v>8.4459189255769996E-4</v>
      </c>
      <c r="Q132" s="29">
        <v>1.9841269841269799E-2</v>
      </c>
      <c r="R132" s="30">
        <v>212570.56409999999</v>
      </c>
      <c r="S132" s="29">
        <v>3</v>
      </c>
      <c r="T132">
        <v>538.94799999999998</v>
      </c>
      <c r="U132" s="21"/>
      <c r="V132">
        <v>122</v>
      </c>
      <c r="W132" t="b">
        <f>V132&gt;=$C$4</f>
        <v>0</v>
      </c>
      <c r="X132">
        <f>IF(V132&lt;=$C$5,11,ROW()-$C$5+1)</f>
        <v>11</v>
      </c>
      <c r="Y132" s="14">
        <f t="shared" si="31"/>
        <v>122</v>
      </c>
      <c r="Z132" s="10">
        <f t="shared" si="39"/>
        <v>0.67469999999999786</v>
      </c>
      <c r="AA132" s="15">
        <f t="shared" si="40"/>
        <v>2.1566866235563684E-2</v>
      </c>
      <c r="AB132" s="15">
        <f t="shared" si="41"/>
        <v>0.72221765502394286</v>
      </c>
      <c r="AC132" s="10">
        <f t="shared" si="32"/>
        <v>2.3085773764434422E-2</v>
      </c>
      <c r="AD132">
        <f t="shared" si="42"/>
        <v>2.6399999999998869E-2</v>
      </c>
      <c r="AE132">
        <f t="shared" si="49"/>
        <v>2.6399999999998869E-2</v>
      </c>
      <c r="AF132">
        <f t="shared" si="50"/>
        <v>0</v>
      </c>
      <c r="AG132">
        <f t="shared" si="59"/>
        <v>0.23145669699252386</v>
      </c>
      <c r="AH132">
        <f t="shared" si="59"/>
        <v>0.22438366703693755</v>
      </c>
      <c r="AI132">
        <f t="shared" si="43"/>
        <v>1.031522035667694</v>
      </c>
      <c r="AJ132">
        <f t="shared" si="51"/>
        <v>50.775823129512197</v>
      </c>
      <c r="AK132" s="14">
        <f t="shared" si="33"/>
        <v>50.775823129512197</v>
      </c>
      <c r="AM132" s="14">
        <f t="shared" si="56"/>
        <v>5.5109426275122164E-2</v>
      </c>
      <c r="AN132" s="36">
        <f t="shared" si="44"/>
        <v>8.4459189255770006E-4</v>
      </c>
      <c r="AO132">
        <f t="shared" si="53"/>
        <v>1</v>
      </c>
      <c r="AP132" s="14">
        <f t="shared" si="54"/>
        <v>0.4</v>
      </c>
      <c r="AQ132">
        <f t="shared" si="45"/>
        <v>4.3569817931086163E-3</v>
      </c>
      <c r="AR132">
        <f t="shared" si="46"/>
        <v>-3.5123899005509163E-3</v>
      </c>
      <c r="AS132">
        <f t="shared" si="28"/>
        <v>1.7383948719855403E-3</v>
      </c>
      <c r="AT132">
        <f t="shared" si="29"/>
        <v>1.282458666719637E-2</v>
      </c>
      <c r="AU132" s="14">
        <f t="shared" si="34"/>
        <v>0.13555172709247068</v>
      </c>
      <c r="AV132" s="19">
        <f t="shared" si="30"/>
        <v>1.4766057271059216</v>
      </c>
      <c r="AW132" s="19">
        <f t="shared" si="57"/>
        <v>-6.3193230002635103E-2</v>
      </c>
      <c r="AX132">
        <f t="shared" si="35"/>
        <v>0</v>
      </c>
      <c r="AY132">
        <f>IF(W132,SUMPRODUCT(INDEX(AX:AX,X132):INDEX(AX:AX,X132+Y132)),0)</f>
        <v>0</v>
      </c>
      <c r="AZ132">
        <f>IF(V132,COUNT(INDEX(AX:AX,X132):INDEX(AX:AX,ROW())),0)</f>
        <v>122</v>
      </c>
      <c r="BA132" s="14" t="str">
        <f t="shared" si="47"/>
        <v/>
      </c>
      <c r="BB132" s="6">
        <f t="shared" si="36"/>
        <v>349943.94260000001</v>
      </c>
      <c r="BC132" s="6">
        <f>MEDIAN(INDEX(BB:BB,X132):INDEX(BB:BB,X132+Y132-1))</f>
        <v>173445.60560000001</v>
      </c>
      <c r="BD132" s="25" t="str">
        <f t="shared" si="37"/>
        <v/>
      </c>
      <c r="BE132">
        <f t="shared" si="48"/>
        <v>0</v>
      </c>
      <c r="BF132" s="6">
        <f>SUM(INDEX(BE:BE,X132):INDEX(BE:BE,X132+Y132-1))</f>
        <v>3</v>
      </c>
      <c r="BG132" s="25" t="str">
        <f t="shared" si="38"/>
        <v/>
      </c>
    </row>
    <row r="133" spans="1:59" x14ac:dyDescent="0.3">
      <c r="A133" s="1">
        <v>45546</v>
      </c>
      <c r="B133">
        <v>31.135300000000001</v>
      </c>
      <c r="C133">
        <v>31.495799999999999</v>
      </c>
      <c r="D133">
        <v>30.873999999999999</v>
      </c>
      <c r="E133">
        <v>31.495799999999999</v>
      </c>
      <c r="F133">
        <v>17232</v>
      </c>
      <c r="G133" s="29">
        <v>0.71504496537937501</v>
      </c>
      <c r="H133" s="29">
        <v>2.2702867219736401E-2</v>
      </c>
      <c r="I133" s="29">
        <v>1.9742314848328901E-2</v>
      </c>
      <c r="J133" s="29">
        <v>52.472250293553003</v>
      </c>
      <c r="K133" s="29">
        <v>8.0080656776609402E-2</v>
      </c>
      <c r="L133" s="29">
        <v>0.6</v>
      </c>
      <c r="M133" s="29">
        <v>0.15046472472498101</v>
      </c>
      <c r="N133" s="29">
        <v>1.4656318394201699</v>
      </c>
      <c r="O133" s="29">
        <v>-5.6853843758234802E-2</v>
      </c>
      <c r="P133" s="29">
        <v>6.7670158323238604E-3</v>
      </c>
      <c r="Q133" s="29">
        <v>1.9841269841269799E-2</v>
      </c>
      <c r="R133" s="30">
        <v>213435.48879999999</v>
      </c>
      <c r="S133" s="29">
        <v>3</v>
      </c>
      <c r="T133">
        <v>544.47699999999998</v>
      </c>
      <c r="U133" s="21"/>
      <c r="V133">
        <v>123</v>
      </c>
      <c r="W133" t="b">
        <f>V133&gt;=$C$4</f>
        <v>0</v>
      </c>
      <c r="X133">
        <f>IF(V133&lt;=$C$5,11,ROW()-$C$5+1)</f>
        <v>11</v>
      </c>
      <c r="Y133" s="14">
        <f t="shared" si="31"/>
        <v>123</v>
      </c>
      <c r="Z133" s="10">
        <f t="shared" si="39"/>
        <v>0.62180000000000035</v>
      </c>
      <c r="AA133" s="15">
        <f t="shared" si="40"/>
        <v>1.9742314848328994E-2</v>
      </c>
      <c r="AB133" s="15">
        <f t="shared" si="41"/>
        <v>0.71504496537937556</v>
      </c>
      <c r="AC133" s="10">
        <f t="shared" si="32"/>
        <v>2.270286721973646E-2</v>
      </c>
      <c r="AD133">
        <f t="shared" si="42"/>
        <v>0.21170000000000044</v>
      </c>
      <c r="AE133">
        <f t="shared" si="49"/>
        <v>0.21170000000000044</v>
      </c>
      <c r="AF133">
        <f t="shared" si="50"/>
        <v>0</v>
      </c>
      <c r="AG133">
        <f t="shared" si="59"/>
        <v>0.23004550435020077</v>
      </c>
      <c r="AH133">
        <f t="shared" si="59"/>
        <v>0.20835626224858486</v>
      </c>
      <c r="AI133">
        <f t="shared" si="43"/>
        <v>1.1040969053079814</v>
      </c>
      <c r="AJ133">
        <f t="shared" si="51"/>
        <v>52.473671841001654</v>
      </c>
      <c r="AK133" s="14">
        <f t="shared" si="33"/>
        <v>52.473671841001654</v>
      </c>
      <c r="AM133" s="14">
        <f t="shared" si="56"/>
        <v>8.0080656776609471E-2</v>
      </c>
      <c r="AN133" s="36">
        <f t="shared" si="44"/>
        <v>6.7670158323238638E-3</v>
      </c>
      <c r="AO133">
        <f t="shared" si="53"/>
        <v>1</v>
      </c>
      <c r="AP133" s="14">
        <f t="shared" si="54"/>
        <v>0.6</v>
      </c>
      <c r="AQ133">
        <f t="shared" si="45"/>
        <v>1.0258874696631226E-2</v>
      </c>
      <c r="AR133">
        <f t="shared" si="46"/>
        <v>-3.4918588643073657E-3</v>
      </c>
      <c r="AS133">
        <f t="shared" si="28"/>
        <v>1.9079804062245007E-3</v>
      </c>
      <c r="AT133">
        <f t="shared" si="29"/>
        <v>1.2680582839013589E-2</v>
      </c>
      <c r="AU133" s="14">
        <f t="shared" si="34"/>
        <v>0.15046472472498124</v>
      </c>
      <c r="AV133" s="19">
        <f t="shared" si="30"/>
        <v>1.4656318394201977</v>
      </c>
      <c r="AW133" s="19">
        <f t="shared" si="57"/>
        <v>-5.6853843758234879E-2</v>
      </c>
      <c r="AX133">
        <f t="shared" si="35"/>
        <v>0</v>
      </c>
      <c r="AY133">
        <f>IF(W133,SUMPRODUCT(INDEX(AX:AX,X133):INDEX(AX:AX,X133+Y133)),0)</f>
        <v>0</v>
      </c>
      <c r="AZ133">
        <f>IF(V133,COUNT(INDEX(AX:AX,X133):INDEX(AX:AX,ROW())),0)</f>
        <v>123</v>
      </c>
      <c r="BA133" s="14" t="str">
        <f t="shared" si="47"/>
        <v/>
      </c>
      <c r="BB133" s="6">
        <f t="shared" si="36"/>
        <v>542735.62560000003</v>
      </c>
      <c r="BC133" s="6">
        <f>MEDIAN(INDEX(BB:BB,X133):INDEX(BB:BB,X133+Y133-1))</f>
        <v>174565.3602</v>
      </c>
      <c r="BD133" s="25" t="str">
        <f t="shared" si="37"/>
        <v/>
      </c>
      <c r="BE133">
        <f t="shared" si="48"/>
        <v>0</v>
      </c>
      <c r="BF133" s="6">
        <f>SUM(INDEX(BE:BE,X133):INDEX(BE:BE,X133+Y133-1))</f>
        <v>3</v>
      </c>
      <c r="BG133" s="25" t="str">
        <f t="shared" si="38"/>
        <v/>
      </c>
    </row>
    <row r="134" spans="1:59" x14ac:dyDescent="0.3">
      <c r="A134" s="1">
        <v>45547</v>
      </c>
      <c r="B134">
        <v>31.674700000000001</v>
      </c>
      <c r="C134">
        <v>32.360599999999998</v>
      </c>
      <c r="D134">
        <v>31.674700000000001</v>
      </c>
      <c r="E134">
        <v>32.344000000000001</v>
      </c>
      <c r="F134">
        <v>16147</v>
      </c>
      <c r="G134" s="29">
        <v>0.72574175356656301</v>
      </c>
      <c r="H134" s="29">
        <v>2.24382189452931E-2</v>
      </c>
      <c r="I134" s="29">
        <v>2.6737571110561398E-2</v>
      </c>
      <c r="J134" s="29">
        <v>58.629144669332803</v>
      </c>
      <c r="K134" s="29">
        <v>7.2901152048510096E-2</v>
      </c>
      <c r="L134" s="29">
        <v>0.8</v>
      </c>
      <c r="M134" s="29">
        <v>0.16135778019284899</v>
      </c>
      <c r="N134" s="29">
        <v>1.47902355674869</v>
      </c>
      <c r="O134" s="29">
        <v>-3.1454375583930098E-2</v>
      </c>
      <c r="P134" s="29">
        <v>2.6930574870300102E-2</v>
      </c>
      <c r="Q134" s="29">
        <v>1.9841269841269799E-2</v>
      </c>
      <c r="R134" s="30">
        <v>214073.56890000001</v>
      </c>
      <c r="S134" s="29">
        <v>3</v>
      </c>
      <c r="T134">
        <v>549.06299999999999</v>
      </c>
      <c r="U134" s="21"/>
      <c r="V134">
        <v>124</v>
      </c>
      <c r="W134" t="b">
        <f>V134&gt;=$C$4</f>
        <v>0</v>
      </c>
      <c r="X134">
        <f>IF(V134&lt;=$C$5,11,ROW()-$C$5+1)</f>
        <v>11</v>
      </c>
      <c r="Y134" s="14">
        <f t="shared" si="31"/>
        <v>124</v>
      </c>
      <c r="Z134" s="10">
        <f t="shared" si="39"/>
        <v>0.8647999999999989</v>
      </c>
      <c r="AA134" s="15">
        <f t="shared" si="40"/>
        <v>2.673757111056143E-2</v>
      </c>
      <c r="AB134" s="15">
        <f t="shared" si="41"/>
        <v>0.72574175356656301</v>
      </c>
      <c r="AC134" s="10">
        <f t="shared" si="32"/>
        <v>2.243821894529319E-2</v>
      </c>
      <c r="AD134">
        <f t="shared" si="42"/>
        <v>0.84820000000000206</v>
      </c>
      <c r="AE134">
        <f t="shared" si="49"/>
        <v>0.84820000000000206</v>
      </c>
      <c r="AF134">
        <f t="shared" si="50"/>
        <v>0</v>
      </c>
      <c r="AG134">
        <f t="shared" si="59"/>
        <v>0.27419939689661516</v>
      </c>
      <c r="AH134">
        <f t="shared" si="59"/>
        <v>0.19347367208797167</v>
      </c>
      <c r="AI134">
        <f t="shared" si="43"/>
        <v>1.4172439791804738</v>
      </c>
      <c r="AJ134">
        <f t="shared" si="51"/>
        <v>58.630572312397142</v>
      </c>
      <c r="AK134" s="14">
        <f t="shared" si="33"/>
        <v>58.630572312397142</v>
      </c>
      <c r="AM134" s="14">
        <f t="shared" si="56"/>
        <v>7.2901152048510109E-2</v>
      </c>
      <c r="AN134" s="36">
        <f t="shared" si="44"/>
        <v>2.693057487030015E-2</v>
      </c>
      <c r="AO134">
        <f t="shared" si="53"/>
        <v>1</v>
      </c>
      <c r="AP134" s="14">
        <f t="shared" si="54"/>
        <v>0.8</v>
      </c>
      <c r="AQ134">
        <f t="shared" si="45"/>
        <v>8.4227616593539612E-3</v>
      </c>
      <c r="AR134">
        <f t="shared" si="46"/>
        <v>1.850781321094614E-2</v>
      </c>
      <c r="AS134">
        <f t="shared" si="28"/>
        <v>2.0698766560925961E-3</v>
      </c>
      <c r="AT134">
        <f t="shared" si="29"/>
        <v>1.2827870175325655E-2</v>
      </c>
      <c r="AU134" s="14">
        <f t="shared" si="34"/>
        <v>0.16135778019284866</v>
      </c>
      <c r="AV134" s="19">
        <f t="shared" si="30"/>
        <v>1.4790235567487235</v>
      </c>
      <c r="AW134" s="19">
        <f t="shared" si="57"/>
        <v>-3.1454375583930161E-2</v>
      </c>
      <c r="AX134">
        <f t="shared" si="35"/>
        <v>0</v>
      </c>
      <c r="AY134">
        <f>IF(W134,SUMPRODUCT(INDEX(AX:AX,X134):INDEX(AX:AX,X134+Y134)),0)</f>
        <v>0</v>
      </c>
      <c r="AZ134">
        <f>IF(V134,COUNT(INDEX(AX:AX,X134):INDEX(AX:AX,ROW())),0)</f>
        <v>124</v>
      </c>
      <c r="BA134" s="14" t="str">
        <f t="shared" si="47"/>
        <v/>
      </c>
      <c r="BB134" s="6">
        <f t="shared" si="36"/>
        <v>522258.56800000003</v>
      </c>
      <c r="BC134" s="6">
        <f>MEDIAN(INDEX(BB:BB,X134):INDEX(BB:BB,X134+Y134-1))</f>
        <v>176040.5031</v>
      </c>
      <c r="BD134" s="25" t="str">
        <f t="shared" si="37"/>
        <v/>
      </c>
      <c r="BE134">
        <f t="shared" si="48"/>
        <v>0</v>
      </c>
      <c r="BF134" s="6">
        <f>SUM(INDEX(BE:BE,X134):INDEX(BE:BE,X134+Y134-1))</f>
        <v>3</v>
      </c>
      <c r="BG134" s="25" t="str">
        <f t="shared" si="38"/>
        <v/>
      </c>
    </row>
    <row r="135" spans="1:59" x14ac:dyDescent="0.3">
      <c r="A135" s="1">
        <v>45548</v>
      </c>
      <c r="B135">
        <v>32.807899999999997</v>
      </c>
      <c r="C135">
        <v>33.0199</v>
      </c>
      <c r="D135">
        <v>32.589199999999998</v>
      </c>
      <c r="E135">
        <v>32.662100000000002</v>
      </c>
      <c r="F135">
        <v>7394</v>
      </c>
      <c r="G135" s="29">
        <v>0.72218162831180799</v>
      </c>
      <c r="H135" s="29">
        <v>2.2110691851161001E-2</v>
      </c>
      <c r="I135" s="29">
        <v>2.0693709222615701E-2</v>
      </c>
      <c r="J135" s="29">
        <v>60.686036104171698</v>
      </c>
      <c r="K135" s="29">
        <v>7.8223982834034894E-2</v>
      </c>
      <c r="L135" s="29">
        <v>1</v>
      </c>
      <c r="M135" s="29">
        <v>0.19171278573919501</v>
      </c>
      <c r="N135" s="29">
        <v>1.4837812990319901</v>
      </c>
      <c r="O135" s="29">
        <v>-2.19288263900532E-2</v>
      </c>
      <c r="P135" s="29">
        <v>9.83489982686136E-3</v>
      </c>
      <c r="Q135" s="29">
        <v>1.9841269841269799E-2</v>
      </c>
      <c r="R135" s="30">
        <v>215066.13295</v>
      </c>
      <c r="S135" s="29">
        <v>3</v>
      </c>
      <c r="T135">
        <v>551.93100000000004</v>
      </c>
      <c r="U135" s="21"/>
      <c r="V135">
        <v>125</v>
      </c>
      <c r="W135" t="b">
        <f>V135&gt;=$C$4</f>
        <v>0</v>
      </c>
      <c r="X135">
        <f>IF(V135&lt;=$C$5,11,ROW()-$C$5+1)</f>
        <v>11</v>
      </c>
      <c r="Y135" s="14">
        <f t="shared" si="31"/>
        <v>125</v>
      </c>
      <c r="Z135" s="10">
        <f t="shared" si="39"/>
        <v>0.67589999999999861</v>
      </c>
      <c r="AA135" s="15">
        <f t="shared" si="40"/>
        <v>2.0693709222615771E-2</v>
      </c>
      <c r="AB135" s="15">
        <f t="shared" si="41"/>
        <v>0.72218162831180843</v>
      </c>
      <c r="AC135" s="10">
        <f t="shared" si="32"/>
        <v>2.2110691851161081E-2</v>
      </c>
      <c r="AD135">
        <f t="shared" si="42"/>
        <v>0.31810000000000116</v>
      </c>
      <c r="AE135">
        <f t="shared" si="49"/>
        <v>0.31810000000000116</v>
      </c>
      <c r="AF135">
        <f t="shared" si="50"/>
        <v>0</v>
      </c>
      <c r="AG135">
        <f t="shared" si="59"/>
        <v>0.27733515426114275</v>
      </c>
      <c r="AH135">
        <f t="shared" si="59"/>
        <v>0.17965412408168799</v>
      </c>
      <c r="AI135">
        <f t="shared" si="43"/>
        <v>1.5437171602865047</v>
      </c>
      <c r="AJ135">
        <f t="shared" si="51"/>
        <v>60.687453164511119</v>
      </c>
      <c r="AK135" s="14">
        <f t="shared" si="33"/>
        <v>60.687453164511119</v>
      </c>
      <c r="AM135" s="14">
        <f t="shared" si="56"/>
        <v>7.8223982834034977E-2</v>
      </c>
      <c r="AN135" s="36">
        <f t="shared" si="44"/>
        <v>9.8348998268613652E-3</v>
      </c>
      <c r="AO135">
        <f t="shared" si="53"/>
        <v>1</v>
      </c>
      <c r="AP135" s="14">
        <f t="shared" si="54"/>
        <v>1</v>
      </c>
      <c r="AQ135">
        <f t="shared" si="45"/>
        <v>5.2234443042056267E-3</v>
      </c>
      <c r="AR135">
        <f t="shared" si="46"/>
        <v>4.6114555226557333E-3</v>
      </c>
      <c r="AS135">
        <f t="shared" si="28"/>
        <v>2.4144578194053084E-3</v>
      </c>
      <c r="AT135">
        <f t="shared" si="29"/>
        <v>1.2594140813800118E-2</v>
      </c>
      <c r="AU135" s="14">
        <f t="shared" si="34"/>
        <v>0.19171278573919465</v>
      </c>
      <c r="AV135" s="19">
        <f t="shared" si="30"/>
        <v>1.4837812990320194</v>
      </c>
      <c r="AW135" s="19">
        <f t="shared" si="57"/>
        <v>-2.1928826390053224E-2</v>
      </c>
      <c r="AX135">
        <f t="shared" si="35"/>
        <v>0</v>
      </c>
      <c r="AY135">
        <f>IF(W135,SUMPRODUCT(INDEX(AX:AX,X135):INDEX(AX:AX,X135+Y135)),0)</f>
        <v>0</v>
      </c>
      <c r="AZ135">
        <f>IF(V135,COUNT(INDEX(AX:AX,X135):INDEX(AX:AX,ROW())),0)</f>
        <v>125</v>
      </c>
      <c r="BA135" s="14" t="str">
        <f t="shared" si="47"/>
        <v/>
      </c>
      <c r="BB135" s="6">
        <f t="shared" si="36"/>
        <v>241503.56740000003</v>
      </c>
      <c r="BC135" s="6">
        <f>MEDIAN(INDEX(BB:BB,X135):INDEX(BB:BB,X135+Y135-1))</f>
        <v>177515.64600000001</v>
      </c>
      <c r="BD135" s="25" t="str">
        <f t="shared" si="37"/>
        <v/>
      </c>
      <c r="BE135">
        <f t="shared" si="48"/>
        <v>0</v>
      </c>
      <c r="BF135" s="6">
        <f>SUM(INDEX(BE:BE,X135):INDEX(BE:BE,X135+Y135-1))</f>
        <v>3</v>
      </c>
      <c r="BG135" s="25" t="str">
        <f t="shared" si="38"/>
        <v/>
      </c>
    </row>
    <row r="136" spans="1:59" s="5" customFormat="1" x14ac:dyDescent="0.3">
      <c r="A136" s="7">
        <v>45551</v>
      </c>
      <c r="B136" s="5">
        <v>33.079599999999999</v>
      </c>
      <c r="C136" s="5">
        <v>33.404299999999999</v>
      </c>
      <c r="D136" s="5">
        <v>32.913899999999998</v>
      </c>
      <c r="E136" s="5">
        <v>33.404299999999999</v>
      </c>
      <c r="F136" s="5">
        <v>15090</v>
      </c>
      <c r="G136" s="5">
        <v>0.72361151200382101</v>
      </c>
      <c r="H136" s="5">
        <v>2.16622264799388E-2</v>
      </c>
      <c r="I136" s="5">
        <v>2.2218696395374101E-2</v>
      </c>
      <c r="J136" s="5">
        <v>65.052009125422302</v>
      </c>
      <c r="K136" s="5">
        <v>8.4745377436303795E-2</v>
      </c>
      <c r="L136" s="5">
        <v>1</v>
      </c>
      <c r="M136" s="5">
        <v>0.225414257796336</v>
      </c>
      <c r="N136" s="5">
        <v>1.4861502535628199</v>
      </c>
      <c r="O136" s="5">
        <v>0</v>
      </c>
      <c r="P136" s="5">
        <v>2.2723584827674701E-2</v>
      </c>
      <c r="Q136" s="5">
        <v>1.9841269841269799E-2</v>
      </c>
      <c r="R136" s="8">
        <v>215066.13295</v>
      </c>
      <c r="S136" s="5">
        <v>3</v>
      </c>
      <c r="T136" s="5">
        <v>552.74599999999998</v>
      </c>
      <c r="U136" s="20"/>
      <c r="V136" s="5">
        <v>126</v>
      </c>
      <c r="W136" s="5" t="b">
        <f>V136&gt;=$C$4</f>
        <v>1</v>
      </c>
      <c r="X136" s="5">
        <f>IF(V136&lt;=$C$5,11,ROW()-$C$5+1)</f>
        <v>11</v>
      </c>
      <c r="Y136" s="20">
        <f t="shared" si="31"/>
        <v>126</v>
      </c>
      <c r="Z136" s="13">
        <f t="shared" si="39"/>
        <v>0.74219999999999686</v>
      </c>
      <c r="AA136" s="18">
        <f t="shared" si="40"/>
        <v>2.2218696395374153E-2</v>
      </c>
      <c r="AB136" s="18">
        <f t="shared" si="41"/>
        <v>0.7236115120038219</v>
      </c>
      <c r="AC136" s="13">
        <f t="shared" si="32"/>
        <v>2.1662226479938866E-2</v>
      </c>
      <c r="AD136" s="5">
        <f t="shared" si="42"/>
        <v>0.74219999999999686</v>
      </c>
      <c r="AE136" s="5">
        <f t="shared" si="49"/>
        <v>0.74219999999999686</v>
      </c>
      <c r="AF136" s="5">
        <f t="shared" si="50"/>
        <v>0</v>
      </c>
      <c r="AG136" s="5">
        <f t="shared" si="59"/>
        <v>0.31053978609963234</v>
      </c>
      <c r="AH136" s="5">
        <f t="shared" si="59"/>
        <v>0.16682168664728173</v>
      </c>
      <c r="AI136" s="5">
        <f t="shared" si="43"/>
        <v>1.8615072916521938</v>
      </c>
      <c r="AJ136" s="5">
        <f t="shared" si="51"/>
        <v>65.053382777766245</v>
      </c>
      <c r="AK136" s="20">
        <f t="shared" si="33"/>
        <v>65.053382777766245</v>
      </c>
      <c r="AM136" s="20">
        <f t="shared" si="56"/>
        <v>8.4745377436303837E-2</v>
      </c>
      <c r="AN136" s="38">
        <f t="shared" si="44"/>
        <v>2.2723584827674781E-2</v>
      </c>
      <c r="AO136" s="5">
        <f t="shared" si="53"/>
        <v>1</v>
      </c>
      <c r="AP136" s="20">
        <f t="shared" si="54"/>
        <v>1</v>
      </c>
      <c r="AQ136" s="5">
        <f t="shared" si="45"/>
        <v>1.4766338545939561E-3</v>
      </c>
      <c r="AR136" s="5">
        <f t="shared" si="46"/>
        <v>2.1246950973080745E-2</v>
      </c>
      <c r="AS136" s="5">
        <f t="shared" si="28"/>
        <v>2.8733152090517277E-3</v>
      </c>
      <c r="AT136" s="5">
        <f t="shared" si="29"/>
        <v>1.2746821062436077E-2</v>
      </c>
      <c r="AU136" s="20">
        <f t="shared" si="34"/>
        <v>0.2254142577963357</v>
      </c>
      <c r="AV136" s="24">
        <f t="shared" si="30"/>
        <v>1.4861502535628488</v>
      </c>
      <c r="AW136" s="24">
        <f t="shared" si="57"/>
        <v>0</v>
      </c>
      <c r="AX136" s="5">
        <f t="shared" si="35"/>
        <v>0</v>
      </c>
      <c r="AY136" s="5">
        <f>IF(W136,SUMPRODUCT(INDEX(AX:AX,X136):INDEX(AX:AX,X136+Y136)),0)</f>
        <v>5</v>
      </c>
      <c r="AZ136" s="5">
        <f>IF(V136,COUNT(INDEX(AX:AX,X136):INDEX(AX:AX,ROW())),0)</f>
        <v>126</v>
      </c>
      <c r="BA136" s="20">
        <f t="shared" si="47"/>
        <v>3.968253968253968E-2</v>
      </c>
      <c r="BB136" s="8">
        <f t="shared" si="36"/>
        <v>504070.88699999999</v>
      </c>
      <c r="BC136" s="8">
        <f>MEDIAN(INDEX(BB:BB,X136):INDEX(BB:BB,X136+Y136-1))</f>
        <v>180492.04139999999</v>
      </c>
      <c r="BD136" s="26">
        <f t="shared" si="37"/>
        <v>180492.04139999999</v>
      </c>
      <c r="BE136" s="5">
        <f t="shared" si="48"/>
        <v>0</v>
      </c>
      <c r="BF136" s="8">
        <f>SUM(INDEX(BE:BE,X136):INDEX(BE:BE,X136+Y136-1))</f>
        <v>3</v>
      </c>
      <c r="BG136" s="26">
        <f t="shared" si="38"/>
        <v>3</v>
      </c>
    </row>
    <row r="137" spans="1:59" x14ac:dyDescent="0.3">
      <c r="A137" s="1">
        <v>45552</v>
      </c>
      <c r="B137">
        <v>33.384399999999999</v>
      </c>
      <c r="C137">
        <v>33.636200000000002</v>
      </c>
      <c r="D137">
        <v>33.152500000000003</v>
      </c>
      <c r="E137">
        <v>33.265099999999997</v>
      </c>
      <c r="F137">
        <v>10110</v>
      </c>
      <c r="G137" s="29">
        <v>0.70647497543212001</v>
      </c>
      <c r="H137" s="29">
        <v>2.1237722881702399E-2</v>
      </c>
      <c r="I137" s="29">
        <v>1.45407649458441E-2</v>
      </c>
      <c r="J137" s="29">
        <v>63.624877143929098</v>
      </c>
      <c r="K137" s="29">
        <v>8.1155482463980397E-2</v>
      </c>
      <c r="L137" s="29">
        <v>0.8</v>
      </c>
      <c r="M137" s="29">
        <v>0.22834139474713899</v>
      </c>
      <c r="N137" s="29">
        <v>1.5026681747319499</v>
      </c>
      <c r="O137" s="29">
        <v>-4.1671281840961402E-3</v>
      </c>
      <c r="P137" s="29">
        <v>-4.1671281840961402E-3</v>
      </c>
      <c r="Q137" s="29">
        <v>1.9841269841269799E-2</v>
      </c>
      <c r="R137" s="30">
        <v>215543.47375</v>
      </c>
      <c r="S137" s="29">
        <v>3</v>
      </c>
      <c r="T137">
        <v>552.97199999999998</v>
      </c>
      <c r="U137" s="21"/>
      <c r="V137">
        <v>127</v>
      </c>
      <c r="W137" t="b">
        <f>V137&gt;=$C$4</f>
        <v>1</v>
      </c>
      <c r="X137">
        <f>IF(V137&lt;=$C$5,11,ROW()-$C$5+1)</f>
        <v>11</v>
      </c>
      <c r="Y137" s="14">
        <f t="shared" si="31"/>
        <v>127</v>
      </c>
      <c r="Z137" s="10">
        <f t="shared" si="39"/>
        <v>0.48369999999999891</v>
      </c>
      <c r="AA137" s="15">
        <f t="shared" si="40"/>
        <v>1.4540764945844111E-2</v>
      </c>
      <c r="AB137" s="15">
        <f t="shared" si="41"/>
        <v>0.70647497543212023</v>
      </c>
      <c r="AC137" s="10">
        <f t="shared" si="32"/>
        <v>2.1237722881702455E-2</v>
      </c>
      <c r="AD137">
        <f t="shared" si="42"/>
        <v>-0.13920000000000243</v>
      </c>
      <c r="AE137">
        <f t="shared" si="49"/>
        <v>0</v>
      </c>
      <c r="AF137">
        <f t="shared" si="50"/>
        <v>0.13920000000000243</v>
      </c>
      <c r="AG137">
        <f t="shared" si="59"/>
        <v>0.28835837280680149</v>
      </c>
      <c r="AH137">
        <f t="shared" si="59"/>
        <v>0.16484870902961893</v>
      </c>
      <c r="AI137">
        <f t="shared" si="43"/>
        <v>1.7492303974002681</v>
      </c>
      <c r="AJ137">
        <f t="shared" si="51"/>
        <v>63.626184224297035</v>
      </c>
      <c r="AK137" s="14">
        <f t="shared" si="33"/>
        <v>63.626184224297035</v>
      </c>
      <c r="AM137" s="14">
        <f t="shared" si="56"/>
        <v>8.1155482463980411E-2</v>
      </c>
      <c r="AN137" s="36">
        <f t="shared" si="44"/>
        <v>-4.1671281840961472E-3</v>
      </c>
      <c r="AO137">
        <f t="shared" si="53"/>
        <v>0</v>
      </c>
      <c r="AP137" s="14">
        <f t="shared" si="54"/>
        <v>0.8</v>
      </c>
      <c r="AQ137">
        <f t="shared" si="45"/>
        <v>4.0886772586312681E-4</v>
      </c>
      <c r="AR137">
        <f t="shared" si="46"/>
        <v>-4.575995909959267E-3</v>
      </c>
      <c r="AS137">
        <f t="shared" si="28"/>
        <v>2.9056322130370524E-3</v>
      </c>
      <c r="AT137">
        <f t="shared" si="29"/>
        <v>1.2724947293304801E-2</v>
      </c>
      <c r="AU137" s="14">
        <f t="shared" si="34"/>
        <v>0.22834139474713924</v>
      </c>
      <c r="AV137" s="19">
        <f t="shared" si="30"/>
        <v>1.5026681747319819</v>
      </c>
      <c r="AW137" s="19">
        <f t="shared" si="57"/>
        <v>-4.1671281840961472E-3</v>
      </c>
      <c r="AX137">
        <f t="shared" si="35"/>
        <v>0</v>
      </c>
      <c r="AY137">
        <f>IF(W137,SUMPRODUCT(INDEX(AX:AX,X137):INDEX(AX:AX,X137+Y137)),0)</f>
        <v>5</v>
      </c>
      <c r="AZ137">
        <f>IF(V137,COUNT(INDEX(AX:AX,X137):INDEX(AX:AX,ROW())),0)</f>
        <v>127</v>
      </c>
      <c r="BA137" s="14">
        <f t="shared" si="47"/>
        <v>3.937007874015748E-2</v>
      </c>
      <c r="BB137" s="6">
        <f t="shared" si="36"/>
        <v>336310.16099999996</v>
      </c>
      <c r="BC137" s="6">
        <f>MEDIAN(INDEX(BB:BB,X137):INDEX(BB:BB,X137+Y137-1))</f>
        <v>183468.4368</v>
      </c>
      <c r="BD137" s="25">
        <f t="shared" si="37"/>
        <v>183468.4368</v>
      </c>
      <c r="BE137">
        <f t="shared" si="48"/>
        <v>0</v>
      </c>
      <c r="BF137" s="6">
        <f>SUM(INDEX(BE:BE,X137):INDEX(BE:BE,X137+Y137-1))</f>
        <v>3</v>
      </c>
      <c r="BG137" s="25">
        <f t="shared" si="38"/>
        <v>3</v>
      </c>
    </row>
    <row r="138" spans="1:59" x14ac:dyDescent="0.3">
      <c r="A138" s="1">
        <v>45553</v>
      </c>
      <c r="B138">
        <v>33.274999999999999</v>
      </c>
      <c r="C138">
        <v>33.735599999999998</v>
      </c>
      <c r="D138">
        <v>33.165700000000001</v>
      </c>
      <c r="E138">
        <v>33.165700000000001</v>
      </c>
      <c r="F138">
        <v>8601</v>
      </c>
      <c r="G138" s="29">
        <v>0.69671962004411103</v>
      </c>
      <c r="H138" s="29">
        <v>2.1007233981013802E-2</v>
      </c>
      <c r="I138" s="29">
        <v>1.71834153960265E-2</v>
      </c>
      <c r="J138" s="29">
        <v>62.569284283750399</v>
      </c>
      <c r="K138" s="29">
        <v>7.2390055259337199E-2</v>
      </c>
      <c r="L138" s="29">
        <v>0.6</v>
      </c>
      <c r="M138" s="29">
        <v>0.21954688674945499</v>
      </c>
      <c r="N138" s="29">
        <v>1.50221245234395</v>
      </c>
      <c r="O138" s="29">
        <v>-7.1427929937163404E-3</v>
      </c>
      <c r="P138" s="29">
        <v>-2.98811667483323E-3</v>
      </c>
      <c r="Q138" s="29">
        <v>1.9841269841269799E-2</v>
      </c>
      <c r="R138" s="30">
        <v>215543.47375</v>
      </c>
      <c r="S138" s="29">
        <v>3</v>
      </c>
      <c r="T138">
        <v>551.33100000000002</v>
      </c>
      <c r="U138" s="21"/>
      <c r="V138">
        <v>128</v>
      </c>
      <c r="W138" t="b">
        <f>V138&gt;=$C$4</f>
        <v>1</v>
      </c>
      <c r="X138">
        <f>IF(V138&lt;=$C$5,11,ROW()-$C$5+1)</f>
        <v>11</v>
      </c>
      <c r="Y138" s="14">
        <f t="shared" si="31"/>
        <v>128</v>
      </c>
      <c r="Z138" s="10">
        <f t="shared" si="39"/>
        <v>0.56989999999999696</v>
      </c>
      <c r="AA138" s="15">
        <f t="shared" si="40"/>
        <v>1.7183415396026525E-2</v>
      </c>
      <c r="AB138" s="15">
        <f t="shared" si="41"/>
        <v>0.69671962004411137</v>
      </c>
      <c r="AC138" s="10">
        <f t="shared" si="32"/>
        <v>2.1007233981013861E-2</v>
      </c>
      <c r="AD138">
        <f t="shared" si="42"/>
        <v>-9.9399999999995714E-2</v>
      </c>
      <c r="AE138">
        <f t="shared" si="49"/>
        <v>0</v>
      </c>
      <c r="AF138">
        <f t="shared" si="50"/>
        <v>9.9399999999995714E-2</v>
      </c>
      <c r="AG138">
        <f t="shared" si="59"/>
        <v>0.26776134617774422</v>
      </c>
      <c r="AH138">
        <f t="shared" si="59"/>
        <v>0.16017380124178868</v>
      </c>
      <c r="AI138">
        <f t="shared" si="43"/>
        <v>1.6716925246317149</v>
      </c>
      <c r="AJ138">
        <f t="shared" si="51"/>
        <v>62.570543175141495</v>
      </c>
      <c r="AK138" s="14">
        <f t="shared" si="33"/>
        <v>62.570543175141495</v>
      </c>
      <c r="AM138" s="14">
        <f t="shared" si="56"/>
        <v>7.2390055259337283E-2</v>
      </c>
      <c r="AN138" s="36">
        <f t="shared" si="44"/>
        <v>-2.98811667483323E-3</v>
      </c>
      <c r="AO138">
        <f t="shared" si="53"/>
        <v>0</v>
      </c>
      <c r="AP138" s="14">
        <f t="shared" si="54"/>
        <v>0.6</v>
      </c>
      <c r="AQ138">
        <f t="shared" si="45"/>
        <v>-2.96760052950229E-3</v>
      </c>
      <c r="AR138">
        <f t="shared" si="46"/>
        <v>-2.0516145330939928E-5</v>
      </c>
      <c r="AS138">
        <f t="shared" ref="AS138:AS201" si="60">AVERAGE(AR76:AR138)</f>
        <v>2.7923329338545829E-3</v>
      </c>
      <c r="AT138">
        <f t="shared" ref="AT138:AT201" si="61">_xlfn.STDEV.S(AR76:AR138)</f>
        <v>1.2718617764054991E-2</v>
      </c>
      <c r="AU138" s="14">
        <f t="shared" si="34"/>
        <v>0.21954688674945463</v>
      </c>
      <c r="AV138" s="19">
        <f t="shared" ref="AV138:AV201" si="62">_xlfn.COVARIANCE.S(P76:P138,AQ76:AQ138)/_xlfn.VAR.S(AQ76:AQ138)</f>
        <v>1.5022124523439844</v>
      </c>
      <c r="AW138" s="19">
        <f t="shared" si="57"/>
        <v>-7.1427929937163404E-3</v>
      </c>
      <c r="AX138">
        <f t="shared" si="35"/>
        <v>0</v>
      </c>
      <c r="AY138">
        <f>IF(W138,SUMPRODUCT(INDEX(AX:AX,X138):INDEX(AX:AX,X138+Y138)),0)</f>
        <v>5</v>
      </c>
      <c r="AZ138">
        <f>IF(V138,COUNT(INDEX(AX:AX,X138):INDEX(AX:AX,ROW())),0)</f>
        <v>128</v>
      </c>
      <c r="BA138" s="14">
        <f t="shared" si="47"/>
        <v>3.90625E-2</v>
      </c>
      <c r="BB138" s="6">
        <f t="shared" si="36"/>
        <v>285258.18570000003</v>
      </c>
      <c r="BC138" s="6">
        <f>MEDIAN(INDEX(BB:BB,X138):INDEX(BB:BB,X138+Y138-1))</f>
        <v>186265.87904999999</v>
      </c>
      <c r="BD138" s="25">
        <f t="shared" si="37"/>
        <v>186265.87904999999</v>
      </c>
      <c r="BE138">
        <f t="shared" si="48"/>
        <v>0</v>
      </c>
      <c r="BF138" s="6">
        <f>SUM(INDEX(BE:BE,X138):INDEX(BE:BE,X138+Y138-1))</f>
        <v>3</v>
      </c>
      <c r="BG138" s="25">
        <f t="shared" si="38"/>
        <v>3</v>
      </c>
    </row>
    <row r="139" spans="1:59" x14ac:dyDescent="0.3">
      <c r="A139" s="1">
        <v>45554</v>
      </c>
      <c r="B139">
        <v>33.8748</v>
      </c>
      <c r="C139">
        <v>34.603700000000003</v>
      </c>
      <c r="D139">
        <v>33.649500000000003</v>
      </c>
      <c r="E139">
        <v>34.563899999999997</v>
      </c>
      <c r="F139">
        <v>6338</v>
      </c>
      <c r="G139" s="29">
        <v>0.74966821861238897</v>
      </c>
      <c r="H139" s="29">
        <v>2.1689341151096601E-2</v>
      </c>
      <c r="I139" s="29">
        <v>4.16041013890215E-2</v>
      </c>
      <c r="J139" s="29">
        <v>70.087154332420397</v>
      </c>
      <c r="K139" s="29">
        <v>0.116643082827734</v>
      </c>
      <c r="L139" s="29">
        <v>0.6</v>
      </c>
      <c r="M139" s="29">
        <v>0.25651850805054</v>
      </c>
      <c r="N139" s="29">
        <v>1.53374497054189</v>
      </c>
      <c r="O139" s="29">
        <v>0</v>
      </c>
      <c r="P139" s="29">
        <v>4.2158012645594399E-2</v>
      </c>
      <c r="Q139" s="29">
        <v>1.9841269841269799E-2</v>
      </c>
      <c r="R139" s="30">
        <v>217328.47759999899</v>
      </c>
      <c r="S139" s="29">
        <v>3</v>
      </c>
      <c r="T139">
        <v>560.74</v>
      </c>
      <c r="U139" s="21"/>
      <c r="V139">
        <v>129</v>
      </c>
      <c r="W139" t="b">
        <f>V139&gt;=$C$4</f>
        <v>1</v>
      </c>
      <c r="X139">
        <f>IF(V139&lt;=$C$5,11,ROW()-$C$5+1)</f>
        <v>11</v>
      </c>
      <c r="Y139" s="14">
        <f t="shared" ref="Y139:Y202" si="63">ROW()-X139+1</f>
        <v>129</v>
      </c>
      <c r="Z139" s="10">
        <f t="shared" si="39"/>
        <v>1.4380000000000024</v>
      </c>
      <c r="AA139" s="15">
        <f t="shared" si="40"/>
        <v>4.1604101389021569E-2</v>
      </c>
      <c r="AB139" s="15">
        <f t="shared" si="41"/>
        <v>0.7496682186123893</v>
      </c>
      <c r="AC139" s="10">
        <f t="shared" ref="AC139:AC202" si="64">AB139/E139</f>
        <v>2.1689341151096646E-2</v>
      </c>
      <c r="AD139">
        <f t="shared" si="42"/>
        <v>1.3981999999999957</v>
      </c>
      <c r="AE139">
        <f t="shared" si="49"/>
        <v>1.3981999999999957</v>
      </c>
      <c r="AF139">
        <f t="shared" si="50"/>
        <v>0</v>
      </c>
      <c r="AG139">
        <f t="shared" si="59"/>
        <v>0.34850696430790506</v>
      </c>
      <c r="AH139">
        <f t="shared" si="59"/>
        <v>0.14873281543880376</v>
      </c>
      <c r="AI139">
        <f t="shared" si="43"/>
        <v>2.3431746604117674</v>
      </c>
      <c r="AJ139">
        <f t="shared" si="51"/>
        <v>70.088311213843866</v>
      </c>
      <c r="AK139" s="14">
        <f t="shared" ref="AK139:AK202" si="65">IF(AH139=0,
    IF(AG139=0, 50, 100),
    IF(AG139=0, 0, 100-(100/(1+AG139/AH139)))
)</f>
        <v>70.088311213843866</v>
      </c>
      <c r="AM139" s="14">
        <f t="shared" si="56"/>
        <v>0.1166430828277345</v>
      </c>
      <c r="AN139" s="36">
        <f t="shared" si="44"/>
        <v>4.2158012645594489E-2</v>
      </c>
      <c r="AO139">
        <f t="shared" si="53"/>
        <v>1</v>
      </c>
      <c r="AP139" s="14">
        <f t="shared" si="54"/>
        <v>0.6</v>
      </c>
      <c r="AQ139">
        <f t="shared" si="45"/>
        <v>1.7065973072437401E-2</v>
      </c>
      <c r="AR139">
        <f t="shared" si="46"/>
        <v>2.5092039573156998E-2</v>
      </c>
      <c r="AS139">
        <f t="shared" si="60"/>
        <v>3.3204838431639197E-3</v>
      </c>
      <c r="AT139">
        <f t="shared" si="61"/>
        <v>1.2944422094134878E-2</v>
      </c>
      <c r="AU139" s="14">
        <f t="shared" ref="AU139:AU202" si="66">AS139/AT139</f>
        <v>0.25651850805053955</v>
      </c>
      <c r="AV139" s="19">
        <f t="shared" si="62"/>
        <v>1.5337449705419182</v>
      </c>
      <c r="AW139" s="19">
        <f t="shared" si="57"/>
        <v>0</v>
      </c>
      <c r="AX139">
        <f t="shared" ref="AX139:AX202" si="67">IF(OR(F139=0,C139=D139),1,0)</f>
        <v>0</v>
      </c>
      <c r="AY139">
        <f>IF(W139,SUMPRODUCT(INDEX(AX:AX,X139):INDEX(AX:AX,X139+Y139)),0)</f>
        <v>5</v>
      </c>
      <c r="AZ139">
        <f>IF(V139,COUNT(INDEX(AX:AX,X139):INDEX(AX:AX,ROW())),0)</f>
        <v>129</v>
      </c>
      <c r="BA139" s="14">
        <f t="shared" si="47"/>
        <v>3.875968992248062E-2</v>
      </c>
      <c r="BB139" s="6">
        <f t="shared" ref="BB139:BB202" si="68">E139*F139</f>
        <v>219065.99819999997</v>
      </c>
      <c r="BC139" s="6">
        <f>MEDIAN(INDEX(BB:BB,X139):INDEX(BB:BB,X139+Y139-1))</f>
        <v>189063.32130000001</v>
      </c>
      <c r="BD139" s="25">
        <f t="shared" ref="BD139:BD202" si="69">IF(W139,BC139,"")</f>
        <v>189063.32130000001</v>
      </c>
      <c r="BE139">
        <f t="shared" si="48"/>
        <v>0</v>
      </c>
      <c r="BF139" s="6">
        <f>SUM(INDEX(BE:BE,X139):INDEX(BE:BE,X139+Y139-1))</f>
        <v>3</v>
      </c>
      <c r="BG139" s="25">
        <f t="shared" ref="BG139:BG202" si="70">IF(W139,BF139,"")</f>
        <v>3</v>
      </c>
    </row>
    <row r="140" spans="1:59" x14ac:dyDescent="0.3">
      <c r="A140" s="1">
        <v>45555</v>
      </c>
      <c r="B140">
        <v>34.332000000000001</v>
      </c>
      <c r="C140">
        <v>34.736199999999997</v>
      </c>
      <c r="D140">
        <v>34.252499999999998</v>
      </c>
      <c r="E140">
        <v>34.676600000000001</v>
      </c>
      <c r="F140">
        <v>6036</v>
      </c>
      <c r="G140" s="29">
        <v>0.73067048871150397</v>
      </c>
      <c r="H140" s="29">
        <v>2.1070995677531901E-2</v>
      </c>
      <c r="I140" s="29">
        <v>1.39488877225563E-2</v>
      </c>
      <c r="J140" s="29">
        <v>70.5997292082141</v>
      </c>
      <c r="K140" s="29">
        <v>0.112913371675053</v>
      </c>
      <c r="L140" s="29">
        <v>0.6</v>
      </c>
      <c r="M140" s="29">
        <v>0.27040367302978402</v>
      </c>
      <c r="N140" s="29">
        <v>1.5298827807892501</v>
      </c>
      <c r="O140" s="29">
        <v>0</v>
      </c>
      <c r="P140" s="29">
        <v>3.2606274176236699E-3</v>
      </c>
      <c r="Q140" s="29">
        <v>1.9841269841269799E-2</v>
      </c>
      <c r="R140" s="30">
        <v>217328.47759999899</v>
      </c>
      <c r="S140" s="29">
        <v>3</v>
      </c>
      <c r="T140">
        <v>559.77</v>
      </c>
      <c r="U140" s="21"/>
      <c r="V140">
        <v>130</v>
      </c>
      <c r="W140" t="b">
        <f>V140&gt;=$C$4</f>
        <v>1</v>
      </c>
      <c r="X140">
        <f>IF(V140&lt;=$C$5,11,ROW()-$C$5+1)</f>
        <v>11</v>
      </c>
      <c r="Y140" s="14">
        <f t="shared" si="63"/>
        <v>130</v>
      </c>
      <c r="Z140" s="10">
        <f t="shared" ref="Z140:Z203" si="71">MAX(C140-D140,ABS(C140-E139),ABS(D140-E139))</f>
        <v>0.48369999999999891</v>
      </c>
      <c r="AA140" s="15">
        <f t="shared" ref="AA140:AA203" si="72">Z140/E140</f>
        <v>1.394888772255639E-2</v>
      </c>
      <c r="AB140" s="15">
        <f t="shared" ref="AB140:AB203" si="73">(Z140+13*AB139)/14</f>
        <v>0.7306704887115042</v>
      </c>
      <c r="AC140" s="10">
        <f t="shared" si="64"/>
        <v>2.1070995677531942E-2</v>
      </c>
      <c r="AD140">
        <f t="shared" ref="AD140:AD203" si="74">E140-E139</f>
        <v>0.1127000000000038</v>
      </c>
      <c r="AE140">
        <f t="shared" si="49"/>
        <v>0.1127000000000038</v>
      </c>
      <c r="AF140">
        <f t="shared" si="50"/>
        <v>0</v>
      </c>
      <c r="AG140">
        <f t="shared" si="59"/>
        <v>0.33166360971448355</v>
      </c>
      <c r="AH140">
        <f t="shared" si="59"/>
        <v>0.13810904290746065</v>
      </c>
      <c r="AI140">
        <f t="shared" ref="AI140:AI203" si="75">AG140/AH140</f>
        <v>2.4014619371210419</v>
      </c>
      <c r="AJ140">
        <f t="shared" si="51"/>
        <v>70.600876373575176</v>
      </c>
      <c r="AK140" s="14">
        <f t="shared" si="65"/>
        <v>70.600876373575176</v>
      </c>
      <c r="AM140" s="14">
        <f t="shared" si="56"/>
        <v>0.11291337167505389</v>
      </c>
      <c r="AN140" s="36">
        <f t="shared" ref="AN140:AN203" si="76">E140/E139-1</f>
        <v>3.2606274176236738E-3</v>
      </c>
      <c r="AO140">
        <f t="shared" si="53"/>
        <v>1</v>
      </c>
      <c r="AP140" s="14">
        <f t="shared" si="54"/>
        <v>0.6</v>
      </c>
      <c r="AQ140">
        <f t="shared" ref="AQ140:AQ203" si="77">T140/T139-1</f>
        <v>-1.7298569747120629E-3</v>
      </c>
      <c r="AR140">
        <f t="shared" ref="AR140:AR203" si="78">P140-AQ140</f>
        <v>4.9904843923357332E-3</v>
      </c>
      <c r="AS140">
        <f t="shared" si="60"/>
        <v>3.4872216001627923E-3</v>
      </c>
      <c r="AT140">
        <f t="shared" si="61"/>
        <v>1.2896354406320119E-2</v>
      </c>
      <c r="AU140" s="14">
        <f t="shared" si="66"/>
        <v>0.27040367302978346</v>
      </c>
      <c r="AV140" s="19">
        <f t="shared" si="62"/>
        <v>1.5298827807892765</v>
      </c>
      <c r="AW140" s="19">
        <f t="shared" si="57"/>
        <v>0</v>
      </c>
      <c r="AX140">
        <f t="shared" si="67"/>
        <v>0</v>
      </c>
      <c r="AY140">
        <f>IF(W140,SUMPRODUCT(INDEX(AX:AX,X140):INDEX(AX:AX,X140+Y140)),0)</f>
        <v>5</v>
      </c>
      <c r="AZ140">
        <f>IF(V140,COUNT(INDEX(AX:AX,X140):INDEX(AX:AX,ROW())),0)</f>
        <v>130</v>
      </c>
      <c r="BA140" s="14">
        <f t="shared" ref="BA140:BA203" si="79">IF(W140,AY140/AZ140,"")</f>
        <v>3.8461538461538464E-2</v>
      </c>
      <c r="BB140" s="6">
        <f t="shared" si="68"/>
        <v>209307.95759999999</v>
      </c>
      <c r="BC140" s="6">
        <f>MEDIAN(INDEX(BB:BB,X140):INDEX(BB:BB,X140+Y140-1))</f>
        <v>192148.74885</v>
      </c>
      <c r="BD140" s="25">
        <f t="shared" si="69"/>
        <v>192148.74885</v>
      </c>
      <c r="BE140">
        <f t="shared" ref="BE140:BE203" si="80">IF(F139=F140,1,0)</f>
        <v>0</v>
      </c>
      <c r="BF140" s="6">
        <f>SUM(INDEX(BE:BE,X140):INDEX(BE:BE,X140+Y140-1))</f>
        <v>3</v>
      </c>
      <c r="BG140" s="25">
        <f t="shared" si="70"/>
        <v>3</v>
      </c>
    </row>
    <row r="141" spans="1:59" x14ac:dyDescent="0.3">
      <c r="A141" s="1">
        <v>45558</v>
      </c>
      <c r="B141">
        <v>34.809100000000001</v>
      </c>
      <c r="C141">
        <v>34.881999999999998</v>
      </c>
      <c r="D141">
        <v>34.630200000000002</v>
      </c>
      <c r="E141">
        <v>34.881999999999998</v>
      </c>
      <c r="F141">
        <v>14789</v>
      </c>
      <c r="G141" s="29">
        <v>0.69646545380353897</v>
      </c>
      <c r="H141" s="29">
        <v>1.9966328014550099E-2</v>
      </c>
      <c r="I141" s="29">
        <v>7.2186227853906198E-3</v>
      </c>
      <c r="J141" s="29">
        <v>71.556363428918203</v>
      </c>
      <c r="K141" s="29">
        <v>0.121171505619999</v>
      </c>
      <c r="L141" s="29">
        <v>0.6</v>
      </c>
      <c r="M141" s="29">
        <v>0.25241981163625499</v>
      </c>
      <c r="N141" s="29">
        <v>1.5429206260955</v>
      </c>
      <c r="O141" s="29">
        <v>0</v>
      </c>
      <c r="P141" s="29">
        <v>5.9233027459437704E-3</v>
      </c>
      <c r="Q141" s="29">
        <v>1.9841269841269799E-2</v>
      </c>
      <c r="R141" s="30">
        <v>217328.47759999899</v>
      </c>
      <c r="S141" s="29">
        <v>3</v>
      </c>
      <c r="T141">
        <v>561.16899999999998</v>
      </c>
      <c r="U141" s="21"/>
      <c r="V141">
        <v>131</v>
      </c>
      <c r="W141" t="b">
        <f>V141&gt;=$C$4</f>
        <v>1</v>
      </c>
      <c r="X141">
        <f>IF(V141&lt;=$C$5,11,ROW()-$C$5+1)</f>
        <v>11</v>
      </c>
      <c r="Y141" s="14">
        <f t="shared" si="63"/>
        <v>131</v>
      </c>
      <c r="Z141" s="10">
        <f t="shared" si="71"/>
        <v>0.2517999999999958</v>
      </c>
      <c r="AA141" s="15">
        <f t="shared" si="72"/>
        <v>7.2186227853906259E-3</v>
      </c>
      <c r="AB141" s="15">
        <f t="shared" si="73"/>
        <v>0.6964654538035393</v>
      </c>
      <c r="AC141" s="10">
        <f t="shared" si="64"/>
        <v>1.9966328014550179E-2</v>
      </c>
      <c r="AD141">
        <f t="shared" si="74"/>
        <v>0.20539999999999736</v>
      </c>
      <c r="AE141">
        <f t="shared" ref="AE141:AE204" si="81">MAX($AD141,0)</f>
        <v>0.20539999999999736</v>
      </c>
      <c r="AF141">
        <f t="shared" ref="AF141:AF204" si="82">MAX(-$AD141,0)</f>
        <v>0</v>
      </c>
      <c r="AG141">
        <f t="shared" si="59"/>
        <v>0.32264478044916312</v>
      </c>
      <c r="AH141">
        <f t="shared" si="59"/>
        <v>0.12824411127121346</v>
      </c>
      <c r="AI141">
        <f t="shared" si="75"/>
        <v>2.5158642938920357</v>
      </c>
      <c r="AJ141">
        <f t="shared" ref="AJ141:AJ204" si="83">(100-(100/(1+AI141)))</f>
        <v>71.557491518166444</v>
      </c>
      <c r="AK141" s="14">
        <f t="shared" si="65"/>
        <v>71.557491518166444</v>
      </c>
      <c r="AM141" s="14">
        <f t="shared" si="56"/>
        <v>0.12117150561999979</v>
      </c>
      <c r="AN141" s="36">
        <f t="shared" si="76"/>
        <v>5.9233027459437704E-3</v>
      </c>
      <c r="AO141">
        <f t="shared" si="53"/>
        <v>1</v>
      </c>
      <c r="AP141" s="14">
        <f t="shared" si="54"/>
        <v>0.6</v>
      </c>
      <c r="AQ141">
        <f t="shared" si="77"/>
        <v>2.4992407595976207E-3</v>
      </c>
      <c r="AR141">
        <f t="shared" si="78"/>
        <v>3.4240619863461497E-3</v>
      </c>
      <c r="AS141">
        <f t="shared" si="60"/>
        <v>3.2043127284297921E-3</v>
      </c>
      <c r="AT141">
        <f t="shared" si="61"/>
        <v>1.2694378890700214E-2</v>
      </c>
      <c r="AU141" s="14">
        <f t="shared" si="66"/>
        <v>0.25241981163625438</v>
      </c>
      <c r="AV141" s="19">
        <f t="shared" si="62"/>
        <v>1.5429206260955297</v>
      </c>
      <c r="AW141" s="19">
        <f t="shared" si="57"/>
        <v>0</v>
      </c>
      <c r="AX141">
        <f t="shared" si="67"/>
        <v>0</v>
      </c>
      <c r="AY141">
        <f>IF(W141,SUMPRODUCT(INDEX(AX:AX,X141):INDEX(AX:AX,X141+Y141)),0)</f>
        <v>5</v>
      </c>
      <c r="AZ141">
        <f>IF(V141,COUNT(INDEX(AX:AX,X141):INDEX(AX:AX,ROW())),0)</f>
        <v>131</v>
      </c>
      <c r="BA141" s="14">
        <f t="shared" si="79"/>
        <v>3.8167938931297711E-2</v>
      </c>
      <c r="BB141" s="6">
        <f t="shared" si="68"/>
        <v>515869.89799999999</v>
      </c>
      <c r="BC141" s="6">
        <f>MEDIAN(INDEX(BB:BB,X141):INDEX(BB:BB,X141+Y141-1))</f>
        <v>195234.1764</v>
      </c>
      <c r="BD141" s="25">
        <f t="shared" si="69"/>
        <v>195234.1764</v>
      </c>
      <c r="BE141">
        <f t="shared" si="80"/>
        <v>0</v>
      </c>
      <c r="BF141" s="6">
        <f>SUM(INDEX(BE:BE,X141):INDEX(BE:BE,X141+Y141-1))</f>
        <v>3</v>
      </c>
      <c r="BG141" s="25">
        <f t="shared" si="70"/>
        <v>3</v>
      </c>
    </row>
    <row r="142" spans="1:59" x14ac:dyDescent="0.3">
      <c r="A142" s="1">
        <v>45559</v>
      </c>
      <c r="B142">
        <v>34.935000000000002</v>
      </c>
      <c r="C142">
        <v>35.203400000000002</v>
      </c>
      <c r="D142">
        <v>34.901899999999998</v>
      </c>
      <c r="E142">
        <v>35.067500000000003</v>
      </c>
      <c r="F142">
        <v>167207</v>
      </c>
      <c r="G142" s="29">
        <v>0.66967506424614398</v>
      </c>
      <c r="H142" s="29">
        <v>1.9096743829646899E-2</v>
      </c>
      <c r="I142" s="29">
        <v>9.1651814358024893E-3</v>
      </c>
      <c r="J142" s="29">
        <v>72.4288867467627</v>
      </c>
      <c r="K142" s="29">
        <v>7.91726676268205E-2</v>
      </c>
      <c r="L142" s="29">
        <v>0.8</v>
      </c>
      <c r="M142" s="29">
        <v>0.26638884404306901</v>
      </c>
      <c r="N142" s="29">
        <v>1.5483237049488201</v>
      </c>
      <c r="O142" s="29">
        <v>0</v>
      </c>
      <c r="P142" s="29">
        <v>5.3179290178317897E-3</v>
      </c>
      <c r="Q142" s="29">
        <v>1.9841269841269799E-2</v>
      </c>
      <c r="R142" s="30">
        <v>219518.86619999999</v>
      </c>
      <c r="S142" s="29">
        <v>3</v>
      </c>
      <c r="T142">
        <v>562.77499999999998</v>
      </c>
      <c r="U142" s="21"/>
      <c r="V142">
        <v>132</v>
      </c>
      <c r="W142" t="b">
        <f>V142&gt;=$C$4</f>
        <v>1</v>
      </c>
      <c r="X142">
        <f>IF(V142&lt;=$C$5,11,ROW()-$C$5+1)</f>
        <v>11</v>
      </c>
      <c r="Y142" s="14">
        <f t="shared" si="63"/>
        <v>132</v>
      </c>
      <c r="Z142" s="10">
        <f t="shared" si="71"/>
        <v>0.32140000000000413</v>
      </c>
      <c r="AA142" s="15">
        <f t="shared" si="72"/>
        <v>9.1651814358024979E-3</v>
      </c>
      <c r="AB142" s="15">
        <f t="shared" si="73"/>
        <v>0.66967506424614398</v>
      </c>
      <c r="AC142" s="10">
        <f t="shared" si="64"/>
        <v>1.9096743829646937E-2</v>
      </c>
      <c r="AD142">
        <f t="shared" si="74"/>
        <v>0.18550000000000466</v>
      </c>
      <c r="AE142">
        <f t="shared" si="81"/>
        <v>0.18550000000000466</v>
      </c>
      <c r="AF142">
        <f t="shared" si="82"/>
        <v>0</v>
      </c>
      <c r="AG142">
        <f t="shared" ref="AG142:AH157" si="84">(AE142+13*AG141)/14</f>
        <v>0.31284872470279462</v>
      </c>
      <c r="AH142">
        <f t="shared" si="84"/>
        <v>0.11908381760898393</v>
      </c>
      <c r="AI142">
        <f t="shared" si="75"/>
        <v>2.6271304614204163</v>
      </c>
      <c r="AJ142">
        <f t="shared" si="83"/>
        <v>72.429996366648709</v>
      </c>
      <c r="AK142" s="14">
        <f t="shared" si="65"/>
        <v>72.429996366648709</v>
      </c>
      <c r="AM142" s="14">
        <f t="shared" si="56"/>
        <v>7.9172667626820514E-2</v>
      </c>
      <c r="AN142" s="36">
        <f t="shared" si="76"/>
        <v>5.3179290178317906E-3</v>
      </c>
      <c r="AO142">
        <f t="shared" ref="AO142:AO205" si="85">IF(AN142&gt;0,1,0)</f>
        <v>1</v>
      </c>
      <c r="AP142" s="14">
        <f t="shared" si="54"/>
        <v>0.8</v>
      </c>
      <c r="AQ142">
        <f t="shared" si="77"/>
        <v>2.8618829621736008E-3</v>
      </c>
      <c r="AR142">
        <f t="shared" si="78"/>
        <v>2.4560460556581889E-3</v>
      </c>
      <c r="AS142">
        <f t="shared" si="60"/>
        <v>3.3620826101440409E-3</v>
      </c>
      <c r="AT142">
        <f t="shared" si="61"/>
        <v>1.262095874255334E-2</v>
      </c>
      <c r="AU142" s="14">
        <f t="shared" si="66"/>
        <v>0.26638884404306828</v>
      </c>
      <c r="AV142" s="19">
        <f t="shared" si="62"/>
        <v>1.548323704948851</v>
      </c>
      <c r="AW142" s="19">
        <f t="shared" si="57"/>
        <v>0</v>
      </c>
      <c r="AX142">
        <f t="shared" si="67"/>
        <v>0</v>
      </c>
      <c r="AY142">
        <f>IF(W142,SUMPRODUCT(INDEX(AX:AX,X142):INDEX(AX:AX,X142+Y142)),0)</f>
        <v>5</v>
      </c>
      <c r="AZ142">
        <f>IF(V142,COUNT(INDEX(AX:AX,X142):INDEX(AX:AX,ROW())),0)</f>
        <v>132</v>
      </c>
      <c r="BA142" s="14">
        <f t="shared" si="79"/>
        <v>3.787878787878788E-2</v>
      </c>
      <c r="BB142" s="6">
        <f t="shared" si="68"/>
        <v>5863531.4725000001</v>
      </c>
      <c r="BC142" s="6">
        <f>MEDIAN(INDEX(BB:BB,X142):INDEX(BB:BB,X142+Y142-1))</f>
        <v>196047.0822</v>
      </c>
      <c r="BD142" s="25">
        <f t="shared" si="69"/>
        <v>196047.0822</v>
      </c>
      <c r="BE142">
        <f t="shared" si="80"/>
        <v>0</v>
      </c>
      <c r="BF142" s="6">
        <f>SUM(INDEX(BE:BE,X142):INDEX(BE:BE,X142+Y142-1))</f>
        <v>3</v>
      </c>
      <c r="BG142" s="25">
        <f t="shared" si="70"/>
        <v>3</v>
      </c>
    </row>
    <row r="143" spans="1:59" x14ac:dyDescent="0.3">
      <c r="A143" s="1">
        <v>45560</v>
      </c>
      <c r="B143">
        <v>34.524099999999997</v>
      </c>
      <c r="C143">
        <v>34.683199999999999</v>
      </c>
      <c r="D143">
        <v>34.524099999999997</v>
      </c>
      <c r="E143">
        <v>34.570500000000003</v>
      </c>
      <c r="F143">
        <v>6187</v>
      </c>
      <c r="G143" s="29">
        <v>0.66065541679999096</v>
      </c>
      <c r="H143" s="29">
        <v>1.9110380723448901E-2</v>
      </c>
      <c r="I143" s="29">
        <v>1.5718604012091301E-2</v>
      </c>
      <c r="J143" s="29">
        <v>66.539518216815594</v>
      </c>
      <c r="K143" s="29">
        <v>5.9996075281016199E-2</v>
      </c>
      <c r="L143" s="29">
        <v>0.8</v>
      </c>
      <c r="M143" s="29">
        <v>0.25571306397319798</v>
      </c>
      <c r="N143" s="29">
        <v>1.5556126180637999</v>
      </c>
      <c r="O143" s="29">
        <v>-1.41726669993583E-2</v>
      </c>
      <c r="P143" s="29">
        <v>-1.41726669993583E-2</v>
      </c>
      <c r="Q143" s="29">
        <v>1.9841269841269799E-2</v>
      </c>
      <c r="R143" s="30">
        <v>217328.47759999899</v>
      </c>
      <c r="S143" s="29">
        <v>3</v>
      </c>
      <c r="T143">
        <v>561.53399999999999</v>
      </c>
      <c r="U143" s="21"/>
      <c r="V143">
        <v>133</v>
      </c>
      <c r="W143" t="b">
        <f>V143&gt;=$C$4</f>
        <v>1</v>
      </c>
      <c r="X143">
        <f>IF(V143&lt;=$C$5,11,ROW()-$C$5+1)</f>
        <v>11</v>
      </c>
      <c r="Y143" s="14">
        <f t="shared" si="63"/>
        <v>133</v>
      </c>
      <c r="Z143" s="10">
        <f t="shared" si="71"/>
        <v>0.54340000000000543</v>
      </c>
      <c r="AA143" s="15">
        <f t="shared" si="72"/>
        <v>1.5718604012091391E-2</v>
      </c>
      <c r="AB143" s="15">
        <f t="shared" si="73"/>
        <v>0.66065541679999118</v>
      </c>
      <c r="AC143" s="10">
        <f t="shared" si="64"/>
        <v>1.9110380723448925E-2</v>
      </c>
      <c r="AD143">
        <f t="shared" si="74"/>
        <v>-0.49699999999999989</v>
      </c>
      <c r="AE143">
        <f t="shared" si="81"/>
        <v>0</v>
      </c>
      <c r="AF143">
        <f t="shared" si="82"/>
        <v>0.49699999999999989</v>
      </c>
      <c r="AG143">
        <f t="shared" si="84"/>
        <v>0.29050238722402355</v>
      </c>
      <c r="AH143">
        <f t="shared" si="84"/>
        <v>0.14607783063691365</v>
      </c>
      <c r="AI143">
        <f t="shared" si="75"/>
        <v>1.988682238484818</v>
      </c>
      <c r="AJ143">
        <f t="shared" si="83"/>
        <v>66.540437550598455</v>
      </c>
      <c r="AK143" s="14">
        <f t="shared" si="65"/>
        <v>66.540437550598455</v>
      </c>
      <c r="AM143" s="14">
        <f t="shared" si="56"/>
        <v>5.9996075281016248E-2</v>
      </c>
      <c r="AN143" s="36">
        <f t="shared" si="76"/>
        <v>-1.4172666999358374E-2</v>
      </c>
      <c r="AO143">
        <f t="shared" si="85"/>
        <v>0</v>
      </c>
      <c r="AP143" s="14">
        <f t="shared" ref="AP143:AP206" si="86">SUM(AO139:AO143) / 5</f>
        <v>0.8</v>
      </c>
      <c r="AQ143">
        <f t="shared" si="77"/>
        <v>-2.2051441517479953E-3</v>
      </c>
      <c r="AR143">
        <f t="shared" si="78"/>
        <v>-1.1967522847610304E-2</v>
      </c>
      <c r="AS143">
        <f t="shared" si="60"/>
        <v>3.2537028318692348E-3</v>
      </c>
      <c r="AT143">
        <f t="shared" si="61"/>
        <v>1.2724038347177542E-2</v>
      </c>
      <c r="AU143" s="14">
        <f t="shared" si="66"/>
        <v>0.25571306397319793</v>
      </c>
      <c r="AV143" s="19">
        <f t="shared" si="62"/>
        <v>1.555612618063827</v>
      </c>
      <c r="AW143" s="19">
        <f t="shared" si="57"/>
        <v>-1.4172666999358374E-2</v>
      </c>
      <c r="AX143">
        <f t="shared" si="67"/>
        <v>0</v>
      </c>
      <c r="AY143">
        <f>IF(W143,SUMPRODUCT(INDEX(AX:AX,X143):INDEX(AX:AX,X143+Y143)),0)</f>
        <v>5</v>
      </c>
      <c r="AZ143">
        <f>IF(V143,COUNT(INDEX(AX:AX,X143):INDEX(AX:AX,ROW())),0)</f>
        <v>133</v>
      </c>
      <c r="BA143" s="14">
        <f t="shared" si="79"/>
        <v>3.7593984962406013E-2</v>
      </c>
      <c r="BB143" s="6">
        <f t="shared" si="68"/>
        <v>213887.68350000001</v>
      </c>
      <c r="BC143" s="6">
        <f>MEDIAN(INDEX(BB:BB,X143):INDEX(BB:BB,X143+Y143-1))</f>
        <v>196859.98799999998</v>
      </c>
      <c r="BD143" s="25">
        <f t="shared" si="69"/>
        <v>196859.98799999998</v>
      </c>
      <c r="BE143">
        <f t="shared" si="80"/>
        <v>0</v>
      </c>
      <c r="BF143" s="6">
        <f>SUM(INDEX(BE:BE,X143):INDEX(BE:BE,X143+Y143-1))</f>
        <v>3</v>
      </c>
      <c r="BG143" s="25">
        <f t="shared" si="70"/>
        <v>3</v>
      </c>
    </row>
    <row r="144" spans="1:59" x14ac:dyDescent="0.3">
      <c r="A144" s="1">
        <v>45561</v>
      </c>
      <c r="B144">
        <v>35.332599999999999</v>
      </c>
      <c r="C144">
        <v>35.889200000000002</v>
      </c>
      <c r="D144">
        <v>35.332599999999999</v>
      </c>
      <c r="E144">
        <v>35.438600000000001</v>
      </c>
      <c r="F144">
        <v>19165</v>
      </c>
      <c r="G144" s="29">
        <v>0.70765860131427705</v>
      </c>
      <c r="H144" s="29">
        <v>1.9968582317424401E-2</v>
      </c>
      <c r="I144" s="29">
        <v>3.7210837899916999E-2</v>
      </c>
      <c r="J144" s="29">
        <v>70.978424336171599</v>
      </c>
      <c r="K144" s="29">
        <v>7.9388768918223496E-2</v>
      </c>
      <c r="L144" s="29">
        <v>0.8</v>
      </c>
      <c r="M144" s="29">
        <v>0.26026510526450197</v>
      </c>
      <c r="N144" s="29">
        <v>1.5623357827890301</v>
      </c>
      <c r="O144" s="29">
        <v>0</v>
      </c>
      <c r="P144" s="29">
        <v>2.51110050476561E-2</v>
      </c>
      <c r="Q144" s="29">
        <v>1.9841269841269799E-2</v>
      </c>
      <c r="R144" s="30">
        <v>217328.47759999899</v>
      </c>
      <c r="S144" s="29">
        <v>3</v>
      </c>
      <c r="T144">
        <v>563.76</v>
      </c>
      <c r="U144" s="21"/>
      <c r="V144">
        <v>134</v>
      </c>
      <c r="W144" t="b">
        <f>V144&gt;=$C$4</f>
        <v>1</v>
      </c>
      <c r="X144">
        <f>IF(V144&lt;=$C$5,11,ROW()-$C$5+1)</f>
        <v>11</v>
      </c>
      <c r="Y144" s="14">
        <f t="shared" si="63"/>
        <v>134</v>
      </c>
      <c r="Z144" s="10">
        <f t="shared" si="71"/>
        <v>1.3186999999999998</v>
      </c>
      <c r="AA144" s="15">
        <f t="shared" si="72"/>
        <v>3.7210837899917033E-2</v>
      </c>
      <c r="AB144" s="15">
        <f t="shared" si="73"/>
        <v>0.70765860131427749</v>
      </c>
      <c r="AC144" s="10">
        <f t="shared" si="64"/>
        <v>1.9968582317424433E-2</v>
      </c>
      <c r="AD144">
        <f t="shared" si="74"/>
        <v>0.86809999999999832</v>
      </c>
      <c r="AE144">
        <f t="shared" si="81"/>
        <v>0.86809999999999832</v>
      </c>
      <c r="AF144">
        <f t="shared" si="82"/>
        <v>0</v>
      </c>
      <c r="AG144">
        <f t="shared" si="84"/>
        <v>0.33175935956516461</v>
      </c>
      <c r="AH144">
        <f t="shared" si="84"/>
        <v>0.13564369987713412</v>
      </c>
      <c r="AI144">
        <f t="shared" si="75"/>
        <v>2.4458147327570083</v>
      </c>
      <c r="AJ144">
        <f t="shared" si="83"/>
        <v>70.979287119133744</v>
      </c>
      <c r="AK144" s="14">
        <f t="shared" si="65"/>
        <v>70.979287119133744</v>
      </c>
      <c r="AM144" s="14">
        <f t="shared" si="56"/>
        <v>7.9388768918223551E-2</v>
      </c>
      <c r="AN144" s="36">
        <f t="shared" si="76"/>
        <v>2.5111005047656176E-2</v>
      </c>
      <c r="AO144">
        <f t="shared" si="85"/>
        <v>1</v>
      </c>
      <c r="AP144" s="14">
        <f t="shared" si="86"/>
        <v>0.8</v>
      </c>
      <c r="AQ144">
        <f t="shared" si="77"/>
        <v>3.9641410849564629E-3</v>
      </c>
      <c r="AR144">
        <f t="shared" si="78"/>
        <v>2.1146863962699637E-2</v>
      </c>
      <c r="AS144">
        <f t="shared" si="60"/>
        <v>3.3381898364840249E-3</v>
      </c>
      <c r="AT144">
        <f t="shared" si="61"/>
        <v>1.2826113716210634E-2</v>
      </c>
      <c r="AU144" s="14">
        <f t="shared" si="66"/>
        <v>0.26026510526450131</v>
      </c>
      <c r="AV144" s="19">
        <f t="shared" si="62"/>
        <v>1.5623357827890572</v>
      </c>
      <c r="AW144" s="19">
        <f t="shared" si="57"/>
        <v>0</v>
      </c>
      <c r="AX144">
        <f t="shared" si="67"/>
        <v>0</v>
      </c>
      <c r="AY144">
        <f>IF(W144,SUMPRODUCT(INDEX(AX:AX,X144):INDEX(AX:AX,X144+Y144)),0)</f>
        <v>5</v>
      </c>
      <c r="AZ144">
        <f>IF(V144,COUNT(INDEX(AX:AX,X144):INDEX(AX:AX,ROW())),0)</f>
        <v>134</v>
      </c>
      <c r="BA144" s="14">
        <f t="shared" si="79"/>
        <v>3.7313432835820892E-2</v>
      </c>
      <c r="BB144" s="6">
        <f t="shared" si="68"/>
        <v>679180.76899999997</v>
      </c>
      <c r="BC144" s="6">
        <f>MEDIAN(INDEX(BB:BB,X144):INDEX(BB:BB,X144+Y144-1))</f>
        <v>197598.89474999998</v>
      </c>
      <c r="BD144" s="25">
        <f t="shared" si="69"/>
        <v>197598.89474999998</v>
      </c>
      <c r="BE144">
        <f t="shared" si="80"/>
        <v>0</v>
      </c>
      <c r="BF144" s="6">
        <f>SUM(INDEX(BE:BE,X144):INDEX(BE:BE,X144+Y144-1))</f>
        <v>3</v>
      </c>
      <c r="BG144" s="25">
        <f t="shared" si="70"/>
        <v>3</v>
      </c>
    </row>
    <row r="145" spans="1:59" x14ac:dyDescent="0.3">
      <c r="A145" s="1">
        <v>45562</v>
      </c>
      <c r="B145">
        <v>35.418700000000001</v>
      </c>
      <c r="C145">
        <v>35.690399999999997</v>
      </c>
      <c r="D145">
        <v>35.339199999999998</v>
      </c>
      <c r="E145">
        <v>35.339199999999998</v>
      </c>
      <c r="F145">
        <v>12676</v>
      </c>
      <c r="G145" s="29">
        <v>0.68219727264897201</v>
      </c>
      <c r="H145" s="29">
        <v>1.9304264744220902E-2</v>
      </c>
      <c r="I145" s="29">
        <v>9.9379725630460904E-3</v>
      </c>
      <c r="J145" s="29">
        <v>69.836007785237797</v>
      </c>
      <c r="K145" s="29">
        <v>8.0498006506371594E-2</v>
      </c>
      <c r="L145" s="29">
        <v>0.6</v>
      </c>
      <c r="M145" s="29">
        <v>0.25654528281543898</v>
      </c>
      <c r="N145" s="29">
        <v>1.56425394200315</v>
      </c>
      <c r="O145" s="29">
        <v>-2.8048512074405601E-3</v>
      </c>
      <c r="P145" s="29">
        <v>-2.8048512074405601E-3</v>
      </c>
      <c r="Q145" s="29">
        <v>1.9841269841269799E-2</v>
      </c>
      <c r="R145" s="30">
        <v>217328.47759999899</v>
      </c>
      <c r="S145" s="29">
        <v>3</v>
      </c>
      <c r="T145">
        <v>562.94200000000001</v>
      </c>
      <c r="U145" s="21"/>
      <c r="V145">
        <v>135</v>
      </c>
      <c r="W145" t="b">
        <f>V145&gt;=$C$4</f>
        <v>1</v>
      </c>
      <c r="X145">
        <f>IF(V145&lt;=$C$5,11,ROW()-$C$5+1)</f>
        <v>11</v>
      </c>
      <c r="Y145" s="14">
        <f t="shared" si="63"/>
        <v>135</v>
      </c>
      <c r="Z145" s="10">
        <f t="shared" si="71"/>
        <v>0.35119999999999862</v>
      </c>
      <c r="AA145" s="15">
        <f t="shared" si="72"/>
        <v>9.9379725630460974E-3</v>
      </c>
      <c r="AB145" s="15">
        <f t="shared" si="73"/>
        <v>0.6821972726489719</v>
      </c>
      <c r="AC145" s="10">
        <f t="shared" si="64"/>
        <v>1.9304264744220919E-2</v>
      </c>
      <c r="AD145">
        <f t="shared" si="74"/>
        <v>-9.9400000000002819E-2</v>
      </c>
      <c r="AE145">
        <f t="shared" si="81"/>
        <v>0</v>
      </c>
      <c r="AF145">
        <f t="shared" si="82"/>
        <v>9.9400000000002819E-2</v>
      </c>
      <c r="AG145">
        <f t="shared" si="84"/>
        <v>0.30806226245336715</v>
      </c>
      <c r="AH145">
        <f t="shared" si="84"/>
        <v>0.13305486417162474</v>
      </c>
      <c r="AI145">
        <f t="shared" si="75"/>
        <v>2.315302521041275</v>
      </c>
      <c r="AJ145">
        <f t="shared" si="83"/>
        <v>69.836840117808663</v>
      </c>
      <c r="AK145" s="14">
        <f t="shared" si="65"/>
        <v>69.836840117808663</v>
      </c>
      <c r="AM145" s="14">
        <f t="shared" si="56"/>
        <v>8.0498006506371622E-2</v>
      </c>
      <c r="AN145" s="36">
        <f t="shared" si="76"/>
        <v>-2.8048512074405618E-3</v>
      </c>
      <c r="AO145">
        <f t="shared" si="85"/>
        <v>0</v>
      </c>
      <c r="AP145" s="14">
        <f t="shared" si="86"/>
        <v>0.6</v>
      </c>
      <c r="AQ145">
        <f t="shared" si="77"/>
        <v>-1.4509720448417918E-3</v>
      </c>
      <c r="AR145">
        <f t="shared" si="78"/>
        <v>-1.3538791625987683E-3</v>
      </c>
      <c r="AS145">
        <f t="shared" si="60"/>
        <v>3.293442620998416E-3</v>
      </c>
      <c r="AT145">
        <f t="shared" si="61"/>
        <v>1.283766586878838E-2</v>
      </c>
      <c r="AU145" s="14">
        <f t="shared" si="66"/>
        <v>0.25654528281543842</v>
      </c>
      <c r="AV145" s="19">
        <f t="shared" si="62"/>
        <v>1.5642539420031785</v>
      </c>
      <c r="AW145" s="19">
        <f t="shared" si="57"/>
        <v>-2.8048512074405618E-3</v>
      </c>
      <c r="AX145">
        <f t="shared" si="67"/>
        <v>0</v>
      </c>
      <c r="AY145">
        <f>IF(W145,SUMPRODUCT(INDEX(AX:AX,X145):INDEX(AX:AX,X145+Y145)),0)</f>
        <v>5</v>
      </c>
      <c r="AZ145">
        <f>IF(V145,COUNT(INDEX(AX:AX,X145):INDEX(AX:AX,ROW())),0)</f>
        <v>135</v>
      </c>
      <c r="BA145" s="14">
        <f t="shared" si="79"/>
        <v>3.7037037037037035E-2</v>
      </c>
      <c r="BB145" s="6">
        <f t="shared" si="68"/>
        <v>447959.69919999997</v>
      </c>
      <c r="BC145" s="6">
        <f>MEDIAN(INDEX(BB:BB,X145):INDEX(BB:BB,X145+Y145-1))</f>
        <v>198337.8015</v>
      </c>
      <c r="BD145" s="25">
        <f t="shared" si="69"/>
        <v>198337.8015</v>
      </c>
      <c r="BE145">
        <f t="shared" si="80"/>
        <v>0</v>
      </c>
      <c r="BF145" s="6">
        <f>SUM(INDEX(BE:BE,X145):INDEX(BE:BE,X145+Y145-1))</f>
        <v>3</v>
      </c>
      <c r="BG145" s="25">
        <f t="shared" si="70"/>
        <v>3</v>
      </c>
    </row>
    <row r="146" spans="1:59" x14ac:dyDescent="0.3">
      <c r="A146" s="1">
        <v>45565</v>
      </c>
      <c r="B146">
        <v>35.1205</v>
      </c>
      <c r="C146">
        <v>35.365699999999997</v>
      </c>
      <c r="D146">
        <v>35.040999999999997</v>
      </c>
      <c r="E146">
        <v>35.226599999999998</v>
      </c>
      <c r="F146">
        <v>10563</v>
      </c>
      <c r="G146" s="29">
        <v>0.65666175317404496</v>
      </c>
      <c r="H146" s="29">
        <v>1.8641076719696E-2</v>
      </c>
      <c r="I146" s="29">
        <v>9.2174663464541003E-3</v>
      </c>
      <c r="J146" s="29">
        <v>68.491171506060894</v>
      </c>
      <c r="K146" s="29">
        <v>7.2712766605356999E-2</v>
      </c>
      <c r="L146" s="29">
        <v>0.4</v>
      </c>
      <c r="M146" s="29">
        <v>0.24417238382725601</v>
      </c>
      <c r="N146" s="29">
        <v>1.55849057341317</v>
      </c>
      <c r="O146" s="29">
        <v>-5.9821776255270997E-3</v>
      </c>
      <c r="P146" s="29">
        <v>-3.1862634128673102E-3</v>
      </c>
      <c r="Q146" s="29">
        <v>1.9841269841269799E-2</v>
      </c>
      <c r="R146" s="30">
        <v>217328.47759999899</v>
      </c>
      <c r="S146" s="29">
        <v>3</v>
      </c>
      <c r="T146">
        <v>565.19799999999998</v>
      </c>
      <c r="U146" s="21"/>
      <c r="V146">
        <v>136</v>
      </c>
      <c r="W146" t="b">
        <f>V146&gt;=$C$4</f>
        <v>1</v>
      </c>
      <c r="X146">
        <f>IF(V146&lt;=$C$5,11,ROW()-$C$5+1)</f>
        <v>11</v>
      </c>
      <c r="Y146" s="14">
        <f t="shared" si="63"/>
        <v>136</v>
      </c>
      <c r="Z146" s="10">
        <f t="shared" si="71"/>
        <v>0.32469999999999999</v>
      </c>
      <c r="AA146" s="15">
        <f t="shared" si="72"/>
        <v>9.2174663464541003E-3</v>
      </c>
      <c r="AB146" s="15">
        <f t="shared" si="73"/>
        <v>0.6566617531740454</v>
      </c>
      <c r="AC146" s="10">
        <f t="shared" si="64"/>
        <v>1.8641076719696066E-2</v>
      </c>
      <c r="AD146">
        <f t="shared" si="74"/>
        <v>-0.11260000000000048</v>
      </c>
      <c r="AE146">
        <f t="shared" si="81"/>
        <v>0</v>
      </c>
      <c r="AF146">
        <f t="shared" si="82"/>
        <v>0.11260000000000048</v>
      </c>
      <c r="AG146">
        <f t="shared" si="84"/>
        <v>0.28605781513526951</v>
      </c>
      <c r="AH146">
        <f t="shared" si="84"/>
        <v>0.13159380244508015</v>
      </c>
      <c r="AI146">
        <f t="shared" si="75"/>
        <v>2.1737939767691867</v>
      </c>
      <c r="AJ146">
        <f t="shared" si="83"/>
        <v>68.491968687332204</v>
      </c>
      <c r="AK146" s="14">
        <f t="shared" si="65"/>
        <v>68.491968687332204</v>
      </c>
      <c r="AM146" s="14">
        <f t="shared" si="56"/>
        <v>7.2712766605357082E-2</v>
      </c>
      <c r="AN146" s="36">
        <f t="shared" si="76"/>
        <v>-3.1862634128673184E-3</v>
      </c>
      <c r="AO146">
        <f t="shared" si="85"/>
        <v>0</v>
      </c>
      <c r="AP146" s="14">
        <f t="shared" si="86"/>
        <v>0.4</v>
      </c>
      <c r="AQ146">
        <f t="shared" si="77"/>
        <v>4.0075176483544972E-3</v>
      </c>
      <c r="AR146">
        <f t="shared" si="78"/>
        <v>-7.1937810612218069E-3</v>
      </c>
      <c r="AS146">
        <f t="shared" si="60"/>
        <v>3.1508866229527661E-3</v>
      </c>
      <c r="AT146">
        <f t="shared" si="61"/>
        <v>1.2904352955745876E-2</v>
      </c>
      <c r="AU146" s="14">
        <f t="shared" si="66"/>
        <v>0.2441723838272559</v>
      </c>
      <c r="AV146" s="19">
        <f t="shared" si="62"/>
        <v>1.5584905734131995</v>
      </c>
      <c r="AW146" s="19">
        <f t="shared" si="57"/>
        <v>-5.9821776255271075E-3</v>
      </c>
      <c r="AX146">
        <f t="shared" si="67"/>
        <v>0</v>
      </c>
      <c r="AY146">
        <f>IF(W146,SUMPRODUCT(INDEX(AX:AX,X146):INDEX(AX:AX,X146+Y146)),0)</f>
        <v>5</v>
      </c>
      <c r="AZ146">
        <f>IF(V146,COUNT(INDEX(AX:AX,X146):INDEX(AX:AX,ROW())),0)</f>
        <v>136</v>
      </c>
      <c r="BA146" s="14">
        <f t="shared" si="79"/>
        <v>3.6764705882352942E-2</v>
      </c>
      <c r="BB146" s="6">
        <f t="shared" si="68"/>
        <v>372098.57579999999</v>
      </c>
      <c r="BC146" s="6">
        <f>MEDIAN(INDEX(BB:BB,X146):INDEX(BB:BB,X146+Y146-1))</f>
        <v>200894.283</v>
      </c>
      <c r="BD146" s="25">
        <f t="shared" si="69"/>
        <v>200894.283</v>
      </c>
      <c r="BE146">
        <f t="shared" si="80"/>
        <v>0</v>
      </c>
      <c r="BF146" s="6">
        <f>SUM(INDEX(BE:BE,X146):INDEX(BE:BE,X146+Y146-1))</f>
        <v>3</v>
      </c>
      <c r="BG146" s="25">
        <f t="shared" si="70"/>
        <v>3</v>
      </c>
    </row>
    <row r="147" spans="1:59" x14ac:dyDescent="0.3">
      <c r="A147" s="1">
        <v>45566</v>
      </c>
      <c r="B147">
        <v>35.074199999999998</v>
      </c>
      <c r="C147">
        <v>35.304099999999998</v>
      </c>
      <c r="D147">
        <v>34.981400000000001</v>
      </c>
      <c r="E147">
        <v>35.304099999999998</v>
      </c>
      <c r="F147">
        <v>11318</v>
      </c>
      <c r="G147" s="29">
        <v>0.63280734223304203</v>
      </c>
      <c r="H147" s="29">
        <v>1.7924471725183199E-2</v>
      </c>
      <c r="I147" s="29">
        <v>9.1405814055590499E-3</v>
      </c>
      <c r="J147" s="29">
        <v>68.934591302873301</v>
      </c>
      <c r="K147" s="29">
        <v>5.7186234817813798E-2</v>
      </c>
      <c r="L147" s="29">
        <v>0.4</v>
      </c>
      <c r="M147" s="29">
        <v>0.26382546071310298</v>
      </c>
      <c r="N147" s="29">
        <v>1.5485367316904299</v>
      </c>
      <c r="O147" s="29">
        <v>-3.79529665393107E-3</v>
      </c>
      <c r="P147" s="29">
        <v>2.2000420137056002E-3</v>
      </c>
      <c r="Q147" s="29">
        <v>1.9841269841269799E-2</v>
      </c>
      <c r="R147" s="30">
        <v>219518.86619999999</v>
      </c>
      <c r="S147" s="29">
        <v>3</v>
      </c>
      <c r="T147">
        <v>560.13499999999999</v>
      </c>
      <c r="U147" s="21"/>
      <c r="V147">
        <v>137</v>
      </c>
      <c r="W147" t="b">
        <f>V147&gt;=$C$4</f>
        <v>1</v>
      </c>
      <c r="X147">
        <f>IF(V147&lt;=$C$5,11,ROW()-$C$5+1)</f>
        <v>11</v>
      </c>
      <c r="Y147" s="14">
        <f t="shared" si="63"/>
        <v>137</v>
      </c>
      <c r="Z147" s="10">
        <f t="shared" si="71"/>
        <v>0.32269999999999754</v>
      </c>
      <c r="AA147" s="15">
        <f t="shared" si="72"/>
        <v>9.1405814055590586E-3</v>
      </c>
      <c r="AB147" s="15">
        <f t="shared" si="73"/>
        <v>0.63280734223304191</v>
      </c>
      <c r="AC147" s="10">
        <f t="shared" si="64"/>
        <v>1.7924471725183248E-2</v>
      </c>
      <c r="AD147">
        <f t="shared" si="74"/>
        <v>7.7500000000000568E-2</v>
      </c>
      <c r="AE147">
        <f t="shared" si="81"/>
        <v>7.7500000000000568E-2</v>
      </c>
      <c r="AF147">
        <f t="shared" si="82"/>
        <v>0</v>
      </c>
      <c r="AG147">
        <f t="shared" si="84"/>
        <v>0.27116082833989313</v>
      </c>
      <c r="AH147">
        <f t="shared" si="84"/>
        <v>0.12219424512757442</v>
      </c>
      <c r="AI147">
        <f t="shared" si="75"/>
        <v>2.2190965544800672</v>
      </c>
      <c r="AJ147">
        <f t="shared" si="83"/>
        <v>68.935383481794474</v>
      </c>
      <c r="AK147" s="14">
        <f t="shared" si="65"/>
        <v>68.935383481794474</v>
      </c>
      <c r="AM147" s="14">
        <f t="shared" si="56"/>
        <v>5.7186234817813819E-2</v>
      </c>
      <c r="AN147" s="36">
        <f t="shared" si="76"/>
        <v>2.2000420137056054E-3</v>
      </c>
      <c r="AO147">
        <f t="shared" si="85"/>
        <v>1</v>
      </c>
      <c r="AP147" s="14">
        <f t="shared" si="86"/>
        <v>0.4</v>
      </c>
      <c r="AQ147">
        <f t="shared" si="77"/>
        <v>-8.9579227102714043E-3</v>
      </c>
      <c r="AR147">
        <f t="shared" si="78"/>
        <v>1.1157964723977004E-2</v>
      </c>
      <c r="AS147">
        <f t="shared" si="60"/>
        <v>3.4040086945595809E-3</v>
      </c>
      <c r="AT147">
        <f t="shared" si="61"/>
        <v>1.2902502606680811E-2</v>
      </c>
      <c r="AU147" s="14">
        <f t="shared" si="66"/>
        <v>0.26382546071310325</v>
      </c>
      <c r="AV147" s="19">
        <f t="shared" si="62"/>
        <v>1.5485367316904632</v>
      </c>
      <c r="AW147" s="19">
        <f t="shared" si="57"/>
        <v>-3.7952966539310795E-3</v>
      </c>
      <c r="AX147">
        <f t="shared" si="67"/>
        <v>0</v>
      </c>
      <c r="AY147">
        <f>IF(W147,SUMPRODUCT(INDEX(AX:AX,X147):INDEX(AX:AX,X147+Y147)),0)</f>
        <v>5</v>
      </c>
      <c r="AZ147">
        <f>IF(V147,COUNT(INDEX(AX:AX,X147):INDEX(AX:AX,ROW())),0)</f>
        <v>137</v>
      </c>
      <c r="BA147" s="14">
        <f t="shared" si="79"/>
        <v>3.6496350364963501E-2</v>
      </c>
      <c r="BB147" s="6">
        <f t="shared" si="68"/>
        <v>399571.80379999999</v>
      </c>
      <c r="BC147" s="6">
        <f>MEDIAN(INDEX(BB:BB,X147):INDEX(BB:BB,X147+Y147-1))</f>
        <v>203450.76450000002</v>
      </c>
      <c r="BD147" s="25">
        <f t="shared" si="69"/>
        <v>203450.76450000002</v>
      </c>
      <c r="BE147">
        <f t="shared" si="80"/>
        <v>0</v>
      </c>
      <c r="BF147" s="6">
        <f>SUM(INDEX(BE:BE,X147):INDEX(BE:BE,X147+Y147-1))</f>
        <v>3</v>
      </c>
      <c r="BG147" s="25">
        <f t="shared" si="70"/>
        <v>3</v>
      </c>
    </row>
    <row r="148" spans="1:59" x14ac:dyDescent="0.3">
      <c r="A148" s="1">
        <v>45567</v>
      </c>
      <c r="B148">
        <v>35.133800000000001</v>
      </c>
      <c r="C148">
        <v>35.326000000000001</v>
      </c>
      <c r="D148">
        <v>34.881999999999998</v>
      </c>
      <c r="E148">
        <v>34.881999999999998</v>
      </c>
      <c r="F148">
        <v>20523</v>
      </c>
      <c r="G148" s="29">
        <v>0.61932110350211</v>
      </c>
      <c r="H148" s="29">
        <v>1.77547475346055E-2</v>
      </c>
      <c r="I148" s="29">
        <v>1.2728627945645299E-2</v>
      </c>
      <c r="J148" s="29">
        <v>63.678376133897501</v>
      </c>
      <c r="K148" s="29">
        <v>0.10034730875148599</v>
      </c>
      <c r="L148" s="29">
        <v>0.4</v>
      </c>
      <c r="M148" s="29">
        <v>0.21940686297020101</v>
      </c>
      <c r="N148" s="29">
        <v>1.53595809803418</v>
      </c>
      <c r="O148" s="29">
        <v>-1.57060380489072E-2</v>
      </c>
      <c r="P148" s="29">
        <v>-1.1956118411175999E-2</v>
      </c>
      <c r="Q148" s="29">
        <v>1.9841269841269799E-2</v>
      </c>
      <c r="R148" s="30">
        <v>219518.86619999999</v>
      </c>
      <c r="S148" s="29">
        <v>3</v>
      </c>
      <c r="T148">
        <v>560.37099999999998</v>
      </c>
      <c r="U148" s="21"/>
      <c r="V148">
        <v>138</v>
      </c>
      <c r="W148" t="b">
        <f>V148&gt;=$C$4</f>
        <v>1</v>
      </c>
      <c r="X148">
        <f>IF(V148&lt;=$C$5,11,ROW()-$C$5+1)</f>
        <v>11</v>
      </c>
      <c r="Y148" s="14">
        <f t="shared" si="63"/>
        <v>138</v>
      </c>
      <c r="Z148" s="10">
        <f t="shared" si="71"/>
        <v>0.44400000000000261</v>
      </c>
      <c r="AA148" s="15">
        <f t="shared" si="72"/>
        <v>1.2728627945645395E-2</v>
      </c>
      <c r="AB148" s="15">
        <f t="shared" si="73"/>
        <v>0.61932110350211045</v>
      </c>
      <c r="AC148" s="10">
        <f t="shared" si="64"/>
        <v>1.7754747534605542E-2</v>
      </c>
      <c r="AD148">
        <f t="shared" si="74"/>
        <v>-0.42210000000000036</v>
      </c>
      <c r="AE148">
        <f t="shared" si="81"/>
        <v>0</v>
      </c>
      <c r="AF148">
        <f t="shared" si="82"/>
        <v>0.42210000000000036</v>
      </c>
      <c r="AG148">
        <f t="shared" si="84"/>
        <v>0.25179219774418649</v>
      </c>
      <c r="AH148">
        <f t="shared" si="84"/>
        <v>0.1436160847613191</v>
      </c>
      <c r="AI148">
        <f t="shared" si="75"/>
        <v>1.7532311799381615</v>
      </c>
      <c r="AJ148">
        <f t="shared" si="83"/>
        <v>63.679039839202304</v>
      </c>
      <c r="AK148" s="14">
        <f t="shared" si="65"/>
        <v>63.679039839202304</v>
      </c>
      <c r="AM148" s="14">
        <f t="shared" si="56"/>
        <v>0.10034730875148656</v>
      </c>
      <c r="AN148" s="36">
        <f t="shared" si="76"/>
        <v>-1.1956118411176053E-2</v>
      </c>
      <c r="AO148">
        <f t="shared" si="85"/>
        <v>0</v>
      </c>
      <c r="AP148" s="14">
        <f t="shared" si="86"/>
        <v>0.4</v>
      </c>
      <c r="AQ148">
        <f t="shared" si="77"/>
        <v>4.2132700152630598E-4</v>
      </c>
      <c r="AR148">
        <f t="shared" si="78"/>
        <v>-1.2377445412702305E-2</v>
      </c>
      <c r="AS148">
        <f t="shared" si="60"/>
        <v>2.7892685000950445E-3</v>
      </c>
      <c r="AT148">
        <f t="shared" si="61"/>
        <v>1.2712767788279596E-2</v>
      </c>
      <c r="AU148" s="14">
        <f t="shared" si="66"/>
        <v>0.21940686297020084</v>
      </c>
      <c r="AV148" s="19">
        <f t="shared" si="62"/>
        <v>1.5359580980342045</v>
      </c>
      <c r="AW148" s="19">
        <f t="shared" si="57"/>
        <v>-1.5706038048907245E-2</v>
      </c>
      <c r="AX148">
        <f t="shared" si="67"/>
        <v>0</v>
      </c>
      <c r="AY148">
        <f>IF(W148,SUMPRODUCT(INDEX(AX:AX,X148):INDEX(AX:AX,X148+Y148)),0)</f>
        <v>5</v>
      </c>
      <c r="AZ148">
        <f>IF(V148,COUNT(INDEX(AX:AX,X148):INDEX(AX:AX,ROW())),0)</f>
        <v>138</v>
      </c>
      <c r="BA148" s="14">
        <f t="shared" si="79"/>
        <v>3.6231884057971016E-2</v>
      </c>
      <c r="BB148" s="6">
        <f t="shared" si="68"/>
        <v>715883.28599999996</v>
      </c>
      <c r="BC148" s="6">
        <f>MEDIAN(INDEX(BB:BB,X148):INDEX(BB:BB,X148+Y148-1))</f>
        <v>205848.23850000001</v>
      </c>
      <c r="BD148" s="25">
        <f t="shared" si="69"/>
        <v>205848.23850000001</v>
      </c>
      <c r="BE148">
        <f t="shared" si="80"/>
        <v>0</v>
      </c>
      <c r="BF148" s="6">
        <f>SUM(INDEX(BE:BE,X148):INDEX(BE:BE,X148+Y148-1))</f>
        <v>3</v>
      </c>
      <c r="BG148" s="25">
        <f t="shared" si="70"/>
        <v>3</v>
      </c>
    </row>
    <row r="149" spans="1:59" x14ac:dyDescent="0.3">
      <c r="A149" s="1">
        <v>45568</v>
      </c>
      <c r="B149">
        <v>34.809100000000001</v>
      </c>
      <c r="C149">
        <v>34.9482</v>
      </c>
      <c r="D149">
        <v>34.504300000000001</v>
      </c>
      <c r="E149">
        <v>34.835599999999999</v>
      </c>
      <c r="F149">
        <v>15845</v>
      </c>
      <c r="G149" s="29">
        <v>0.60679102468053103</v>
      </c>
      <c r="H149" s="29">
        <v>1.74187045631632E-2</v>
      </c>
      <c r="I149" s="29">
        <v>1.27427114790616E-2</v>
      </c>
      <c r="J149" s="29">
        <v>63.108720213825897</v>
      </c>
      <c r="K149" s="29">
        <v>0.108598451457685</v>
      </c>
      <c r="L149" s="29">
        <v>0.2</v>
      </c>
      <c r="M149" s="29">
        <v>0.23321711373988499</v>
      </c>
      <c r="N149" s="29">
        <v>1.54900406541705</v>
      </c>
      <c r="O149" s="29">
        <v>-1.7015344849965901E-2</v>
      </c>
      <c r="P149" s="29">
        <v>-1.3301989564817799E-3</v>
      </c>
      <c r="Q149" s="29">
        <v>1.9841269841269799E-2</v>
      </c>
      <c r="R149" s="30">
        <v>220239.029099999</v>
      </c>
      <c r="S149" s="29">
        <v>3</v>
      </c>
      <c r="T149">
        <v>559.34699999999998</v>
      </c>
      <c r="U149" s="21"/>
      <c r="V149">
        <v>139</v>
      </c>
      <c r="W149" t="b">
        <f>V149&gt;=$C$4</f>
        <v>1</v>
      </c>
      <c r="X149">
        <f>IF(V149&lt;=$C$5,11,ROW()-$C$5+1)</f>
        <v>11</v>
      </c>
      <c r="Y149" s="14">
        <f t="shared" si="63"/>
        <v>139</v>
      </c>
      <c r="Z149" s="10">
        <f t="shared" si="71"/>
        <v>0.4438999999999993</v>
      </c>
      <c r="AA149" s="15">
        <f t="shared" si="72"/>
        <v>1.2742711479061629E-2</v>
      </c>
      <c r="AB149" s="15">
        <f t="shared" si="73"/>
        <v>0.60679102468053103</v>
      </c>
      <c r="AC149" s="10">
        <f t="shared" si="64"/>
        <v>1.7418704563163287E-2</v>
      </c>
      <c r="AD149">
        <f t="shared" si="74"/>
        <v>-4.6399999999998442E-2</v>
      </c>
      <c r="AE149">
        <f t="shared" si="81"/>
        <v>0</v>
      </c>
      <c r="AF149">
        <f t="shared" si="82"/>
        <v>4.6399999999998442E-2</v>
      </c>
      <c r="AG149">
        <f t="shared" si="84"/>
        <v>0.23380704076245887</v>
      </c>
      <c r="AH149">
        <f t="shared" si="84"/>
        <v>0.13667207870693904</v>
      </c>
      <c r="AI149">
        <f t="shared" si="75"/>
        <v>1.7107154802540379</v>
      </c>
      <c r="AJ149">
        <f t="shared" si="83"/>
        <v>63.109370670422265</v>
      </c>
      <c r="AK149" s="14">
        <f t="shared" si="65"/>
        <v>63.109370670422265</v>
      </c>
      <c r="AM149" s="14">
        <f t="shared" si="56"/>
        <v>0.10859845145768543</v>
      </c>
      <c r="AN149" s="36">
        <f t="shared" si="76"/>
        <v>-1.3301989564817873E-3</v>
      </c>
      <c r="AO149">
        <f t="shared" si="85"/>
        <v>0</v>
      </c>
      <c r="AP149" s="14">
        <f t="shared" si="86"/>
        <v>0.2</v>
      </c>
      <c r="AQ149">
        <f t="shared" si="77"/>
        <v>-1.8273608020400456E-3</v>
      </c>
      <c r="AR149">
        <f t="shared" si="78"/>
        <v>4.9716184555826564E-4</v>
      </c>
      <c r="AS149">
        <f t="shared" si="60"/>
        <v>2.9438926214268844E-3</v>
      </c>
      <c r="AT149">
        <f t="shared" si="61"/>
        <v>1.2622969962274331E-2</v>
      </c>
      <c r="AU149" s="14">
        <f t="shared" si="66"/>
        <v>0.23321711373988499</v>
      </c>
      <c r="AV149" s="19">
        <f t="shared" si="62"/>
        <v>1.5490040654170778</v>
      </c>
      <c r="AW149" s="19">
        <f t="shared" si="57"/>
        <v>-1.7015344849965919E-2</v>
      </c>
      <c r="AX149">
        <f t="shared" si="67"/>
        <v>0</v>
      </c>
      <c r="AY149">
        <f>IF(W149,SUMPRODUCT(INDEX(AX:AX,X149):INDEX(AX:AX,X149+Y149)),0)</f>
        <v>5</v>
      </c>
      <c r="AZ149">
        <f>IF(V149,COUNT(INDEX(AX:AX,X149):INDEX(AX:AX,ROW())),0)</f>
        <v>139</v>
      </c>
      <c r="BA149" s="14">
        <f t="shared" si="79"/>
        <v>3.5971223021582732E-2</v>
      </c>
      <c r="BB149" s="6">
        <f t="shared" si="68"/>
        <v>551970.08199999994</v>
      </c>
      <c r="BC149" s="6">
        <f>MEDIAN(INDEX(BB:BB,X149):INDEX(BB:BB,X149+Y149-1))</f>
        <v>208245.71249999999</v>
      </c>
      <c r="BD149" s="25">
        <f t="shared" si="69"/>
        <v>208245.71249999999</v>
      </c>
      <c r="BE149">
        <f t="shared" si="80"/>
        <v>0</v>
      </c>
      <c r="BF149" s="6">
        <f>SUM(INDEX(BE:BE,X149):INDEX(BE:BE,X149+Y149-1))</f>
        <v>3</v>
      </c>
      <c r="BG149" s="25">
        <f t="shared" si="70"/>
        <v>3</v>
      </c>
    </row>
    <row r="150" spans="1:59" x14ac:dyDescent="0.3">
      <c r="A150" s="1">
        <v>45569</v>
      </c>
      <c r="B150">
        <v>35.193399999999997</v>
      </c>
      <c r="C150">
        <v>35.2928</v>
      </c>
      <c r="D150">
        <v>35.054299999999998</v>
      </c>
      <c r="E150">
        <v>35.186799999999998</v>
      </c>
      <c r="F150">
        <v>8903</v>
      </c>
      <c r="G150" s="29">
        <v>0.59610595148906398</v>
      </c>
      <c r="H150" s="29">
        <v>1.6941181110219299E-2</v>
      </c>
      <c r="I150" s="29">
        <v>1.29935089294849E-2</v>
      </c>
      <c r="J150" s="29">
        <v>65.615975484956493</v>
      </c>
      <c r="K150" s="29">
        <v>0.12880593615362601</v>
      </c>
      <c r="L150" s="29">
        <v>0.4</v>
      </c>
      <c r="M150" s="29">
        <v>0.249321268105511</v>
      </c>
      <c r="N150" s="29">
        <v>1.5411356428009499</v>
      </c>
      <c r="O150" s="29">
        <v>-7.10524682126278E-3</v>
      </c>
      <c r="P150" s="29">
        <v>1.0081640620514601E-2</v>
      </c>
      <c r="Q150" s="29">
        <v>1.9841269841269799E-2</v>
      </c>
      <c r="R150" s="30">
        <v>224603.46100000001</v>
      </c>
      <c r="S150" s="29">
        <v>3</v>
      </c>
      <c r="T150">
        <v>564.42999999999995</v>
      </c>
      <c r="U150" s="21"/>
      <c r="V150">
        <v>140</v>
      </c>
      <c r="W150" t="b">
        <f>V150&gt;=$C$4</f>
        <v>1</v>
      </c>
      <c r="X150">
        <f>IF(V150&lt;=$C$5,11,ROW()-$C$5+1)</f>
        <v>11</v>
      </c>
      <c r="Y150" s="14">
        <f t="shared" si="63"/>
        <v>140</v>
      </c>
      <c r="Z150" s="10">
        <f t="shared" si="71"/>
        <v>0.45720000000000027</v>
      </c>
      <c r="AA150" s="15">
        <f t="shared" si="72"/>
        <v>1.2993508929484929E-2</v>
      </c>
      <c r="AB150" s="15">
        <f t="shared" si="73"/>
        <v>0.59610595148906442</v>
      </c>
      <c r="AC150" s="10">
        <f t="shared" si="64"/>
        <v>1.6941181110219299E-2</v>
      </c>
      <c r="AD150">
        <f t="shared" si="74"/>
        <v>0.35119999999999862</v>
      </c>
      <c r="AE150">
        <f t="shared" si="81"/>
        <v>0.35119999999999862</v>
      </c>
      <c r="AF150">
        <f t="shared" si="82"/>
        <v>0</v>
      </c>
      <c r="AG150">
        <f t="shared" si="84"/>
        <v>0.24219225213656886</v>
      </c>
      <c r="AH150">
        <f t="shared" si="84"/>
        <v>0.12690978737072911</v>
      </c>
      <c r="AI150">
        <f t="shared" si="75"/>
        <v>1.9083811985995722</v>
      </c>
      <c r="AJ150">
        <f t="shared" si="83"/>
        <v>65.616611726086163</v>
      </c>
      <c r="AK150" s="14">
        <f t="shared" si="65"/>
        <v>65.616611726086163</v>
      </c>
      <c r="AM150" s="14">
        <f t="shared" si="56"/>
        <v>0.12880593615362645</v>
      </c>
      <c r="AN150" s="36">
        <f t="shared" si="76"/>
        <v>1.0081640620514642E-2</v>
      </c>
      <c r="AO150">
        <f t="shared" si="85"/>
        <v>1</v>
      </c>
      <c r="AP150" s="14">
        <f t="shared" si="86"/>
        <v>0.4</v>
      </c>
      <c r="AQ150">
        <f t="shared" si="77"/>
        <v>9.0873822510890712E-3</v>
      </c>
      <c r="AR150">
        <f t="shared" si="78"/>
        <v>9.942583694255297E-4</v>
      </c>
      <c r="AS150">
        <f t="shared" si="60"/>
        <v>3.1201976021616529E-3</v>
      </c>
      <c r="AT150">
        <f t="shared" si="61"/>
        <v>1.2514767094964435E-2</v>
      </c>
      <c r="AU150" s="14">
        <f t="shared" si="66"/>
        <v>0.24932126810551083</v>
      </c>
      <c r="AV150" s="19">
        <f t="shared" si="62"/>
        <v>1.5411356428009841</v>
      </c>
      <c r="AW150" s="19">
        <f t="shared" si="57"/>
        <v>-7.1052468212627895E-3</v>
      </c>
      <c r="AX150">
        <f t="shared" si="67"/>
        <v>0</v>
      </c>
      <c r="AY150">
        <f>IF(W150,SUMPRODUCT(INDEX(AX:AX,X150):INDEX(AX:AX,X150+Y150)),0)</f>
        <v>5</v>
      </c>
      <c r="AZ150">
        <f>IF(V150,COUNT(INDEX(AX:AX,X150):INDEX(AX:AX,ROW())),0)</f>
        <v>140</v>
      </c>
      <c r="BA150" s="14">
        <f t="shared" si="79"/>
        <v>3.5714285714285712E-2</v>
      </c>
      <c r="BB150" s="6">
        <f t="shared" si="68"/>
        <v>313268.08039999998</v>
      </c>
      <c r="BC150" s="6">
        <f>MEDIAN(INDEX(BB:BB,X150):INDEX(BB:BB,X150+Y150-1))</f>
        <v>208353.34474999999</v>
      </c>
      <c r="BD150" s="25">
        <f t="shared" si="69"/>
        <v>208353.34474999999</v>
      </c>
      <c r="BE150">
        <f t="shared" si="80"/>
        <v>0</v>
      </c>
      <c r="BF150" s="6">
        <f>SUM(INDEX(BE:BE,X150):INDEX(BE:BE,X150+Y150-1))</f>
        <v>3</v>
      </c>
      <c r="BG150" s="25">
        <f t="shared" si="70"/>
        <v>3</v>
      </c>
    </row>
    <row r="151" spans="1:59" x14ac:dyDescent="0.3">
      <c r="A151" s="1">
        <v>45572</v>
      </c>
      <c r="B151">
        <v>35.1205</v>
      </c>
      <c r="C151">
        <v>35.186799999999998</v>
      </c>
      <c r="D151">
        <v>34.689799999999998</v>
      </c>
      <c r="E151">
        <v>34.689799999999998</v>
      </c>
      <c r="F151">
        <v>6187</v>
      </c>
      <c r="G151" s="29">
        <v>0.58902695495413104</v>
      </c>
      <c r="H151" s="29">
        <v>1.6979831390037701E-2</v>
      </c>
      <c r="I151" s="29">
        <v>1.43269779589389E-2</v>
      </c>
      <c r="J151" s="29">
        <v>59.457566508899802</v>
      </c>
      <c r="K151" s="29">
        <v>0.13330545518696801</v>
      </c>
      <c r="L151" s="29">
        <v>0.4</v>
      </c>
      <c r="M151" s="29">
        <v>0.23633249239094001</v>
      </c>
      <c r="N151" s="29">
        <v>1.5454934610987101</v>
      </c>
      <c r="O151" s="29">
        <v>-2.1129502858465099E-2</v>
      </c>
      <c r="P151" s="29">
        <v>-1.4124614912410301E-2</v>
      </c>
      <c r="Q151" s="29">
        <v>1.9841269841269799E-2</v>
      </c>
      <c r="R151" s="30">
        <v>224603.46100000001</v>
      </c>
      <c r="S151" s="29">
        <v>3</v>
      </c>
      <c r="T151">
        <v>559.327</v>
      </c>
      <c r="U151" s="21"/>
      <c r="V151">
        <v>141</v>
      </c>
      <c r="W151" t="b">
        <f>V151&gt;=$C$4</f>
        <v>1</v>
      </c>
      <c r="X151">
        <f>IF(V151&lt;=$C$5,11,ROW()-$C$5+1)</f>
        <v>11</v>
      </c>
      <c r="Y151" s="14">
        <f t="shared" si="63"/>
        <v>141</v>
      </c>
      <c r="Z151" s="10">
        <f t="shared" si="71"/>
        <v>0.49699999999999989</v>
      </c>
      <c r="AA151" s="15">
        <f t="shared" si="72"/>
        <v>1.4326977958938936E-2</v>
      </c>
      <c r="AB151" s="15">
        <f t="shared" si="73"/>
        <v>0.58902695495413127</v>
      </c>
      <c r="AC151" s="10">
        <f t="shared" si="64"/>
        <v>1.6979831390037742E-2</v>
      </c>
      <c r="AD151">
        <f t="shared" si="74"/>
        <v>-0.49699999999999989</v>
      </c>
      <c r="AE151">
        <f t="shared" si="81"/>
        <v>0</v>
      </c>
      <c r="AF151">
        <f t="shared" si="82"/>
        <v>0.49699999999999989</v>
      </c>
      <c r="AG151">
        <f t="shared" si="84"/>
        <v>0.22489280555538538</v>
      </c>
      <c r="AH151">
        <f t="shared" si="84"/>
        <v>0.15334480255853417</v>
      </c>
      <c r="AI151">
        <f t="shared" si="75"/>
        <v>1.4665825108062609</v>
      </c>
      <c r="AJ151">
        <f t="shared" si="83"/>
        <v>59.458076280889294</v>
      </c>
      <c r="AK151" s="14">
        <f t="shared" si="65"/>
        <v>59.458076280889294</v>
      </c>
      <c r="AM151" s="14">
        <f t="shared" si="56"/>
        <v>0.13330545518696857</v>
      </c>
      <c r="AN151" s="36">
        <f t="shared" si="76"/>
        <v>-1.4124614912410349E-2</v>
      </c>
      <c r="AO151">
        <f t="shared" si="85"/>
        <v>0</v>
      </c>
      <c r="AP151" s="14">
        <f t="shared" si="86"/>
        <v>0.4</v>
      </c>
      <c r="AQ151">
        <f t="shared" si="77"/>
        <v>-9.0409793951419237E-3</v>
      </c>
      <c r="AR151">
        <f t="shared" si="78"/>
        <v>-5.083635517268377E-3</v>
      </c>
      <c r="AS151">
        <f t="shared" si="60"/>
        <v>2.9673461672217235E-3</v>
      </c>
      <c r="AT151">
        <f t="shared" si="61"/>
        <v>1.2555811252196141E-2</v>
      </c>
      <c r="AU151" s="14">
        <f t="shared" si="66"/>
        <v>0.23633249239094001</v>
      </c>
      <c r="AV151" s="19">
        <f t="shared" si="62"/>
        <v>1.5454934610987376</v>
      </c>
      <c r="AW151" s="19">
        <f t="shared" si="57"/>
        <v>-2.1129502858465155E-2</v>
      </c>
      <c r="AX151">
        <f t="shared" si="67"/>
        <v>0</v>
      </c>
      <c r="AY151">
        <f>IF(W151,SUMPRODUCT(INDEX(AX:AX,X151):INDEX(AX:AX,X151+Y151)),0)</f>
        <v>5</v>
      </c>
      <c r="AZ151">
        <f>IF(V151,COUNT(INDEX(AX:AX,X151):INDEX(AX:AX,ROW())),0)</f>
        <v>141</v>
      </c>
      <c r="BA151" s="14">
        <f t="shared" si="79"/>
        <v>3.5460992907801421E-2</v>
      </c>
      <c r="BB151" s="6">
        <f t="shared" si="68"/>
        <v>214625.79259999999</v>
      </c>
      <c r="BC151" s="6">
        <f>MEDIAN(INDEX(BB:BB,X151):INDEX(BB:BB,X151+Y151-1))</f>
        <v>208460.97699999998</v>
      </c>
      <c r="BD151" s="25">
        <f t="shared" si="69"/>
        <v>208460.97699999998</v>
      </c>
      <c r="BE151">
        <f t="shared" si="80"/>
        <v>0</v>
      </c>
      <c r="BF151" s="6">
        <f>SUM(INDEX(BE:BE,X151):INDEX(BE:BE,X151+Y151-1))</f>
        <v>3</v>
      </c>
      <c r="BG151" s="25">
        <f t="shared" si="70"/>
        <v>3</v>
      </c>
    </row>
    <row r="152" spans="1:59" x14ac:dyDescent="0.3">
      <c r="A152" s="1">
        <v>45573</v>
      </c>
      <c r="B152">
        <v>34.749499999999998</v>
      </c>
      <c r="C152">
        <v>34.921700000000001</v>
      </c>
      <c r="D152">
        <v>34.537399999999998</v>
      </c>
      <c r="E152">
        <v>34.8157</v>
      </c>
      <c r="F152">
        <v>17807</v>
      </c>
      <c r="G152" s="29">
        <v>0.57440360102883603</v>
      </c>
      <c r="H152" s="29">
        <v>1.6498407357279501E-2</v>
      </c>
      <c r="I152" s="29">
        <v>1.1038123605155201E-2</v>
      </c>
      <c r="J152" s="29">
        <v>60.469711989731699</v>
      </c>
      <c r="K152" s="29">
        <v>0.11382795279243101</v>
      </c>
      <c r="L152" s="29">
        <v>0.4</v>
      </c>
      <c r="M152" s="29">
        <v>0.207553158777144</v>
      </c>
      <c r="N152" s="29">
        <v>1.51069731598103</v>
      </c>
      <c r="O152" s="29">
        <v>-1.7576879447833701E-2</v>
      </c>
      <c r="P152" s="29">
        <v>3.6293089034817802E-3</v>
      </c>
      <c r="Q152" s="29">
        <v>1.9841269841269799E-2</v>
      </c>
      <c r="R152" s="30">
        <v>229327.433499999</v>
      </c>
      <c r="S152" s="29">
        <v>3</v>
      </c>
      <c r="T152">
        <v>564.61699999999996</v>
      </c>
      <c r="U152" s="21"/>
      <c r="V152">
        <v>142</v>
      </c>
      <c r="W152" t="b">
        <f>V152&gt;=$C$4</f>
        <v>1</v>
      </c>
      <c r="X152">
        <f>IF(V152&lt;=$C$5,11,ROW()-$C$5+1)</f>
        <v>11</v>
      </c>
      <c r="Y152" s="14">
        <f t="shared" si="63"/>
        <v>142</v>
      </c>
      <c r="Z152" s="10">
        <f t="shared" si="71"/>
        <v>0.38430000000000319</v>
      </c>
      <c r="AA152" s="15">
        <f t="shared" si="72"/>
        <v>1.1038123605155237E-2</v>
      </c>
      <c r="AB152" s="15">
        <f t="shared" si="73"/>
        <v>0.57440360102883636</v>
      </c>
      <c r="AC152" s="10">
        <f t="shared" si="64"/>
        <v>1.6498407357279515E-2</v>
      </c>
      <c r="AD152">
        <f t="shared" si="74"/>
        <v>0.12590000000000146</v>
      </c>
      <c r="AE152">
        <f t="shared" si="81"/>
        <v>0.12590000000000146</v>
      </c>
      <c r="AF152">
        <f t="shared" si="82"/>
        <v>0</v>
      </c>
      <c r="AG152">
        <f t="shared" si="84"/>
        <v>0.21782189087285797</v>
      </c>
      <c r="AH152">
        <f t="shared" si="84"/>
        <v>0.14239160237578172</v>
      </c>
      <c r="AI152">
        <f t="shared" si="75"/>
        <v>1.5297383219131861</v>
      </c>
      <c r="AJ152">
        <f t="shared" si="83"/>
        <v>60.470219732303306</v>
      </c>
      <c r="AK152" s="14">
        <f t="shared" si="65"/>
        <v>60.470219732303306</v>
      </c>
      <c r="AM152" s="14">
        <f t="shared" si="56"/>
        <v>0.11382795279243196</v>
      </c>
      <c r="AN152" s="36">
        <f t="shared" si="76"/>
        <v>3.6293089034817871E-3</v>
      </c>
      <c r="AO152">
        <f t="shared" si="85"/>
        <v>1</v>
      </c>
      <c r="AP152" s="14">
        <f t="shared" si="86"/>
        <v>0.4</v>
      </c>
      <c r="AQ152">
        <f t="shared" si="77"/>
        <v>9.457794814124787E-3</v>
      </c>
      <c r="AR152">
        <f t="shared" si="78"/>
        <v>-5.8284859106430068E-3</v>
      </c>
      <c r="AS152">
        <f t="shared" si="60"/>
        <v>2.5833860011508676E-3</v>
      </c>
      <c r="AT152">
        <f t="shared" si="61"/>
        <v>1.2446864294292564E-2</v>
      </c>
      <c r="AU152" s="14">
        <f t="shared" si="66"/>
        <v>0.20755315877714389</v>
      </c>
      <c r="AV152" s="19">
        <f t="shared" si="62"/>
        <v>1.510697315981063</v>
      </c>
      <c r="AW152" s="19">
        <f t="shared" si="57"/>
        <v>-1.7576879447833704E-2</v>
      </c>
      <c r="AX152">
        <f t="shared" si="67"/>
        <v>0</v>
      </c>
      <c r="AY152">
        <f>IF(W152,SUMPRODUCT(INDEX(AX:AX,X152):INDEX(AX:AX,X152+Y152)),0)</f>
        <v>5</v>
      </c>
      <c r="AZ152">
        <f>IF(V152,COUNT(INDEX(AX:AX,X152):INDEX(AX:AX,ROW())),0)</f>
        <v>142</v>
      </c>
      <c r="BA152" s="14">
        <f t="shared" si="79"/>
        <v>3.5211267605633804E-2</v>
      </c>
      <c r="BB152" s="6">
        <f t="shared" si="68"/>
        <v>619963.16989999998</v>
      </c>
      <c r="BC152" s="6">
        <f>MEDIAN(INDEX(BB:BB,X152):INDEX(BB:BB,X152+Y152-1))</f>
        <v>208884.46729999999</v>
      </c>
      <c r="BD152" s="25">
        <f t="shared" si="69"/>
        <v>208884.46729999999</v>
      </c>
      <c r="BE152">
        <f t="shared" si="80"/>
        <v>0</v>
      </c>
      <c r="BF152" s="6">
        <f>SUM(INDEX(BE:BE,X152):INDEX(BE:BE,X152+Y152-1))</f>
        <v>3</v>
      </c>
      <c r="BG152" s="25">
        <f t="shared" si="70"/>
        <v>3</v>
      </c>
    </row>
    <row r="153" spans="1:59" x14ac:dyDescent="0.3">
      <c r="A153" s="1">
        <v>45574</v>
      </c>
      <c r="B153">
        <v>34.650100000000002</v>
      </c>
      <c r="C153">
        <v>35.107300000000002</v>
      </c>
      <c r="D153">
        <v>34.650100000000002</v>
      </c>
      <c r="E153">
        <v>35.027799999999999</v>
      </c>
      <c r="F153">
        <v>7847</v>
      </c>
      <c r="G153" s="29">
        <v>0.566031915241062</v>
      </c>
      <c r="H153" s="29">
        <v>1.6159505171351399E-2</v>
      </c>
      <c r="I153" s="29">
        <v>1.30524897367234E-2</v>
      </c>
      <c r="J153" s="29">
        <v>62.182582820589403</v>
      </c>
      <c r="K153" s="29">
        <v>0.11966781847647801</v>
      </c>
      <c r="L153" s="29">
        <v>0.6</v>
      </c>
      <c r="M153" s="29">
        <v>0.176536767078842</v>
      </c>
      <c r="N153" s="29">
        <v>1.54893505138076</v>
      </c>
      <c r="O153" s="29">
        <v>-1.1591880040408E-2</v>
      </c>
      <c r="P153" s="29">
        <v>6.0920791482004201E-3</v>
      </c>
      <c r="Q153" s="29">
        <v>1.9841269841269799E-2</v>
      </c>
      <c r="R153" s="30">
        <v>231556.94069999899</v>
      </c>
      <c r="S153" s="29">
        <v>3</v>
      </c>
      <c r="T153">
        <v>568.52800000000002</v>
      </c>
      <c r="U153" s="21"/>
      <c r="V153">
        <v>143</v>
      </c>
      <c r="W153" t="b">
        <f>V153&gt;=$C$4</f>
        <v>1</v>
      </c>
      <c r="X153">
        <f>IF(V153&lt;=$C$5,11,ROW()-$C$5+1)</f>
        <v>11</v>
      </c>
      <c r="Y153" s="14">
        <f t="shared" si="63"/>
        <v>143</v>
      </c>
      <c r="Z153" s="10">
        <f t="shared" si="71"/>
        <v>0.45720000000000027</v>
      </c>
      <c r="AA153" s="15">
        <f t="shared" si="72"/>
        <v>1.305248973672341E-2</v>
      </c>
      <c r="AB153" s="15">
        <f t="shared" si="73"/>
        <v>0.56603191524106233</v>
      </c>
      <c r="AC153" s="10">
        <f t="shared" si="64"/>
        <v>1.6159505171351392E-2</v>
      </c>
      <c r="AD153">
        <f t="shared" si="74"/>
        <v>0.21209999999999951</v>
      </c>
      <c r="AE153">
        <f t="shared" si="81"/>
        <v>0.21209999999999951</v>
      </c>
      <c r="AF153">
        <f t="shared" si="82"/>
        <v>0</v>
      </c>
      <c r="AG153">
        <f t="shared" si="84"/>
        <v>0.21741318438193952</v>
      </c>
      <c r="AH153">
        <f t="shared" si="84"/>
        <v>0.13222077363465445</v>
      </c>
      <c r="AI153">
        <f t="shared" si="75"/>
        <v>1.6443194091624687</v>
      </c>
      <c r="AJ153">
        <f t="shared" si="83"/>
        <v>62.183085880811632</v>
      </c>
      <c r="AK153" s="14">
        <f t="shared" si="65"/>
        <v>62.183085880811632</v>
      </c>
      <c r="AM153" s="14">
        <f t="shared" si="56"/>
        <v>0.11966781847647856</v>
      </c>
      <c r="AN153" s="36">
        <f t="shared" si="76"/>
        <v>6.0920791482004244E-3</v>
      </c>
      <c r="AO153">
        <f t="shared" si="85"/>
        <v>1</v>
      </c>
      <c r="AP153" s="14">
        <f t="shared" si="86"/>
        <v>0.6</v>
      </c>
      <c r="AQ153">
        <f t="shared" si="77"/>
        <v>6.9268194191816068E-3</v>
      </c>
      <c r="AR153">
        <f t="shared" si="78"/>
        <v>-8.3474027098118676E-4</v>
      </c>
      <c r="AS153">
        <f t="shared" si="60"/>
        <v>2.1196033116021198E-3</v>
      </c>
      <c r="AT153">
        <f t="shared" si="61"/>
        <v>1.2006582802411354E-2</v>
      </c>
      <c r="AU153" s="14">
        <f t="shared" si="66"/>
        <v>0.17653676707884172</v>
      </c>
      <c r="AV153" s="19">
        <f t="shared" si="62"/>
        <v>1.548935051380792</v>
      </c>
      <c r="AW153" s="19">
        <f t="shared" si="57"/>
        <v>-1.1591880040408009E-2</v>
      </c>
      <c r="AX153">
        <f t="shared" si="67"/>
        <v>0</v>
      </c>
      <c r="AY153">
        <f>IF(W153,SUMPRODUCT(INDEX(AX:AX,X153):INDEX(AX:AX,X153+Y153)),0)</f>
        <v>5</v>
      </c>
      <c r="AZ153">
        <f>IF(V153,COUNT(INDEX(AX:AX,X153):INDEX(AX:AX,ROW())),0)</f>
        <v>143</v>
      </c>
      <c r="BA153" s="14">
        <f t="shared" si="79"/>
        <v>3.4965034965034968E-2</v>
      </c>
      <c r="BB153" s="6">
        <f t="shared" si="68"/>
        <v>274863.14659999998</v>
      </c>
      <c r="BC153" s="6">
        <f>MEDIAN(INDEX(BB:BB,X153):INDEX(BB:BB,X153+Y153-1))</f>
        <v>209307.95759999999</v>
      </c>
      <c r="BD153" s="25">
        <f t="shared" si="69"/>
        <v>209307.95759999999</v>
      </c>
      <c r="BE153">
        <f t="shared" si="80"/>
        <v>0</v>
      </c>
      <c r="BF153" s="6">
        <f>SUM(INDEX(BE:BE,X153):INDEX(BE:BE,X153+Y153-1))</f>
        <v>3</v>
      </c>
      <c r="BG153" s="25">
        <f t="shared" si="70"/>
        <v>3</v>
      </c>
    </row>
    <row r="154" spans="1:59" x14ac:dyDescent="0.3">
      <c r="A154" s="1">
        <v>45575</v>
      </c>
      <c r="B154">
        <v>34.881999999999998</v>
      </c>
      <c r="C154">
        <v>35.153700000000001</v>
      </c>
      <c r="D154">
        <v>34.881999999999998</v>
      </c>
      <c r="E154">
        <v>35.153700000000001</v>
      </c>
      <c r="F154">
        <v>6941</v>
      </c>
      <c r="G154" s="29">
        <v>0.54500820700955799</v>
      </c>
      <c r="H154" s="29">
        <v>1.5503580192399599E-2</v>
      </c>
      <c r="I154" s="29">
        <v>7.72891615960774E-3</v>
      </c>
      <c r="J154" s="29">
        <v>63.201855310492</v>
      </c>
      <c r="K154" s="29">
        <v>0.116139294763111</v>
      </c>
      <c r="L154" s="29">
        <v>0.8</v>
      </c>
      <c r="M154" s="29">
        <v>0.162535394490775</v>
      </c>
      <c r="N154" s="29">
        <v>1.5359609031678001</v>
      </c>
      <c r="O154" s="29">
        <v>-8.0392566297765502E-3</v>
      </c>
      <c r="P154" s="29">
        <v>3.5942879655588198E-3</v>
      </c>
      <c r="Q154" s="29">
        <v>1.9841269841269799E-2</v>
      </c>
      <c r="R154" s="30">
        <v>231556.94069999899</v>
      </c>
      <c r="S154" s="29">
        <v>3</v>
      </c>
      <c r="T154">
        <v>567.53300000000002</v>
      </c>
      <c r="U154" s="21"/>
      <c r="V154">
        <v>144</v>
      </c>
      <c r="W154" t="b">
        <f>V154&gt;=$C$4</f>
        <v>1</v>
      </c>
      <c r="X154">
        <f>IF(V154&lt;=$C$5,11,ROW()-$C$5+1)</f>
        <v>11</v>
      </c>
      <c r="Y154" s="14">
        <f t="shared" si="63"/>
        <v>144</v>
      </c>
      <c r="Z154" s="10">
        <f t="shared" si="71"/>
        <v>0.27170000000000272</v>
      </c>
      <c r="AA154" s="15">
        <f t="shared" si="72"/>
        <v>7.7289161596077426E-3</v>
      </c>
      <c r="AB154" s="15">
        <f t="shared" si="73"/>
        <v>0.5450082070095581</v>
      </c>
      <c r="AC154" s="10">
        <f t="shared" si="64"/>
        <v>1.5503580192399608E-2</v>
      </c>
      <c r="AD154">
        <f t="shared" si="74"/>
        <v>0.12590000000000146</v>
      </c>
      <c r="AE154">
        <f t="shared" si="81"/>
        <v>0.12590000000000146</v>
      </c>
      <c r="AF154">
        <f t="shared" si="82"/>
        <v>0</v>
      </c>
      <c r="AG154">
        <f t="shared" si="84"/>
        <v>0.21087652835465823</v>
      </c>
      <c r="AH154">
        <f t="shared" si="84"/>
        <v>0.12277643266075056</v>
      </c>
      <c r="AI154">
        <f t="shared" si="75"/>
        <v>1.7175652019255296</v>
      </c>
      <c r="AJ154">
        <f t="shared" si="83"/>
        <v>63.202354839859943</v>
      </c>
      <c r="AK154" s="14">
        <f t="shared" si="65"/>
        <v>63.202354839859943</v>
      </c>
      <c r="AM154" s="14">
        <f t="shared" si="56"/>
        <v>0.11613929476311124</v>
      </c>
      <c r="AN154" s="36">
        <f t="shared" si="76"/>
        <v>3.5942879655588289E-3</v>
      </c>
      <c r="AO154">
        <f t="shared" si="85"/>
        <v>1</v>
      </c>
      <c r="AP154" s="14">
        <f t="shared" si="86"/>
        <v>0.8</v>
      </c>
      <c r="AQ154">
        <f t="shared" si="77"/>
        <v>-1.750133678552368E-3</v>
      </c>
      <c r="AR154">
        <f t="shared" si="78"/>
        <v>5.3444216441111882E-3</v>
      </c>
      <c r="AS154">
        <f t="shared" si="60"/>
        <v>1.9263123564819439E-3</v>
      </c>
      <c r="AT154">
        <f t="shared" si="61"/>
        <v>1.1851648451816257E-2</v>
      </c>
      <c r="AU154" s="14">
        <f t="shared" si="66"/>
        <v>0.16253539449077548</v>
      </c>
      <c r="AV154" s="19">
        <f t="shared" si="62"/>
        <v>1.5359609031678312</v>
      </c>
      <c r="AW154" s="19">
        <f t="shared" si="57"/>
        <v>-8.0392566297765589E-3</v>
      </c>
      <c r="AX154">
        <f t="shared" si="67"/>
        <v>0</v>
      </c>
      <c r="AY154">
        <f>IF(W154,SUMPRODUCT(INDEX(AX:AX,X154):INDEX(AX:AX,X154+Y154)),0)</f>
        <v>5</v>
      </c>
      <c r="AZ154">
        <f>IF(V154,COUNT(INDEX(AX:AX,X154):INDEX(AX:AX,ROW())),0)</f>
        <v>144</v>
      </c>
      <c r="BA154" s="14">
        <f t="shared" si="79"/>
        <v>3.4722222222222224E-2</v>
      </c>
      <c r="BB154" s="6">
        <f t="shared" si="68"/>
        <v>244001.83170000001</v>
      </c>
      <c r="BC154" s="6">
        <f>MEDIAN(INDEX(BB:BB,X154):INDEX(BB:BB,X154+Y154-1))</f>
        <v>209498.16029999999</v>
      </c>
      <c r="BD154" s="25">
        <f t="shared" si="69"/>
        <v>209498.16029999999</v>
      </c>
      <c r="BE154">
        <f t="shared" si="80"/>
        <v>0</v>
      </c>
      <c r="BF154" s="6">
        <f>SUM(INDEX(BE:BE,X154):INDEX(BE:BE,X154+Y154-1))</f>
        <v>3</v>
      </c>
      <c r="BG154" s="25">
        <f t="shared" si="70"/>
        <v>3</v>
      </c>
    </row>
    <row r="155" spans="1:59" x14ac:dyDescent="0.3">
      <c r="A155" s="1">
        <v>45576</v>
      </c>
      <c r="B155">
        <v>35.213299999999997</v>
      </c>
      <c r="C155">
        <v>36.025100000000002</v>
      </c>
      <c r="D155">
        <v>35.213299999999997</v>
      </c>
      <c r="E155">
        <v>35.531399999999998</v>
      </c>
      <c r="F155">
        <v>7847</v>
      </c>
      <c r="G155" s="29">
        <v>0.56832190650887504</v>
      </c>
      <c r="H155" s="29">
        <v>1.5994920169452202E-2</v>
      </c>
      <c r="I155" s="29">
        <v>2.4524786526846701E-2</v>
      </c>
      <c r="J155" s="29">
        <v>66.149464612516198</v>
      </c>
      <c r="K155" s="29">
        <v>9.8546871135295394E-2</v>
      </c>
      <c r="L155" s="29">
        <v>0.8</v>
      </c>
      <c r="M155" s="29">
        <v>0.17180006909821699</v>
      </c>
      <c r="N155" s="29">
        <v>1.5376635962699701</v>
      </c>
      <c r="O155" s="29">
        <v>0</v>
      </c>
      <c r="P155" s="29">
        <v>1.0744245982641801E-2</v>
      </c>
      <c r="Q155" s="29">
        <v>1.9841269841269799E-2</v>
      </c>
      <c r="R155" s="30">
        <v>231556.94069999899</v>
      </c>
      <c r="S155" s="29">
        <v>3</v>
      </c>
      <c r="T155">
        <v>570.93100000000004</v>
      </c>
      <c r="U155" s="21"/>
      <c r="V155">
        <v>145</v>
      </c>
      <c r="W155" t="b">
        <f>V155&gt;=$C$4</f>
        <v>1</v>
      </c>
      <c r="X155">
        <f>IF(V155&lt;=$C$5,11,ROW()-$C$5+1)</f>
        <v>11</v>
      </c>
      <c r="Y155" s="14">
        <f t="shared" si="63"/>
        <v>145</v>
      </c>
      <c r="Z155" s="10">
        <f t="shared" si="71"/>
        <v>0.87140000000000128</v>
      </c>
      <c r="AA155" s="15">
        <f t="shared" si="72"/>
        <v>2.4524786526846715E-2</v>
      </c>
      <c r="AB155" s="15">
        <f t="shared" si="73"/>
        <v>0.56832190650887549</v>
      </c>
      <c r="AC155" s="10">
        <f t="shared" si="64"/>
        <v>1.5994920169452247E-2</v>
      </c>
      <c r="AD155">
        <f t="shared" si="74"/>
        <v>0.37769999999999726</v>
      </c>
      <c r="AE155">
        <f t="shared" si="81"/>
        <v>0.37769999999999726</v>
      </c>
      <c r="AF155">
        <f t="shared" si="82"/>
        <v>0</v>
      </c>
      <c r="AG155">
        <f t="shared" si="84"/>
        <v>0.22279249061503958</v>
      </c>
      <c r="AH155">
        <f t="shared" si="84"/>
        <v>0.11400668747069695</v>
      </c>
      <c r="AI155">
        <f t="shared" si="75"/>
        <v>1.9542054554677222</v>
      </c>
      <c r="AJ155">
        <f t="shared" si="83"/>
        <v>66.149950804905146</v>
      </c>
      <c r="AK155" s="14">
        <f t="shared" si="65"/>
        <v>66.149950804905146</v>
      </c>
      <c r="AM155" s="14">
        <f t="shared" si="56"/>
        <v>9.8546871135295477E-2</v>
      </c>
      <c r="AN155" s="36">
        <f t="shared" si="76"/>
        <v>1.0744245982641898E-2</v>
      </c>
      <c r="AO155">
        <f t="shared" si="85"/>
        <v>1</v>
      </c>
      <c r="AP155" s="14">
        <f t="shared" si="86"/>
        <v>0.8</v>
      </c>
      <c r="AQ155">
        <f t="shared" si="77"/>
        <v>5.9873170370710049E-3</v>
      </c>
      <c r="AR155">
        <f t="shared" si="78"/>
        <v>4.7569289455707958E-3</v>
      </c>
      <c r="AS155">
        <f t="shared" si="60"/>
        <v>2.035072898636621E-3</v>
      </c>
      <c r="AT155">
        <f t="shared" si="61"/>
        <v>1.1845588359299095E-2</v>
      </c>
      <c r="AU155" s="14">
        <f t="shared" si="66"/>
        <v>0.17180006909821713</v>
      </c>
      <c r="AV155" s="19">
        <f t="shared" si="62"/>
        <v>1.5376635962700043</v>
      </c>
      <c r="AW155" s="19">
        <f t="shared" si="57"/>
        <v>0</v>
      </c>
      <c r="AX155">
        <f t="shared" si="67"/>
        <v>0</v>
      </c>
      <c r="AY155">
        <f>IF(W155,SUMPRODUCT(INDEX(AX:AX,X155):INDEX(AX:AX,X155+Y155)),0)</f>
        <v>5</v>
      </c>
      <c r="AZ155">
        <f>IF(V155,COUNT(INDEX(AX:AX,X155):INDEX(AX:AX,ROW())),0)</f>
        <v>145</v>
      </c>
      <c r="BA155" s="14">
        <f t="shared" si="79"/>
        <v>3.4482758620689655E-2</v>
      </c>
      <c r="BB155" s="6">
        <f t="shared" si="68"/>
        <v>278814.8958</v>
      </c>
      <c r="BC155" s="6">
        <f>MEDIAN(INDEX(BB:BB,X155):INDEX(BB:BB,X155+Y155-1))</f>
        <v>209688.36299999998</v>
      </c>
      <c r="BD155" s="25">
        <f t="shared" si="69"/>
        <v>209688.36299999998</v>
      </c>
      <c r="BE155">
        <f t="shared" si="80"/>
        <v>0</v>
      </c>
      <c r="BF155" s="6">
        <f>SUM(INDEX(BE:BE,X155):INDEX(BE:BE,X155+Y155-1))</f>
        <v>3</v>
      </c>
      <c r="BG155" s="25">
        <f t="shared" si="70"/>
        <v>3</v>
      </c>
    </row>
    <row r="156" spans="1:59" x14ac:dyDescent="0.3">
      <c r="A156" s="1">
        <v>45579</v>
      </c>
      <c r="B156">
        <v>35.451900000000002</v>
      </c>
      <c r="C156">
        <v>35.829599999999999</v>
      </c>
      <c r="D156">
        <v>35.451900000000002</v>
      </c>
      <c r="E156">
        <v>35.750100000000003</v>
      </c>
      <c r="F156">
        <v>8450</v>
      </c>
      <c r="G156" s="29">
        <v>0.55470605604395595</v>
      </c>
      <c r="H156" s="29">
        <v>1.5516209913929E-2</v>
      </c>
      <c r="I156" s="29">
        <v>1.05650054125721E-2</v>
      </c>
      <c r="J156" s="29">
        <v>67.759841912023603</v>
      </c>
      <c r="K156" s="29">
        <v>9.4543829086310899E-2</v>
      </c>
      <c r="L156" s="29">
        <v>1</v>
      </c>
      <c r="M156" s="29">
        <v>0.14613997989194499</v>
      </c>
      <c r="N156" s="29">
        <v>1.5162890526580399</v>
      </c>
      <c r="O156" s="29">
        <v>0</v>
      </c>
      <c r="P156" s="29">
        <v>6.1551191340618499E-3</v>
      </c>
      <c r="Q156" s="29">
        <v>1.9841269841269799E-2</v>
      </c>
      <c r="R156" s="30">
        <v>231556.94069999899</v>
      </c>
      <c r="S156" s="29">
        <v>3</v>
      </c>
      <c r="T156">
        <v>575.601</v>
      </c>
      <c r="U156" s="21"/>
      <c r="V156">
        <v>146</v>
      </c>
      <c r="W156" t="b">
        <f>V156&gt;=$C$4</f>
        <v>1</v>
      </c>
      <c r="X156">
        <f>IF(V156&lt;=$C$5,11,ROW()-$C$5+1)</f>
        <v>11</v>
      </c>
      <c r="Y156" s="14">
        <f t="shared" si="63"/>
        <v>146</v>
      </c>
      <c r="Z156" s="10">
        <f t="shared" si="71"/>
        <v>0.37769999999999726</v>
      </c>
      <c r="AA156" s="15">
        <f t="shared" si="72"/>
        <v>1.0565005412572196E-2</v>
      </c>
      <c r="AB156" s="15">
        <f t="shared" si="73"/>
        <v>0.55470605604395562</v>
      </c>
      <c r="AC156" s="10">
        <f t="shared" si="64"/>
        <v>1.5516209913929067E-2</v>
      </c>
      <c r="AD156">
        <f t="shared" si="74"/>
        <v>0.21870000000000545</v>
      </c>
      <c r="AE156">
        <f t="shared" si="81"/>
        <v>0.21870000000000545</v>
      </c>
      <c r="AF156">
        <f t="shared" si="82"/>
        <v>0</v>
      </c>
      <c r="AG156">
        <f t="shared" si="84"/>
        <v>0.22250016985682283</v>
      </c>
      <c r="AH156">
        <f t="shared" si="84"/>
        <v>0.10586335265136146</v>
      </c>
      <c r="AI156">
        <f t="shared" si="75"/>
        <v>2.1017676493732447</v>
      </c>
      <c r="AJ156">
        <f t="shared" si="83"/>
        <v>67.760318855538259</v>
      </c>
      <c r="AK156" s="14">
        <f t="shared" si="65"/>
        <v>67.760318855538259</v>
      </c>
      <c r="AM156" s="14">
        <f t="shared" si="56"/>
        <v>9.4543829086310982E-2</v>
      </c>
      <c r="AN156" s="36">
        <f t="shared" si="76"/>
        <v>6.1551191340618594E-3</v>
      </c>
      <c r="AO156">
        <f t="shared" si="85"/>
        <v>1</v>
      </c>
      <c r="AP156" s="14">
        <f t="shared" si="86"/>
        <v>1</v>
      </c>
      <c r="AQ156">
        <f t="shared" si="77"/>
        <v>8.1796224062100631E-3</v>
      </c>
      <c r="AR156">
        <f t="shared" si="78"/>
        <v>-2.0245032721482132E-3</v>
      </c>
      <c r="AS156">
        <f t="shared" si="60"/>
        <v>1.7037142820655051E-3</v>
      </c>
      <c r="AT156">
        <f t="shared" si="61"/>
        <v>1.1658098511613446E-2</v>
      </c>
      <c r="AU156" s="14">
        <f t="shared" si="66"/>
        <v>0.14613997989194519</v>
      </c>
      <c r="AV156" s="19">
        <f t="shared" si="62"/>
        <v>1.5162890526580739</v>
      </c>
      <c r="AW156" s="19">
        <f t="shared" si="57"/>
        <v>0</v>
      </c>
      <c r="AX156">
        <f t="shared" si="67"/>
        <v>0</v>
      </c>
      <c r="AY156">
        <f>IF(W156,SUMPRODUCT(INDEX(AX:AX,X156):INDEX(AX:AX,X156+Y156)),0)</f>
        <v>5</v>
      </c>
      <c r="AZ156">
        <f>IF(V156,COUNT(INDEX(AX:AX,X156):INDEX(AX:AX,ROW())),0)</f>
        <v>146</v>
      </c>
      <c r="BA156" s="14">
        <f t="shared" si="79"/>
        <v>3.4246575342465752E-2</v>
      </c>
      <c r="BB156" s="6">
        <f t="shared" si="68"/>
        <v>302088.34500000003</v>
      </c>
      <c r="BC156" s="6">
        <f>MEDIAN(INDEX(BB:BB,X156):INDEX(BB:BB,X156+Y156-1))</f>
        <v>209922.48569999999</v>
      </c>
      <c r="BD156" s="25">
        <f t="shared" si="69"/>
        <v>209922.48569999999</v>
      </c>
      <c r="BE156">
        <f t="shared" si="80"/>
        <v>0</v>
      </c>
      <c r="BF156" s="6">
        <f>SUM(INDEX(BE:BE,X156):INDEX(BE:BE,X156+Y156-1))</f>
        <v>3</v>
      </c>
      <c r="BG156" s="25">
        <f t="shared" si="70"/>
        <v>3</v>
      </c>
    </row>
    <row r="157" spans="1:59" x14ac:dyDescent="0.3">
      <c r="A157" s="1">
        <v>45580</v>
      </c>
      <c r="B157">
        <v>35.683799999999998</v>
      </c>
      <c r="C157">
        <v>35.683799999999998</v>
      </c>
      <c r="D157">
        <v>35.412100000000002</v>
      </c>
      <c r="E157">
        <v>35.412100000000002</v>
      </c>
      <c r="F157">
        <v>4829</v>
      </c>
      <c r="G157" s="29">
        <v>0.539227052040816</v>
      </c>
      <c r="H157" s="29">
        <v>1.5227197823365899E-2</v>
      </c>
      <c r="I157" s="29">
        <v>9.5447601243642908E-3</v>
      </c>
      <c r="J157" s="29">
        <v>62.788275409705903</v>
      </c>
      <c r="K157" s="29">
        <v>6.0106034253075202E-2</v>
      </c>
      <c r="L157" s="29">
        <v>0.8</v>
      </c>
      <c r="M157" s="29">
        <v>0.139700330563927</v>
      </c>
      <c r="N157" s="29">
        <v>1.5361092681328301</v>
      </c>
      <c r="O157" s="29">
        <v>-9.4545190083384894E-3</v>
      </c>
      <c r="P157" s="29">
        <v>-9.4545190083384894E-3</v>
      </c>
      <c r="Q157" s="29">
        <v>1.9841269841269799E-2</v>
      </c>
      <c r="R157" s="30">
        <v>231556.94069999899</v>
      </c>
      <c r="S157" s="29">
        <v>3</v>
      </c>
      <c r="T157">
        <v>571.12800000000004</v>
      </c>
      <c r="U157" s="21"/>
      <c r="V157">
        <v>147</v>
      </c>
      <c r="W157" t="b">
        <f>V157&gt;=$C$4</f>
        <v>1</v>
      </c>
      <c r="X157">
        <f>IF(V157&lt;=$C$5,11,ROW()-$C$5+1)</f>
        <v>11</v>
      </c>
      <c r="Y157" s="14">
        <f t="shared" si="63"/>
        <v>147</v>
      </c>
      <c r="Z157" s="10">
        <f t="shared" si="71"/>
        <v>0.33800000000000097</v>
      </c>
      <c r="AA157" s="15">
        <f t="shared" si="72"/>
        <v>9.5447601243642977E-3</v>
      </c>
      <c r="AB157" s="15">
        <f t="shared" si="73"/>
        <v>0.539227052040816</v>
      </c>
      <c r="AC157" s="10">
        <f t="shared" si="64"/>
        <v>1.5227197823365912E-2</v>
      </c>
      <c r="AD157">
        <f t="shared" si="74"/>
        <v>-0.33800000000000097</v>
      </c>
      <c r="AE157">
        <f t="shared" si="81"/>
        <v>0</v>
      </c>
      <c r="AF157">
        <f t="shared" si="82"/>
        <v>0.33800000000000097</v>
      </c>
      <c r="AG157">
        <f t="shared" si="84"/>
        <v>0.2066073005813355</v>
      </c>
      <c r="AH157">
        <f t="shared" si="84"/>
        <v>0.12244454174769284</v>
      </c>
      <c r="AI157">
        <f t="shared" si="75"/>
        <v>1.6873541084997241</v>
      </c>
      <c r="AJ157">
        <f t="shared" si="83"/>
        <v>62.788677649992593</v>
      </c>
      <c r="AK157" s="14">
        <f t="shared" si="65"/>
        <v>62.788677649992593</v>
      </c>
      <c r="AM157" s="14">
        <f t="shared" si="56"/>
        <v>6.0106034253075258E-2</v>
      </c>
      <c r="AN157" s="36">
        <f t="shared" si="76"/>
        <v>-9.4545190083384911E-3</v>
      </c>
      <c r="AO157">
        <f t="shared" si="85"/>
        <v>0</v>
      </c>
      <c r="AP157" s="14">
        <f t="shared" si="86"/>
        <v>0.8</v>
      </c>
      <c r="AQ157">
        <f t="shared" si="77"/>
        <v>-7.7710080420290151E-3</v>
      </c>
      <c r="AR157">
        <f t="shared" si="78"/>
        <v>-1.6835109663094743E-3</v>
      </c>
      <c r="AS157">
        <f t="shared" si="60"/>
        <v>1.629555720491585E-3</v>
      </c>
      <c r="AT157">
        <f t="shared" si="61"/>
        <v>1.16646518581135E-2</v>
      </c>
      <c r="AU157" s="14">
        <f t="shared" si="66"/>
        <v>0.13970033056392731</v>
      </c>
      <c r="AV157" s="19">
        <f t="shared" si="62"/>
        <v>1.5361092681328645</v>
      </c>
      <c r="AW157" s="19">
        <f t="shared" si="57"/>
        <v>-9.4545190083384911E-3</v>
      </c>
      <c r="AX157">
        <f t="shared" si="67"/>
        <v>0</v>
      </c>
      <c r="AY157">
        <f>IF(W157,SUMPRODUCT(INDEX(AX:AX,X157):INDEX(AX:AX,X157+Y157)),0)</f>
        <v>5</v>
      </c>
      <c r="AZ157">
        <f>IF(V157,COUNT(INDEX(AX:AX,X157):INDEX(AX:AX,ROW())),0)</f>
        <v>147</v>
      </c>
      <c r="BA157" s="14">
        <f t="shared" si="79"/>
        <v>3.4013605442176874E-2</v>
      </c>
      <c r="BB157" s="6">
        <f t="shared" si="68"/>
        <v>171005.03090000001</v>
      </c>
      <c r="BC157" s="6">
        <f>MEDIAN(INDEX(BB:BB,X157):INDEX(BB:BB,X157+Y157-1))</f>
        <v>209688.36299999998</v>
      </c>
      <c r="BD157" s="25">
        <f t="shared" si="69"/>
        <v>209688.36299999998</v>
      </c>
      <c r="BE157">
        <f t="shared" si="80"/>
        <v>0</v>
      </c>
      <c r="BF157" s="6">
        <f>SUM(INDEX(BE:BE,X157):INDEX(BE:BE,X157+Y157-1))</f>
        <v>3</v>
      </c>
      <c r="BG157" s="25">
        <f t="shared" si="70"/>
        <v>3</v>
      </c>
    </row>
    <row r="158" spans="1:59" x14ac:dyDescent="0.3">
      <c r="A158" s="1">
        <v>45581</v>
      </c>
      <c r="B158">
        <v>35.571100000000001</v>
      </c>
      <c r="C158">
        <v>36.472299999999997</v>
      </c>
      <c r="D158">
        <v>35.571100000000001</v>
      </c>
      <c r="E158">
        <v>36.313299999999998</v>
      </c>
      <c r="F158">
        <v>13581</v>
      </c>
      <c r="G158" s="29">
        <v>0.57643940546647199</v>
      </c>
      <c r="H158" s="29">
        <v>1.5874057314165101E-2</v>
      </c>
      <c r="I158" s="29">
        <v>2.91959144445697E-2</v>
      </c>
      <c r="J158" s="29">
        <v>69.263618366334399</v>
      </c>
      <c r="K158" s="29">
        <v>9.1633573925826203E-2</v>
      </c>
      <c r="L158" s="29">
        <v>0.8</v>
      </c>
      <c r="M158" s="29">
        <v>0.16401538825600501</v>
      </c>
      <c r="N158" s="29">
        <v>1.5508265387537901</v>
      </c>
      <c r="O158" s="29">
        <v>0</v>
      </c>
      <c r="P158" s="29">
        <v>2.54489284736008E-2</v>
      </c>
      <c r="Q158" s="29">
        <v>1.9841269841269799E-2</v>
      </c>
      <c r="R158" s="30">
        <v>231556.94069999899</v>
      </c>
      <c r="S158" s="29">
        <v>3</v>
      </c>
      <c r="T158">
        <v>573.61099999999999</v>
      </c>
      <c r="U158" s="21"/>
      <c r="V158">
        <v>148</v>
      </c>
      <c r="W158" t="b">
        <f>V158&gt;=$C$4</f>
        <v>1</v>
      </c>
      <c r="X158">
        <f>IF(V158&lt;=$C$5,11,ROW()-$C$5+1)</f>
        <v>11</v>
      </c>
      <c r="Y158" s="14">
        <f t="shared" si="63"/>
        <v>148</v>
      </c>
      <c r="Z158" s="10">
        <f t="shared" si="71"/>
        <v>1.0601999999999947</v>
      </c>
      <c r="AA158" s="15">
        <f t="shared" si="72"/>
        <v>2.9195914444569752E-2</v>
      </c>
      <c r="AB158" s="15">
        <f t="shared" si="73"/>
        <v>0.57643940546647165</v>
      </c>
      <c r="AC158" s="10">
        <f t="shared" si="64"/>
        <v>1.5874057314165104E-2</v>
      </c>
      <c r="AD158">
        <f t="shared" si="74"/>
        <v>0.90119999999999578</v>
      </c>
      <c r="AE158">
        <f t="shared" si="81"/>
        <v>0.90119999999999578</v>
      </c>
      <c r="AF158">
        <f t="shared" si="82"/>
        <v>0</v>
      </c>
      <c r="AG158">
        <f t="shared" ref="AG158:AH173" si="87">(AE158+13*AG157)/14</f>
        <v>0.25622106482552554</v>
      </c>
      <c r="AH158">
        <f t="shared" si="87"/>
        <v>0.11369850305142906</v>
      </c>
      <c r="AI158">
        <f t="shared" si="75"/>
        <v>2.2535130889949313</v>
      </c>
      <c r="AJ158">
        <f t="shared" si="83"/>
        <v>69.26399333131566</v>
      </c>
      <c r="AK158" s="14">
        <f t="shared" si="65"/>
        <v>69.26399333131566</v>
      </c>
      <c r="AM158" s="14">
        <f t="shared" si="56"/>
        <v>9.1633573925826273E-2</v>
      </c>
      <c r="AN158" s="36">
        <f t="shared" si="76"/>
        <v>2.5448928473600807E-2</v>
      </c>
      <c r="AO158">
        <f t="shared" si="85"/>
        <v>1</v>
      </c>
      <c r="AP158" s="14">
        <f t="shared" si="86"/>
        <v>0.8</v>
      </c>
      <c r="AQ158">
        <f t="shared" si="77"/>
        <v>4.3475368043590645E-3</v>
      </c>
      <c r="AR158">
        <f t="shared" si="78"/>
        <v>2.1101391669241736E-2</v>
      </c>
      <c r="AS158">
        <f t="shared" si="60"/>
        <v>1.954848142094949E-3</v>
      </c>
      <c r="AT158">
        <f t="shared" si="61"/>
        <v>1.1918687404158104E-2</v>
      </c>
      <c r="AU158" s="14">
        <f t="shared" si="66"/>
        <v>0.16401538825600512</v>
      </c>
      <c r="AV158" s="19">
        <f t="shared" si="62"/>
        <v>1.5508265387538194</v>
      </c>
      <c r="AW158" s="19">
        <f t="shared" si="57"/>
        <v>0</v>
      </c>
      <c r="AX158">
        <f t="shared" si="67"/>
        <v>0</v>
      </c>
      <c r="AY158">
        <f>IF(W158,SUMPRODUCT(INDEX(AX:AX,X158):INDEX(AX:AX,X158+Y158)),0)</f>
        <v>5</v>
      </c>
      <c r="AZ158">
        <f>IF(V158,COUNT(INDEX(AX:AX,X158):INDEX(AX:AX,ROW())),0)</f>
        <v>148</v>
      </c>
      <c r="BA158" s="14">
        <f t="shared" si="79"/>
        <v>3.3783783783783786E-2</v>
      </c>
      <c r="BB158" s="6">
        <f t="shared" si="68"/>
        <v>493170.92729999998</v>
      </c>
      <c r="BC158" s="6">
        <f>MEDIAN(INDEX(BB:BB,X158):INDEX(BB:BB,X158+Y158-1))</f>
        <v>209922.48569999999</v>
      </c>
      <c r="BD158" s="25">
        <f t="shared" si="69"/>
        <v>209922.48569999999</v>
      </c>
      <c r="BE158">
        <f t="shared" si="80"/>
        <v>0</v>
      </c>
      <c r="BF158" s="6">
        <f>SUM(INDEX(BE:BE,X158):INDEX(BE:BE,X158+Y158-1))</f>
        <v>3</v>
      </c>
      <c r="BG158" s="25">
        <f t="shared" si="70"/>
        <v>3</v>
      </c>
    </row>
    <row r="159" spans="1:59" x14ac:dyDescent="0.3">
      <c r="A159" s="1">
        <v>45582</v>
      </c>
      <c r="B159">
        <v>36.614800000000002</v>
      </c>
      <c r="C159">
        <v>36.684399999999997</v>
      </c>
      <c r="D159">
        <v>36.585000000000001</v>
      </c>
      <c r="E159">
        <v>36.604900000000001</v>
      </c>
      <c r="F159">
        <v>14638</v>
      </c>
      <c r="G159" s="29">
        <v>0.56177230507600895</v>
      </c>
      <c r="H159" s="29">
        <v>1.5346915442358999E-2</v>
      </c>
      <c r="I159" s="29">
        <v>1.01379869908126E-2</v>
      </c>
      <c r="J159" s="29">
        <v>71.020814244000803</v>
      </c>
      <c r="K159" s="29">
        <v>0.10369749470085</v>
      </c>
      <c r="L159" s="29">
        <v>0.8</v>
      </c>
      <c r="M159" s="29">
        <v>0.17377382189309601</v>
      </c>
      <c r="N159" s="29">
        <v>1.5530958039143401</v>
      </c>
      <c r="O159" s="29">
        <v>0</v>
      </c>
      <c r="P159" s="29">
        <v>8.0301156876407803E-3</v>
      </c>
      <c r="Q159" s="29">
        <v>1.9841269841269799E-2</v>
      </c>
      <c r="R159" s="30">
        <v>231556.94069999899</v>
      </c>
      <c r="S159" s="29">
        <v>3</v>
      </c>
      <c r="T159">
        <v>573.66</v>
      </c>
      <c r="U159" s="21"/>
      <c r="V159">
        <v>149</v>
      </c>
      <c r="W159" t="b">
        <f>V159&gt;=$C$4</f>
        <v>1</v>
      </c>
      <c r="X159">
        <f>IF(V159&lt;=$C$5,11,ROW()-$C$5+1)</f>
        <v>11</v>
      </c>
      <c r="Y159" s="14">
        <f t="shared" si="63"/>
        <v>149</v>
      </c>
      <c r="Z159" s="10">
        <f t="shared" si="71"/>
        <v>0.37109999999999843</v>
      </c>
      <c r="AA159" s="15">
        <f t="shared" si="72"/>
        <v>1.0137986990812663E-2</v>
      </c>
      <c r="AB159" s="15">
        <f t="shared" si="73"/>
        <v>0.56177230507600928</v>
      </c>
      <c r="AC159" s="10">
        <f t="shared" si="64"/>
        <v>1.5346915442359063E-2</v>
      </c>
      <c r="AD159">
        <f t="shared" si="74"/>
        <v>0.29160000000000252</v>
      </c>
      <c r="AE159">
        <f t="shared" si="81"/>
        <v>0.29160000000000252</v>
      </c>
      <c r="AF159">
        <f t="shared" si="82"/>
        <v>0</v>
      </c>
      <c r="AG159">
        <f t="shared" si="87"/>
        <v>0.25874813162370247</v>
      </c>
      <c r="AH159">
        <f t="shared" si="87"/>
        <v>0.10557718140489843</v>
      </c>
      <c r="AI159">
        <f t="shared" si="75"/>
        <v>2.4507959786440883</v>
      </c>
      <c r="AJ159">
        <f t="shared" si="83"/>
        <v>71.021178702285169</v>
      </c>
      <c r="AK159" s="14">
        <f t="shared" si="65"/>
        <v>71.021178702285169</v>
      </c>
      <c r="AM159" s="14">
        <f t="shared" si="56"/>
        <v>0.10369749470085066</v>
      </c>
      <c r="AN159" s="36">
        <f t="shared" si="76"/>
        <v>8.030115687640782E-3</v>
      </c>
      <c r="AO159">
        <f t="shared" si="85"/>
        <v>1</v>
      </c>
      <c r="AP159" s="14">
        <f t="shared" si="86"/>
        <v>0.8</v>
      </c>
      <c r="AQ159">
        <f t="shared" si="77"/>
        <v>8.5423745360468928E-5</v>
      </c>
      <c r="AR159">
        <f t="shared" si="78"/>
        <v>7.9446919422803113E-3</v>
      </c>
      <c r="AS159">
        <f t="shared" si="60"/>
        <v>2.0749712772128344E-3</v>
      </c>
      <c r="AT159">
        <f t="shared" si="61"/>
        <v>1.1940643617134303E-2</v>
      </c>
      <c r="AU159" s="14">
        <f t="shared" si="66"/>
        <v>0.17377382189309637</v>
      </c>
      <c r="AV159" s="19">
        <f t="shared" si="62"/>
        <v>1.5530958039143687</v>
      </c>
      <c r="AW159" s="19">
        <f t="shared" si="57"/>
        <v>0</v>
      </c>
      <c r="AX159">
        <f t="shared" si="67"/>
        <v>0</v>
      </c>
      <c r="AY159">
        <f>IF(W159,SUMPRODUCT(INDEX(AX:AX,X159):INDEX(AX:AX,X159+Y159)),0)</f>
        <v>5</v>
      </c>
      <c r="AZ159">
        <f>IF(V159,COUNT(INDEX(AX:AX,X159):INDEX(AX:AX,ROW())),0)</f>
        <v>149</v>
      </c>
      <c r="BA159" s="14">
        <f t="shared" si="79"/>
        <v>3.3557046979865772E-2</v>
      </c>
      <c r="BB159" s="6">
        <f t="shared" si="68"/>
        <v>535822.52619999996</v>
      </c>
      <c r="BC159" s="6">
        <f>MEDIAN(INDEX(BB:BB,X159):INDEX(BB:BB,X159+Y159-1))</f>
        <v>210156.6084</v>
      </c>
      <c r="BD159" s="25">
        <f t="shared" si="69"/>
        <v>210156.6084</v>
      </c>
      <c r="BE159">
        <f t="shared" si="80"/>
        <v>0</v>
      </c>
      <c r="BF159" s="6">
        <f>SUM(INDEX(BE:BE,X159):INDEX(BE:BE,X159+Y159-1))</f>
        <v>3</v>
      </c>
      <c r="BG159" s="25">
        <f t="shared" si="70"/>
        <v>3</v>
      </c>
    </row>
    <row r="160" spans="1:59" x14ac:dyDescent="0.3">
      <c r="A160" s="1">
        <v>45583</v>
      </c>
      <c r="B160">
        <v>36.737400000000001</v>
      </c>
      <c r="C160">
        <v>37.526000000000003</v>
      </c>
      <c r="D160">
        <v>36.737400000000001</v>
      </c>
      <c r="E160">
        <v>37.3934</v>
      </c>
      <c r="F160">
        <v>25201</v>
      </c>
      <c r="G160" s="29">
        <v>0.58743856899915203</v>
      </c>
      <c r="H160" s="29">
        <v>1.5709685907116001E-2</v>
      </c>
      <c r="I160" s="29">
        <v>2.46326891911407E-2</v>
      </c>
      <c r="J160" s="29">
        <v>75.156757533739395</v>
      </c>
      <c r="K160" s="29">
        <v>8.1862868484170001E-2</v>
      </c>
      <c r="L160" s="29">
        <v>0.8</v>
      </c>
      <c r="M160" s="29">
        <v>0.183026113959734</v>
      </c>
      <c r="N160" s="29">
        <v>1.5567422255527199</v>
      </c>
      <c r="O160" s="29">
        <v>0</v>
      </c>
      <c r="P160" s="29">
        <v>2.15408319651193E-2</v>
      </c>
      <c r="Q160" s="29">
        <v>1.9841269841269799E-2</v>
      </c>
      <c r="R160" s="30">
        <v>231556.94069999899</v>
      </c>
      <c r="S160" s="29">
        <v>3</v>
      </c>
      <c r="T160">
        <v>575.86699999999996</v>
      </c>
      <c r="U160" s="21"/>
      <c r="V160">
        <v>150</v>
      </c>
      <c r="W160" t="b">
        <f>V160&gt;=$C$4</f>
        <v>1</v>
      </c>
      <c r="X160">
        <f>IF(V160&lt;=$C$5,11,ROW()-$C$5+1)</f>
        <v>11</v>
      </c>
      <c r="Y160" s="14">
        <f t="shared" si="63"/>
        <v>150</v>
      </c>
      <c r="Z160" s="10">
        <f t="shared" si="71"/>
        <v>0.92110000000000269</v>
      </c>
      <c r="AA160" s="15">
        <f t="shared" si="72"/>
        <v>2.4632689191140755E-2</v>
      </c>
      <c r="AB160" s="15">
        <f t="shared" si="73"/>
        <v>0.58743856899915159</v>
      </c>
      <c r="AC160" s="10">
        <f t="shared" si="64"/>
        <v>1.5709685907116005E-2</v>
      </c>
      <c r="AD160">
        <f t="shared" si="74"/>
        <v>0.78849999999999909</v>
      </c>
      <c r="AE160">
        <f t="shared" si="81"/>
        <v>0.78849999999999909</v>
      </c>
      <c r="AF160">
        <f t="shared" si="82"/>
        <v>0</v>
      </c>
      <c r="AG160">
        <f t="shared" si="87"/>
        <v>0.29658755079343796</v>
      </c>
      <c r="AH160">
        <f t="shared" si="87"/>
        <v>9.8035954161691405E-2</v>
      </c>
      <c r="AI160">
        <f t="shared" si="75"/>
        <v>3.0252936622035009</v>
      </c>
      <c r="AJ160">
        <f t="shared" si="83"/>
        <v>75.157092030582774</v>
      </c>
      <c r="AK160" s="14">
        <f t="shared" si="65"/>
        <v>75.157092030582774</v>
      </c>
      <c r="AM160" s="14">
        <f t="shared" ref="AM160:AM223" si="88">E160/E139-1</f>
        <v>8.1862868484170015E-2</v>
      </c>
      <c r="AN160" s="36">
        <f t="shared" si="76"/>
        <v>2.1540831965119356E-2</v>
      </c>
      <c r="AO160">
        <f t="shared" si="85"/>
        <v>1</v>
      </c>
      <c r="AP160" s="14">
        <f t="shared" si="86"/>
        <v>0.8</v>
      </c>
      <c r="AQ160">
        <f t="shared" si="77"/>
        <v>3.8472265802043104E-3</v>
      </c>
      <c r="AR160">
        <f t="shared" si="78"/>
        <v>1.769360538491499E-2</v>
      </c>
      <c r="AS160">
        <f t="shared" si="60"/>
        <v>2.2089709171239629E-3</v>
      </c>
      <c r="AT160">
        <f t="shared" si="61"/>
        <v>1.2069157069083299E-2</v>
      </c>
      <c r="AU160" s="14">
        <f t="shared" si="66"/>
        <v>0.18302611395973351</v>
      </c>
      <c r="AV160" s="19">
        <f t="shared" si="62"/>
        <v>1.5567422255527561</v>
      </c>
      <c r="AW160" s="19">
        <f t="shared" ref="AW160:AW223" si="89">(E160/MAX(E140:E160)-1)</f>
        <v>0</v>
      </c>
      <c r="AX160">
        <f t="shared" si="67"/>
        <v>0</v>
      </c>
      <c r="AY160">
        <f>IF(W160,SUMPRODUCT(INDEX(AX:AX,X160):INDEX(AX:AX,X160+Y160)),0)</f>
        <v>5</v>
      </c>
      <c r="AZ160">
        <f>IF(V160,COUNT(INDEX(AX:AX,X160):INDEX(AX:AX,ROW())),0)</f>
        <v>150</v>
      </c>
      <c r="BA160" s="14">
        <f t="shared" si="79"/>
        <v>3.3333333333333333E-2</v>
      </c>
      <c r="BB160" s="6">
        <f t="shared" si="68"/>
        <v>942351.07339999999</v>
      </c>
      <c r="BC160" s="6">
        <f>MEDIAN(INDEX(BB:BB,X160):INDEX(BB:BB,X160+Y160-1))</f>
        <v>211758.36180000001</v>
      </c>
      <c r="BD160" s="25">
        <f t="shared" si="69"/>
        <v>211758.36180000001</v>
      </c>
      <c r="BE160">
        <f t="shared" si="80"/>
        <v>0</v>
      </c>
      <c r="BF160" s="6">
        <f>SUM(INDEX(BE:BE,X160):INDEX(BE:BE,X160+Y160-1))</f>
        <v>3</v>
      </c>
      <c r="BG160" s="25">
        <f t="shared" si="70"/>
        <v>3</v>
      </c>
    </row>
    <row r="161" spans="1:59" x14ac:dyDescent="0.3">
      <c r="A161" s="1">
        <v>45586</v>
      </c>
      <c r="B161">
        <v>37.572400000000002</v>
      </c>
      <c r="C161">
        <v>37.572400000000002</v>
      </c>
      <c r="D161">
        <v>36.708300000000001</v>
      </c>
      <c r="E161">
        <v>36.717500000000001</v>
      </c>
      <c r="F161">
        <v>14638</v>
      </c>
      <c r="G161" s="29">
        <v>0.60720009978492695</v>
      </c>
      <c r="H161" s="29">
        <v>1.6537076320144999E-2</v>
      </c>
      <c r="I161" s="29">
        <v>2.3533737318717201E-2</v>
      </c>
      <c r="J161" s="29">
        <v>66.407504280673294</v>
      </c>
      <c r="K161" s="29">
        <v>5.8855251091514099E-2</v>
      </c>
      <c r="L161" s="29">
        <v>0.6</v>
      </c>
      <c r="M161" s="29">
        <v>0.14896071889488799</v>
      </c>
      <c r="N161" s="29">
        <v>1.56694929589325</v>
      </c>
      <c r="O161" s="29">
        <v>-1.8075382286713602E-2</v>
      </c>
      <c r="P161" s="29">
        <v>-1.8075382286713602E-2</v>
      </c>
      <c r="Q161" s="29">
        <v>1.9841269841269799E-2</v>
      </c>
      <c r="R161" s="30">
        <v>231556.94069999899</v>
      </c>
      <c r="S161" s="29">
        <v>3</v>
      </c>
      <c r="T161">
        <v>574.92100000000005</v>
      </c>
      <c r="U161" s="21"/>
      <c r="V161">
        <v>151</v>
      </c>
      <c r="W161" t="b">
        <f>V161&gt;=$C$4</f>
        <v>1</v>
      </c>
      <c r="X161">
        <f>IF(V161&lt;=$C$5,11,ROW()-$C$5+1)</f>
        <v>11</v>
      </c>
      <c r="Y161" s="14">
        <f t="shared" si="63"/>
        <v>151</v>
      </c>
      <c r="Z161" s="10">
        <f t="shared" si="71"/>
        <v>0.86410000000000053</v>
      </c>
      <c r="AA161" s="15">
        <f t="shared" si="72"/>
        <v>2.3533737318717246E-2</v>
      </c>
      <c r="AB161" s="15">
        <f t="shared" si="73"/>
        <v>0.60720009978492662</v>
      </c>
      <c r="AC161" s="10">
        <f t="shared" si="64"/>
        <v>1.6537076320145071E-2</v>
      </c>
      <c r="AD161">
        <f t="shared" si="74"/>
        <v>-0.67589999999999861</v>
      </c>
      <c r="AE161">
        <f t="shared" si="81"/>
        <v>0</v>
      </c>
      <c r="AF161">
        <f t="shared" si="82"/>
        <v>0.67589999999999861</v>
      </c>
      <c r="AG161">
        <f t="shared" si="87"/>
        <v>0.27540272573676383</v>
      </c>
      <c r="AH161">
        <f t="shared" si="87"/>
        <v>0.1393119574358562</v>
      </c>
      <c r="AI161">
        <f t="shared" si="75"/>
        <v>1.9768778703979397</v>
      </c>
      <c r="AJ161">
        <f t="shared" si="83"/>
        <v>66.407758613680613</v>
      </c>
      <c r="AK161" s="14">
        <f t="shared" si="65"/>
        <v>66.407758613680613</v>
      </c>
      <c r="AM161" s="14">
        <f t="shared" si="88"/>
        <v>5.8855251091514127E-2</v>
      </c>
      <c r="AN161" s="36">
        <f t="shared" si="76"/>
        <v>-1.8075382286713682E-2</v>
      </c>
      <c r="AO161">
        <f t="shared" si="85"/>
        <v>0</v>
      </c>
      <c r="AP161" s="14">
        <f t="shared" si="86"/>
        <v>0.6</v>
      </c>
      <c r="AQ161">
        <f t="shared" si="77"/>
        <v>-1.6427404244381272E-3</v>
      </c>
      <c r="AR161">
        <f t="shared" si="78"/>
        <v>-1.6432641862275475E-2</v>
      </c>
      <c r="AS161">
        <f t="shared" si="60"/>
        <v>1.8284201935865757E-3</v>
      </c>
      <c r="AT161">
        <f t="shared" si="61"/>
        <v>1.2274512416100621E-2</v>
      </c>
      <c r="AU161" s="14">
        <f t="shared" si="66"/>
        <v>0.14896071889488788</v>
      </c>
      <c r="AV161" s="19">
        <f t="shared" si="62"/>
        <v>1.5669492958932811</v>
      </c>
      <c r="AW161" s="19">
        <f t="shared" si="89"/>
        <v>-1.8075382286713682E-2</v>
      </c>
      <c r="AX161">
        <f t="shared" si="67"/>
        <v>0</v>
      </c>
      <c r="AY161">
        <f>IF(W161,SUMPRODUCT(INDEX(AX:AX,X161):INDEX(AX:AX,X161+Y161)),0)</f>
        <v>5</v>
      </c>
      <c r="AZ161">
        <f>IF(V161,COUNT(INDEX(AX:AX,X161):INDEX(AX:AX,ROW())),0)</f>
        <v>151</v>
      </c>
      <c r="BA161" s="14">
        <f t="shared" si="79"/>
        <v>3.3112582781456956E-2</v>
      </c>
      <c r="BB161" s="6">
        <f t="shared" si="68"/>
        <v>537470.76500000001</v>
      </c>
      <c r="BC161" s="6">
        <f>MEDIAN(INDEX(BB:BB,X161):INDEX(BB:BB,X161+Y161-1))</f>
        <v>213360.1152</v>
      </c>
      <c r="BD161" s="25">
        <f t="shared" si="69"/>
        <v>213360.1152</v>
      </c>
      <c r="BE161">
        <f t="shared" si="80"/>
        <v>0</v>
      </c>
      <c r="BF161" s="6">
        <f>SUM(INDEX(BE:BE,X161):INDEX(BE:BE,X161+Y161-1))</f>
        <v>3</v>
      </c>
      <c r="BG161" s="25">
        <f t="shared" si="70"/>
        <v>3</v>
      </c>
    </row>
    <row r="162" spans="1:59" x14ac:dyDescent="0.3">
      <c r="A162" s="1">
        <v>45587</v>
      </c>
      <c r="B162">
        <v>36.816899999999997</v>
      </c>
      <c r="C162">
        <v>37.207900000000002</v>
      </c>
      <c r="D162">
        <v>36.028399999999998</v>
      </c>
      <c r="E162">
        <v>36.028399999999998</v>
      </c>
      <c r="F162">
        <v>7394</v>
      </c>
      <c r="G162" s="29">
        <v>0.64807866408600301</v>
      </c>
      <c r="H162" s="29">
        <v>1.7987994584439001E-2</v>
      </c>
      <c r="I162" s="29">
        <v>3.2738062195379301E-2</v>
      </c>
      <c r="J162" s="29">
        <v>58.881471675740201</v>
      </c>
      <c r="K162" s="29">
        <v>3.2865088011008597E-2</v>
      </c>
      <c r="L162" s="29">
        <v>0.6</v>
      </c>
      <c r="M162" s="29">
        <v>0.133964628624272</v>
      </c>
      <c r="N162" s="29">
        <v>1.5877859490585</v>
      </c>
      <c r="O162" s="29">
        <v>-3.6503768044628203E-2</v>
      </c>
      <c r="P162" s="29">
        <v>-1.8767617621025499E-2</v>
      </c>
      <c r="Q162" s="29">
        <v>1.9841269841269799E-2</v>
      </c>
      <c r="R162" s="30">
        <v>231556.94069999899</v>
      </c>
      <c r="S162" s="29">
        <v>3</v>
      </c>
      <c r="T162">
        <v>574.61599999999999</v>
      </c>
      <c r="U162" s="21"/>
      <c r="V162">
        <v>152</v>
      </c>
      <c r="W162" t="b">
        <f>V162&gt;=$C$4</f>
        <v>1</v>
      </c>
      <c r="X162">
        <f>IF(V162&lt;=$C$5,11,ROW()-$C$5+1)</f>
        <v>11</v>
      </c>
      <c r="Y162" s="14">
        <f t="shared" si="63"/>
        <v>152</v>
      </c>
      <c r="Z162" s="10">
        <f t="shared" si="71"/>
        <v>1.1795000000000044</v>
      </c>
      <c r="AA162" s="15">
        <f t="shared" si="72"/>
        <v>3.2738062195379329E-2</v>
      </c>
      <c r="AB162" s="15">
        <f t="shared" si="73"/>
        <v>0.64807866408600368</v>
      </c>
      <c r="AC162" s="10">
        <f t="shared" si="64"/>
        <v>1.7987994584439046E-2</v>
      </c>
      <c r="AD162">
        <f t="shared" si="74"/>
        <v>-0.68910000000000338</v>
      </c>
      <c r="AE162">
        <f t="shared" si="81"/>
        <v>0</v>
      </c>
      <c r="AF162">
        <f t="shared" si="82"/>
        <v>0.68910000000000338</v>
      </c>
      <c r="AG162">
        <f t="shared" si="87"/>
        <v>0.25573110246985215</v>
      </c>
      <c r="AH162">
        <f t="shared" si="87"/>
        <v>0.17858253190472384</v>
      </c>
      <c r="AI162">
        <f t="shared" si="75"/>
        <v>1.4320051336616064</v>
      </c>
      <c r="AJ162">
        <f t="shared" si="83"/>
        <v>58.881665743262289</v>
      </c>
      <c r="AK162" s="14">
        <f t="shared" si="65"/>
        <v>58.881665743262289</v>
      </c>
      <c r="AM162" s="14">
        <f t="shared" si="88"/>
        <v>3.2865088011008625E-2</v>
      </c>
      <c r="AN162" s="36">
        <f t="shared" si="76"/>
        <v>-1.8767617621025523E-2</v>
      </c>
      <c r="AO162">
        <f t="shared" si="85"/>
        <v>0</v>
      </c>
      <c r="AP162" s="14">
        <f t="shared" si="86"/>
        <v>0.6</v>
      </c>
      <c r="AQ162">
        <f t="shared" si="77"/>
        <v>-5.3050766974949148E-4</v>
      </c>
      <c r="AR162">
        <f t="shared" si="78"/>
        <v>-1.8237109951276007E-2</v>
      </c>
      <c r="AS162">
        <f t="shared" si="60"/>
        <v>1.6704413622035195E-3</v>
      </c>
      <c r="AT162">
        <f t="shared" si="61"/>
        <v>1.2469271772391335E-2</v>
      </c>
      <c r="AU162" s="14">
        <f t="shared" si="66"/>
        <v>0.13396462862427172</v>
      </c>
      <c r="AV162" s="19">
        <f t="shared" si="62"/>
        <v>1.5877859490585342</v>
      </c>
      <c r="AW162" s="19">
        <f t="shared" si="89"/>
        <v>-3.6503768044628293E-2</v>
      </c>
      <c r="AX162">
        <f t="shared" si="67"/>
        <v>0</v>
      </c>
      <c r="AY162">
        <f>IF(W162,SUMPRODUCT(INDEX(AX:AX,X162):INDEX(AX:AX,X162+Y162)),0)</f>
        <v>5</v>
      </c>
      <c r="AZ162">
        <f>IF(V162,COUNT(INDEX(AX:AX,X162):INDEX(AX:AX,ROW())),0)</f>
        <v>152</v>
      </c>
      <c r="BA162" s="14">
        <f t="shared" si="79"/>
        <v>3.2894736842105261E-2</v>
      </c>
      <c r="BB162" s="6">
        <f t="shared" si="68"/>
        <v>266393.98959999997</v>
      </c>
      <c r="BC162" s="6">
        <f>MEDIAN(INDEX(BB:BB,X162):INDEX(BB:BB,X162+Y162-1))</f>
        <v>213435.48879999999</v>
      </c>
      <c r="BD162" s="25">
        <f t="shared" si="69"/>
        <v>213435.48879999999</v>
      </c>
      <c r="BE162">
        <f t="shared" si="80"/>
        <v>0</v>
      </c>
      <c r="BF162" s="6">
        <f>SUM(INDEX(BE:BE,X162):INDEX(BE:BE,X162+Y162-1))</f>
        <v>3</v>
      </c>
      <c r="BG162" s="25">
        <f t="shared" si="70"/>
        <v>3</v>
      </c>
    </row>
    <row r="163" spans="1:59" x14ac:dyDescent="0.3">
      <c r="A163" s="1">
        <v>45588</v>
      </c>
      <c r="B163">
        <v>36.121099999999998</v>
      </c>
      <c r="C163">
        <v>36.140999999999998</v>
      </c>
      <c r="D163">
        <v>35.571100000000001</v>
      </c>
      <c r="E163">
        <v>35.571100000000001</v>
      </c>
      <c r="F163">
        <v>4225</v>
      </c>
      <c r="G163" s="29">
        <v>0.64249447379414604</v>
      </c>
      <c r="H163" s="29">
        <v>1.8062260480956299E-2</v>
      </c>
      <c r="I163" s="29">
        <v>1.60214331297035E-2</v>
      </c>
      <c r="J163" s="29">
        <v>54.4697514352683</v>
      </c>
      <c r="K163" s="29">
        <v>1.4360875454480599E-2</v>
      </c>
      <c r="L163" s="29">
        <v>0.4</v>
      </c>
      <c r="M163" s="29">
        <v>0.109480413475428</v>
      </c>
      <c r="N163" s="29">
        <v>1.6080240167599</v>
      </c>
      <c r="O163" s="29">
        <v>-4.8733198906758798E-2</v>
      </c>
      <c r="P163" s="29">
        <v>-1.2692764596818E-2</v>
      </c>
      <c r="Q163" s="29">
        <v>1.9841269841269799E-2</v>
      </c>
      <c r="R163" s="30">
        <v>231556.94069999899</v>
      </c>
      <c r="S163" s="29">
        <v>3</v>
      </c>
      <c r="T163">
        <v>569.36500000000001</v>
      </c>
      <c r="U163" s="21"/>
      <c r="V163">
        <v>153</v>
      </c>
      <c r="W163" t="b">
        <f>V163&gt;=$C$4</f>
        <v>1</v>
      </c>
      <c r="X163">
        <f>IF(V163&lt;=$C$5,11,ROW()-$C$5+1)</f>
        <v>11</v>
      </c>
      <c r="Y163" s="14">
        <f t="shared" si="63"/>
        <v>153</v>
      </c>
      <c r="Z163" s="10">
        <f t="shared" si="71"/>
        <v>0.56989999999999696</v>
      </c>
      <c r="AA163" s="15">
        <f t="shared" si="72"/>
        <v>1.602143312970352E-2</v>
      </c>
      <c r="AB163" s="15">
        <f t="shared" si="73"/>
        <v>0.64249447379414604</v>
      </c>
      <c r="AC163" s="10">
        <f t="shared" si="64"/>
        <v>1.8062260480956337E-2</v>
      </c>
      <c r="AD163">
        <f t="shared" si="74"/>
        <v>-0.45729999999999649</v>
      </c>
      <c r="AE163">
        <f t="shared" si="81"/>
        <v>0</v>
      </c>
      <c r="AF163">
        <f t="shared" si="82"/>
        <v>0.45729999999999649</v>
      </c>
      <c r="AG163">
        <f t="shared" si="87"/>
        <v>0.237464595150577</v>
      </c>
      <c r="AH163">
        <f t="shared" si="87"/>
        <v>0.1984909224829576</v>
      </c>
      <c r="AI163">
        <f t="shared" si="75"/>
        <v>1.196349899431626</v>
      </c>
      <c r="AJ163">
        <f t="shared" si="83"/>
        <v>54.469913912224037</v>
      </c>
      <c r="AK163" s="14">
        <f t="shared" si="65"/>
        <v>54.469913912224037</v>
      </c>
      <c r="AM163" s="14">
        <f t="shared" si="88"/>
        <v>1.4360875454480615E-2</v>
      </c>
      <c r="AN163" s="36">
        <f t="shared" si="76"/>
        <v>-1.2692764596818007E-2</v>
      </c>
      <c r="AO163">
        <f t="shared" si="85"/>
        <v>0</v>
      </c>
      <c r="AP163" s="14">
        <f t="shared" si="86"/>
        <v>0.4</v>
      </c>
      <c r="AQ163">
        <f t="shared" si="77"/>
        <v>-9.1382766926085823E-3</v>
      </c>
      <c r="AR163">
        <f t="shared" si="78"/>
        <v>-3.5544879042094177E-3</v>
      </c>
      <c r="AS163">
        <f t="shared" si="60"/>
        <v>1.3507963008674798E-3</v>
      </c>
      <c r="AT163">
        <f t="shared" si="61"/>
        <v>1.2338246248683137E-2</v>
      </c>
      <c r="AU163" s="14">
        <f t="shared" si="66"/>
        <v>0.10948041347542813</v>
      </c>
      <c r="AV163" s="19">
        <f t="shared" si="62"/>
        <v>1.6080240167599338</v>
      </c>
      <c r="AW163" s="19">
        <f t="shared" si="89"/>
        <v>-4.8733198906758868E-2</v>
      </c>
      <c r="AX163">
        <f t="shared" si="67"/>
        <v>0</v>
      </c>
      <c r="AY163">
        <f>IF(W163,SUMPRODUCT(INDEX(AX:AX,X163):INDEX(AX:AX,X163+Y163)),0)</f>
        <v>5</v>
      </c>
      <c r="AZ163">
        <f>IF(V163,COUNT(INDEX(AX:AX,X163):INDEX(AX:AX,ROW())),0)</f>
        <v>153</v>
      </c>
      <c r="BA163" s="14">
        <f t="shared" si="79"/>
        <v>3.2679738562091505E-2</v>
      </c>
      <c r="BB163" s="6">
        <f t="shared" si="68"/>
        <v>150287.89749999999</v>
      </c>
      <c r="BC163" s="6">
        <f>MEDIAN(INDEX(BB:BB,X163):INDEX(BB:BB,X163+Y163-1))</f>
        <v>213360.1152</v>
      </c>
      <c r="BD163" s="25">
        <f t="shared" si="69"/>
        <v>213360.1152</v>
      </c>
      <c r="BE163">
        <f t="shared" si="80"/>
        <v>0</v>
      </c>
      <c r="BF163" s="6">
        <f>SUM(INDEX(BE:BE,X163):INDEX(BE:BE,X163+Y163-1))</f>
        <v>3</v>
      </c>
      <c r="BG163" s="25">
        <f t="shared" si="70"/>
        <v>3</v>
      </c>
    </row>
    <row r="164" spans="1:59" x14ac:dyDescent="0.3">
      <c r="A164" s="1">
        <v>45589</v>
      </c>
      <c r="B164">
        <v>35.405500000000004</v>
      </c>
      <c r="C164">
        <v>36.386200000000002</v>
      </c>
      <c r="D164">
        <v>35.405500000000004</v>
      </c>
      <c r="E164">
        <v>35.875999999999998</v>
      </c>
      <c r="F164">
        <v>51158</v>
      </c>
      <c r="G164" s="29">
        <v>0.66665201138027796</v>
      </c>
      <c r="H164" s="29">
        <v>1.8582116495157699E-2</v>
      </c>
      <c r="I164" s="29">
        <v>2.73358233916824E-2</v>
      </c>
      <c r="J164" s="29">
        <v>56.794161020963102</v>
      </c>
      <c r="K164" s="29">
        <v>3.7763411000708499E-2</v>
      </c>
      <c r="L164" s="29">
        <v>0.4</v>
      </c>
      <c r="M164" s="29">
        <v>0.102079568397582</v>
      </c>
      <c r="N164" s="29">
        <v>1.5992147732025701</v>
      </c>
      <c r="O164" s="29">
        <v>-4.0579353575764802E-2</v>
      </c>
      <c r="P164" s="29">
        <v>8.5715651188744604E-3</v>
      </c>
      <c r="Q164" s="29">
        <v>1.9841269841269799E-2</v>
      </c>
      <c r="R164" s="30">
        <v>231556.94069999899</v>
      </c>
      <c r="S164" s="29">
        <v>3</v>
      </c>
      <c r="T164">
        <v>570.596</v>
      </c>
      <c r="U164" s="21"/>
      <c r="V164">
        <v>154</v>
      </c>
      <c r="W164" t="b">
        <f>V164&gt;=$C$4</f>
        <v>1</v>
      </c>
      <c r="X164">
        <f>IF(V164&lt;=$C$5,11,ROW()-$C$5+1)</f>
        <v>11</v>
      </c>
      <c r="Y164" s="14">
        <f t="shared" si="63"/>
        <v>154</v>
      </c>
      <c r="Z164" s="10">
        <f t="shared" si="71"/>
        <v>0.98069999999999879</v>
      </c>
      <c r="AA164" s="15">
        <f t="shared" si="72"/>
        <v>2.7335823391682432E-2</v>
      </c>
      <c r="AB164" s="15">
        <f t="shared" si="73"/>
        <v>0.6666520113802783</v>
      </c>
      <c r="AC164" s="10">
        <f t="shared" si="64"/>
        <v>1.858211649515772E-2</v>
      </c>
      <c r="AD164">
        <f t="shared" si="74"/>
        <v>0.3048999999999964</v>
      </c>
      <c r="AE164">
        <f t="shared" si="81"/>
        <v>0.3048999999999964</v>
      </c>
      <c r="AF164">
        <f t="shared" si="82"/>
        <v>0</v>
      </c>
      <c r="AG164">
        <f t="shared" si="87"/>
        <v>0.2422814097826784</v>
      </c>
      <c r="AH164">
        <f t="shared" si="87"/>
        <v>0.18431299944846063</v>
      </c>
      <c r="AI164">
        <f t="shared" si="75"/>
        <v>1.3145106992327333</v>
      </c>
      <c r="AJ164">
        <f t="shared" si="83"/>
        <v>56.79432372762404</v>
      </c>
      <c r="AK164" s="14">
        <f t="shared" si="65"/>
        <v>56.79432372762404</v>
      </c>
      <c r="AM164" s="14">
        <f t="shared" si="88"/>
        <v>3.7763411000708569E-2</v>
      </c>
      <c r="AN164" s="36">
        <f t="shared" si="76"/>
        <v>8.571565118874469E-3</v>
      </c>
      <c r="AO164">
        <f t="shared" si="85"/>
        <v>1</v>
      </c>
      <c r="AP164" s="14">
        <f t="shared" si="86"/>
        <v>0.4</v>
      </c>
      <c r="AQ164">
        <f t="shared" si="77"/>
        <v>2.162057730981104E-3</v>
      </c>
      <c r="AR164">
        <f t="shared" si="78"/>
        <v>6.4095073878933564E-3</v>
      </c>
      <c r="AS164">
        <f t="shared" si="60"/>
        <v>1.2527044587245162E-3</v>
      </c>
      <c r="AT164">
        <f t="shared" si="61"/>
        <v>1.2271843213966729E-2</v>
      </c>
      <c r="AU164" s="14">
        <f t="shared" si="66"/>
        <v>0.10207956839758175</v>
      </c>
      <c r="AV164" s="19">
        <f t="shared" si="62"/>
        <v>1.5992147732026074</v>
      </c>
      <c r="AW164" s="19">
        <f t="shared" si="89"/>
        <v>-4.0579353575764809E-2</v>
      </c>
      <c r="AX164">
        <f t="shared" si="67"/>
        <v>0</v>
      </c>
      <c r="AY164">
        <f>IF(W164,SUMPRODUCT(INDEX(AX:AX,X164):INDEX(AX:AX,X164+Y164)),0)</f>
        <v>5</v>
      </c>
      <c r="AZ164">
        <f>IF(V164,COUNT(INDEX(AX:AX,X164):INDEX(AX:AX,ROW())),0)</f>
        <v>154</v>
      </c>
      <c r="BA164" s="14">
        <f t="shared" si="79"/>
        <v>3.2467532467532464E-2</v>
      </c>
      <c r="BB164" s="6">
        <f t="shared" si="68"/>
        <v>1835344.4079999998</v>
      </c>
      <c r="BC164" s="6">
        <f>MEDIAN(INDEX(BB:BB,X164):INDEX(BB:BB,X164+Y164-1))</f>
        <v>213435.48879999999</v>
      </c>
      <c r="BD164" s="25">
        <f t="shared" si="69"/>
        <v>213435.48879999999</v>
      </c>
      <c r="BE164">
        <f t="shared" si="80"/>
        <v>0</v>
      </c>
      <c r="BF164" s="6">
        <f>SUM(INDEX(BE:BE,X164):INDEX(BE:BE,X164+Y164-1))</f>
        <v>3</v>
      </c>
      <c r="BG164" s="25">
        <f t="shared" si="70"/>
        <v>3</v>
      </c>
    </row>
    <row r="165" spans="1:59" x14ac:dyDescent="0.3">
      <c r="A165" s="1">
        <v>45590</v>
      </c>
      <c r="B165">
        <v>36.220500000000001</v>
      </c>
      <c r="C165">
        <v>36.220500000000001</v>
      </c>
      <c r="D165">
        <v>35.364400000000003</v>
      </c>
      <c r="E165">
        <v>35.385599999999997</v>
      </c>
      <c r="F165">
        <v>9658</v>
      </c>
      <c r="G165" s="29">
        <v>0.68018401056740097</v>
      </c>
      <c r="H165" s="29">
        <v>1.9222056728369699E-2</v>
      </c>
      <c r="I165" s="29">
        <v>2.4193457225538E-2</v>
      </c>
      <c r="J165" s="29">
        <v>52.179983545324298</v>
      </c>
      <c r="K165" s="29">
        <v>-1.4955444063818801E-3</v>
      </c>
      <c r="L165" s="29">
        <v>0.2</v>
      </c>
      <c r="M165" s="29">
        <v>8.5220095692968095E-2</v>
      </c>
      <c r="N165" s="29">
        <v>1.6026218629764</v>
      </c>
      <c r="O165" s="29">
        <v>-5.36939673846187E-2</v>
      </c>
      <c r="P165" s="29">
        <v>-1.36693053852158E-2</v>
      </c>
      <c r="Q165" s="29">
        <v>1.9841269841269799E-2</v>
      </c>
      <c r="R165" s="30">
        <v>231556.94069999899</v>
      </c>
      <c r="S165" s="29">
        <v>3</v>
      </c>
      <c r="T165">
        <v>570.399</v>
      </c>
      <c r="U165" s="21"/>
      <c r="V165">
        <v>155</v>
      </c>
      <c r="W165" t="b">
        <f>V165&gt;=$C$4</f>
        <v>1</v>
      </c>
      <c r="X165">
        <f>IF(V165&lt;=$C$5,11,ROW()-$C$5+1)</f>
        <v>11</v>
      </c>
      <c r="Y165" s="14">
        <f t="shared" si="63"/>
        <v>155</v>
      </c>
      <c r="Z165" s="10">
        <f t="shared" si="71"/>
        <v>0.85609999999999786</v>
      </c>
      <c r="AA165" s="15">
        <f t="shared" si="72"/>
        <v>2.4193457225538013E-2</v>
      </c>
      <c r="AB165" s="15">
        <f t="shared" si="73"/>
        <v>0.68018401056740108</v>
      </c>
      <c r="AC165" s="10">
        <f t="shared" si="64"/>
        <v>1.9222056728369765E-2</v>
      </c>
      <c r="AD165">
        <f t="shared" si="74"/>
        <v>-0.49040000000000106</v>
      </c>
      <c r="AE165">
        <f t="shared" si="81"/>
        <v>0</v>
      </c>
      <c r="AF165">
        <f t="shared" si="82"/>
        <v>0.49040000000000106</v>
      </c>
      <c r="AG165">
        <f t="shared" si="87"/>
        <v>0.22497559479820137</v>
      </c>
      <c r="AH165">
        <f t="shared" si="87"/>
        <v>0.20617635663071351</v>
      </c>
      <c r="AI165">
        <f t="shared" si="75"/>
        <v>1.0911803781709051</v>
      </c>
      <c r="AJ165">
        <f t="shared" si="83"/>
        <v>52.180117485863597</v>
      </c>
      <c r="AK165" s="14">
        <f t="shared" si="65"/>
        <v>52.180117485863597</v>
      </c>
      <c r="AM165" s="14">
        <f t="shared" si="88"/>
        <v>-1.4955444063818879E-3</v>
      </c>
      <c r="AN165" s="36">
        <f t="shared" si="76"/>
        <v>-1.3669305385215824E-2</v>
      </c>
      <c r="AO165">
        <f t="shared" si="85"/>
        <v>0</v>
      </c>
      <c r="AP165" s="14">
        <f t="shared" si="86"/>
        <v>0.2</v>
      </c>
      <c r="AQ165">
        <f t="shared" si="77"/>
        <v>-3.4525303367005655E-4</v>
      </c>
      <c r="AR165">
        <f t="shared" si="78"/>
        <v>-1.3324052351545743E-2</v>
      </c>
      <c r="AS165">
        <f t="shared" si="60"/>
        <v>1.0572237097159728E-3</v>
      </c>
      <c r="AT165">
        <f t="shared" si="61"/>
        <v>1.2405802893309961E-2</v>
      </c>
      <c r="AU165" s="14">
        <f t="shared" si="66"/>
        <v>8.5220095692967887E-2</v>
      </c>
      <c r="AV165" s="19">
        <f t="shared" si="62"/>
        <v>1.6026218629764357</v>
      </c>
      <c r="AW165" s="19">
        <f t="shared" si="89"/>
        <v>-5.3693967384618735E-2</v>
      </c>
      <c r="AX165">
        <f t="shared" si="67"/>
        <v>0</v>
      </c>
      <c r="AY165">
        <f>IF(W165,SUMPRODUCT(INDEX(AX:AX,X165):INDEX(AX:AX,X165+Y165)),0)</f>
        <v>5</v>
      </c>
      <c r="AZ165">
        <f>IF(V165,COUNT(INDEX(AX:AX,X165):INDEX(AX:AX,ROW())),0)</f>
        <v>155</v>
      </c>
      <c r="BA165" s="14">
        <f t="shared" si="79"/>
        <v>3.2258064516129031E-2</v>
      </c>
      <c r="BB165" s="6">
        <f t="shared" si="68"/>
        <v>341754.12479999999</v>
      </c>
      <c r="BC165" s="6">
        <f>MEDIAN(INDEX(BB:BB,X165):INDEX(BB:BB,X165+Y165-1))</f>
        <v>213510.86239999998</v>
      </c>
      <c r="BD165" s="25">
        <f t="shared" si="69"/>
        <v>213510.86239999998</v>
      </c>
      <c r="BE165">
        <f t="shared" si="80"/>
        <v>0</v>
      </c>
      <c r="BF165" s="6">
        <f>SUM(INDEX(BE:BE,X165):INDEX(BE:BE,X165+Y165-1))</f>
        <v>3</v>
      </c>
      <c r="BG165" s="25">
        <f t="shared" si="70"/>
        <v>3</v>
      </c>
    </row>
    <row r="166" spans="1:59" x14ac:dyDescent="0.3">
      <c r="A166" s="1">
        <v>45593</v>
      </c>
      <c r="B166">
        <v>35.842799999999997</v>
      </c>
      <c r="C166">
        <v>36.2669</v>
      </c>
      <c r="D166">
        <v>35.842799999999997</v>
      </c>
      <c r="E166">
        <v>36.174199999999999</v>
      </c>
      <c r="F166">
        <v>8149</v>
      </c>
      <c r="G166" s="29">
        <v>0.69454943838401495</v>
      </c>
      <c r="H166" s="29">
        <v>1.9200132646582799E-2</v>
      </c>
      <c r="I166" s="29">
        <v>2.4362667315379501E-2</v>
      </c>
      <c r="J166" s="29">
        <v>58.078209719376297</v>
      </c>
      <c r="K166" s="29">
        <v>2.36281523067867E-2</v>
      </c>
      <c r="L166" s="29">
        <v>0.4</v>
      </c>
      <c r="M166" s="29">
        <v>8.9715424183377093E-2</v>
      </c>
      <c r="N166" s="29">
        <v>1.6294796010705099</v>
      </c>
      <c r="O166" s="29">
        <v>-3.2604684249092103E-2</v>
      </c>
      <c r="P166" s="29">
        <v>2.2285901609694299E-2</v>
      </c>
      <c r="Q166" s="29">
        <v>1.9841269841269799E-2</v>
      </c>
      <c r="R166" s="30">
        <v>233255.24864999999</v>
      </c>
      <c r="S166" s="29">
        <v>3</v>
      </c>
      <c r="T166">
        <v>572.16300000000001</v>
      </c>
      <c r="U166" s="21"/>
      <c r="V166">
        <v>156</v>
      </c>
      <c r="W166" t="b">
        <f>V166&gt;=$C$4</f>
        <v>1</v>
      </c>
      <c r="X166">
        <f>IF(V166&lt;=$C$5,11,ROW()-$C$5+1)</f>
        <v>11</v>
      </c>
      <c r="Y166" s="14">
        <f t="shared" si="63"/>
        <v>156</v>
      </c>
      <c r="Z166" s="10">
        <f t="shared" si="71"/>
        <v>0.88130000000000308</v>
      </c>
      <c r="AA166" s="15">
        <f t="shared" si="72"/>
        <v>2.4362667315379557E-2</v>
      </c>
      <c r="AB166" s="15">
        <f t="shared" si="73"/>
        <v>0.69454943838401551</v>
      </c>
      <c r="AC166" s="10">
        <f t="shared" si="64"/>
        <v>1.9200132646582799E-2</v>
      </c>
      <c r="AD166">
        <f t="shared" si="74"/>
        <v>0.78860000000000241</v>
      </c>
      <c r="AE166">
        <f t="shared" si="81"/>
        <v>0.78860000000000241</v>
      </c>
      <c r="AF166">
        <f t="shared" si="82"/>
        <v>0</v>
      </c>
      <c r="AG166">
        <f t="shared" si="87"/>
        <v>0.26523448088404428</v>
      </c>
      <c r="AH166">
        <f t="shared" si="87"/>
        <v>0.19144947401423398</v>
      </c>
      <c r="AI166">
        <f t="shared" si="75"/>
        <v>1.3854019826887825</v>
      </c>
      <c r="AJ166">
        <f t="shared" si="83"/>
        <v>58.07834456174897</v>
      </c>
      <c r="AK166" s="14">
        <f t="shared" si="65"/>
        <v>58.07834456174897</v>
      </c>
      <c r="AM166" s="14">
        <f t="shared" si="88"/>
        <v>2.3628152306786721E-2</v>
      </c>
      <c r="AN166" s="36">
        <f t="shared" si="76"/>
        <v>2.2285901609694347E-2</v>
      </c>
      <c r="AO166">
        <f t="shared" si="85"/>
        <v>1</v>
      </c>
      <c r="AP166" s="14">
        <f t="shared" si="86"/>
        <v>0.4</v>
      </c>
      <c r="AQ166">
        <f t="shared" si="77"/>
        <v>3.0925720416761227E-3</v>
      </c>
      <c r="AR166">
        <f t="shared" si="78"/>
        <v>1.9193329568018176E-2</v>
      </c>
      <c r="AS166">
        <f t="shared" si="60"/>
        <v>1.1204534132978974E-3</v>
      </c>
      <c r="AT166">
        <f t="shared" si="61"/>
        <v>1.2488971918671522E-2</v>
      </c>
      <c r="AU166" s="14">
        <f t="shared" si="66"/>
        <v>8.9715424183376843E-2</v>
      </c>
      <c r="AV166" s="19">
        <f t="shared" si="62"/>
        <v>1.6294796010705499</v>
      </c>
      <c r="AW166" s="19">
        <f t="shared" si="89"/>
        <v>-3.2604684249092131E-2</v>
      </c>
      <c r="AX166">
        <f t="shared" si="67"/>
        <v>0</v>
      </c>
      <c r="AY166">
        <f>IF(W166,SUMPRODUCT(INDEX(AX:AX,X166):INDEX(AX:AX,X166+Y166)),0)</f>
        <v>5</v>
      </c>
      <c r="AZ166">
        <f>IF(V166,COUNT(INDEX(AX:AX,X166):INDEX(AX:AX,ROW())),0)</f>
        <v>156</v>
      </c>
      <c r="BA166" s="14">
        <f t="shared" si="79"/>
        <v>3.2051282051282048E-2</v>
      </c>
      <c r="BB166" s="6">
        <f t="shared" si="68"/>
        <v>294783.55579999997</v>
      </c>
      <c r="BC166" s="6">
        <f>MEDIAN(INDEX(BB:BB,X166):INDEX(BB:BB,X166+Y166-1))</f>
        <v>213699.27295000001</v>
      </c>
      <c r="BD166" s="25">
        <f t="shared" si="69"/>
        <v>213699.27295000001</v>
      </c>
      <c r="BE166">
        <f t="shared" si="80"/>
        <v>0</v>
      </c>
      <c r="BF166" s="6">
        <f>SUM(INDEX(BE:BE,X166):INDEX(BE:BE,X166+Y166-1))</f>
        <v>3</v>
      </c>
      <c r="BG166" s="25">
        <f t="shared" si="70"/>
        <v>3</v>
      </c>
    </row>
    <row r="167" spans="1:59" x14ac:dyDescent="0.3">
      <c r="A167" s="1">
        <v>45594</v>
      </c>
      <c r="B167">
        <v>35.875999999999998</v>
      </c>
      <c r="C167">
        <v>35.9754</v>
      </c>
      <c r="D167">
        <v>35.378999999999998</v>
      </c>
      <c r="E167">
        <v>35.418700000000001</v>
      </c>
      <c r="F167">
        <v>11770</v>
      </c>
      <c r="G167" s="29">
        <v>0.70173876421372905</v>
      </c>
      <c r="H167" s="29">
        <v>1.9812662921386899E-2</v>
      </c>
      <c r="I167" s="29">
        <v>2.2451416906888198E-2</v>
      </c>
      <c r="J167" s="29">
        <v>51.521813096143099</v>
      </c>
      <c r="K167" s="29">
        <v>5.4532654301011601E-3</v>
      </c>
      <c r="L167" s="29">
        <v>0.4</v>
      </c>
      <c r="M167" s="29">
        <v>5.1185571494634402E-2</v>
      </c>
      <c r="N167" s="29">
        <v>1.63787549931002</v>
      </c>
      <c r="O167" s="29">
        <v>-5.2808784437895301E-2</v>
      </c>
      <c r="P167" s="29">
        <v>-2.08850506714729E-2</v>
      </c>
      <c r="Q167" s="29">
        <v>1.9841269841269799E-2</v>
      </c>
      <c r="R167" s="30">
        <v>234179.40484999999</v>
      </c>
      <c r="S167" s="29">
        <v>3</v>
      </c>
      <c r="T167">
        <v>573.08900000000006</v>
      </c>
      <c r="U167" s="21"/>
      <c r="V167">
        <v>157</v>
      </c>
      <c r="W167" t="b">
        <f>V167&gt;=$C$4</f>
        <v>1</v>
      </c>
      <c r="X167">
        <f>IF(V167&lt;=$C$5,11,ROW()-$C$5+1)</f>
        <v>11</v>
      </c>
      <c r="Y167" s="14">
        <f t="shared" si="63"/>
        <v>157</v>
      </c>
      <c r="Z167" s="10">
        <f t="shared" si="71"/>
        <v>0.79520000000000124</v>
      </c>
      <c r="AA167" s="15">
        <f t="shared" si="72"/>
        <v>2.2451416906888202E-2</v>
      </c>
      <c r="AB167" s="15">
        <f t="shared" si="73"/>
        <v>0.70173876421372872</v>
      </c>
      <c r="AC167" s="10">
        <f t="shared" si="64"/>
        <v>1.9812662921386972E-2</v>
      </c>
      <c r="AD167">
        <f t="shared" si="74"/>
        <v>-0.75549999999999784</v>
      </c>
      <c r="AE167">
        <f t="shared" si="81"/>
        <v>0</v>
      </c>
      <c r="AF167">
        <f t="shared" si="82"/>
        <v>0.75549999999999784</v>
      </c>
      <c r="AG167">
        <f t="shared" si="87"/>
        <v>0.24628916082089827</v>
      </c>
      <c r="AH167">
        <f t="shared" si="87"/>
        <v>0.2317387972989314</v>
      </c>
      <c r="AI167">
        <f t="shared" si="75"/>
        <v>1.0627877752519688</v>
      </c>
      <c r="AJ167">
        <f t="shared" si="83"/>
        <v>51.521915535986224</v>
      </c>
      <c r="AK167" s="14">
        <f t="shared" si="65"/>
        <v>51.521915535986224</v>
      </c>
      <c r="AM167" s="14">
        <f t="shared" si="88"/>
        <v>5.4532654301011618E-3</v>
      </c>
      <c r="AN167" s="36">
        <f t="shared" si="76"/>
        <v>-2.0885050671472949E-2</v>
      </c>
      <c r="AO167">
        <f t="shared" si="85"/>
        <v>0</v>
      </c>
      <c r="AP167" s="14">
        <f t="shared" si="86"/>
        <v>0.4</v>
      </c>
      <c r="AQ167">
        <f t="shared" si="77"/>
        <v>1.6184199257904819E-3</v>
      </c>
      <c r="AR167">
        <f t="shared" si="78"/>
        <v>-2.2503470597263382E-2</v>
      </c>
      <c r="AS167">
        <f t="shared" si="60"/>
        <v>6.5598260738522561E-4</v>
      </c>
      <c r="AT167">
        <f t="shared" si="61"/>
        <v>1.2815771871453885E-2</v>
      </c>
      <c r="AU167" s="14">
        <f t="shared" si="66"/>
        <v>5.1185571494634263E-2</v>
      </c>
      <c r="AV167" s="19">
        <f t="shared" si="62"/>
        <v>1.6378754993100533</v>
      </c>
      <c r="AW167" s="19">
        <f t="shared" si="89"/>
        <v>-5.2808784437895384E-2</v>
      </c>
      <c r="AX167">
        <f t="shared" si="67"/>
        <v>0</v>
      </c>
      <c r="AY167">
        <f>IF(W167,SUMPRODUCT(INDEX(AX:AX,X167):INDEX(AX:AX,X167+Y167)),0)</f>
        <v>5</v>
      </c>
      <c r="AZ167">
        <f>IF(V167,COUNT(INDEX(AX:AX,X167):INDEX(AX:AX,ROW())),0)</f>
        <v>157</v>
      </c>
      <c r="BA167" s="14">
        <f t="shared" si="79"/>
        <v>3.1847133757961783E-2</v>
      </c>
      <c r="BB167" s="6">
        <f t="shared" si="68"/>
        <v>416878.09899999999</v>
      </c>
      <c r="BC167" s="6">
        <f>MEDIAN(INDEX(BB:BB,X167):INDEX(BB:BB,X167+Y167-1))</f>
        <v>213887.68350000001</v>
      </c>
      <c r="BD167" s="25">
        <f t="shared" si="69"/>
        <v>213887.68350000001</v>
      </c>
      <c r="BE167">
        <f t="shared" si="80"/>
        <v>0</v>
      </c>
      <c r="BF167" s="6">
        <f>SUM(INDEX(BE:BE,X167):INDEX(BE:BE,X167+Y167-1))</f>
        <v>3</v>
      </c>
      <c r="BG167" s="25">
        <f t="shared" si="70"/>
        <v>3</v>
      </c>
    </row>
    <row r="168" spans="1:59" x14ac:dyDescent="0.3">
      <c r="A168" s="1">
        <v>45595</v>
      </c>
      <c r="B168">
        <v>35.630800000000001</v>
      </c>
      <c r="C168">
        <v>36.068100000000001</v>
      </c>
      <c r="D168">
        <v>35.438600000000001</v>
      </c>
      <c r="E168">
        <v>35.862699999999997</v>
      </c>
      <c r="F168">
        <v>9658</v>
      </c>
      <c r="G168" s="29">
        <v>0.69800028105560497</v>
      </c>
      <c r="H168" s="29">
        <v>1.94631268994137E-2</v>
      </c>
      <c r="I168" s="29">
        <v>1.8107950600484601E-2</v>
      </c>
      <c r="J168" s="29">
        <v>54.754478673541598</v>
      </c>
      <c r="K168" s="29">
        <v>1.5822524862551399E-2</v>
      </c>
      <c r="L168" s="29">
        <v>0.6</v>
      </c>
      <c r="M168" s="29">
        <v>9.1026168540139896E-2</v>
      </c>
      <c r="N168" s="29">
        <v>1.60029032455418</v>
      </c>
      <c r="O168" s="29">
        <v>-4.0935031315686703E-2</v>
      </c>
      <c r="P168" s="29">
        <v>1.25357508886547E-2</v>
      </c>
      <c r="Q168" s="29">
        <v>1.9841269841269799E-2</v>
      </c>
      <c r="R168" s="30">
        <v>234179.40484999999</v>
      </c>
      <c r="S168" s="29">
        <v>3</v>
      </c>
      <c r="T168">
        <v>571.35500000000002</v>
      </c>
      <c r="U168" s="21"/>
      <c r="V168">
        <v>158</v>
      </c>
      <c r="W168" t="b">
        <f>V168&gt;=$C$4</f>
        <v>1</v>
      </c>
      <c r="X168">
        <f>IF(V168&lt;=$C$5,11,ROW()-$C$5+1)</f>
        <v>11</v>
      </c>
      <c r="Y168" s="14">
        <f t="shared" si="63"/>
        <v>158</v>
      </c>
      <c r="Z168" s="10">
        <f t="shared" si="71"/>
        <v>0.64939999999999998</v>
      </c>
      <c r="AA168" s="15">
        <f t="shared" si="72"/>
        <v>1.8107950600484628E-2</v>
      </c>
      <c r="AB168" s="15">
        <f t="shared" si="73"/>
        <v>0.69800028105560519</v>
      </c>
      <c r="AC168" s="10">
        <f t="shared" si="64"/>
        <v>1.9463126899413742E-2</v>
      </c>
      <c r="AD168">
        <f t="shared" si="74"/>
        <v>0.44399999999999551</v>
      </c>
      <c r="AE168">
        <f t="shared" si="81"/>
        <v>0.44399999999999551</v>
      </c>
      <c r="AF168">
        <f t="shared" si="82"/>
        <v>0</v>
      </c>
      <c r="AG168">
        <f t="shared" si="87"/>
        <v>0.26041136361940526</v>
      </c>
      <c r="AH168">
        <f t="shared" si="87"/>
        <v>0.21518602606329343</v>
      </c>
      <c r="AI168">
        <f t="shared" si="75"/>
        <v>1.210168561516209</v>
      </c>
      <c r="AJ168">
        <f t="shared" si="83"/>
        <v>54.754582188338389</v>
      </c>
      <c r="AK168" s="14">
        <f t="shared" si="65"/>
        <v>54.754582188338389</v>
      </c>
      <c r="AM168" s="14">
        <f t="shared" si="88"/>
        <v>1.5822524862551424E-2</v>
      </c>
      <c r="AN168" s="36">
        <f t="shared" si="76"/>
        <v>1.2535750888654773E-2</v>
      </c>
      <c r="AO168">
        <f t="shared" si="85"/>
        <v>1</v>
      </c>
      <c r="AP168" s="14">
        <f t="shared" si="86"/>
        <v>0.6</v>
      </c>
      <c r="AQ168">
        <f t="shared" si="77"/>
        <v>-3.0257080488371724E-3</v>
      </c>
      <c r="AR168">
        <f t="shared" si="78"/>
        <v>1.5561458937491873E-2</v>
      </c>
      <c r="AS168">
        <f t="shared" si="60"/>
        <v>1.1618762961239572E-3</v>
      </c>
      <c r="AT168">
        <f t="shared" si="61"/>
        <v>1.276420083101275E-2</v>
      </c>
      <c r="AU168" s="14">
        <f t="shared" si="66"/>
        <v>9.102616854013966E-2</v>
      </c>
      <c r="AV168" s="19">
        <f t="shared" si="62"/>
        <v>1.6002903245542233</v>
      </c>
      <c r="AW168" s="19">
        <f t="shared" si="89"/>
        <v>-4.0935031315686765E-2</v>
      </c>
      <c r="AX168">
        <f t="shared" si="67"/>
        <v>0</v>
      </c>
      <c r="AY168">
        <f>IF(W168,SUMPRODUCT(INDEX(AX:AX,X168):INDEX(AX:AX,X168+Y168)),0)</f>
        <v>5</v>
      </c>
      <c r="AZ168">
        <f>IF(V168,COUNT(INDEX(AX:AX,X168):INDEX(AX:AX,ROW())),0)</f>
        <v>158</v>
      </c>
      <c r="BA168" s="14">
        <f t="shared" si="79"/>
        <v>3.1645569620253167E-2</v>
      </c>
      <c r="BB168" s="6">
        <f t="shared" si="68"/>
        <v>346361.95659999998</v>
      </c>
      <c r="BC168" s="6">
        <f>MEDIAN(INDEX(BB:BB,X168):INDEX(BB:BB,X168+Y168-1))</f>
        <v>214256.73804999999</v>
      </c>
      <c r="BD168" s="25">
        <f t="shared" si="69"/>
        <v>214256.73804999999</v>
      </c>
      <c r="BE168">
        <f t="shared" si="80"/>
        <v>0</v>
      </c>
      <c r="BF168" s="6">
        <f>SUM(INDEX(BE:BE,X168):INDEX(BE:BE,X168+Y168-1))</f>
        <v>3</v>
      </c>
      <c r="BG168" s="25">
        <f t="shared" si="70"/>
        <v>3</v>
      </c>
    </row>
    <row r="169" spans="1:59" x14ac:dyDescent="0.3">
      <c r="A169" s="1">
        <v>45596</v>
      </c>
      <c r="B169">
        <v>35.822899999999997</v>
      </c>
      <c r="C169">
        <v>35.822899999999997</v>
      </c>
      <c r="D169">
        <v>34.835599999999999</v>
      </c>
      <c r="E169">
        <v>35.166899999999998</v>
      </c>
      <c r="F169">
        <v>43159</v>
      </c>
      <c r="G169" s="29">
        <v>0.72150740383734702</v>
      </c>
      <c r="H169" s="29">
        <v>2.0516662083872799E-2</v>
      </c>
      <c r="I169" s="29">
        <v>2.92064412842757E-2</v>
      </c>
      <c r="J169" s="29">
        <v>49.215812308079201</v>
      </c>
      <c r="K169" s="29">
        <v>8.1675362651223403E-3</v>
      </c>
      <c r="L169" s="29">
        <v>0.4</v>
      </c>
      <c r="M169" s="29">
        <v>0.12480284164271099</v>
      </c>
      <c r="N169" s="29">
        <v>1.5000500510628101</v>
      </c>
      <c r="O169" s="29">
        <v>-5.9542593077922798E-2</v>
      </c>
      <c r="P169" s="29">
        <v>-1.9401773988015299E-2</v>
      </c>
      <c r="Q169" s="29">
        <v>1.9841269841269799E-2</v>
      </c>
      <c r="R169" s="30">
        <v>235385.68160000001</v>
      </c>
      <c r="S169" s="29">
        <v>3</v>
      </c>
      <c r="T169">
        <v>560.15499999999997</v>
      </c>
      <c r="U169" s="21"/>
      <c r="V169">
        <v>159</v>
      </c>
      <c r="W169" t="b">
        <f>V169&gt;=$C$4</f>
        <v>1</v>
      </c>
      <c r="X169">
        <f>IF(V169&lt;=$C$5,11,ROW()-$C$5+1)</f>
        <v>11</v>
      </c>
      <c r="Y169" s="14">
        <f t="shared" si="63"/>
        <v>159</v>
      </c>
      <c r="Z169" s="10">
        <f t="shared" si="71"/>
        <v>1.0270999999999972</v>
      </c>
      <c r="AA169" s="15">
        <f t="shared" si="72"/>
        <v>2.9206441284275762E-2</v>
      </c>
      <c r="AB169" s="15">
        <f t="shared" si="73"/>
        <v>0.72150740383734746</v>
      </c>
      <c r="AC169" s="10">
        <f t="shared" si="64"/>
        <v>2.051666208387283E-2</v>
      </c>
      <c r="AD169">
        <f t="shared" si="74"/>
        <v>-0.69579999999999842</v>
      </c>
      <c r="AE169">
        <f t="shared" si="81"/>
        <v>0</v>
      </c>
      <c r="AF169">
        <f t="shared" si="82"/>
        <v>0.69579999999999842</v>
      </c>
      <c r="AG169">
        <f t="shared" si="87"/>
        <v>0.24181055193230488</v>
      </c>
      <c r="AH169">
        <f t="shared" si="87"/>
        <v>0.24951559563020093</v>
      </c>
      <c r="AI169">
        <f t="shared" si="75"/>
        <v>0.96911999156431317</v>
      </c>
      <c r="AJ169">
        <f t="shared" si="83"/>
        <v>49.215893176444901</v>
      </c>
      <c r="AK169" s="14">
        <f t="shared" si="65"/>
        <v>49.215893176444901</v>
      </c>
      <c r="AM169" s="14">
        <f t="shared" si="88"/>
        <v>8.1675362651223438E-3</v>
      </c>
      <c r="AN169" s="36">
        <f t="shared" si="76"/>
        <v>-1.9401773988015347E-2</v>
      </c>
      <c r="AO169">
        <f t="shared" si="85"/>
        <v>0</v>
      </c>
      <c r="AP169" s="14">
        <f t="shared" si="86"/>
        <v>0.4</v>
      </c>
      <c r="AQ169">
        <f t="shared" si="77"/>
        <v>-1.9602523824942542E-2</v>
      </c>
      <c r="AR169">
        <f t="shared" si="78"/>
        <v>2.0074983692724285E-4</v>
      </c>
      <c r="AS169">
        <f t="shared" si="60"/>
        <v>1.5425110607398037E-3</v>
      </c>
      <c r="AT169">
        <f t="shared" si="61"/>
        <v>1.2359582846324497E-2</v>
      </c>
      <c r="AU169" s="14">
        <f t="shared" si="66"/>
        <v>0.12480284164271101</v>
      </c>
      <c r="AV169" s="19">
        <f t="shared" si="62"/>
        <v>1.5000500510628487</v>
      </c>
      <c r="AW169" s="19">
        <f t="shared" si="89"/>
        <v>-5.9542593077922867E-2</v>
      </c>
      <c r="AX169">
        <f t="shared" si="67"/>
        <v>0</v>
      </c>
      <c r="AY169">
        <f>IF(W169,SUMPRODUCT(INDEX(AX:AX,X169):INDEX(AX:AX,X169+Y169)),0)</f>
        <v>5</v>
      </c>
      <c r="AZ169">
        <f>IF(V169,COUNT(INDEX(AX:AX,X169):INDEX(AX:AX,ROW())),0)</f>
        <v>159</v>
      </c>
      <c r="BA169" s="14">
        <f t="shared" si="79"/>
        <v>3.1446540880503145E-2</v>
      </c>
      <c r="BB169" s="6">
        <f t="shared" si="68"/>
        <v>1517768.2371</v>
      </c>
      <c r="BC169" s="6">
        <f>MEDIAN(INDEX(BB:BB,X169):INDEX(BB:BB,X169+Y169-1))</f>
        <v>214625.79259999999</v>
      </c>
      <c r="BD169" s="25">
        <f t="shared" si="69"/>
        <v>214625.79259999999</v>
      </c>
      <c r="BE169">
        <f t="shared" si="80"/>
        <v>0</v>
      </c>
      <c r="BF169" s="6">
        <f>SUM(INDEX(BE:BE,X169):INDEX(BE:BE,X169+Y169-1))</f>
        <v>3</v>
      </c>
      <c r="BG169" s="25">
        <f t="shared" si="70"/>
        <v>3</v>
      </c>
    </row>
    <row r="170" spans="1:59" x14ac:dyDescent="0.3">
      <c r="A170" s="1">
        <v>45597</v>
      </c>
      <c r="B170">
        <v>35.432000000000002</v>
      </c>
      <c r="C170">
        <v>35.804400000000001</v>
      </c>
      <c r="D170">
        <v>35.221899999999998</v>
      </c>
      <c r="E170">
        <v>35.306100000000001</v>
      </c>
      <c r="F170">
        <v>70323</v>
      </c>
      <c r="G170" s="29">
        <v>0.71550687499182297</v>
      </c>
      <c r="H170" s="29">
        <v>2.0265814547396101E-2</v>
      </c>
      <c r="I170" s="29">
        <v>1.8056369862431702E-2</v>
      </c>
      <c r="J170" s="29">
        <v>50.298966953926502</v>
      </c>
      <c r="K170" s="29">
        <v>1.3506298154761299E-2</v>
      </c>
      <c r="L170" s="29">
        <v>0.6</v>
      </c>
      <c r="M170" s="29">
        <v>0.13615090222635801</v>
      </c>
      <c r="N170" s="29">
        <v>1.5364163031325899</v>
      </c>
      <c r="O170" s="29">
        <v>-5.5820011017986997E-2</v>
      </c>
      <c r="P170" s="29">
        <v>3.9582675754759001E-3</v>
      </c>
      <c r="Q170" s="29">
        <v>1.9841269841269799E-2</v>
      </c>
      <c r="R170" s="30">
        <v>235385.68160000001</v>
      </c>
      <c r="S170" s="29">
        <v>3</v>
      </c>
      <c r="T170">
        <v>562.51900000000001</v>
      </c>
      <c r="U170" s="21"/>
      <c r="V170">
        <v>160</v>
      </c>
      <c r="W170" t="b">
        <f>V170&gt;=$C$4</f>
        <v>1</v>
      </c>
      <c r="X170">
        <f>IF(V170&lt;=$C$5,11,ROW()-$C$5+1)</f>
        <v>11</v>
      </c>
      <c r="Y170" s="14">
        <f t="shared" si="63"/>
        <v>160</v>
      </c>
      <c r="Z170" s="10">
        <f t="shared" si="71"/>
        <v>0.63750000000000284</v>
      </c>
      <c r="AA170" s="15">
        <f t="shared" si="72"/>
        <v>1.8056369862431785E-2</v>
      </c>
      <c r="AB170" s="15">
        <f t="shared" si="73"/>
        <v>0.71550687499182275</v>
      </c>
      <c r="AC170" s="10">
        <f t="shared" si="64"/>
        <v>2.0265814547396135E-2</v>
      </c>
      <c r="AD170">
        <f t="shared" si="74"/>
        <v>0.13920000000000243</v>
      </c>
      <c r="AE170">
        <f t="shared" si="81"/>
        <v>0.13920000000000243</v>
      </c>
      <c r="AF170">
        <f t="shared" si="82"/>
        <v>0</v>
      </c>
      <c r="AG170">
        <f t="shared" si="87"/>
        <v>0.23448122679428329</v>
      </c>
      <c r="AH170">
        <f t="shared" si="87"/>
        <v>0.23169305308518659</v>
      </c>
      <c r="AI170">
        <f t="shared" si="75"/>
        <v>1.0120339115565609</v>
      </c>
      <c r="AJ170">
        <f t="shared" si="83"/>
        <v>50.299048427748687</v>
      </c>
      <c r="AK170" s="14">
        <f t="shared" si="65"/>
        <v>50.299048427748687</v>
      </c>
      <c r="AM170" s="14">
        <f t="shared" si="88"/>
        <v>1.3506298154761343E-2</v>
      </c>
      <c r="AN170" s="36">
        <f t="shared" si="76"/>
        <v>3.9582675754759045E-3</v>
      </c>
      <c r="AO170">
        <f t="shared" si="85"/>
        <v>1</v>
      </c>
      <c r="AP170" s="14">
        <f t="shared" si="86"/>
        <v>0.6</v>
      </c>
      <c r="AQ170">
        <f t="shared" si="77"/>
        <v>4.2202604636216723E-3</v>
      </c>
      <c r="AR170">
        <f t="shared" si="78"/>
        <v>-2.6199288814577216E-4</v>
      </c>
      <c r="AS170">
        <f t="shared" si="60"/>
        <v>1.673906869386036E-3</v>
      </c>
      <c r="AT170">
        <f t="shared" si="61"/>
        <v>1.2294497076509073E-2</v>
      </c>
      <c r="AU170" s="14">
        <f t="shared" si="66"/>
        <v>0.13615090222635839</v>
      </c>
      <c r="AV170" s="19">
        <f t="shared" si="62"/>
        <v>1.5364163031326363</v>
      </c>
      <c r="AW170" s="19">
        <f t="shared" si="89"/>
        <v>-5.5820011017987059E-2</v>
      </c>
      <c r="AX170">
        <f t="shared" si="67"/>
        <v>0</v>
      </c>
      <c r="AY170">
        <f>IF(W170,SUMPRODUCT(INDEX(AX:AX,X170):INDEX(AX:AX,X170+Y170)),0)</f>
        <v>5</v>
      </c>
      <c r="AZ170">
        <f>IF(V170,COUNT(INDEX(AX:AX,X170):INDEX(AX:AX,ROW())),0)</f>
        <v>160</v>
      </c>
      <c r="BA170" s="14">
        <f t="shared" si="79"/>
        <v>3.125E-2</v>
      </c>
      <c r="BB170" s="6">
        <f t="shared" si="68"/>
        <v>2482830.8703000001</v>
      </c>
      <c r="BC170" s="6">
        <f>MEDIAN(INDEX(BB:BB,X170):INDEX(BB:BB,X170+Y170-1))</f>
        <v>215060.89155</v>
      </c>
      <c r="BD170" s="25">
        <f t="shared" si="69"/>
        <v>215060.89155</v>
      </c>
      <c r="BE170">
        <f t="shared" si="80"/>
        <v>0</v>
      </c>
      <c r="BF170" s="6">
        <f>SUM(INDEX(BE:BE,X170):INDEX(BE:BE,X170+Y170-1))</f>
        <v>3</v>
      </c>
      <c r="BG170" s="25">
        <f t="shared" si="70"/>
        <v>3</v>
      </c>
    </row>
    <row r="171" spans="1:59" x14ac:dyDescent="0.3">
      <c r="A171" s="1">
        <v>45600</v>
      </c>
      <c r="B171">
        <v>35.2729</v>
      </c>
      <c r="C171">
        <v>36.081400000000002</v>
      </c>
      <c r="D171">
        <v>35.2729</v>
      </c>
      <c r="E171">
        <v>35.822899999999997</v>
      </c>
      <c r="F171">
        <v>33199</v>
      </c>
      <c r="G171" s="29">
        <v>0.72214924106383604</v>
      </c>
      <c r="H171" s="29">
        <v>2.0158871589509301E-2</v>
      </c>
      <c r="I171" s="29">
        <v>2.2569362056115001E-2</v>
      </c>
      <c r="J171" s="29">
        <v>54.204271290745702</v>
      </c>
      <c r="K171" s="29">
        <v>1.8077801902986301E-2</v>
      </c>
      <c r="L171" s="29">
        <v>0.6</v>
      </c>
      <c r="M171" s="29">
        <v>0.13904895370772399</v>
      </c>
      <c r="N171" s="29">
        <v>1.5044800578375199</v>
      </c>
      <c r="O171" s="29">
        <v>-4.19993902667316E-2</v>
      </c>
      <c r="P171" s="29">
        <v>1.4637697168477799E-2</v>
      </c>
      <c r="Q171" s="29">
        <v>1.9841269841269799E-2</v>
      </c>
      <c r="R171" s="30">
        <v>235385.68160000001</v>
      </c>
      <c r="S171" s="29">
        <v>3</v>
      </c>
      <c r="T171">
        <v>561.30700000000002</v>
      </c>
      <c r="U171" s="21"/>
      <c r="V171">
        <v>161</v>
      </c>
      <c r="W171" t="b">
        <f>V171&gt;=$C$4</f>
        <v>1</v>
      </c>
      <c r="X171">
        <f>IF(V171&lt;=$C$5,11,ROW()-$C$5+1)</f>
        <v>11</v>
      </c>
      <c r="Y171" s="14">
        <f t="shared" si="63"/>
        <v>161</v>
      </c>
      <c r="Z171" s="10">
        <f t="shared" si="71"/>
        <v>0.80850000000000222</v>
      </c>
      <c r="AA171" s="15">
        <f t="shared" si="72"/>
        <v>2.2569362056115008E-2</v>
      </c>
      <c r="AB171" s="15">
        <f t="shared" si="73"/>
        <v>0.7221492410638356</v>
      </c>
      <c r="AC171" s="10">
        <f t="shared" si="64"/>
        <v>2.0158871589509384E-2</v>
      </c>
      <c r="AD171">
        <f t="shared" si="74"/>
        <v>0.51679999999999637</v>
      </c>
      <c r="AE171">
        <f t="shared" si="81"/>
        <v>0.51679999999999637</v>
      </c>
      <c r="AF171">
        <f t="shared" si="82"/>
        <v>0</v>
      </c>
      <c r="AG171">
        <f t="shared" si="87"/>
        <v>0.25464685345183424</v>
      </c>
      <c r="AH171">
        <f t="shared" si="87"/>
        <v>0.21514354929338755</v>
      </c>
      <c r="AI171">
        <f t="shared" si="75"/>
        <v>1.1836137048412114</v>
      </c>
      <c r="AJ171">
        <f t="shared" si="83"/>
        <v>54.204354104256815</v>
      </c>
      <c r="AK171" s="14">
        <f t="shared" si="65"/>
        <v>54.204354104256815</v>
      </c>
      <c r="AM171" s="14">
        <f t="shared" si="88"/>
        <v>1.8077801902986357E-2</v>
      </c>
      <c r="AN171" s="36">
        <f t="shared" si="76"/>
        <v>1.4637697168477848E-2</v>
      </c>
      <c r="AO171">
        <f t="shared" si="85"/>
        <v>1</v>
      </c>
      <c r="AP171" s="14">
        <f t="shared" si="86"/>
        <v>0.6</v>
      </c>
      <c r="AQ171">
        <f t="shared" si="77"/>
        <v>-2.154593889273082E-3</v>
      </c>
      <c r="AR171">
        <f t="shared" si="78"/>
        <v>1.6792291057750881E-2</v>
      </c>
      <c r="AS171">
        <f t="shared" si="60"/>
        <v>1.7162166830224103E-3</v>
      </c>
      <c r="AT171">
        <f t="shared" si="61"/>
        <v>1.234253575636274E-2</v>
      </c>
      <c r="AU171" s="14">
        <f t="shared" si="66"/>
        <v>0.13904895370772397</v>
      </c>
      <c r="AV171" s="19">
        <f t="shared" si="62"/>
        <v>1.504480057837563</v>
      </c>
      <c r="AW171" s="19">
        <f t="shared" si="89"/>
        <v>-4.1999390266731607E-2</v>
      </c>
      <c r="AX171">
        <f t="shared" si="67"/>
        <v>0</v>
      </c>
      <c r="AY171">
        <f>IF(W171,SUMPRODUCT(INDEX(AX:AX,X171):INDEX(AX:AX,X171+Y171)),0)</f>
        <v>5</v>
      </c>
      <c r="AZ171">
        <f>IF(V171,COUNT(INDEX(AX:AX,X171):INDEX(AX:AX,ROW())),0)</f>
        <v>161</v>
      </c>
      <c r="BA171" s="14">
        <f t="shared" si="79"/>
        <v>3.1055900621118012E-2</v>
      </c>
      <c r="BB171" s="6">
        <f t="shared" si="68"/>
        <v>1189284.4571</v>
      </c>
      <c r="BC171" s="6">
        <f>MEDIAN(INDEX(BB:BB,X171):INDEX(BB:BB,X171+Y171-1))</f>
        <v>215495.99049999999</v>
      </c>
      <c r="BD171" s="25">
        <f t="shared" si="69"/>
        <v>215495.99049999999</v>
      </c>
      <c r="BE171">
        <f t="shared" si="80"/>
        <v>0</v>
      </c>
      <c r="BF171" s="6">
        <f>SUM(INDEX(BE:BE,X171):INDEX(BE:BE,X171+Y171-1))</f>
        <v>3</v>
      </c>
      <c r="BG171" s="25">
        <f t="shared" si="70"/>
        <v>3</v>
      </c>
    </row>
    <row r="172" spans="1:59" x14ac:dyDescent="0.3">
      <c r="A172" s="1">
        <v>45601</v>
      </c>
      <c r="B172">
        <v>36.054900000000004</v>
      </c>
      <c r="C172">
        <v>36.9495</v>
      </c>
      <c r="D172">
        <v>36.054900000000004</v>
      </c>
      <c r="E172">
        <v>36.9495</v>
      </c>
      <c r="F172">
        <v>15845</v>
      </c>
      <c r="G172" s="29">
        <v>0.75103858098784704</v>
      </c>
      <c r="H172" s="29">
        <v>2.03260823823826E-2</v>
      </c>
      <c r="I172" s="29">
        <v>3.04902637383456E-2</v>
      </c>
      <c r="J172" s="29">
        <v>61.336462534893698</v>
      </c>
      <c r="K172" s="29">
        <v>6.5140185299425293E-2</v>
      </c>
      <c r="L172" s="29">
        <v>0.8</v>
      </c>
      <c r="M172" s="29">
        <v>0.20047517751882701</v>
      </c>
      <c r="N172" s="29">
        <v>1.4888364096853699</v>
      </c>
      <c r="O172" s="29">
        <v>-1.1871078853487401E-2</v>
      </c>
      <c r="P172" s="29">
        <v>3.1449156824266002E-2</v>
      </c>
      <c r="Q172" s="29">
        <v>1.9841269841269799E-2</v>
      </c>
      <c r="R172" s="30">
        <v>235385.68160000001</v>
      </c>
      <c r="S172" s="29">
        <v>3</v>
      </c>
      <c r="T172">
        <v>568.09400000000005</v>
      </c>
      <c r="U172" s="21"/>
      <c r="V172">
        <v>162</v>
      </c>
      <c r="W172" t="b">
        <f>V172&gt;=$C$4</f>
        <v>1</v>
      </c>
      <c r="X172">
        <f>IF(V172&lt;=$C$5,11,ROW()-$C$5+1)</f>
        <v>11</v>
      </c>
      <c r="Y172" s="14">
        <f t="shared" si="63"/>
        <v>162</v>
      </c>
      <c r="Z172" s="10">
        <f t="shared" si="71"/>
        <v>1.1266000000000034</v>
      </c>
      <c r="AA172" s="15">
        <f t="shared" si="72"/>
        <v>3.0490263738345669E-2</v>
      </c>
      <c r="AB172" s="15">
        <f t="shared" si="73"/>
        <v>0.75103858098784759</v>
      </c>
      <c r="AC172" s="10">
        <f t="shared" si="64"/>
        <v>2.0326082382382645E-2</v>
      </c>
      <c r="AD172">
        <f t="shared" si="74"/>
        <v>1.1266000000000034</v>
      </c>
      <c r="AE172">
        <f t="shared" si="81"/>
        <v>1.1266000000000034</v>
      </c>
      <c r="AF172">
        <f t="shared" si="82"/>
        <v>0</v>
      </c>
      <c r="AG172">
        <f t="shared" si="87"/>
        <v>0.31692922106241778</v>
      </c>
      <c r="AH172">
        <f t="shared" si="87"/>
        <v>0.19977615291528844</v>
      </c>
      <c r="AI172">
        <f t="shared" si="75"/>
        <v>1.5864216846582586</v>
      </c>
      <c r="AJ172">
        <f t="shared" si="83"/>
        <v>61.336544387496929</v>
      </c>
      <c r="AK172" s="14">
        <f t="shared" si="65"/>
        <v>61.336544387496929</v>
      </c>
      <c r="AM172" s="14">
        <f t="shared" si="88"/>
        <v>6.5140185299425335E-2</v>
      </c>
      <c r="AN172" s="36">
        <f t="shared" si="76"/>
        <v>3.1449156824266078E-2</v>
      </c>
      <c r="AO172">
        <f t="shared" si="85"/>
        <v>1</v>
      </c>
      <c r="AP172" s="14">
        <f t="shared" si="86"/>
        <v>0.8</v>
      </c>
      <c r="AQ172">
        <f t="shared" si="77"/>
        <v>1.2091422341071967E-2</v>
      </c>
      <c r="AR172">
        <f t="shared" si="78"/>
        <v>1.9357734483194035E-2</v>
      </c>
      <c r="AS172">
        <f t="shared" si="60"/>
        <v>2.4179671190732947E-3</v>
      </c>
      <c r="AT172">
        <f t="shared" si="61"/>
        <v>1.2061179588411717E-2</v>
      </c>
      <c r="AU172" s="14">
        <f t="shared" si="66"/>
        <v>0.20047517751882724</v>
      </c>
      <c r="AV172" s="19">
        <f t="shared" si="62"/>
        <v>1.4888364096854154</v>
      </c>
      <c r="AW172" s="19">
        <f t="shared" si="89"/>
        <v>-1.1871078853487482E-2</v>
      </c>
      <c r="AX172">
        <f t="shared" si="67"/>
        <v>0</v>
      </c>
      <c r="AY172">
        <f>IF(W172,SUMPRODUCT(INDEX(AX:AX,X172):INDEX(AX:AX,X172+Y172)),0)</f>
        <v>5</v>
      </c>
      <c r="AZ172">
        <f>IF(V172,COUNT(INDEX(AX:AX,X172):INDEX(AX:AX,ROW())),0)</f>
        <v>162</v>
      </c>
      <c r="BA172" s="14">
        <f t="shared" si="79"/>
        <v>3.0864197530864196E-2</v>
      </c>
      <c r="BB172" s="6">
        <f t="shared" si="68"/>
        <v>585464.82750000001</v>
      </c>
      <c r="BC172" s="6">
        <f>MEDIAN(INDEX(BB:BB,X172):INDEX(BB:BB,X172+Y172-1))</f>
        <v>217280.99434999999</v>
      </c>
      <c r="BD172" s="25">
        <f t="shared" si="69"/>
        <v>217280.99434999999</v>
      </c>
      <c r="BE172">
        <f t="shared" si="80"/>
        <v>0</v>
      </c>
      <c r="BF172" s="6">
        <f>SUM(INDEX(BE:BE,X172):INDEX(BE:BE,X172+Y172-1))</f>
        <v>3</v>
      </c>
      <c r="BG172" s="25">
        <f t="shared" si="70"/>
        <v>3</v>
      </c>
    </row>
    <row r="173" spans="1:59" x14ac:dyDescent="0.3">
      <c r="A173" s="1">
        <v>45602</v>
      </c>
      <c r="B173">
        <v>37.751300000000001</v>
      </c>
      <c r="C173">
        <v>37.810899999999997</v>
      </c>
      <c r="D173">
        <v>36.432600000000001</v>
      </c>
      <c r="E173">
        <v>37.810899999999997</v>
      </c>
      <c r="F173">
        <v>38783</v>
      </c>
      <c r="G173" s="29">
        <v>0.79584296806014398</v>
      </c>
      <c r="H173" s="29">
        <v>2.1047977383774098E-2</v>
      </c>
      <c r="I173" s="29">
        <v>3.6452451541751002E-2</v>
      </c>
      <c r="J173" s="29">
        <v>65.731054440337999</v>
      </c>
      <c r="K173" s="29">
        <v>8.60301530631295E-2</v>
      </c>
      <c r="L173" s="29">
        <v>0.8</v>
      </c>
      <c r="M173" s="29">
        <v>0.211311460919167</v>
      </c>
      <c r="N173" s="29">
        <v>1.5155502040984801</v>
      </c>
      <c r="O173" s="29">
        <v>0</v>
      </c>
      <c r="P173" s="29">
        <v>2.33129000392426E-2</v>
      </c>
      <c r="Q173" s="29">
        <v>1.9841269841269799E-2</v>
      </c>
      <c r="R173" s="30">
        <v>235385.68160000001</v>
      </c>
      <c r="S173" s="29">
        <v>3</v>
      </c>
      <c r="T173">
        <v>582.22</v>
      </c>
      <c r="U173" s="21"/>
      <c r="V173">
        <v>163</v>
      </c>
      <c r="W173" t="b">
        <f>V173&gt;=$C$4</f>
        <v>1</v>
      </c>
      <c r="X173">
        <f>IF(V173&lt;=$C$5,11,ROW()-$C$5+1)</f>
        <v>11</v>
      </c>
      <c r="Y173" s="14">
        <f t="shared" si="63"/>
        <v>163</v>
      </c>
      <c r="Z173" s="10">
        <f t="shared" si="71"/>
        <v>1.3782999999999959</v>
      </c>
      <c r="AA173" s="15">
        <f t="shared" si="72"/>
        <v>3.6452451541751085E-2</v>
      </c>
      <c r="AB173" s="15">
        <f t="shared" si="73"/>
        <v>0.79584296806014387</v>
      </c>
      <c r="AC173" s="10">
        <f t="shared" si="64"/>
        <v>2.1047977383774095E-2</v>
      </c>
      <c r="AD173">
        <f t="shared" si="74"/>
        <v>0.86139999999999617</v>
      </c>
      <c r="AE173">
        <f t="shared" si="81"/>
        <v>0.86139999999999617</v>
      </c>
      <c r="AF173">
        <f t="shared" si="82"/>
        <v>0</v>
      </c>
      <c r="AG173">
        <f t="shared" si="87"/>
        <v>0.3558199909865305</v>
      </c>
      <c r="AH173">
        <f t="shared" si="87"/>
        <v>0.18550642770705356</v>
      </c>
      <c r="AI173">
        <f t="shared" si="75"/>
        <v>1.918100603761457</v>
      </c>
      <c r="AJ173">
        <f t="shared" si="83"/>
        <v>65.731133508180235</v>
      </c>
      <c r="AK173" s="14">
        <f t="shared" si="65"/>
        <v>65.731133508180235</v>
      </c>
      <c r="AM173" s="14">
        <f t="shared" si="88"/>
        <v>8.6030153063129555E-2</v>
      </c>
      <c r="AN173" s="36">
        <f t="shared" si="76"/>
        <v>2.331290003924269E-2</v>
      </c>
      <c r="AO173">
        <f t="shared" si="85"/>
        <v>1</v>
      </c>
      <c r="AP173" s="14">
        <f t="shared" si="86"/>
        <v>0.8</v>
      </c>
      <c r="AQ173">
        <f t="shared" si="77"/>
        <v>2.4865603227634869E-2</v>
      </c>
      <c r="AR173">
        <f t="shared" si="78"/>
        <v>-1.5527031883922696E-3</v>
      </c>
      <c r="AS173">
        <f t="shared" si="60"/>
        <v>2.5329561207578077E-3</v>
      </c>
      <c r="AT173">
        <f t="shared" si="61"/>
        <v>1.1986837390361625E-2</v>
      </c>
      <c r="AU173" s="14">
        <f t="shared" si="66"/>
        <v>0.21131146091916678</v>
      </c>
      <c r="AV173" s="19">
        <f t="shared" si="62"/>
        <v>1.5155502040985198</v>
      </c>
      <c r="AW173" s="19">
        <f t="shared" si="89"/>
        <v>0</v>
      </c>
      <c r="AX173">
        <f t="shared" si="67"/>
        <v>0</v>
      </c>
      <c r="AY173">
        <f>IF(W173,SUMPRODUCT(INDEX(AX:AX,X173):INDEX(AX:AX,X173+Y173)),0)</f>
        <v>5</v>
      </c>
      <c r="AZ173">
        <f>IF(V173,COUNT(INDEX(AX:AX,X173):INDEX(AX:AX,ROW())),0)</f>
        <v>163</v>
      </c>
      <c r="BA173" s="14">
        <f t="shared" si="79"/>
        <v>3.0674846625766871E-2</v>
      </c>
      <c r="BB173" s="6">
        <f t="shared" si="68"/>
        <v>1466420.1346999998</v>
      </c>
      <c r="BC173" s="6">
        <f>MEDIAN(INDEX(BB:BB,X173):INDEX(BB:BB,X173+Y173-1))</f>
        <v>219065.99819999997</v>
      </c>
      <c r="BD173" s="25">
        <f t="shared" si="69"/>
        <v>219065.99819999997</v>
      </c>
      <c r="BE173">
        <f t="shared" si="80"/>
        <v>0</v>
      </c>
      <c r="BF173" s="6">
        <f>SUM(INDEX(BE:BE,X173):INDEX(BE:BE,X173+Y173-1))</f>
        <v>3</v>
      </c>
      <c r="BG173" s="25">
        <f t="shared" si="70"/>
        <v>3</v>
      </c>
    </row>
    <row r="174" spans="1:59" x14ac:dyDescent="0.3">
      <c r="A174" s="1">
        <v>45603</v>
      </c>
      <c r="B174">
        <v>38.201900000000002</v>
      </c>
      <c r="C174">
        <v>38.287999999999997</v>
      </c>
      <c r="D174">
        <v>37.896999999999998</v>
      </c>
      <c r="E174">
        <v>38.234999999999999</v>
      </c>
      <c r="F174">
        <v>17656</v>
      </c>
      <c r="G174" s="29">
        <v>0.77307561319870499</v>
      </c>
      <c r="H174" s="29">
        <v>2.02190561840906E-2</v>
      </c>
      <c r="I174" s="29">
        <v>1.2478095985353699E-2</v>
      </c>
      <c r="J174" s="29">
        <v>67.678885898534702</v>
      </c>
      <c r="K174" s="29">
        <v>9.1561559675457704E-2</v>
      </c>
      <c r="L174" s="29">
        <v>1</v>
      </c>
      <c r="M174" s="29">
        <v>0.196686907509876</v>
      </c>
      <c r="N174" s="29">
        <v>1.50497055150336</v>
      </c>
      <c r="O174" s="29">
        <v>0</v>
      </c>
      <c r="P174" s="29">
        <v>1.1216342377462701E-2</v>
      </c>
      <c r="Q174" s="29">
        <v>1.9841269841269799E-2</v>
      </c>
      <c r="R174" s="30">
        <v>235385.68160000001</v>
      </c>
      <c r="S174" s="29">
        <v>3</v>
      </c>
      <c r="T174">
        <v>586.72199999999998</v>
      </c>
      <c r="U174" s="21"/>
      <c r="V174">
        <v>164</v>
      </c>
      <c r="W174" t="b">
        <f>V174&gt;=$C$4</f>
        <v>1</v>
      </c>
      <c r="X174">
        <f>IF(V174&lt;=$C$5,11,ROW()-$C$5+1)</f>
        <v>11</v>
      </c>
      <c r="Y174" s="14">
        <f t="shared" si="63"/>
        <v>164</v>
      </c>
      <c r="Z174" s="10">
        <f t="shared" si="71"/>
        <v>0.47710000000000008</v>
      </c>
      <c r="AA174" s="15">
        <f t="shared" si="72"/>
        <v>1.2478095985353736E-2</v>
      </c>
      <c r="AB174" s="15">
        <f t="shared" si="73"/>
        <v>0.77307561319870499</v>
      </c>
      <c r="AC174" s="10">
        <f t="shared" si="64"/>
        <v>2.0219056184090624E-2</v>
      </c>
      <c r="AD174">
        <f t="shared" si="74"/>
        <v>0.42410000000000281</v>
      </c>
      <c r="AE174">
        <f t="shared" si="81"/>
        <v>0.42410000000000281</v>
      </c>
      <c r="AF174">
        <f t="shared" si="82"/>
        <v>0</v>
      </c>
      <c r="AG174">
        <f t="shared" ref="AG174:AH189" si="90">(AE174+13*AG173)/14</f>
        <v>0.3606971344874928</v>
      </c>
      <c r="AH174">
        <f t="shared" si="90"/>
        <v>0.17225596858512118</v>
      </c>
      <c r="AI174">
        <f t="shared" si="75"/>
        <v>2.0939601538930273</v>
      </c>
      <c r="AJ174">
        <f t="shared" si="83"/>
        <v>67.678963197320655</v>
      </c>
      <c r="AK174" s="14">
        <f t="shared" si="65"/>
        <v>67.678963197320655</v>
      </c>
      <c r="AM174" s="14">
        <f t="shared" si="88"/>
        <v>9.156155967545776E-2</v>
      </c>
      <c r="AN174" s="36">
        <f t="shared" si="76"/>
        <v>1.1216342377462718E-2</v>
      </c>
      <c r="AO174">
        <f t="shared" si="85"/>
        <v>1</v>
      </c>
      <c r="AP174" s="14">
        <f t="shared" si="86"/>
        <v>1</v>
      </c>
      <c r="AQ174">
        <f t="shared" si="77"/>
        <v>7.7324722613443253E-3</v>
      </c>
      <c r="AR174">
        <f t="shared" si="78"/>
        <v>3.4838701161183754E-3</v>
      </c>
      <c r="AS174">
        <f t="shared" si="60"/>
        <v>2.3330295126065197E-3</v>
      </c>
      <c r="AT174">
        <f t="shared" si="61"/>
        <v>1.1861641133837936E-2</v>
      </c>
      <c r="AU174" s="14">
        <f t="shared" si="66"/>
        <v>0.19668690750987572</v>
      </c>
      <c r="AV174" s="19">
        <f t="shared" si="62"/>
        <v>1.5049705515033971</v>
      </c>
      <c r="AW174" s="19">
        <f t="shared" si="89"/>
        <v>0</v>
      </c>
      <c r="AX174">
        <f t="shared" si="67"/>
        <v>0</v>
      </c>
      <c r="AY174">
        <f>IF(W174,SUMPRODUCT(INDEX(AX:AX,X174):INDEX(AX:AX,X174+Y174)),0)</f>
        <v>5</v>
      </c>
      <c r="AZ174">
        <f>IF(V174,COUNT(INDEX(AX:AX,X174):INDEX(AX:AX,ROW())),0)</f>
        <v>164</v>
      </c>
      <c r="BA174" s="14">
        <f t="shared" si="79"/>
        <v>3.048780487804878E-2</v>
      </c>
      <c r="BB174" s="6">
        <f t="shared" si="68"/>
        <v>675077.16</v>
      </c>
      <c r="BC174" s="6">
        <f>MEDIAN(INDEX(BB:BB,X174):INDEX(BB:BB,X174+Y174-1))</f>
        <v>219786.16109999997</v>
      </c>
      <c r="BD174" s="25">
        <f t="shared" si="69"/>
        <v>219786.16109999997</v>
      </c>
      <c r="BE174">
        <f t="shared" si="80"/>
        <v>0</v>
      </c>
      <c r="BF174" s="6">
        <f>SUM(INDEX(BE:BE,X174):INDEX(BE:BE,X174+Y174-1))</f>
        <v>3</v>
      </c>
      <c r="BG174" s="25">
        <f t="shared" si="70"/>
        <v>3</v>
      </c>
    </row>
    <row r="175" spans="1:59" x14ac:dyDescent="0.3">
      <c r="A175" s="1">
        <v>45604</v>
      </c>
      <c r="B175">
        <v>38.109099999999998</v>
      </c>
      <c r="C175">
        <v>38.109099999999998</v>
      </c>
      <c r="D175">
        <v>37.850700000000003</v>
      </c>
      <c r="E175">
        <v>37.989800000000002</v>
      </c>
      <c r="F175">
        <v>8903</v>
      </c>
      <c r="G175" s="29">
        <v>0.74530592654165395</v>
      </c>
      <c r="H175" s="29">
        <v>1.9618579896226201E-2</v>
      </c>
      <c r="I175" s="29">
        <v>1.01158732080715E-2</v>
      </c>
      <c r="J175" s="29">
        <v>65.365561661667499</v>
      </c>
      <c r="K175" s="29">
        <v>8.0677140670825501E-2</v>
      </c>
      <c r="L175" s="29">
        <v>0.8</v>
      </c>
      <c r="M175" s="29">
        <v>0.20755229787635401</v>
      </c>
      <c r="N175" s="29">
        <v>1.49031097214565</v>
      </c>
      <c r="O175" s="29">
        <v>-6.4129724074799502E-3</v>
      </c>
      <c r="P175" s="29">
        <v>-6.4129724074799502E-3</v>
      </c>
      <c r="Q175" s="29">
        <v>1.9841269841269799E-2</v>
      </c>
      <c r="R175" s="30">
        <v>236915.60879999999</v>
      </c>
      <c r="S175" s="29">
        <v>3</v>
      </c>
      <c r="T175">
        <v>589.26400000000001</v>
      </c>
      <c r="U175" s="21"/>
      <c r="V175">
        <v>165</v>
      </c>
      <c r="W175" t="b">
        <f>V175&gt;=$C$4</f>
        <v>1</v>
      </c>
      <c r="X175">
        <f>IF(V175&lt;=$C$5,11,ROW()-$C$5+1)</f>
        <v>11</v>
      </c>
      <c r="Y175" s="14">
        <f t="shared" si="63"/>
        <v>165</v>
      </c>
      <c r="Z175" s="10">
        <f t="shared" si="71"/>
        <v>0.38429999999999609</v>
      </c>
      <c r="AA175" s="15">
        <f t="shared" si="72"/>
        <v>1.0115873208071537E-2</v>
      </c>
      <c r="AB175" s="15">
        <f t="shared" si="73"/>
        <v>0.74530592654165428</v>
      </c>
      <c r="AC175" s="10">
        <f t="shared" si="64"/>
        <v>1.9618579896226205E-2</v>
      </c>
      <c r="AD175">
        <f t="shared" si="74"/>
        <v>-0.24519999999999698</v>
      </c>
      <c r="AE175">
        <f t="shared" si="81"/>
        <v>0</v>
      </c>
      <c r="AF175">
        <f t="shared" si="82"/>
        <v>0.24519999999999698</v>
      </c>
      <c r="AG175">
        <f t="shared" si="90"/>
        <v>0.33493305345267188</v>
      </c>
      <c r="AH175">
        <f t="shared" si="90"/>
        <v>0.17746625654332662</v>
      </c>
      <c r="AI175">
        <f t="shared" si="75"/>
        <v>1.8873055643166807</v>
      </c>
      <c r="AJ175">
        <f t="shared" si="83"/>
        <v>65.365633192458347</v>
      </c>
      <c r="AK175" s="14">
        <f t="shared" si="65"/>
        <v>65.365633192458347</v>
      </c>
      <c r="AM175" s="14">
        <f t="shared" si="88"/>
        <v>8.0677140670825542E-2</v>
      </c>
      <c r="AN175" s="36">
        <f t="shared" si="76"/>
        <v>-6.4129724074799555E-3</v>
      </c>
      <c r="AO175">
        <f t="shared" si="85"/>
        <v>0</v>
      </c>
      <c r="AP175" s="14">
        <f t="shared" si="86"/>
        <v>0.8</v>
      </c>
      <c r="AQ175">
        <f t="shared" si="77"/>
        <v>4.3325459076020145E-3</v>
      </c>
      <c r="AR175">
        <f t="shared" si="78"/>
        <v>-1.0745518315081965E-2</v>
      </c>
      <c r="AS175">
        <f t="shared" si="60"/>
        <v>2.432856187789914E-3</v>
      </c>
      <c r="AT175">
        <f t="shared" si="61"/>
        <v>1.1721653832227169E-2</v>
      </c>
      <c r="AU175" s="14">
        <f t="shared" si="66"/>
        <v>0.20755229787635349</v>
      </c>
      <c r="AV175" s="19">
        <f t="shared" si="62"/>
        <v>1.4903109721456929</v>
      </c>
      <c r="AW175" s="19">
        <f t="shared" si="89"/>
        <v>-6.4129724074799555E-3</v>
      </c>
      <c r="AX175">
        <f t="shared" si="67"/>
        <v>0</v>
      </c>
      <c r="AY175">
        <f>IF(W175,SUMPRODUCT(INDEX(AX:AX,X175):INDEX(AX:AX,X175+Y175)),0)</f>
        <v>5</v>
      </c>
      <c r="AZ175">
        <f>IF(V175,COUNT(INDEX(AX:AX,X175):INDEX(AX:AX,ROW())),0)</f>
        <v>165</v>
      </c>
      <c r="BA175" s="14">
        <f t="shared" si="79"/>
        <v>3.0303030303030304E-2</v>
      </c>
      <c r="BB175" s="6">
        <f t="shared" si="68"/>
        <v>338223.18940000003</v>
      </c>
      <c r="BC175" s="6">
        <f>MEDIAN(INDEX(BB:BB,X175):INDEX(BB:BB,X175+Y175-1))</f>
        <v>220506.32399999999</v>
      </c>
      <c r="BD175" s="25">
        <f t="shared" si="69"/>
        <v>220506.32399999999</v>
      </c>
      <c r="BE175">
        <f t="shared" si="80"/>
        <v>0</v>
      </c>
      <c r="BF175" s="6">
        <f>SUM(INDEX(BE:BE,X175):INDEX(BE:BE,X175+Y175-1))</f>
        <v>3</v>
      </c>
      <c r="BG175" s="25">
        <f t="shared" si="70"/>
        <v>3</v>
      </c>
    </row>
    <row r="176" spans="1:59" x14ac:dyDescent="0.3">
      <c r="A176" s="1">
        <v>45607</v>
      </c>
      <c r="B176">
        <v>38.427199999999999</v>
      </c>
      <c r="C176">
        <v>39.228999999999999</v>
      </c>
      <c r="D176">
        <v>38.3874</v>
      </c>
      <c r="E176">
        <v>39.063299999999998</v>
      </c>
      <c r="F176">
        <v>13430</v>
      </c>
      <c r="G176" s="29">
        <v>0.78058407464582202</v>
      </c>
      <c r="H176" s="29">
        <v>1.9982543068451E-2</v>
      </c>
      <c r="I176" s="29">
        <v>3.1722870315615798E-2</v>
      </c>
      <c r="J176" s="29">
        <v>70.172479759091999</v>
      </c>
      <c r="K176" s="29">
        <v>9.9402218882453194E-2</v>
      </c>
      <c r="L176" s="29">
        <v>0.8</v>
      </c>
      <c r="M176" s="29">
        <v>0.21608014336600001</v>
      </c>
      <c r="N176" s="29">
        <v>1.4563284321824601</v>
      </c>
      <c r="O176" s="29">
        <v>0</v>
      </c>
      <c r="P176" s="29">
        <v>2.82575849306918E-2</v>
      </c>
      <c r="Q176" s="29">
        <v>1.9841269841269799E-2</v>
      </c>
      <c r="R176" s="30">
        <v>236915.60879999999</v>
      </c>
      <c r="S176" s="29">
        <v>3</v>
      </c>
      <c r="T176">
        <v>589.82500000000005</v>
      </c>
      <c r="U176" s="21"/>
      <c r="V176">
        <v>166</v>
      </c>
      <c r="W176" t="b">
        <f>V176&gt;=$C$4</f>
        <v>1</v>
      </c>
      <c r="X176">
        <f>IF(V176&lt;=$C$5,11,ROW()-$C$5+1)</f>
        <v>11</v>
      </c>
      <c r="Y176" s="14">
        <f t="shared" si="63"/>
        <v>166</v>
      </c>
      <c r="Z176" s="10">
        <f t="shared" si="71"/>
        <v>1.2391999999999967</v>
      </c>
      <c r="AA176" s="15">
        <f t="shared" si="72"/>
        <v>3.1722870315615853E-2</v>
      </c>
      <c r="AB176" s="15">
        <f t="shared" si="73"/>
        <v>0.78058407464582158</v>
      </c>
      <c r="AC176" s="10">
        <f t="shared" si="64"/>
        <v>1.998254306845099E-2</v>
      </c>
      <c r="AD176">
        <f t="shared" si="74"/>
        <v>1.0734999999999957</v>
      </c>
      <c r="AE176">
        <f t="shared" si="81"/>
        <v>1.0734999999999957</v>
      </c>
      <c r="AF176">
        <f t="shared" si="82"/>
        <v>0</v>
      </c>
      <c r="AG176">
        <f t="shared" si="90"/>
        <v>0.38768783534890927</v>
      </c>
      <c r="AH176">
        <f t="shared" si="90"/>
        <v>0.16479009536166042</v>
      </c>
      <c r="AI176">
        <f t="shared" si="75"/>
        <v>2.3526161235483305</v>
      </c>
      <c r="AJ176">
        <f t="shared" si="83"/>
        <v>70.17254695590907</v>
      </c>
      <c r="AK176" s="14">
        <f t="shared" si="65"/>
        <v>70.17254695590907</v>
      </c>
      <c r="AM176" s="14">
        <f t="shared" si="88"/>
        <v>9.9402218882453264E-2</v>
      </c>
      <c r="AN176" s="36">
        <f t="shared" si="76"/>
        <v>2.8257584930691859E-2</v>
      </c>
      <c r="AO176">
        <f t="shared" si="85"/>
        <v>1</v>
      </c>
      <c r="AP176" s="14">
        <f t="shared" si="86"/>
        <v>0.8</v>
      </c>
      <c r="AQ176">
        <f t="shared" si="77"/>
        <v>9.5203508105035084E-4</v>
      </c>
      <c r="AR176">
        <f t="shared" si="78"/>
        <v>2.7305549849641449E-2</v>
      </c>
      <c r="AS176">
        <f t="shared" si="60"/>
        <v>2.5907822313416652E-3</v>
      </c>
      <c r="AT176">
        <f t="shared" si="61"/>
        <v>1.1989913515344874E-2</v>
      </c>
      <c r="AU176" s="14">
        <f t="shared" si="66"/>
        <v>0.21608014336600032</v>
      </c>
      <c r="AV176" s="19">
        <f t="shared" si="62"/>
        <v>1.456328432182505</v>
      </c>
      <c r="AW176" s="19">
        <f t="shared" si="89"/>
        <v>0</v>
      </c>
      <c r="AX176">
        <f t="shared" si="67"/>
        <v>0</v>
      </c>
      <c r="AY176">
        <f>IF(W176,SUMPRODUCT(INDEX(AX:AX,X176):INDEX(AX:AX,X176+Y176)),0)</f>
        <v>5</v>
      </c>
      <c r="AZ176">
        <f>IF(V176,COUNT(INDEX(AX:AX,X176):INDEX(AX:AX,ROW())),0)</f>
        <v>166</v>
      </c>
      <c r="BA176" s="14">
        <f t="shared" si="79"/>
        <v>3.0120481927710843E-2</v>
      </c>
      <c r="BB176" s="6">
        <f t="shared" si="68"/>
        <v>524620.11899999995</v>
      </c>
      <c r="BC176" s="6">
        <f>MEDIAN(INDEX(BB:BB,X176):INDEX(BB:BB,X176+Y176-1))</f>
        <v>224603.46100000001</v>
      </c>
      <c r="BD176" s="25">
        <f t="shared" si="69"/>
        <v>224603.46100000001</v>
      </c>
      <c r="BE176">
        <f t="shared" si="80"/>
        <v>0</v>
      </c>
      <c r="BF176" s="6">
        <f>SUM(INDEX(BE:BE,X176):INDEX(BE:BE,X176+Y176-1))</f>
        <v>3</v>
      </c>
      <c r="BG176" s="25">
        <f t="shared" si="70"/>
        <v>3</v>
      </c>
    </row>
    <row r="177" spans="1:59" x14ac:dyDescent="0.3">
      <c r="A177" s="1">
        <v>45608</v>
      </c>
      <c r="B177">
        <v>38.818100000000001</v>
      </c>
      <c r="C177">
        <v>39.010300000000001</v>
      </c>
      <c r="D177">
        <v>38.142200000000003</v>
      </c>
      <c r="E177">
        <v>38.327800000000003</v>
      </c>
      <c r="F177">
        <v>22485</v>
      </c>
      <c r="G177" s="29">
        <v>0.79062092645683402</v>
      </c>
      <c r="H177" s="29">
        <v>2.06278713220386E-2</v>
      </c>
      <c r="I177" s="29">
        <v>2.4032164642896099E-2</v>
      </c>
      <c r="J177" s="29">
        <v>63.653955567253</v>
      </c>
      <c r="K177" s="29">
        <v>7.2103294815958494E-2</v>
      </c>
      <c r="L177" s="29">
        <v>0.6</v>
      </c>
      <c r="M177" s="29">
        <v>0.18954662006030401</v>
      </c>
      <c r="N177" s="29">
        <v>1.47608489048435</v>
      </c>
      <c r="O177" s="29">
        <v>-1.8828414394073099E-2</v>
      </c>
      <c r="P177" s="29">
        <v>-1.8828414394073099E-2</v>
      </c>
      <c r="Q177" s="29">
        <v>1.9841269841269799E-2</v>
      </c>
      <c r="R177" s="30">
        <v>236915.60879999999</v>
      </c>
      <c r="S177" s="29">
        <v>3</v>
      </c>
      <c r="T177">
        <v>587.99300000000005</v>
      </c>
      <c r="U177" s="21"/>
      <c r="V177">
        <v>167</v>
      </c>
      <c r="W177" t="b">
        <f>V177&gt;=$C$4</f>
        <v>1</v>
      </c>
      <c r="X177">
        <f>IF(V177&lt;=$C$5,11,ROW()-$C$5+1)</f>
        <v>11</v>
      </c>
      <c r="Y177" s="14">
        <f t="shared" si="63"/>
        <v>167</v>
      </c>
      <c r="Z177" s="10">
        <f t="shared" si="71"/>
        <v>0.92109999999999559</v>
      </c>
      <c r="AA177" s="15">
        <f t="shared" si="72"/>
        <v>2.4032164642896162E-2</v>
      </c>
      <c r="AB177" s="15">
        <f t="shared" si="73"/>
        <v>0.79062092645683391</v>
      </c>
      <c r="AC177" s="10">
        <f t="shared" si="64"/>
        <v>2.0627871322038673E-2</v>
      </c>
      <c r="AD177">
        <f t="shared" si="74"/>
        <v>-0.73549999999999471</v>
      </c>
      <c r="AE177">
        <f t="shared" si="81"/>
        <v>0</v>
      </c>
      <c r="AF177">
        <f t="shared" si="82"/>
        <v>0.73549999999999471</v>
      </c>
      <c r="AG177">
        <f t="shared" si="90"/>
        <v>0.35999584710970151</v>
      </c>
      <c r="AH177">
        <f t="shared" si="90"/>
        <v>0.20555508855011287</v>
      </c>
      <c r="AI177">
        <f t="shared" si="75"/>
        <v>1.7513351269916972</v>
      </c>
      <c r="AJ177">
        <f t="shared" si="83"/>
        <v>63.654009641006638</v>
      </c>
      <c r="AK177" s="14">
        <f t="shared" si="65"/>
        <v>63.654009641006638</v>
      </c>
      <c r="AM177" s="14">
        <f t="shared" si="88"/>
        <v>7.2103294815958563E-2</v>
      </c>
      <c r="AN177" s="36">
        <f t="shared" si="76"/>
        <v>-1.8828414394073123E-2</v>
      </c>
      <c r="AO177">
        <f t="shared" si="85"/>
        <v>0</v>
      </c>
      <c r="AP177" s="14">
        <f t="shared" si="86"/>
        <v>0.6</v>
      </c>
      <c r="AQ177">
        <f t="shared" si="77"/>
        <v>-3.1060060187343419E-3</v>
      </c>
      <c r="AR177">
        <f t="shared" si="78"/>
        <v>-1.5722408375338757E-2</v>
      </c>
      <c r="AS177">
        <f t="shared" si="60"/>
        <v>2.3143065540096996E-3</v>
      </c>
      <c r="AT177">
        <f t="shared" si="61"/>
        <v>1.2209695711131166E-2</v>
      </c>
      <c r="AU177" s="14">
        <f t="shared" si="66"/>
        <v>0.18954662006030379</v>
      </c>
      <c r="AV177" s="19">
        <f t="shared" si="62"/>
        <v>1.4760848904843904</v>
      </c>
      <c r="AW177" s="19">
        <f t="shared" si="89"/>
        <v>-1.8828414394073123E-2</v>
      </c>
      <c r="AX177">
        <f t="shared" si="67"/>
        <v>0</v>
      </c>
      <c r="AY177">
        <f>IF(W177,SUMPRODUCT(INDEX(AX:AX,X177):INDEX(AX:AX,X177+Y177)),0)</f>
        <v>5</v>
      </c>
      <c r="AZ177">
        <f>IF(V177,COUNT(INDEX(AX:AX,X177):INDEX(AX:AX,ROW())),0)</f>
        <v>167</v>
      </c>
      <c r="BA177" s="14">
        <f t="shared" si="79"/>
        <v>2.9940119760479042E-2</v>
      </c>
      <c r="BB177" s="6">
        <f t="shared" si="68"/>
        <v>861800.5830000001</v>
      </c>
      <c r="BC177" s="6">
        <f>MEDIAN(INDEX(BB:BB,X177):INDEX(BB:BB,X177+Y177-1))</f>
        <v>228700.598</v>
      </c>
      <c r="BD177" s="25">
        <f t="shared" si="69"/>
        <v>228700.598</v>
      </c>
      <c r="BE177">
        <f t="shared" si="80"/>
        <v>0</v>
      </c>
      <c r="BF177" s="6">
        <f>SUM(INDEX(BE:BE,X177):INDEX(BE:BE,X177+Y177-1))</f>
        <v>3</v>
      </c>
      <c r="BG177" s="25">
        <f t="shared" si="70"/>
        <v>3</v>
      </c>
    </row>
    <row r="178" spans="1:59" x14ac:dyDescent="0.3">
      <c r="A178" s="1">
        <v>45609</v>
      </c>
      <c r="B178">
        <v>38.506700000000002</v>
      </c>
      <c r="C178">
        <v>38.506700000000002</v>
      </c>
      <c r="D178">
        <v>38.218400000000003</v>
      </c>
      <c r="E178">
        <v>38.374200000000002</v>
      </c>
      <c r="F178">
        <v>4829</v>
      </c>
      <c r="G178" s="29">
        <v>0.75474086028134602</v>
      </c>
      <c r="H178" s="29">
        <v>1.96679242897922E-2</v>
      </c>
      <c r="I178" s="29">
        <v>7.5128602029488397E-3</v>
      </c>
      <c r="J178" s="29">
        <v>63.881899139982004</v>
      </c>
      <c r="K178" s="29">
        <v>8.36465501904715E-2</v>
      </c>
      <c r="L178" s="29">
        <v>0.6</v>
      </c>
      <c r="M178" s="29">
        <v>0.19128315864154999</v>
      </c>
      <c r="N178" s="29">
        <v>1.5204880225165001</v>
      </c>
      <c r="O178" s="29">
        <v>-1.7640598720538098E-2</v>
      </c>
      <c r="P178" s="29">
        <v>1.2106095314627901E-3</v>
      </c>
      <c r="Q178" s="29">
        <v>1.9841269841269799E-2</v>
      </c>
      <c r="R178" s="30">
        <v>235385.68160000001</v>
      </c>
      <c r="S178" s="29">
        <v>3</v>
      </c>
      <c r="T178">
        <v>588.279</v>
      </c>
      <c r="U178" s="21"/>
      <c r="V178">
        <v>168</v>
      </c>
      <c r="W178" t="b">
        <f>V178&gt;=$C$4</f>
        <v>1</v>
      </c>
      <c r="X178">
        <f>IF(V178&lt;=$C$5,11,ROW()-$C$5+1)</f>
        <v>11</v>
      </c>
      <c r="Y178" s="14">
        <f t="shared" si="63"/>
        <v>168</v>
      </c>
      <c r="Z178" s="10">
        <f t="shared" si="71"/>
        <v>0.28829999999999956</v>
      </c>
      <c r="AA178" s="15">
        <f t="shared" si="72"/>
        <v>7.512860202948844E-3</v>
      </c>
      <c r="AB178" s="15">
        <f t="shared" si="73"/>
        <v>0.75474086028134568</v>
      </c>
      <c r="AC178" s="10">
        <f t="shared" si="64"/>
        <v>1.9667924289792246E-2</v>
      </c>
      <c r="AD178">
        <f t="shared" si="74"/>
        <v>4.6399999999998442E-2</v>
      </c>
      <c r="AE178">
        <f t="shared" si="81"/>
        <v>4.6399999999998442E-2</v>
      </c>
      <c r="AF178">
        <f t="shared" si="82"/>
        <v>0</v>
      </c>
      <c r="AG178">
        <f t="shared" si="90"/>
        <v>0.33759614374472274</v>
      </c>
      <c r="AH178">
        <f t="shared" si="90"/>
        <v>0.19087258222510481</v>
      </c>
      <c r="AI178">
        <f t="shared" si="75"/>
        <v>1.7686989918048057</v>
      </c>
      <c r="AJ178">
        <f t="shared" si="83"/>
        <v>63.881953113720776</v>
      </c>
      <c r="AK178" s="14">
        <f t="shared" si="65"/>
        <v>63.881953113720776</v>
      </c>
      <c r="AM178" s="14">
        <f t="shared" si="88"/>
        <v>8.3646550190471514E-2</v>
      </c>
      <c r="AN178" s="36">
        <f t="shared" si="76"/>
        <v>1.2106095314627918E-3</v>
      </c>
      <c r="AO178">
        <f t="shared" si="85"/>
        <v>1</v>
      </c>
      <c r="AP178" s="14">
        <f t="shared" si="86"/>
        <v>0.6</v>
      </c>
      <c r="AQ178">
        <f t="shared" si="77"/>
        <v>4.8640034830338408E-4</v>
      </c>
      <c r="AR178">
        <f t="shared" si="78"/>
        <v>7.2420918315940601E-4</v>
      </c>
      <c r="AS178">
        <f t="shared" si="60"/>
        <v>2.334777395037472E-3</v>
      </c>
      <c r="AT178">
        <f t="shared" si="61"/>
        <v>1.2205870143605599E-2</v>
      </c>
      <c r="AU178" s="14">
        <f t="shared" si="66"/>
        <v>0.19128315864155029</v>
      </c>
      <c r="AV178" s="19">
        <f t="shared" si="62"/>
        <v>1.5204880225165422</v>
      </c>
      <c r="AW178" s="19">
        <f t="shared" si="89"/>
        <v>-1.7640598720538136E-2</v>
      </c>
      <c r="AX178">
        <f t="shared" si="67"/>
        <v>0</v>
      </c>
      <c r="AY178">
        <f>IF(W178,SUMPRODUCT(INDEX(AX:AX,X178):INDEX(AX:AX,X178+Y178)),0)</f>
        <v>5</v>
      </c>
      <c r="AZ178">
        <f>IF(V178,COUNT(INDEX(AX:AX,X178):INDEX(AX:AX,ROW())),0)</f>
        <v>168</v>
      </c>
      <c r="BA178" s="14">
        <f t="shared" si="79"/>
        <v>2.976190476190476E-2</v>
      </c>
      <c r="BB178" s="6">
        <f t="shared" si="68"/>
        <v>185309.01180000001</v>
      </c>
      <c r="BC178" s="6">
        <f>MEDIAN(INDEX(BB:BB,X178):INDEX(BB:BB,X178+Y178-1))</f>
        <v>224603.46100000001</v>
      </c>
      <c r="BD178" s="25">
        <f t="shared" si="69"/>
        <v>224603.46100000001</v>
      </c>
      <c r="BE178">
        <f t="shared" si="80"/>
        <v>0</v>
      </c>
      <c r="BF178" s="6">
        <f>SUM(INDEX(BE:BE,X178):INDEX(BE:BE,X178+Y178-1))</f>
        <v>3</v>
      </c>
      <c r="BG178" s="25">
        <f t="shared" si="70"/>
        <v>3</v>
      </c>
    </row>
    <row r="179" spans="1:59" x14ac:dyDescent="0.3">
      <c r="A179" s="1">
        <v>45610</v>
      </c>
      <c r="B179">
        <v>39.036799999999999</v>
      </c>
      <c r="C179">
        <v>39.673000000000002</v>
      </c>
      <c r="D179">
        <v>38.261499999999998</v>
      </c>
      <c r="E179">
        <v>38.294600000000003</v>
      </c>
      <c r="F179">
        <v>22183</v>
      </c>
      <c r="G179" s="29">
        <v>0.80165222740410702</v>
      </c>
      <c r="H179" s="29">
        <v>2.0933819060758099E-2</v>
      </c>
      <c r="I179" s="29">
        <v>3.68589827286354E-2</v>
      </c>
      <c r="J179" s="29">
        <v>63.150213067173702</v>
      </c>
      <c r="K179" s="29">
        <v>5.4561276446921797E-2</v>
      </c>
      <c r="L179" s="29">
        <v>0.4</v>
      </c>
      <c r="M179" s="29">
        <v>0.20127102977992201</v>
      </c>
      <c r="N179" s="29">
        <v>1.5099721086232401</v>
      </c>
      <c r="O179" s="29">
        <v>-1.96783169880679E-2</v>
      </c>
      <c r="P179" s="29">
        <v>-2.07431034392902E-3</v>
      </c>
      <c r="Q179" s="29">
        <v>1.9841269841269799E-2</v>
      </c>
      <c r="R179" s="30">
        <v>235385.68160000001</v>
      </c>
      <c r="S179" s="29">
        <v>3</v>
      </c>
      <c r="T179">
        <v>584.49599999999998</v>
      </c>
      <c r="U179" s="21"/>
      <c r="V179">
        <v>169</v>
      </c>
      <c r="W179" t="b">
        <f>V179&gt;=$C$4</f>
        <v>1</v>
      </c>
      <c r="X179">
        <f>IF(V179&lt;=$C$5,11,ROW()-$C$5+1)</f>
        <v>11</v>
      </c>
      <c r="Y179" s="14">
        <f t="shared" si="63"/>
        <v>169</v>
      </c>
      <c r="Z179" s="10">
        <f t="shared" si="71"/>
        <v>1.4115000000000038</v>
      </c>
      <c r="AA179" s="15">
        <f t="shared" si="72"/>
        <v>3.6858982728635463E-2</v>
      </c>
      <c r="AB179" s="15">
        <f t="shared" si="73"/>
        <v>0.80165222740410691</v>
      </c>
      <c r="AC179" s="10">
        <f t="shared" si="64"/>
        <v>2.0933819060758092E-2</v>
      </c>
      <c r="AD179">
        <f t="shared" si="74"/>
        <v>-7.9599999999999227E-2</v>
      </c>
      <c r="AE179">
        <f t="shared" si="81"/>
        <v>0</v>
      </c>
      <c r="AF179">
        <f t="shared" si="82"/>
        <v>7.9599999999999227E-2</v>
      </c>
      <c r="AG179">
        <f t="shared" si="90"/>
        <v>0.31348213347724257</v>
      </c>
      <c r="AH179">
        <f t="shared" si="90"/>
        <v>0.18292454063759725</v>
      </c>
      <c r="AI179">
        <f t="shared" si="75"/>
        <v>1.7137237703840995</v>
      </c>
      <c r="AJ179">
        <f t="shared" si="83"/>
        <v>63.15026566397875</v>
      </c>
      <c r="AK179" s="14">
        <f t="shared" si="65"/>
        <v>63.15026566397875</v>
      </c>
      <c r="AM179" s="14">
        <f t="shared" si="88"/>
        <v>5.456127644692188E-2</v>
      </c>
      <c r="AN179" s="36">
        <f t="shared" si="76"/>
        <v>-2.07431034392902E-3</v>
      </c>
      <c r="AO179">
        <f t="shared" si="85"/>
        <v>0</v>
      </c>
      <c r="AP179" s="14">
        <f t="shared" si="86"/>
        <v>0.4</v>
      </c>
      <c r="AQ179">
        <f t="shared" si="77"/>
        <v>-6.4306222047701977E-3</v>
      </c>
      <c r="AR179">
        <f t="shared" si="78"/>
        <v>4.3563118608411777E-3</v>
      </c>
      <c r="AS179">
        <f t="shared" si="60"/>
        <v>2.4531793421984781E-3</v>
      </c>
      <c r="AT179">
        <f t="shared" si="61"/>
        <v>1.2188437376610467E-2</v>
      </c>
      <c r="AU179" s="14">
        <f t="shared" si="66"/>
        <v>0.20127102977992187</v>
      </c>
      <c r="AV179" s="19">
        <f t="shared" si="62"/>
        <v>1.5099721086232853</v>
      </c>
      <c r="AW179" s="19">
        <f t="shared" si="89"/>
        <v>-1.967831698806799E-2</v>
      </c>
      <c r="AX179">
        <f t="shared" si="67"/>
        <v>0</v>
      </c>
      <c r="AY179">
        <f>IF(W179,SUMPRODUCT(INDEX(AX:AX,X179):INDEX(AX:AX,X179+Y179)),0)</f>
        <v>5</v>
      </c>
      <c r="AZ179">
        <f>IF(V179,COUNT(INDEX(AX:AX,X179):INDEX(AX:AX,ROW())),0)</f>
        <v>169</v>
      </c>
      <c r="BA179" s="14">
        <f t="shared" si="79"/>
        <v>2.9585798816568046E-2</v>
      </c>
      <c r="BB179" s="6">
        <f t="shared" si="68"/>
        <v>849489.11180000007</v>
      </c>
      <c r="BC179" s="6">
        <f>MEDIAN(INDEX(BB:BB,X179):INDEX(BB:BB,X179+Y179-1))</f>
        <v>228700.598</v>
      </c>
      <c r="BD179" s="25">
        <f t="shared" si="69"/>
        <v>228700.598</v>
      </c>
      <c r="BE179">
        <f t="shared" si="80"/>
        <v>0</v>
      </c>
      <c r="BF179" s="6">
        <f>SUM(INDEX(BE:BE,X179):INDEX(BE:BE,X179+Y179-1))</f>
        <v>3</v>
      </c>
      <c r="BG179" s="25">
        <f t="shared" si="70"/>
        <v>3</v>
      </c>
    </row>
    <row r="180" spans="1:59" x14ac:dyDescent="0.3">
      <c r="A180" s="1">
        <v>45611</v>
      </c>
      <c r="B180">
        <v>38.500100000000003</v>
      </c>
      <c r="C180">
        <v>38.553100000000001</v>
      </c>
      <c r="D180">
        <v>37.526000000000003</v>
      </c>
      <c r="E180">
        <v>37.685000000000002</v>
      </c>
      <c r="F180">
        <v>37576</v>
      </c>
      <c r="G180" s="29">
        <v>0.81775563973238496</v>
      </c>
      <c r="H180" s="29">
        <v>2.1699764886092199E-2</v>
      </c>
      <c r="I180" s="29">
        <v>2.72548759453362E-2</v>
      </c>
      <c r="J180" s="29">
        <v>57.699703282583997</v>
      </c>
      <c r="K180" s="29">
        <v>2.95069785739068E-2</v>
      </c>
      <c r="L180" s="29">
        <v>0.4</v>
      </c>
      <c r="M180" s="29">
        <v>0.203129381815913</v>
      </c>
      <c r="N180" s="29">
        <v>1.52969608980148</v>
      </c>
      <c r="O180" s="29">
        <v>-3.5283757388648501E-2</v>
      </c>
      <c r="P180" s="29">
        <v>-1.5918693497255498E-2</v>
      </c>
      <c r="Q180" s="29">
        <v>1.9841269841269799E-2</v>
      </c>
      <c r="R180" s="30">
        <v>236915.60879999999</v>
      </c>
      <c r="S180" s="29">
        <v>3</v>
      </c>
      <c r="T180">
        <v>577.00900000000001</v>
      </c>
      <c r="U180" s="21"/>
      <c r="V180">
        <v>170</v>
      </c>
      <c r="W180" t="b">
        <f>V180&gt;=$C$4</f>
        <v>1</v>
      </c>
      <c r="X180">
        <f>IF(V180&lt;=$C$5,11,ROW()-$C$5+1)</f>
        <v>11</v>
      </c>
      <c r="Y180" s="14">
        <f t="shared" si="63"/>
        <v>170</v>
      </c>
      <c r="Z180" s="10">
        <f t="shared" si="71"/>
        <v>1.0270999999999972</v>
      </c>
      <c r="AA180" s="15">
        <f t="shared" si="72"/>
        <v>2.7254875945336265E-2</v>
      </c>
      <c r="AB180" s="15">
        <f t="shared" si="73"/>
        <v>0.81775563973238474</v>
      </c>
      <c r="AC180" s="10">
        <f t="shared" si="64"/>
        <v>2.1699764886092203E-2</v>
      </c>
      <c r="AD180">
        <f t="shared" si="74"/>
        <v>-0.60960000000000036</v>
      </c>
      <c r="AE180">
        <f t="shared" si="81"/>
        <v>0</v>
      </c>
      <c r="AF180">
        <f t="shared" si="82"/>
        <v>0.60960000000000036</v>
      </c>
      <c r="AG180">
        <f t="shared" si="90"/>
        <v>0.29109055251458243</v>
      </c>
      <c r="AH180">
        <f t="shared" si="90"/>
        <v>0.21340135916348318</v>
      </c>
      <c r="AI180">
        <f t="shared" si="75"/>
        <v>1.3640520081766812</v>
      </c>
      <c r="AJ180">
        <f t="shared" si="83"/>
        <v>57.699746175581453</v>
      </c>
      <c r="AK180" s="14">
        <f t="shared" si="65"/>
        <v>57.699746175581453</v>
      </c>
      <c r="AM180" s="14">
        <f t="shared" si="88"/>
        <v>2.9506978573906828E-2</v>
      </c>
      <c r="AN180" s="36">
        <f t="shared" si="76"/>
        <v>-1.5918693497255498E-2</v>
      </c>
      <c r="AO180">
        <f t="shared" si="85"/>
        <v>0</v>
      </c>
      <c r="AP180" s="14">
        <f t="shared" si="86"/>
        <v>0.4</v>
      </c>
      <c r="AQ180">
        <f t="shared" si="77"/>
        <v>-1.2809326325586401E-2</v>
      </c>
      <c r="AR180">
        <f t="shared" si="78"/>
        <v>-3.1093671716690974E-3</v>
      </c>
      <c r="AS180">
        <f t="shared" si="60"/>
        <v>2.4736709642775392E-3</v>
      </c>
      <c r="AT180">
        <f t="shared" si="61"/>
        <v>1.2177809739603843E-2</v>
      </c>
      <c r="AU180" s="14">
        <f t="shared" si="66"/>
        <v>0.2031293818159135</v>
      </c>
      <c r="AV180" s="19">
        <f t="shared" si="62"/>
        <v>1.5296960898015295</v>
      </c>
      <c r="AW180" s="19">
        <f t="shared" si="89"/>
        <v>-3.5283757388648529E-2</v>
      </c>
      <c r="AX180">
        <f t="shared" si="67"/>
        <v>0</v>
      </c>
      <c r="AY180">
        <f>IF(W180,SUMPRODUCT(INDEX(AX:AX,X180):INDEX(AX:AX,X180+Y180)),0)</f>
        <v>5</v>
      </c>
      <c r="AZ180">
        <f>IF(V180,COUNT(INDEX(AX:AX,X180):INDEX(AX:AX,ROW())),0)</f>
        <v>170</v>
      </c>
      <c r="BA180" s="14">
        <f t="shared" si="79"/>
        <v>2.9411764705882353E-2</v>
      </c>
      <c r="BB180" s="6">
        <f t="shared" si="68"/>
        <v>1416051.56</v>
      </c>
      <c r="BC180" s="6">
        <f>MEDIAN(INDEX(BB:BB,X180):INDEX(BB:BB,X180+Y180-1))</f>
        <v>232232.01819999999</v>
      </c>
      <c r="BD180" s="25">
        <f t="shared" si="69"/>
        <v>232232.01819999999</v>
      </c>
      <c r="BE180">
        <f t="shared" si="80"/>
        <v>0</v>
      </c>
      <c r="BF180" s="6">
        <f>SUM(INDEX(BE:BE,X180):INDEX(BE:BE,X180+Y180-1))</f>
        <v>3</v>
      </c>
      <c r="BG180" s="25">
        <f t="shared" si="70"/>
        <v>3</v>
      </c>
    </row>
    <row r="181" spans="1:59" x14ac:dyDescent="0.3">
      <c r="A181" s="1">
        <v>45614</v>
      </c>
      <c r="B181">
        <v>37.406700000000001</v>
      </c>
      <c r="C181">
        <v>37.5989</v>
      </c>
      <c r="D181">
        <v>37.154899999999998</v>
      </c>
      <c r="E181">
        <v>37.194600000000001</v>
      </c>
      <c r="F181">
        <v>21579</v>
      </c>
      <c r="G181" s="29">
        <v>0.79720880832292895</v>
      </c>
      <c r="H181" s="29">
        <v>2.1433455617829701E-2</v>
      </c>
      <c r="I181" s="29">
        <v>1.42520688487039E-2</v>
      </c>
      <c r="J181" s="29">
        <v>53.685412876851899</v>
      </c>
      <c r="K181" s="29">
        <v>-5.31644621778171E-3</v>
      </c>
      <c r="L181" s="29">
        <v>0.2</v>
      </c>
      <c r="M181" s="29">
        <v>0.17405373704576399</v>
      </c>
      <c r="N181" s="29">
        <v>1.51290568879405</v>
      </c>
      <c r="O181" s="29">
        <v>-4.7837740283078897E-2</v>
      </c>
      <c r="P181" s="29">
        <v>-1.30131351996816E-2</v>
      </c>
      <c r="Q181" s="29">
        <v>1.9841269841269799E-2</v>
      </c>
      <c r="R181" s="30">
        <v>238224.0724</v>
      </c>
      <c r="S181" s="29">
        <v>3</v>
      </c>
      <c r="T181">
        <v>579.37300000000005</v>
      </c>
      <c r="U181" s="21"/>
      <c r="V181">
        <v>171</v>
      </c>
      <c r="W181" t="b">
        <f>V181&gt;=$C$4</f>
        <v>1</v>
      </c>
      <c r="X181">
        <f>IF(V181&lt;=$C$5,11,ROW()-$C$5+1)</f>
        <v>11</v>
      </c>
      <c r="Y181" s="14">
        <f t="shared" si="63"/>
        <v>171</v>
      </c>
      <c r="Z181" s="10">
        <f t="shared" si="71"/>
        <v>0.53010000000000446</v>
      </c>
      <c r="AA181" s="15">
        <f t="shared" si="72"/>
        <v>1.4252068848703963E-2</v>
      </c>
      <c r="AB181" s="15">
        <f t="shared" si="73"/>
        <v>0.79720880832292895</v>
      </c>
      <c r="AC181" s="10">
        <f t="shared" si="64"/>
        <v>2.1433455617829712E-2</v>
      </c>
      <c r="AD181">
        <f t="shared" si="74"/>
        <v>-0.49040000000000106</v>
      </c>
      <c r="AE181">
        <f t="shared" si="81"/>
        <v>0</v>
      </c>
      <c r="AF181">
        <f t="shared" si="82"/>
        <v>0.49040000000000106</v>
      </c>
      <c r="AG181">
        <f t="shared" si="90"/>
        <v>0.27029837019211228</v>
      </c>
      <c r="AH181">
        <f t="shared" si="90"/>
        <v>0.23318697636609162</v>
      </c>
      <c r="AI181">
        <f t="shared" si="75"/>
        <v>1.159148655745498</v>
      </c>
      <c r="AJ181">
        <f t="shared" si="83"/>
        <v>53.68544924690579</v>
      </c>
      <c r="AK181" s="14">
        <f t="shared" si="65"/>
        <v>53.68544924690579</v>
      </c>
      <c r="AM181" s="14">
        <f t="shared" si="88"/>
        <v>-5.3164462177817118E-3</v>
      </c>
      <c r="AN181" s="36">
        <f t="shared" si="76"/>
        <v>-1.3013135199681614E-2</v>
      </c>
      <c r="AO181">
        <f t="shared" si="85"/>
        <v>0</v>
      </c>
      <c r="AP181" s="14">
        <f t="shared" si="86"/>
        <v>0.2</v>
      </c>
      <c r="AQ181">
        <f t="shared" si="77"/>
        <v>4.0969898216491885E-3</v>
      </c>
      <c r="AR181">
        <f t="shared" si="78"/>
        <v>-1.7110125021330788E-2</v>
      </c>
      <c r="AS181">
        <f t="shared" si="60"/>
        <v>2.1626598726877128E-3</v>
      </c>
      <c r="AT181">
        <f t="shared" si="61"/>
        <v>1.2425242395795765E-2</v>
      </c>
      <c r="AU181" s="14">
        <f t="shared" si="66"/>
        <v>0.17405373704576382</v>
      </c>
      <c r="AV181" s="19">
        <f t="shared" si="62"/>
        <v>1.5129056887940899</v>
      </c>
      <c r="AW181" s="19">
        <f t="shared" si="89"/>
        <v>-4.7837740283078967E-2</v>
      </c>
      <c r="AX181">
        <f t="shared" si="67"/>
        <v>0</v>
      </c>
      <c r="AY181">
        <f>IF(W181,SUMPRODUCT(INDEX(AX:AX,X181):INDEX(AX:AX,X181+Y181)),0)</f>
        <v>5</v>
      </c>
      <c r="AZ181">
        <f>IF(V181,COUNT(INDEX(AX:AX,X181):INDEX(AX:AX,ROW())),0)</f>
        <v>171</v>
      </c>
      <c r="BA181" s="14">
        <f t="shared" si="79"/>
        <v>2.9239766081871343E-2</v>
      </c>
      <c r="BB181" s="6">
        <f t="shared" si="68"/>
        <v>802622.27340000006</v>
      </c>
      <c r="BC181" s="6">
        <f>MEDIAN(INDEX(BB:BB,X181):INDEX(BB:BB,X181+Y181-1))</f>
        <v>235763.43839999998</v>
      </c>
      <c r="BD181" s="25">
        <f t="shared" si="69"/>
        <v>235763.43839999998</v>
      </c>
      <c r="BE181">
        <f t="shared" si="80"/>
        <v>0</v>
      </c>
      <c r="BF181" s="6">
        <f>SUM(INDEX(BE:BE,X181):INDEX(BE:BE,X181+Y181-1))</f>
        <v>3</v>
      </c>
      <c r="BG181" s="25">
        <f t="shared" si="70"/>
        <v>3</v>
      </c>
    </row>
    <row r="182" spans="1:59" x14ac:dyDescent="0.3">
      <c r="A182" s="1">
        <v>45615</v>
      </c>
      <c r="B182">
        <v>37.2211</v>
      </c>
      <c r="C182">
        <v>37.651899999999998</v>
      </c>
      <c r="D182">
        <v>36.770499999999998</v>
      </c>
      <c r="E182">
        <v>37.651899999999998</v>
      </c>
      <c r="F182">
        <v>11318</v>
      </c>
      <c r="G182" s="29">
        <v>0.80322246487129101</v>
      </c>
      <c r="H182" s="29">
        <v>2.1332853451520101E-2</v>
      </c>
      <c r="I182" s="29">
        <v>2.3409177226116001E-2</v>
      </c>
      <c r="J182" s="29">
        <v>56.709948690816297</v>
      </c>
      <c r="K182" s="29">
        <v>2.54483556887041E-2</v>
      </c>
      <c r="L182" s="29">
        <v>0.4</v>
      </c>
      <c r="M182" s="29">
        <v>0.18063726564824401</v>
      </c>
      <c r="N182" s="29">
        <v>1.51668999611772</v>
      </c>
      <c r="O182" s="29">
        <v>-3.6131100035071202E-2</v>
      </c>
      <c r="P182" s="29">
        <v>1.22947954810643E-2</v>
      </c>
      <c r="Q182" s="29">
        <v>1.9841269841269799E-2</v>
      </c>
      <c r="R182" s="30">
        <v>238620.98444999999</v>
      </c>
      <c r="S182" s="29">
        <v>3</v>
      </c>
      <c r="T182">
        <v>581.49099999999999</v>
      </c>
      <c r="U182" s="21"/>
      <c r="V182">
        <v>172</v>
      </c>
      <c r="W182" t="b">
        <f>V182&gt;=$C$4</f>
        <v>1</v>
      </c>
      <c r="X182">
        <f>IF(V182&lt;=$C$5,11,ROW()-$C$5+1)</f>
        <v>11</v>
      </c>
      <c r="Y182" s="14">
        <f t="shared" si="63"/>
        <v>172</v>
      </c>
      <c r="Z182" s="10">
        <f t="shared" si="71"/>
        <v>0.8813999999999993</v>
      </c>
      <c r="AA182" s="15">
        <f t="shared" si="72"/>
        <v>2.3409177226116063E-2</v>
      </c>
      <c r="AB182" s="15">
        <f t="shared" si="73"/>
        <v>0.80322246487129101</v>
      </c>
      <c r="AC182" s="10">
        <f t="shared" si="64"/>
        <v>2.1332853451520136E-2</v>
      </c>
      <c r="AD182">
        <f t="shared" si="74"/>
        <v>0.45729999999999649</v>
      </c>
      <c r="AE182">
        <f t="shared" si="81"/>
        <v>0.45729999999999649</v>
      </c>
      <c r="AF182">
        <f t="shared" si="82"/>
        <v>0</v>
      </c>
      <c r="AG182">
        <f t="shared" si="90"/>
        <v>0.283655629464104</v>
      </c>
      <c r="AH182">
        <f t="shared" si="90"/>
        <v>0.21653076376851366</v>
      </c>
      <c r="AI182">
        <f t="shared" si="75"/>
        <v>1.3100015190790693</v>
      </c>
      <c r="AJ182">
        <f t="shared" si="83"/>
        <v>56.70998517790278</v>
      </c>
      <c r="AK182" s="14">
        <f t="shared" si="65"/>
        <v>56.70998517790278</v>
      </c>
      <c r="AM182" s="14">
        <f t="shared" si="88"/>
        <v>2.5448355688704183E-2</v>
      </c>
      <c r="AN182" s="36">
        <f t="shared" si="76"/>
        <v>1.229479548106438E-2</v>
      </c>
      <c r="AO182">
        <f t="shared" si="85"/>
        <v>1</v>
      </c>
      <c r="AP182" s="14">
        <f t="shared" si="86"/>
        <v>0.4</v>
      </c>
      <c r="AQ182">
        <f t="shared" si="77"/>
        <v>3.6556760497985508E-3</v>
      </c>
      <c r="AR182">
        <f t="shared" si="78"/>
        <v>8.6391194312657495E-3</v>
      </c>
      <c r="AS182">
        <f t="shared" si="60"/>
        <v>2.2491960397271259E-3</v>
      </c>
      <c r="AT182">
        <f t="shared" si="61"/>
        <v>1.2451450876736592E-2</v>
      </c>
      <c r="AU182" s="14">
        <f t="shared" si="66"/>
        <v>0.18063726564824378</v>
      </c>
      <c r="AV182" s="19">
        <f t="shared" si="62"/>
        <v>1.5166899961177622</v>
      </c>
      <c r="AW182" s="19">
        <f t="shared" si="89"/>
        <v>-3.6131100035071251E-2</v>
      </c>
      <c r="AX182">
        <f t="shared" si="67"/>
        <v>0</v>
      </c>
      <c r="AY182">
        <f>IF(W182,SUMPRODUCT(INDEX(AX:AX,X182):INDEX(AX:AX,X182+Y182)),0)</f>
        <v>5</v>
      </c>
      <c r="AZ182">
        <f>IF(V182,COUNT(INDEX(AX:AX,X182):INDEX(AX:AX,ROW())),0)</f>
        <v>172</v>
      </c>
      <c r="BA182" s="14">
        <f t="shared" si="79"/>
        <v>2.9069767441860465E-2</v>
      </c>
      <c r="BB182" s="6">
        <f t="shared" si="68"/>
        <v>426144.20419999998</v>
      </c>
      <c r="BC182" s="6">
        <f>MEDIAN(INDEX(BB:BB,X182):INDEX(BB:BB,X182+Y182-1))</f>
        <v>238351.41399999999</v>
      </c>
      <c r="BD182" s="25">
        <f t="shared" si="69"/>
        <v>238351.41399999999</v>
      </c>
      <c r="BE182">
        <f t="shared" si="80"/>
        <v>0</v>
      </c>
      <c r="BF182" s="6">
        <f>SUM(INDEX(BE:BE,X182):INDEX(BE:BE,X182+Y182-1))</f>
        <v>3</v>
      </c>
      <c r="BG182" s="25">
        <f t="shared" si="70"/>
        <v>3</v>
      </c>
    </row>
    <row r="183" spans="1:59" x14ac:dyDescent="0.3">
      <c r="A183" s="1">
        <v>45616</v>
      </c>
      <c r="B183">
        <v>37.579000000000001</v>
      </c>
      <c r="C183">
        <v>37.579000000000001</v>
      </c>
      <c r="D183">
        <v>37.142899999999997</v>
      </c>
      <c r="E183">
        <v>37.400100000000002</v>
      </c>
      <c r="F183">
        <v>11770</v>
      </c>
      <c r="G183" s="29">
        <v>0.78220657452334197</v>
      </c>
      <c r="H183" s="29">
        <v>2.0914558370788899E-2</v>
      </c>
      <c r="I183" s="29">
        <v>1.3609589279173001E-2</v>
      </c>
      <c r="J183" s="29">
        <v>54.595781966366303</v>
      </c>
      <c r="K183" s="29">
        <v>3.807274261416E-2</v>
      </c>
      <c r="L183" s="29">
        <v>0.2</v>
      </c>
      <c r="M183" s="29">
        <v>0.16300847677128599</v>
      </c>
      <c r="N183" s="29">
        <v>1.53850875211171</v>
      </c>
      <c r="O183" s="29">
        <v>-4.2577048022056398E-2</v>
      </c>
      <c r="P183" s="29">
        <v>-6.6875775193282402E-3</v>
      </c>
      <c r="Q183" s="29">
        <v>1.9841269841269799E-2</v>
      </c>
      <c r="R183" s="30">
        <v>238620.98444999999</v>
      </c>
      <c r="S183" s="29">
        <v>3</v>
      </c>
      <c r="T183">
        <v>581.68799999999999</v>
      </c>
      <c r="U183" s="21"/>
      <c r="V183">
        <v>173</v>
      </c>
      <c r="W183" t="b">
        <f>V183&gt;=$C$4</f>
        <v>1</v>
      </c>
      <c r="X183">
        <f>IF(V183&lt;=$C$5,11,ROW()-$C$5+1)</f>
        <v>11</v>
      </c>
      <c r="Y183" s="14">
        <f t="shared" si="63"/>
        <v>173</v>
      </c>
      <c r="Z183" s="10">
        <f t="shared" si="71"/>
        <v>0.50900000000000034</v>
      </c>
      <c r="AA183" s="15">
        <f t="shared" si="72"/>
        <v>1.3609589279173058E-2</v>
      </c>
      <c r="AB183" s="15">
        <f t="shared" si="73"/>
        <v>0.78220657452334164</v>
      </c>
      <c r="AC183" s="10">
        <f t="shared" si="64"/>
        <v>2.0914558370788892E-2</v>
      </c>
      <c r="AD183">
        <f t="shared" si="74"/>
        <v>-0.2517999999999958</v>
      </c>
      <c r="AE183">
        <f t="shared" si="81"/>
        <v>0</v>
      </c>
      <c r="AF183">
        <f t="shared" si="82"/>
        <v>0.2517999999999958</v>
      </c>
      <c r="AG183">
        <f t="shared" si="90"/>
        <v>0.26339451307381084</v>
      </c>
      <c r="AH183">
        <f t="shared" si="90"/>
        <v>0.21904999492790525</v>
      </c>
      <c r="AI183">
        <f t="shared" si="75"/>
        <v>1.2024401696996179</v>
      </c>
      <c r="AJ183">
        <f t="shared" si="83"/>
        <v>54.595815416117027</v>
      </c>
      <c r="AK183" s="14">
        <f t="shared" si="65"/>
        <v>54.595815416117027</v>
      </c>
      <c r="AM183" s="14">
        <f t="shared" si="88"/>
        <v>3.8072742614160049E-2</v>
      </c>
      <c r="AN183" s="36">
        <f t="shared" si="76"/>
        <v>-6.6875775193282472E-3</v>
      </c>
      <c r="AO183">
        <f t="shared" si="85"/>
        <v>0</v>
      </c>
      <c r="AP183" s="14">
        <f t="shared" si="86"/>
        <v>0.2</v>
      </c>
      <c r="AQ183">
        <f t="shared" si="77"/>
        <v>3.3878426321298782E-4</v>
      </c>
      <c r="AR183">
        <f t="shared" si="78"/>
        <v>-7.0263617825412281E-3</v>
      </c>
      <c r="AS183">
        <f t="shared" si="60"/>
        <v>2.0366768740147155E-3</v>
      </c>
      <c r="AT183">
        <f t="shared" si="61"/>
        <v>1.2494300384588861E-2</v>
      </c>
      <c r="AU183" s="14">
        <f t="shared" si="66"/>
        <v>0.16300847677128541</v>
      </c>
      <c r="AV183" s="19">
        <f t="shared" si="62"/>
        <v>1.538508752111752</v>
      </c>
      <c r="AW183" s="19">
        <f t="shared" si="89"/>
        <v>-4.2577048022056418E-2</v>
      </c>
      <c r="AX183">
        <f t="shared" si="67"/>
        <v>0</v>
      </c>
      <c r="AY183">
        <f>IF(W183,SUMPRODUCT(INDEX(AX:AX,X183):INDEX(AX:AX,X183+Y183)),0)</f>
        <v>5</v>
      </c>
      <c r="AZ183">
        <f>IF(V183,COUNT(INDEX(AX:AX,X183):INDEX(AX:AX,ROW())),0)</f>
        <v>173</v>
      </c>
      <c r="BA183" s="14">
        <f t="shared" si="79"/>
        <v>2.8901734104046242E-2</v>
      </c>
      <c r="BB183" s="6">
        <f t="shared" si="68"/>
        <v>440199.17700000003</v>
      </c>
      <c r="BC183" s="6">
        <f>MEDIAN(INDEX(BB:BB,X183):INDEX(BB:BB,X183+Y183-1))</f>
        <v>240939.38959999999</v>
      </c>
      <c r="BD183" s="25">
        <f t="shared" si="69"/>
        <v>240939.38959999999</v>
      </c>
      <c r="BE183">
        <f t="shared" si="80"/>
        <v>0</v>
      </c>
      <c r="BF183" s="6">
        <f>SUM(INDEX(BE:BE,X183):INDEX(BE:BE,X183+Y183-1))</f>
        <v>3</v>
      </c>
      <c r="BG183" s="25">
        <f t="shared" si="70"/>
        <v>3</v>
      </c>
    </row>
    <row r="184" spans="1:59" x14ac:dyDescent="0.3">
      <c r="A184" s="1">
        <v>45617</v>
      </c>
      <c r="B184">
        <v>37.704900000000002</v>
      </c>
      <c r="C184">
        <v>38.2483</v>
      </c>
      <c r="D184">
        <v>37.267499999999998</v>
      </c>
      <c r="E184">
        <v>38.128999999999998</v>
      </c>
      <c r="F184">
        <v>25654</v>
      </c>
      <c r="G184" s="29">
        <v>0.79639181920024604</v>
      </c>
      <c r="H184" s="29">
        <v>2.0886774350238502E-2</v>
      </c>
      <c r="I184" s="29">
        <v>2.5723202811508299E-2</v>
      </c>
      <c r="J184" s="29">
        <v>59.3231966752926</v>
      </c>
      <c r="K184" s="29">
        <v>7.1909499565658605E-2</v>
      </c>
      <c r="L184" s="29">
        <v>0.4</v>
      </c>
      <c r="M184" s="29">
        <v>0.14464013473005399</v>
      </c>
      <c r="N184" s="29">
        <v>1.48088659622799</v>
      </c>
      <c r="O184" s="29">
        <v>-2.39175901677534E-2</v>
      </c>
      <c r="P184" s="29">
        <v>1.9489252702532701E-2</v>
      </c>
      <c r="Q184" s="29">
        <v>1.9841269841269799E-2</v>
      </c>
      <c r="R184" s="30">
        <v>239900.49644999899</v>
      </c>
      <c r="S184" s="29">
        <v>3</v>
      </c>
      <c r="T184">
        <v>584.81100000000004</v>
      </c>
      <c r="U184" s="21"/>
      <c r="V184">
        <v>174</v>
      </c>
      <c r="W184" t="b">
        <f>V184&gt;=$C$4</f>
        <v>1</v>
      </c>
      <c r="X184">
        <f>IF(V184&lt;=$C$5,11,ROW()-$C$5+1)</f>
        <v>11</v>
      </c>
      <c r="Y184" s="14">
        <f t="shared" si="63"/>
        <v>174</v>
      </c>
      <c r="Z184" s="10">
        <f t="shared" si="71"/>
        <v>0.98080000000000211</v>
      </c>
      <c r="AA184" s="15">
        <f t="shared" si="72"/>
        <v>2.5723202811508358E-2</v>
      </c>
      <c r="AB184" s="15">
        <f t="shared" si="73"/>
        <v>0.79639181920024593</v>
      </c>
      <c r="AC184" s="10">
        <f t="shared" si="64"/>
        <v>2.0886774350238557E-2</v>
      </c>
      <c r="AD184">
        <f t="shared" si="74"/>
        <v>0.72889999999999588</v>
      </c>
      <c r="AE184">
        <f t="shared" si="81"/>
        <v>0.72889999999999588</v>
      </c>
      <c r="AF184">
        <f t="shared" si="82"/>
        <v>0</v>
      </c>
      <c r="AG184">
        <f t="shared" si="90"/>
        <v>0.29664490499710977</v>
      </c>
      <c r="AH184">
        <f t="shared" si="90"/>
        <v>0.20340356671876916</v>
      </c>
      <c r="AI184">
        <f t="shared" si="75"/>
        <v>1.4584056208181364</v>
      </c>
      <c r="AJ184">
        <f t="shared" si="83"/>
        <v>59.323230001922603</v>
      </c>
      <c r="AK184" s="14">
        <f t="shared" si="65"/>
        <v>59.323230001922603</v>
      </c>
      <c r="AM184" s="14">
        <f t="shared" si="88"/>
        <v>7.1909499565658619E-2</v>
      </c>
      <c r="AN184" s="36">
        <f t="shared" si="76"/>
        <v>1.9489252702532767E-2</v>
      </c>
      <c r="AO184">
        <f t="shared" si="85"/>
        <v>1</v>
      </c>
      <c r="AP184" s="14">
        <f t="shared" si="86"/>
        <v>0.4</v>
      </c>
      <c r="AQ184">
        <f t="shared" si="77"/>
        <v>5.3688575318728837E-3</v>
      </c>
      <c r="AR184">
        <f t="shared" si="78"/>
        <v>1.4120395170659817E-2</v>
      </c>
      <c r="AS184">
        <f t="shared" si="60"/>
        <v>1.7240287401898175E-3</v>
      </c>
      <c r="AT184">
        <f t="shared" si="61"/>
        <v>1.1919435386363709E-2</v>
      </c>
      <c r="AU184" s="14">
        <f t="shared" si="66"/>
        <v>0.14464013473005377</v>
      </c>
      <c r="AV184" s="19">
        <f t="shared" si="62"/>
        <v>1.4808865962280369</v>
      </c>
      <c r="AW184" s="19">
        <f t="shared" si="89"/>
        <v>-2.3917590167753411E-2</v>
      </c>
      <c r="AX184">
        <f t="shared" si="67"/>
        <v>0</v>
      </c>
      <c r="AY184">
        <f>IF(W184,SUMPRODUCT(INDEX(AX:AX,X184):INDEX(AX:AX,X184+Y184)),0)</f>
        <v>5</v>
      </c>
      <c r="AZ184">
        <f>IF(V184,COUNT(INDEX(AX:AX,X184):INDEX(AX:AX,ROW())),0)</f>
        <v>174</v>
      </c>
      <c r="BA184" s="14">
        <f t="shared" si="79"/>
        <v>2.8735632183908046E-2</v>
      </c>
      <c r="BB184" s="6">
        <f t="shared" si="68"/>
        <v>978161.36599999992</v>
      </c>
      <c r="BC184" s="6">
        <f>MEDIAN(INDEX(BB:BB,X184):INDEX(BB:BB,X184+Y184-1))</f>
        <v>241221.47850000003</v>
      </c>
      <c r="BD184" s="25">
        <f t="shared" si="69"/>
        <v>241221.47850000003</v>
      </c>
      <c r="BE184">
        <f t="shared" si="80"/>
        <v>0</v>
      </c>
      <c r="BF184" s="6">
        <f>SUM(INDEX(BE:BE,X184):INDEX(BE:BE,X184+Y184-1))</f>
        <v>3</v>
      </c>
      <c r="BG184" s="25">
        <f t="shared" si="70"/>
        <v>3</v>
      </c>
    </row>
    <row r="185" spans="1:59" x14ac:dyDescent="0.3">
      <c r="A185" s="1">
        <v>45618</v>
      </c>
      <c r="B185">
        <v>38.274799999999999</v>
      </c>
      <c r="C185">
        <v>38.977200000000003</v>
      </c>
      <c r="D185">
        <v>38.274799999999999</v>
      </c>
      <c r="E185">
        <v>38.645800000000001</v>
      </c>
      <c r="F185">
        <v>8752</v>
      </c>
      <c r="G185" s="29">
        <v>0.80009240354308597</v>
      </c>
      <c r="H185" s="29">
        <v>2.07032175176367E-2</v>
      </c>
      <c r="I185" s="29">
        <v>2.1948051275947299E-2</v>
      </c>
      <c r="J185" s="29">
        <v>62.318845755172397</v>
      </c>
      <c r="K185" s="29">
        <v>7.7204816590478398E-2</v>
      </c>
      <c r="L185" s="29">
        <v>0.6</v>
      </c>
      <c r="M185" s="29">
        <v>0.15002355072777501</v>
      </c>
      <c r="N185" s="29">
        <v>1.4906138020834701</v>
      </c>
      <c r="O185" s="29">
        <v>-1.0687781114242701E-2</v>
      </c>
      <c r="P185" s="29">
        <v>1.35539877783315E-2</v>
      </c>
      <c r="Q185" s="29">
        <v>1.9841269841269799E-2</v>
      </c>
      <c r="R185" s="30">
        <v>241221.4785</v>
      </c>
      <c r="S185" s="29">
        <v>3</v>
      </c>
      <c r="T185">
        <v>586.62400000000002</v>
      </c>
      <c r="U185" s="21"/>
      <c r="V185">
        <v>175</v>
      </c>
      <c r="W185" t="b">
        <f>V185&gt;=$C$4</f>
        <v>1</v>
      </c>
      <c r="X185">
        <f>IF(V185&lt;=$C$5,11,ROW()-$C$5+1)</f>
        <v>11</v>
      </c>
      <c r="Y185" s="14">
        <f t="shared" si="63"/>
        <v>175</v>
      </c>
      <c r="Z185" s="10">
        <f t="shared" si="71"/>
        <v>0.84820000000000562</v>
      </c>
      <c r="AA185" s="15">
        <f t="shared" si="72"/>
        <v>2.1948051275947338E-2</v>
      </c>
      <c r="AB185" s="15">
        <f t="shared" si="73"/>
        <v>0.80009240354308597</v>
      </c>
      <c r="AC185" s="10">
        <f t="shared" si="64"/>
        <v>2.0703217517636742E-2</v>
      </c>
      <c r="AD185">
        <f t="shared" si="74"/>
        <v>0.51680000000000348</v>
      </c>
      <c r="AE185">
        <f t="shared" si="81"/>
        <v>0.51680000000000348</v>
      </c>
      <c r="AF185">
        <f t="shared" si="82"/>
        <v>0</v>
      </c>
      <c r="AG185">
        <f t="shared" si="90"/>
        <v>0.31237026892588787</v>
      </c>
      <c r="AH185">
        <f t="shared" si="90"/>
        <v>0.18887474052457137</v>
      </c>
      <c r="AI185">
        <f t="shared" si="75"/>
        <v>1.6538488315500852</v>
      </c>
      <c r="AJ185">
        <f t="shared" si="83"/>
        <v>62.318878599580579</v>
      </c>
      <c r="AK185" s="14">
        <f t="shared" si="65"/>
        <v>62.318878599580579</v>
      </c>
      <c r="AM185" s="14">
        <f t="shared" si="88"/>
        <v>7.7204816590478398E-2</v>
      </c>
      <c r="AN185" s="36">
        <f t="shared" si="76"/>
        <v>1.35539877783315E-2</v>
      </c>
      <c r="AO185">
        <f t="shared" si="85"/>
        <v>1</v>
      </c>
      <c r="AP185" s="14">
        <f t="shared" si="86"/>
        <v>0.6</v>
      </c>
      <c r="AQ185">
        <f t="shared" si="77"/>
        <v>3.100146885061994E-3</v>
      </c>
      <c r="AR185">
        <f t="shared" si="78"/>
        <v>1.0453840893269506E-2</v>
      </c>
      <c r="AS185">
        <f t="shared" si="60"/>
        <v>1.7939948641926063E-3</v>
      </c>
      <c r="AT185">
        <f t="shared" si="61"/>
        <v>1.1958088283404915E-2</v>
      </c>
      <c r="AU185" s="14">
        <f t="shared" si="66"/>
        <v>0.15002355072777476</v>
      </c>
      <c r="AV185" s="19">
        <f t="shared" si="62"/>
        <v>1.4906138020835198</v>
      </c>
      <c r="AW185" s="19">
        <f t="shared" si="89"/>
        <v>-1.0687781114242734E-2</v>
      </c>
      <c r="AX185">
        <f t="shared" si="67"/>
        <v>0</v>
      </c>
      <c r="AY185">
        <f>IF(W185,SUMPRODUCT(INDEX(AX:AX,X185):INDEX(AX:AX,X185+Y185)),0)</f>
        <v>5</v>
      </c>
      <c r="AZ185">
        <f>IF(V185,COUNT(INDEX(AX:AX,X185):INDEX(AX:AX,ROW())),0)</f>
        <v>175</v>
      </c>
      <c r="BA185" s="14">
        <f t="shared" si="79"/>
        <v>2.8571428571428571E-2</v>
      </c>
      <c r="BB185" s="6">
        <f t="shared" si="68"/>
        <v>338228.0416</v>
      </c>
      <c r="BC185" s="6">
        <f>MEDIAN(INDEX(BB:BB,X185):INDEX(BB:BB,X185+Y185-1))</f>
        <v>241503.56740000003</v>
      </c>
      <c r="BD185" s="25">
        <f t="shared" si="69"/>
        <v>241503.56740000003</v>
      </c>
      <c r="BE185">
        <f t="shared" si="80"/>
        <v>0</v>
      </c>
      <c r="BF185" s="6">
        <f>SUM(INDEX(BE:BE,X185):INDEX(BE:BE,X185+Y185-1))</f>
        <v>3</v>
      </c>
      <c r="BG185" s="25">
        <f t="shared" si="70"/>
        <v>3</v>
      </c>
    </row>
    <row r="186" spans="1:59" x14ac:dyDescent="0.3">
      <c r="A186" s="1">
        <v>45621</v>
      </c>
      <c r="B186">
        <v>39.0169</v>
      </c>
      <c r="C186">
        <v>39.669600000000003</v>
      </c>
      <c r="D186">
        <v>38.963900000000002</v>
      </c>
      <c r="E186">
        <v>39.593400000000003</v>
      </c>
      <c r="F186">
        <v>80585</v>
      </c>
      <c r="G186" s="29">
        <v>0.81607151757572305</v>
      </c>
      <c r="H186" s="29">
        <v>2.06113018224179E-2</v>
      </c>
      <c r="I186" s="29">
        <v>2.5857844994367701E-2</v>
      </c>
      <c r="J186" s="29">
        <v>67.102831447730395</v>
      </c>
      <c r="K186" s="29">
        <v>0.118912778079218</v>
      </c>
      <c r="L186" s="29">
        <v>0.8</v>
      </c>
      <c r="M186" s="29">
        <v>0.167661973773294</v>
      </c>
      <c r="N186" s="29">
        <v>1.5017059250821001</v>
      </c>
      <c r="O186" s="29">
        <v>0</v>
      </c>
      <c r="P186" s="29">
        <v>2.4520128966148899E-2</v>
      </c>
      <c r="Q186" s="29">
        <v>1.9841269841269799E-2</v>
      </c>
      <c r="R186" s="30">
        <v>241221.4785</v>
      </c>
      <c r="S186" s="29">
        <v>3</v>
      </c>
      <c r="T186">
        <v>588.61400000000003</v>
      </c>
      <c r="U186" s="21"/>
      <c r="V186">
        <v>176</v>
      </c>
      <c r="W186" t="b">
        <f>V186&gt;=$C$4</f>
        <v>1</v>
      </c>
      <c r="X186">
        <f>IF(V186&lt;=$C$5,11,ROW()-$C$5+1)</f>
        <v>11</v>
      </c>
      <c r="Y186" s="14">
        <f t="shared" si="63"/>
        <v>176</v>
      </c>
      <c r="Z186" s="10">
        <f t="shared" si="71"/>
        <v>1.0238000000000014</v>
      </c>
      <c r="AA186" s="15">
        <f t="shared" si="72"/>
        <v>2.585784499436778E-2</v>
      </c>
      <c r="AB186" s="15">
        <f t="shared" si="73"/>
        <v>0.81607151757572283</v>
      </c>
      <c r="AC186" s="10">
        <f t="shared" si="64"/>
        <v>2.0611301822417948E-2</v>
      </c>
      <c r="AD186">
        <f t="shared" si="74"/>
        <v>0.94760000000000133</v>
      </c>
      <c r="AE186">
        <f t="shared" si="81"/>
        <v>0.94760000000000133</v>
      </c>
      <c r="AF186">
        <f t="shared" si="82"/>
        <v>0</v>
      </c>
      <c r="AG186">
        <f t="shared" si="90"/>
        <v>0.35774382114546738</v>
      </c>
      <c r="AH186">
        <f t="shared" si="90"/>
        <v>0.17538368762995912</v>
      </c>
      <c r="AI186">
        <f t="shared" si="75"/>
        <v>2.0397781913462141</v>
      </c>
      <c r="AJ186">
        <f t="shared" si="83"/>
        <v>67.102862871809265</v>
      </c>
      <c r="AK186" s="14">
        <f t="shared" si="65"/>
        <v>67.102862871809265</v>
      </c>
      <c r="AM186" s="14">
        <f t="shared" si="88"/>
        <v>0.11891277807921874</v>
      </c>
      <c r="AN186" s="36">
        <f t="shared" si="76"/>
        <v>2.4520128966148969E-2</v>
      </c>
      <c r="AO186">
        <f t="shared" si="85"/>
        <v>1</v>
      </c>
      <c r="AP186" s="14">
        <f t="shared" si="86"/>
        <v>0.8</v>
      </c>
      <c r="AQ186">
        <f t="shared" si="77"/>
        <v>3.3922921667031147E-3</v>
      </c>
      <c r="AR186">
        <f t="shared" si="78"/>
        <v>2.1127836799445784E-2</v>
      </c>
      <c r="AS186">
        <f t="shared" si="60"/>
        <v>2.0449295542870243E-3</v>
      </c>
      <c r="AT186">
        <f t="shared" si="61"/>
        <v>1.2196740311861673E-2</v>
      </c>
      <c r="AU186" s="14">
        <f t="shared" si="66"/>
        <v>0.16766197377329356</v>
      </c>
      <c r="AV186" s="19">
        <f t="shared" si="62"/>
        <v>1.5017059250821434</v>
      </c>
      <c r="AW186" s="19">
        <f t="shared" si="89"/>
        <v>0</v>
      </c>
      <c r="AX186">
        <f t="shared" si="67"/>
        <v>0</v>
      </c>
      <c r="AY186">
        <f>IF(W186,SUMPRODUCT(INDEX(AX:AX,X186):INDEX(AX:AX,X186+Y186)),0)</f>
        <v>5</v>
      </c>
      <c r="AZ186">
        <f>IF(V186,COUNT(INDEX(AX:AX,X186):INDEX(AX:AX,ROW())),0)</f>
        <v>176</v>
      </c>
      <c r="BA186" s="14">
        <f t="shared" si="79"/>
        <v>2.8409090909090908E-2</v>
      </c>
      <c r="BB186" s="6">
        <f t="shared" si="68"/>
        <v>3190634.1390000004</v>
      </c>
      <c r="BC186" s="6">
        <f>MEDIAN(INDEX(BB:BB,X186):INDEX(BB:BB,X186+Y186-1))</f>
        <v>241753.84179999999</v>
      </c>
      <c r="BD186" s="25">
        <f t="shared" si="69"/>
        <v>241753.84179999999</v>
      </c>
      <c r="BE186">
        <f t="shared" si="80"/>
        <v>0</v>
      </c>
      <c r="BF186" s="6">
        <f>SUM(INDEX(BE:BE,X186):INDEX(BE:BE,X186+Y186-1))</f>
        <v>3</v>
      </c>
      <c r="BG186" s="25">
        <f t="shared" si="70"/>
        <v>3</v>
      </c>
    </row>
    <row r="187" spans="1:59" x14ac:dyDescent="0.3">
      <c r="A187" s="1">
        <v>45622</v>
      </c>
      <c r="B187">
        <v>39.235599999999998</v>
      </c>
      <c r="C187">
        <v>39.951300000000003</v>
      </c>
      <c r="D187">
        <v>39.1693</v>
      </c>
      <c r="E187">
        <v>39.951300000000003</v>
      </c>
      <c r="F187">
        <v>13581</v>
      </c>
      <c r="G187" s="29">
        <v>0.81363783774888598</v>
      </c>
      <c r="H187" s="29">
        <v>2.0365741233674101E-2</v>
      </c>
      <c r="I187" s="29">
        <v>1.9573831139412301E-2</v>
      </c>
      <c r="J187" s="29">
        <v>68.718225166698801</v>
      </c>
      <c r="K187" s="29">
        <v>0.104414195752774</v>
      </c>
      <c r="L187" s="29">
        <v>0.8</v>
      </c>
      <c r="M187" s="29">
        <v>0.170029571705029</v>
      </c>
      <c r="N187" s="29">
        <v>1.50782350511527</v>
      </c>
      <c r="O187" s="29">
        <v>0</v>
      </c>
      <c r="P187" s="29">
        <v>9.0393853521042403E-3</v>
      </c>
      <c r="Q187" s="29">
        <v>1.9841269841269799E-2</v>
      </c>
      <c r="R187" s="30">
        <v>241221.4785</v>
      </c>
      <c r="S187" s="29">
        <v>3</v>
      </c>
      <c r="T187">
        <v>591.68700000000001</v>
      </c>
      <c r="U187" s="21"/>
      <c r="V187">
        <v>177</v>
      </c>
      <c r="W187" t="b">
        <f>V187&gt;=$C$4</f>
        <v>1</v>
      </c>
      <c r="X187">
        <f>IF(V187&lt;=$C$5,11,ROW()-$C$5+1)</f>
        <v>11</v>
      </c>
      <c r="Y187" s="14">
        <f t="shared" si="63"/>
        <v>177</v>
      </c>
      <c r="Z187" s="10">
        <f t="shared" si="71"/>
        <v>0.78200000000000358</v>
      </c>
      <c r="AA187" s="15">
        <f t="shared" si="72"/>
        <v>1.9573831139412322E-2</v>
      </c>
      <c r="AB187" s="15">
        <f t="shared" si="73"/>
        <v>0.81363783774888565</v>
      </c>
      <c r="AC187" s="10">
        <f t="shared" si="64"/>
        <v>2.0365741233674139E-2</v>
      </c>
      <c r="AD187">
        <f t="shared" si="74"/>
        <v>0.35790000000000077</v>
      </c>
      <c r="AE187">
        <f t="shared" si="81"/>
        <v>0.35790000000000077</v>
      </c>
      <c r="AF187">
        <f t="shared" si="82"/>
        <v>0</v>
      </c>
      <c r="AG187">
        <f t="shared" si="90"/>
        <v>0.35775497677793405</v>
      </c>
      <c r="AH187">
        <f t="shared" si="90"/>
        <v>0.16285628137067634</v>
      </c>
      <c r="AI187">
        <f t="shared" si="75"/>
        <v>2.1967527059251082</v>
      </c>
      <c r="AJ187">
        <f t="shared" si="83"/>
        <v>68.718255930572212</v>
      </c>
      <c r="AK187" s="14">
        <f t="shared" si="65"/>
        <v>68.718255930572212</v>
      </c>
      <c r="AM187" s="14">
        <f t="shared" si="88"/>
        <v>0.10441419575277422</v>
      </c>
      <c r="AN187" s="36">
        <f t="shared" si="76"/>
        <v>9.0393853521042455E-3</v>
      </c>
      <c r="AO187">
        <f t="shared" si="85"/>
        <v>1</v>
      </c>
      <c r="AP187" s="14">
        <f t="shared" si="86"/>
        <v>0.8</v>
      </c>
      <c r="AQ187">
        <f t="shared" si="77"/>
        <v>5.2207388883036554E-3</v>
      </c>
      <c r="AR187">
        <f t="shared" si="78"/>
        <v>3.8186464638005849E-3</v>
      </c>
      <c r="AS187">
        <f t="shared" si="60"/>
        <v>2.0741536366207835E-3</v>
      </c>
      <c r="AT187">
        <f t="shared" si="61"/>
        <v>1.2198781752029986E-2</v>
      </c>
      <c r="AU187" s="14">
        <f t="shared" si="66"/>
        <v>0.17002957170502914</v>
      </c>
      <c r="AV187" s="19">
        <f t="shared" si="62"/>
        <v>1.5078235051153186</v>
      </c>
      <c r="AW187" s="19">
        <f t="shared" si="89"/>
        <v>0</v>
      </c>
      <c r="AX187">
        <f t="shared" si="67"/>
        <v>0</v>
      </c>
      <c r="AY187">
        <f>IF(W187,SUMPRODUCT(INDEX(AX:AX,X187):INDEX(AX:AX,X187+Y187)),0)</f>
        <v>5</v>
      </c>
      <c r="AZ187">
        <f>IF(V187,COUNT(INDEX(AX:AX,X187):INDEX(AX:AX,ROW())),0)</f>
        <v>177</v>
      </c>
      <c r="BA187" s="14">
        <f t="shared" si="79"/>
        <v>2.8248587570621469E-2</v>
      </c>
      <c r="BB187" s="6">
        <f t="shared" si="68"/>
        <v>542578.60530000005</v>
      </c>
      <c r="BC187" s="6">
        <f>MEDIAN(INDEX(BB:BB,X187):INDEX(BB:BB,X187+Y187-1))</f>
        <v>242004.11619999999</v>
      </c>
      <c r="BD187" s="25">
        <f t="shared" si="69"/>
        <v>242004.11619999999</v>
      </c>
      <c r="BE187">
        <f t="shared" si="80"/>
        <v>0</v>
      </c>
      <c r="BF187" s="6">
        <f>SUM(INDEX(BE:BE,X187):INDEX(BE:BE,X187+Y187-1))</f>
        <v>3</v>
      </c>
      <c r="BG187" s="25">
        <f t="shared" si="70"/>
        <v>3</v>
      </c>
    </row>
    <row r="188" spans="1:59" x14ac:dyDescent="0.3">
      <c r="A188" s="1">
        <v>45623</v>
      </c>
      <c r="B188">
        <v>40.647100000000002</v>
      </c>
      <c r="C188">
        <v>40.826000000000001</v>
      </c>
      <c r="D188">
        <v>40.083799999999997</v>
      </c>
      <c r="E188">
        <v>40.8127</v>
      </c>
      <c r="F188">
        <v>50554</v>
      </c>
      <c r="G188" s="29">
        <v>0.81799942076682297</v>
      </c>
      <c r="H188" s="29">
        <v>2.0042766608600299E-2</v>
      </c>
      <c r="I188" s="29">
        <v>2.1432054238018899E-2</v>
      </c>
      <c r="J188" s="29">
        <v>72.250127707269201</v>
      </c>
      <c r="K188" s="29">
        <v>0.15229243309325199</v>
      </c>
      <c r="L188" s="29">
        <v>1</v>
      </c>
      <c r="M188" s="29">
        <v>0.191781975818585</v>
      </c>
      <c r="N188" s="29">
        <v>1.4804461221373599</v>
      </c>
      <c r="O188" s="29">
        <v>0</v>
      </c>
      <c r="P188" s="29">
        <v>2.1561250822876799E-2</v>
      </c>
      <c r="Q188" s="29">
        <v>1.9841269841269799E-2</v>
      </c>
      <c r="R188" s="30">
        <v>241221.4785</v>
      </c>
      <c r="S188" s="29">
        <v>3</v>
      </c>
      <c r="T188">
        <v>589.89400000000001</v>
      </c>
      <c r="U188" s="21"/>
      <c r="V188">
        <v>178</v>
      </c>
      <c r="W188" t="b">
        <f>V188&gt;=$C$4</f>
        <v>1</v>
      </c>
      <c r="X188">
        <f>IF(V188&lt;=$C$5,11,ROW()-$C$5+1)</f>
        <v>11</v>
      </c>
      <c r="Y188" s="14">
        <f t="shared" si="63"/>
        <v>178</v>
      </c>
      <c r="Z188" s="10">
        <f t="shared" si="71"/>
        <v>0.87469999999999715</v>
      </c>
      <c r="AA188" s="15">
        <f t="shared" si="72"/>
        <v>2.1432054238018979E-2</v>
      </c>
      <c r="AB188" s="15">
        <f t="shared" si="73"/>
        <v>0.81799942076682208</v>
      </c>
      <c r="AC188" s="10">
        <f t="shared" si="64"/>
        <v>2.0042766608600316E-2</v>
      </c>
      <c r="AD188">
        <f t="shared" si="74"/>
        <v>0.86139999999999617</v>
      </c>
      <c r="AE188">
        <f t="shared" si="81"/>
        <v>0.86139999999999617</v>
      </c>
      <c r="AF188">
        <f t="shared" si="82"/>
        <v>0</v>
      </c>
      <c r="AG188">
        <f t="shared" si="90"/>
        <v>0.39372962129379563</v>
      </c>
      <c r="AH188">
        <f t="shared" si="90"/>
        <v>0.15122368984419945</v>
      </c>
      <c r="AI188">
        <f t="shared" si="75"/>
        <v>2.6036239540209718</v>
      </c>
      <c r="AJ188">
        <f t="shared" si="83"/>
        <v>72.250156710047762</v>
      </c>
      <c r="AK188" s="14">
        <f t="shared" si="65"/>
        <v>72.250156710047762</v>
      </c>
      <c r="AM188" s="14">
        <f t="shared" si="88"/>
        <v>0.15229243309325291</v>
      </c>
      <c r="AN188" s="36">
        <f t="shared" si="76"/>
        <v>2.1561250822876854E-2</v>
      </c>
      <c r="AO188">
        <f t="shared" si="85"/>
        <v>1</v>
      </c>
      <c r="AP188" s="14">
        <f t="shared" si="86"/>
        <v>1</v>
      </c>
      <c r="AQ188">
        <f t="shared" si="77"/>
        <v>-3.0303183946918111E-3</v>
      </c>
      <c r="AR188">
        <f t="shared" si="78"/>
        <v>2.459156921756861E-2</v>
      </c>
      <c r="AS188">
        <f t="shared" si="60"/>
        <v>2.4016584160438349E-3</v>
      </c>
      <c r="AT188">
        <f t="shared" si="61"/>
        <v>1.2522857822236989E-2</v>
      </c>
      <c r="AU188" s="14">
        <f t="shared" si="66"/>
        <v>0.19178197581858522</v>
      </c>
      <c r="AV188" s="19">
        <f t="shared" si="62"/>
        <v>1.4804461221374068</v>
      </c>
      <c r="AW188" s="19">
        <f t="shared" si="89"/>
        <v>0</v>
      </c>
      <c r="AX188">
        <f t="shared" si="67"/>
        <v>0</v>
      </c>
      <c r="AY188">
        <f>IF(W188,SUMPRODUCT(INDEX(AX:AX,X188):INDEX(AX:AX,X188+Y188)),0)</f>
        <v>5</v>
      </c>
      <c r="AZ188">
        <f>IF(V188,COUNT(INDEX(AX:AX,X188):INDEX(AX:AX,ROW())),0)</f>
        <v>178</v>
      </c>
      <c r="BA188" s="14">
        <f t="shared" si="79"/>
        <v>2.8089887640449437E-2</v>
      </c>
      <c r="BB188" s="6">
        <f t="shared" si="68"/>
        <v>2063245.2357999999</v>
      </c>
      <c r="BC188" s="6">
        <f>MEDIAN(INDEX(BB:BB,X188):INDEX(BB:BB,X188+Y188-1))</f>
        <v>242544.7751</v>
      </c>
      <c r="BD188" s="25">
        <f t="shared" si="69"/>
        <v>242544.7751</v>
      </c>
      <c r="BE188">
        <f t="shared" si="80"/>
        <v>0</v>
      </c>
      <c r="BF188" s="6">
        <f>SUM(INDEX(BE:BE,X188):INDEX(BE:BE,X188+Y188-1))</f>
        <v>3</v>
      </c>
      <c r="BG188" s="25">
        <f t="shared" si="70"/>
        <v>3</v>
      </c>
    </row>
    <row r="189" spans="1:59" x14ac:dyDescent="0.3">
      <c r="A189" s="1">
        <v>45625</v>
      </c>
      <c r="B189">
        <v>40.375399999999999</v>
      </c>
      <c r="C189">
        <v>40.912100000000002</v>
      </c>
      <c r="D189">
        <v>40.375399999999999</v>
      </c>
      <c r="E189">
        <v>40.680199999999999</v>
      </c>
      <c r="F189">
        <v>38783</v>
      </c>
      <c r="G189" s="29">
        <v>0.797906604997764</v>
      </c>
      <c r="H189" s="29">
        <v>1.9614126897059599E-2</v>
      </c>
      <c r="I189" s="29">
        <v>1.3193150476153E-2</v>
      </c>
      <c r="J189" s="29">
        <v>70.923637581149407</v>
      </c>
      <c r="K189" s="29">
        <v>0.13433177089287701</v>
      </c>
      <c r="L189" s="29">
        <v>0.8</v>
      </c>
      <c r="M189" s="29">
        <v>0.169478818057965</v>
      </c>
      <c r="N189" s="29">
        <v>1.4584601423577801</v>
      </c>
      <c r="O189" s="29">
        <v>-3.2465384549417099E-3</v>
      </c>
      <c r="P189" s="29">
        <v>-3.2465384549417099E-3</v>
      </c>
      <c r="Q189" s="29">
        <v>1.9841269841269799E-2</v>
      </c>
      <c r="R189" s="30">
        <v>241221.4785</v>
      </c>
      <c r="S189" s="29">
        <v>3</v>
      </c>
      <c r="T189">
        <v>593.55899999999997</v>
      </c>
      <c r="U189" s="21"/>
      <c r="V189">
        <v>179</v>
      </c>
      <c r="W189" t="b">
        <f>V189&gt;=$C$4</f>
        <v>1</v>
      </c>
      <c r="X189">
        <f>IF(V189&lt;=$C$5,11,ROW()-$C$5+1)</f>
        <v>11</v>
      </c>
      <c r="Y189" s="14">
        <f t="shared" si="63"/>
        <v>179</v>
      </c>
      <c r="Z189" s="10">
        <f t="shared" si="71"/>
        <v>0.53670000000000329</v>
      </c>
      <c r="AA189" s="15">
        <f t="shared" si="72"/>
        <v>1.3193150476153099E-2</v>
      </c>
      <c r="AB189" s="15">
        <f t="shared" si="73"/>
        <v>0.79790660499776356</v>
      </c>
      <c r="AC189" s="10">
        <f t="shared" si="64"/>
        <v>1.9614126897059592E-2</v>
      </c>
      <c r="AD189">
        <f t="shared" si="74"/>
        <v>-0.13250000000000028</v>
      </c>
      <c r="AE189">
        <f t="shared" si="81"/>
        <v>0</v>
      </c>
      <c r="AF189">
        <f t="shared" si="82"/>
        <v>0.13250000000000028</v>
      </c>
      <c r="AG189">
        <f t="shared" si="90"/>
        <v>0.36560607691566738</v>
      </c>
      <c r="AH189">
        <f t="shared" si="90"/>
        <v>0.14988628342675667</v>
      </c>
      <c r="AI189">
        <f t="shared" si="75"/>
        <v>2.4392230466794129</v>
      </c>
      <c r="AJ189">
        <f t="shared" si="83"/>
        <v>70.923665420144673</v>
      </c>
      <c r="AK189" s="14">
        <f t="shared" si="65"/>
        <v>70.923665420144673</v>
      </c>
      <c r="AM189" s="14">
        <f t="shared" si="88"/>
        <v>0.13433177089287773</v>
      </c>
      <c r="AN189" s="36">
        <f t="shared" si="76"/>
        <v>-3.2465384549417164E-3</v>
      </c>
      <c r="AO189">
        <f t="shared" si="85"/>
        <v>0</v>
      </c>
      <c r="AP189" s="14">
        <f t="shared" si="86"/>
        <v>0.8</v>
      </c>
      <c r="AQ189">
        <f t="shared" si="77"/>
        <v>6.2129806371991059E-3</v>
      </c>
      <c r="AR189">
        <f t="shared" si="78"/>
        <v>-9.4595190921408154E-3</v>
      </c>
      <c r="AS189">
        <f t="shared" si="60"/>
        <v>2.1344923287659589E-3</v>
      </c>
      <c r="AT189">
        <f t="shared" si="61"/>
        <v>1.2594448989111572E-2</v>
      </c>
      <c r="AU189" s="14">
        <f t="shared" si="66"/>
        <v>0.1694788180579648</v>
      </c>
      <c r="AV189" s="19">
        <f t="shared" si="62"/>
        <v>1.4584601423578234</v>
      </c>
      <c r="AW189" s="19">
        <f t="shared" si="89"/>
        <v>-3.2465384549417164E-3</v>
      </c>
      <c r="AX189">
        <f t="shared" si="67"/>
        <v>0</v>
      </c>
      <c r="AY189">
        <f>IF(W189,SUMPRODUCT(INDEX(AX:AX,X189):INDEX(AX:AX,X189+Y189)),0)</f>
        <v>5</v>
      </c>
      <c r="AZ189">
        <f>IF(V189,COUNT(INDEX(AX:AX,X189):INDEX(AX:AX,ROW())),0)</f>
        <v>179</v>
      </c>
      <c r="BA189" s="14">
        <f t="shared" si="79"/>
        <v>2.7932960893854747E-2</v>
      </c>
      <c r="BB189" s="6">
        <f t="shared" si="68"/>
        <v>1577700.1965999999</v>
      </c>
      <c r="BC189" s="6">
        <f>MEDIAN(INDEX(BB:BB,X189):INDEX(BB:BB,X189+Y189-1))</f>
        <v>243085.43400000001</v>
      </c>
      <c r="BD189" s="25">
        <f t="shared" si="69"/>
        <v>243085.43400000001</v>
      </c>
      <c r="BE189">
        <f t="shared" si="80"/>
        <v>0</v>
      </c>
      <c r="BF189" s="6">
        <f>SUM(INDEX(BE:BE,X189):INDEX(BE:BE,X189+Y189-1))</f>
        <v>3</v>
      </c>
      <c r="BG189" s="25">
        <f t="shared" si="70"/>
        <v>3</v>
      </c>
    </row>
    <row r="190" spans="1:59" x14ac:dyDescent="0.3">
      <c r="A190" s="1">
        <v>45628</v>
      </c>
      <c r="B190">
        <v>40.540999999999997</v>
      </c>
      <c r="C190">
        <v>41.064500000000002</v>
      </c>
      <c r="D190">
        <v>40.388599999999997</v>
      </c>
      <c r="E190">
        <v>40.872300000000003</v>
      </c>
      <c r="F190">
        <v>16901</v>
      </c>
      <c r="G190" s="29">
        <v>0.78919184749792404</v>
      </c>
      <c r="H190" s="29">
        <v>1.9308721248814501E-2</v>
      </c>
      <c r="I190" s="29">
        <v>1.6536872160363002E-2</v>
      </c>
      <c r="J190" s="29">
        <v>71.733903205560495</v>
      </c>
      <c r="K190" s="29">
        <v>0.16223778609999701</v>
      </c>
      <c r="L190" s="29">
        <v>0.8</v>
      </c>
      <c r="M190" s="29">
        <v>0.223514208184419</v>
      </c>
      <c r="N190" s="29">
        <v>1.3037492087710101</v>
      </c>
      <c r="O190" s="29">
        <v>0</v>
      </c>
      <c r="P190" s="29">
        <v>4.7221990059047496E-3</v>
      </c>
      <c r="Q190" s="29">
        <v>1.9841269841269799E-2</v>
      </c>
      <c r="R190" s="30">
        <v>241221.4785</v>
      </c>
      <c r="S190" s="29">
        <v>3</v>
      </c>
      <c r="T190">
        <v>594.62199999999996</v>
      </c>
      <c r="U190" s="21"/>
      <c r="V190">
        <v>180</v>
      </c>
      <c r="W190" t="b">
        <f>V190&gt;=$C$4</f>
        <v>1</v>
      </c>
      <c r="X190">
        <f>IF(V190&lt;=$C$5,11,ROW()-$C$5+1)</f>
        <v>11</v>
      </c>
      <c r="Y190" s="14">
        <f t="shared" si="63"/>
        <v>180</v>
      </c>
      <c r="Z190" s="10">
        <f t="shared" si="71"/>
        <v>0.67590000000000572</v>
      </c>
      <c r="AA190" s="15">
        <f t="shared" si="72"/>
        <v>1.6536872160363026E-2</v>
      </c>
      <c r="AB190" s="15">
        <f t="shared" si="73"/>
        <v>0.7891918474979237</v>
      </c>
      <c r="AC190" s="10">
        <f t="shared" si="64"/>
        <v>1.9308721248814567E-2</v>
      </c>
      <c r="AD190">
        <f t="shared" si="74"/>
        <v>0.19210000000000349</v>
      </c>
      <c r="AE190">
        <f t="shared" si="81"/>
        <v>0.19210000000000349</v>
      </c>
      <c r="AF190">
        <f t="shared" si="82"/>
        <v>0</v>
      </c>
      <c r="AG190">
        <f t="shared" ref="AG190:AH205" si="91">(AE190+13*AG189)/14</f>
        <v>0.35321278570740572</v>
      </c>
      <c r="AH190">
        <f t="shared" si="91"/>
        <v>0.13918012032484547</v>
      </c>
      <c r="AI190">
        <f t="shared" si="75"/>
        <v>2.5378106074560751</v>
      </c>
      <c r="AJ190">
        <f t="shared" si="83"/>
        <v>71.733930643645522</v>
      </c>
      <c r="AK190" s="14">
        <f t="shared" si="65"/>
        <v>71.733930643645522</v>
      </c>
      <c r="AM190" s="14">
        <f t="shared" si="88"/>
        <v>0.16223778609999751</v>
      </c>
      <c r="AN190" s="36">
        <f t="shared" si="76"/>
        <v>4.7221990059047592E-3</v>
      </c>
      <c r="AO190">
        <f t="shared" si="85"/>
        <v>1</v>
      </c>
      <c r="AP190" s="14">
        <f t="shared" si="86"/>
        <v>0.8</v>
      </c>
      <c r="AQ190">
        <f t="shared" si="77"/>
        <v>1.7908918911178073E-3</v>
      </c>
      <c r="AR190">
        <f t="shared" si="78"/>
        <v>2.9313071147869423E-3</v>
      </c>
      <c r="AS190">
        <f t="shared" si="60"/>
        <v>2.6593223263775274E-3</v>
      </c>
      <c r="AT190">
        <f t="shared" si="61"/>
        <v>1.1897777541655691E-2</v>
      </c>
      <c r="AU190" s="14">
        <f t="shared" si="66"/>
        <v>0.22351420818441836</v>
      </c>
      <c r="AV190" s="19">
        <f t="shared" si="62"/>
        <v>1.3037492087710547</v>
      </c>
      <c r="AW190" s="19">
        <f t="shared" si="89"/>
        <v>0</v>
      </c>
      <c r="AX190">
        <f t="shared" si="67"/>
        <v>0</v>
      </c>
      <c r="AY190">
        <f>IF(W190,SUMPRODUCT(INDEX(AX:AX,X190):INDEX(AX:AX,X190+Y190)),0)</f>
        <v>5</v>
      </c>
      <c r="AZ190">
        <f>IF(V190,COUNT(INDEX(AX:AX,X190):INDEX(AX:AX,ROW())),0)</f>
        <v>180</v>
      </c>
      <c r="BA190" s="14">
        <f t="shared" si="79"/>
        <v>2.7777777777777776E-2</v>
      </c>
      <c r="BB190" s="6">
        <f t="shared" si="68"/>
        <v>690782.74230000004</v>
      </c>
      <c r="BC190" s="6">
        <f>MEDIAN(INDEX(BB:BB,X190):INDEX(BB:BB,X190+Y190-1))</f>
        <v>243543.63284999999</v>
      </c>
      <c r="BD190" s="25">
        <f t="shared" si="69"/>
        <v>243543.63284999999</v>
      </c>
      <c r="BE190">
        <f t="shared" si="80"/>
        <v>0</v>
      </c>
      <c r="BF190" s="6">
        <f>SUM(INDEX(BE:BE,X190):INDEX(BE:BE,X190+Y190-1))</f>
        <v>3</v>
      </c>
      <c r="BG190" s="25">
        <f t="shared" si="70"/>
        <v>3</v>
      </c>
    </row>
    <row r="191" spans="1:59" x14ac:dyDescent="0.3">
      <c r="A191" s="1">
        <v>45629</v>
      </c>
      <c r="B191">
        <v>41.190399999999997</v>
      </c>
      <c r="C191">
        <v>41.256700000000002</v>
      </c>
      <c r="D191">
        <v>40.2958</v>
      </c>
      <c r="E191">
        <v>40.381999999999998</v>
      </c>
      <c r="F191">
        <v>9809</v>
      </c>
      <c r="G191" s="29">
        <v>0.80145671553378695</v>
      </c>
      <c r="H191" s="29">
        <v>1.98468801826008E-2</v>
      </c>
      <c r="I191" s="29">
        <v>2.3795255311772599E-2</v>
      </c>
      <c r="J191" s="29">
        <v>66.630284502658697</v>
      </c>
      <c r="K191" s="29">
        <v>0.14376835730936</v>
      </c>
      <c r="L191" s="29">
        <v>0.6</v>
      </c>
      <c r="M191" s="29">
        <v>0.21414739050613901</v>
      </c>
      <c r="N191" s="29">
        <v>1.29936531079369</v>
      </c>
      <c r="O191" s="29">
        <v>-1.1995899423325899E-2</v>
      </c>
      <c r="P191" s="29">
        <v>-1.1995899423325899E-2</v>
      </c>
      <c r="Q191" s="29">
        <v>1.9841269841269799E-2</v>
      </c>
      <c r="R191" s="30">
        <v>241221.4785</v>
      </c>
      <c r="S191" s="29">
        <v>3</v>
      </c>
      <c r="T191">
        <v>594.89800000000002</v>
      </c>
      <c r="U191" s="21"/>
      <c r="V191">
        <v>181</v>
      </c>
      <c r="W191" t="b">
        <f>V191&gt;=$C$4</f>
        <v>1</v>
      </c>
      <c r="X191">
        <f>IF(V191&lt;=$C$5,11,ROW()-$C$5+1)</f>
        <v>11</v>
      </c>
      <c r="Y191" s="14">
        <f t="shared" si="63"/>
        <v>181</v>
      </c>
      <c r="Z191" s="10">
        <f t="shared" si="71"/>
        <v>0.96090000000000231</v>
      </c>
      <c r="AA191" s="15">
        <f t="shared" si="72"/>
        <v>2.379525531177263E-2</v>
      </c>
      <c r="AB191" s="15">
        <f t="shared" si="73"/>
        <v>0.8014567155337865</v>
      </c>
      <c r="AC191" s="10">
        <f t="shared" si="64"/>
        <v>1.9846880182600824E-2</v>
      </c>
      <c r="AD191">
        <f t="shared" si="74"/>
        <v>-0.49030000000000484</v>
      </c>
      <c r="AE191">
        <f t="shared" si="81"/>
        <v>0</v>
      </c>
      <c r="AF191">
        <f t="shared" si="82"/>
        <v>0.49030000000000484</v>
      </c>
      <c r="AG191">
        <f t="shared" si="91"/>
        <v>0.32798330101401962</v>
      </c>
      <c r="AH191">
        <f t="shared" si="91"/>
        <v>0.16426011173021399</v>
      </c>
      <c r="AI191">
        <f t="shared" si="75"/>
        <v>1.9967312670084494</v>
      </c>
      <c r="AJ191">
        <f t="shared" si="83"/>
        <v>66.630307795390962</v>
      </c>
      <c r="AK191" s="14">
        <f t="shared" si="65"/>
        <v>66.630307795390962</v>
      </c>
      <c r="AM191" s="14">
        <f t="shared" si="88"/>
        <v>0.14376835730936</v>
      </c>
      <c r="AN191" s="36">
        <f t="shared" si="76"/>
        <v>-1.1995899423325906E-2</v>
      </c>
      <c r="AO191">
        <f t="shared" si="85"/>
        <v>0</v>
      </c>
      <c r="AP191" s="14">
        <f t="shared" si="86"/>
        <v>0.6</v>
      </c>
      <c r="AQ191">
        <f t="shared" si="77"/>
        <v>4.6416042460606377E-4</v>
      </c>
      <c r="AR191">
        <f t="shared" si="78"/>
        <v>-1.2460059847931963E-2</v>
      </c>
      <c r="AS191">
        <f t="shared" si="60"/>
        <v>2.5681446113313866E-3</v>
      </c>
      <c r="AT191">
        <f t="shared" si="61"/>
        <v>1.1992416089038317E-2</v>
      </c>
      <c r="AU191" s="14">
        <f t="shared" si="66"/>
        <v>0.21414739050613849</v>
      </c>
      <c r="AV191" s="19">
        <f t="shared" si="62"/>
        <v>1.2993653107937382</v>
      </c>
      <c r="AW191" s="19">
        <f t="shared" si="89"/>
        <v>-1.1995899423325906E-2</v>
      </c>
      <c r="AX191">
        <f t="shared" si="67"/>
        <v>0</v>
      </c>
      <c r="AY191">
        <f>IF(W191,SUMPRODUCT(INDEX(AX:AX,X191):INDEX(AX:AX,X191+Y191)),0)</f>
        <v>5</v>
      </c>
      <c r="AZ191">
        <f>IF(V191,COUNT(INDEX(AX:AX,X191):INDEX(AX:AX,ROW())),0)</f>
        <v>181</v>
      </c>
      <c r="BA191" s="14">
        <f t="shared" si="79"/>
        <v>2.7624309392265192E-2</v>
      </c>
      <c r="BB191" s="6">
        <f t="shared" si="68"/>
        <v>396107.038</v>
      </c>
      <c r="BC191" s="6">
        <f>MEDIAN(INDEX(BB:BB,X191):INDEX(BB:BB,X191+Y191-1))</f>
        <v>244001.83170000001</v>
      </c>
      <c r="BD191" s="25">
        <f t="shared" si="69"/>
        <v>244001.83170000001</v>
      </c>
      <c r="BE191">
        <f t="shared" si="80"/>
        <v>0</v>
      </c>
      <c r="BF191" s="6">
        <f>SUM(INDEX(BE:BE,X191):INDEX(BE:BE,X191+Y191-1))</f>
        <v>3</v>
      </c>
      <c r="BG191" s="25">
        <f t="shared" si="70"/>
        <v>3</v>
      </c>
    </row>
    <row r="192" spans="1:59" x14ac:dyDescent="0.3">
      <c r="A192" s="1">
        <v>45630</v>
      </c>
      <c r="B192">
        <v>40.600700000000003</v>
      </c>
      <c r="C192">
        <v>40.600700000000003</v>
      </c>
      <c r="D192">
        <v>40.043999999999997</v>
      </c>
      <c r="E192">
        <v>40.183199999999999</v>
      </c>
      <c r="F192">
        <v>11469</v>
      </c>
      <c r="G192" s="29">
        <v>0.78397409299566001</v>
      </c>
      <c r="H192" s="29">
        <v>1.95099965407349E-2</v>
      </c>
      <c r="I192" s="29">
        <v>1.38540484580622E-2</v>
      </c>
      <c r="J192" s="29">
        <v>64.6226812019829</v>
      </c>
      <c r="K192" s="29">
        <v>0.12171823051735001</v>
      </c>
      <c r="L192" s="29">
        <v>0.4</v>
      </c>
      <c r="M192" s="29">
        <v>0.20539363438229</v>
      </c>
      <c r="N192" s="29">
        <v>1.2687964664378799</v>
      </c>
      <c r="O192" s="29">
        <v>-1.6859829273126299E-2</v>
      </c>
      <c r="P192" s="29">
        <v>-4.9229854885839402E-3</v>
      </c>
      <c r="Q192" s="29">
        <v>1.9841269841269799E-2</v>
      </c>
      <c r="R192" s="30">
        <v>241221.4785</v>
      </c>
      <c r="S192" s="29">
        <v>3</v>
      </c>
      <c r="T192">
        <v>598.59199999999998</v>
      </c>
      <c r="U192" s="21"/>
      <c r="V192">
        <v>182</v>
      </c>
      <c r="W192" t="b">
        <f>V192&gt;=$C$4</f>
        <v>1</v>
      </c>
      <c r="X192">
        <f>IF(V192&lt;=$C$5,11,ROW()-$C$5+1)</f>
        <v>11</v>
      </c>
      <c r="Y192" s="14">
        <f t="shared" si="63"/>
        <v>182</v>
      </c>
      <c r="Z192" s="10">
        <f t="shared" si="71"/>
        <v>0.55670000000000641</v>
      </c>
      <c r="AA192" s="15">
        <f t="shared" si="72"/>
        <v>1.3854048458062235E-2</v>
      </c>
      <c r="AB192" s="15">
        <f t="shared" si="73"/>
        <v>0.78397409299565946</v>
      </c>
      <c r="AC192" s="10">
        <f t="shared" si="64"/>
        <v>1.950999654073492E-2</v>
      </c>
      <c r="AD192">
        <f t="shared" si="74"/>
        <v>-0.19879999999999853</v>
      </c>
      <c r="AE192">
        <f t="shared" si="81"/>
        <v>0</v>
      </c>
      <c r="AF192">
        <f t="shared" si="82"/>
        <v>0.19879999999999853</v>
      </c>
      <c r="AG192">
        <f t="shared" si="91"/>
        <v>0.3045559223701611</v>
      </c>
      <c r="AH192">
        <f t="shared" si="91"/>
        <v>0.16672724660662716</v>
      </c>
      <c r="AI192">
        <f t="shared" si="75"/>
        <v>1.8266715762944499</v>
      </c>
      <c r="AJ192">
        <f t="shared" si="83"/>
        <v>64.622702956141666</v>
      </c>
      <c r="AK192" s="14">
        <f t="shared" si="65"/>
        <v>64.622702956141666</v>
      </c>
      <c r="AM192" s="14">
        <f t="shared" si="88"/>
        <v>0.12171823051735076</v>
      </c>
      <c r="AN192" s="36">
        <f t="shared" si="76"/>
        <v>-4.9229854885839419E-3</v>
      </c>
      <c r="AO192">
        <f t="shared" si="85"/>
        <v>0</v>
      </c>
      <c r="AP192" s="14">
        <f t="shared" si="86"/>
        <v>0.4</v>
      </c>
      <c r="AQ192">
        <f t="shared" si="77"/>
        <v>6.2094678415458571E-3</v>
      </c>
      <c r="AR192">
        <f t="shared" si="78"/>
        <v>-1.1132453330129797E-2</v>
      </c>
      <c r="AS192">
        <f t="shared" si="60"/>
        <v>2.4798241074015224E-3</v>
      </c>
      <c r="AT192">
        <f t="shared" si="61"/>
        <v>1.2073519780004165E-2</v>
      </c>
      <c r="AU192" s="14">
        <f t="shared" si="66"/>
        <v>0.20539363438229005</v>
      </c>
      <c r="AV192" s="19">
        <f t="shared" si="62"/>
        <v>1.2687964664379288</v>
      </c>
      <c r="AW192" s="19">
        <f t="shared" si="89"/>
        <v>-1.6859829273126348E-2</v>
      </c>
      <c r="AX192">
        <f t="shared" si="67"/>
        <v>0</v>
      </c>
      <c r="AY192">
        <f>IF(W192,SUMPRODUCT(INDEX(AX:AX,X192):INDEX(AX:AX,X192+Y192)),0)</f>
        <v>5</v>
      </c>
      <c r="AZ192">
        <f>IF(V192,COUNT(INDEX(AX:AX,X192):INDEX(AX:AX,ROW())),0)</f>
        <v>182</v>
      </c>
      <c r="BA192" s="14">
        <f t="shared" si="79"/>
        <v>2.7472527472527472E-2</v>
      </c>
      <c r="BB192" s="6">
        <f t="shared" si="68"/>
        <v>460861.12079999998</v>
      </c>
      <c r="BC192" s="6">
        <f>MEDIAN(INDEX(BB:BB,X192):INDEX(BB:BB,X192+Y192-1))</f>
        <v>246690.90725000002</v>
      </c>
      <c r="BD192" s="25">
        <f t="shared" si="69"/>
        <v>246690.90725000002</v>
      </c>
      <c r="BE192">
        <f t="shared" si="80"/>
        <v>0</v>
      </c>
      <c r="BF192" s="6">
        <f>SUM(INDEX(BE:BE,X192):INDEX(BE:BE,X192+Y192-1))</f>
        <v>3</v>
      </c>
      <c r="BG192" s="25">
        <f t="shared" si="70"/>
        <v>3</v>
      </c>
    </row>
    <row r="193" spans="1:59" x14ac:dyDescent="0.3">
      <c r="A193" s="1">
        <v>45631</v>
      </c>
      <c r="B193">
        <v>39.931399999999996</v>
      </c>
      <c r="C193">
        <v>40.388599999999997</v>
      </c>
      <c r="D193">
        <v>39.639800000000001</v>
      </c>
      <c r="E193">
        <v>39.639800000000001</v>
      </c>
      <c r="F193">
        <v>14185</v>
      </c>
      <c r="G193" s="29">
        <v>0.78146165778168397</v>
      </c>
      <c r="H193" s="29">
        <v>1.97140666144048E-2</v>
      </c>
      <c r="I193" s="29">
        <v>1.8890105399118898E-2</v>
      </c>
      <c r="J193" s="29">
        <v>59.357984943279597</v>
      </c>
      <c r="K193" s="29">
        <v>7.2810186876683003E-2</v>
      </c>
      <c r="L193" s="29">
        <v>0.2</v>
      </c>
      <c r="M193" s="29">
        <v>0.18937980395007301</v>
      </c>
      <c r="N193" s="29">
        <v>1.2941212043462</v>
      </c>
      <c r="O193" s="29">
        <v>-3.0154897081886699E-2</v>
      </c>
      <c r="P193" s="29">
        <v>-1.35230643652073E-2</v>
      </c>
      <c r="Q193" s="29">
        <v>1.9841269841269799E-2</v>
      </c>
      <c r="R193" s="30">
        <v>241753.84179999999</v>
      </c>
      <c r="S193" s="29">
        <v>3</v>
      </c>
      <c r="T193">
        <v>597.60699999999997</v>
      </c>
      <c r="U193" s="21"/>
      <c r="V193">
        <v>183</v>
      </c>
      <c r="W193" t="b">
        <f>V193&gt;=$C$4</f>
        <v>1</v>
      </c>
      <c r="X193">
        <f>IF(V193&lt;=$C$5,11,ROW()-$C$5+1)</f>
        <v>11</v>
      </c>
      <c r="Y193" s="14">
        <f t="shared" si="63"/>
        <v>183</v>
      </c>
      <c r="Z193" s="10">
        <f t="shared" si="71"/>
        <v>0.74879999999999569</v>
      </c>
      <c r="AA193" s="15">
        <f t="shared" si="72"/>
        <v>1.8890105399118957E-2</v>
      </c>
      <c r="AB193" s="15">
        <f t="shared" si="73"/>
        <v>0.78146165778168353</v>
      </c>
      <c r="AC193" s="10">
        <f t="shared" si="64"/>
        <v>1.9714066614404804E-2</v>
      </c>
      <c r="AD193">
        <f t="shared" si="74"/>
        <v>-0.54339999999999833</v>
      </c>
      <c r="AE193">
        <f t="shared" si="81"/>
        <v>0</v>
      </c>
      <c r="AF193">
        <f t="shared" si="82"/>
        <v>0.54339999999999833</v>
      </c>
      <c r="AG193">
        <f t="shared" si="91"/>
        <v>0.28280192791514958</v>
      </c>
      <c r="AH193">
        <f t="shared" si="91"/>
        <v>0.19363244327758225</v>
      </c>
      <c r="AI193">
        <f t="shared" si="75"/>
        <v>1.4605090093798909</v>
      </c>
      <c r="AJ193">
        <f t="shared" si="83"/>
        <v>59.358002909648974</v>
      </c>
      <c r="AK193" s="14">
        <f t="shared" si="65"/>
        <v>59.358002909648974</v>
      </c>
      <c r="AM193" s="14">
        <f t="shared" si="88"/>
        <v>7.2810186876683058E-2</v>
      </c>
      <c r="AN193" s="36">
        <f t="shared" si="76"/>
        <v>-1.3523064365207338E-2</v>
      </c>
      <c r="AO193">
        <f t="shared" si="85"/>
        <v>0</v>
      </c>
      <c r="AP193" s="14">
        <f t="shared" si="86"/>
        <v>0.2</v>
      </c>
      <c r="AQ193">
        <f t="shared" si="77"/>
        <v>-1.645528172778854E-3</v>
      </c>
      <c r="AR193">
        <f t="shared" si="78"/>
        <v>-1.1877536192428446E-2</v>
      </c>
      <c r="AS193">
        <f t="shared" si="60"/>
        <v>2.3104803211699905E-3</v>
      </c>
      <c r="AT193">
        <f t="shared" si="61"/>
        <v>1.2200246662939397E-2</v>
      </c>
      <c r="AU193" s="14">
        <f t="shared" si="66"/>
        <v>0.18937980395007259</v>
      </c>
      <c r="AV193" s="19">
        <f t="shared" si="62"/>
        <v>1.2941212043462487</v>
      </c>
      <c r="AW193" s="19">
        <f t="shared" si="89"/>
        <v>-3.0154897081886789E-2</v>
      </c>
      <c r="AX193">
        <f t="shared" si="67"/>
        <v>0</v>
      </c>
      <c r="AY193">
        <f>IF(W193,SUMPRODUCT(INDEX(AX:AX,X193):INDEX(AX:AX,X193+Y193)),0)</f>
        <v>5</v>
      </c>
      <c r="AZ193">
        <f>IF(V193,COUNT(INDEX(AX:AX,X193):INDEX(AX:AX,ROW())),0)</f>
        <v>183</v>
      </c>
      <c r="BA193" s="14">
        <f t="shared" si="79"/>
        <v>2.7322404371584699E-2</v>
      </c>
      <c r="BB193" s="6">
        <f t="shared" si="68"/>
        <v>562290.56299999997</v>
      </c>
      <c r="BC193" s="6">
        <f>MEDIAN(INDEX(BB:BB,X193):INDEX(BB:BB,X193+Y193-1))</f>
        <v>249379.98280000003</v>
      </c>
      <c r="BD193" s="25">
        <f t="shared" si="69"/>
        <v>249379.98280000003</v>
      </c>
      <c r="BE193">
        <f t="shared" si="80"/>
        <v>0</v>
      </c>
      <c r="BF193" s="6">
        <f>SUM(INDEX(BE:BE,X193):INDEX(BE:BE,X193+Y193-1))</f>
        <v>3</v>
      </c>
      <c r="BG193" s="25">
        <f t="shared" si="70"/>
        <v>3</v>
      </c>
    </row>
    <row r="194" spans="1:59" x14ac:dyDescent="0.3">
      <c r="A194" s="1">
        <v>45632</v>
      </c>
      <c r="B194">
        <v>39.832000000000001</v>
      </c>
      <c r="C194">
        <v>39.832000000000001</v>
      </c>
      <c r="D194">
        <v>39.474200000000003</v>
      </c>
      <c r="E194">
        <v>39.566899999999997</v>
      </c>
      <c r="F194">
        <v>8149</v>
      </c>
      <c r="G194" s="29">
        <v>0.751200110797278</v>
      </c>
      <c r="H194" s="29">
        <v>1.89855690184795E-2</v>
      </c>
      <c r="I194" s="29">
        <v>9.0429121310994093E-3</v>
      </c>
      <c r="J194" s="29">
        <v>58.667461823366303</v>
      </c>
      <c r="K194" s="29">
        <v>4.6441634555114998E-2</v>
      </c>
      <c r="L194" s="29">
        <v>0.2</v>
      </c>
      <c r="M194" s="29">
        <v>0.17176617559104199</v>
      </c>
      <c r="N194" s="29">
        <v>1.27689092069623</v>
      </c>
      <c r="O194" s="29">
        <v>-3.1938501136466603E-2</v>
      </c>
      <c r="P194" s="29">
        <v>-1.8390607419817E-3</v>
      </c>
      <c r="Q194" s="29">
        <v>1.9841269841269799E-2</v>
      </c>
      <c r="R194" s="30">
        <v>242544.7751</v>
      </c>
      <c r="S194" s="29">
        <v>3</v>
      </c>
      <c r="T194">
        <v>598.74</v>
      </c>
      <c r="U194" s="21"/>
      <c r="V194">
        <v>184</v>
      </c>
      <c r="W194" t="b">
        <f>V194&gt;=$C$4</f>
        <v>1</v>
      </c>
      <c r="X194">
        <f>IF(V194&lt;=$C$5,11,ROW()-$C$5+1)</f>
        <v>11</v>
      </c>
      <c r="Y194" s="14">
        <f t="shared" si="63"/>
        <v>184</v>
      </c>
      <c r="Z194" s="10">
        <f t="shared" si="71"/>
        <v>0.35779999999999745</v>
      </c>
      <c r="AA194" s="15">
        <f t="shared" si="72"/>
        <v>9.0429121310994162E-3</v>
      </c>
      <c r="AB194" s="15">
        <f t="shared" si="73"/>
        <v>0.75120011079727733</v>
      </c>
      <c r="AC194" s="10">
        <f t="shared" si="64"/>
        <v>1.8985569018479521E-2</v>
      </c>
      <c r="AD194">
        <f t="shared" si="74"/>
        <v>-7.2900000000004184E-2</v>
      </c>
      <c r="AE194">
        <f t="shared" si="81"/>
        <v>0</v>
      </c>
      <c r="AF194">
        <f t="shared" si="82"/>
        <v>7.2900000000004184E-2</v>
      </c>
      <c r="AG194">
        <f t="shared" si="91"/>
        <v>0.26260179020692459</v>
      </c>
      <c r="AH194">
        <f t="shared" si="91"/>
        <v>0.18500869732918382</v>
      </c>
      <c r="AI194">
        <f t="shared" si="75"/>
        <v>1.4194024064700066</v>
      </c>
      <c r="AJ194">
        <f t="shared" si="83"/>
        <v>58.667479319447516</v>
      </c>
      <c r="AK194" s="14">
        <f t="shared" si="65"/>
        <v>58.667479319447516</v>
      </c>
      <c r="AM194" s="14">
        <f t="shared" si="88"/>
        <v>4.6441634555115074E-2</v>
      </c>
      <c r="AN194" s="36">
        <f t="shared" si="76"/>
        <v>-1.8390607419817018E-3</v>
      </c>
      <c r="AO194">
        <f t="shared" si="85"/>
        <v>0</v>
      </c>
      <c r="AP194" s="14">
        <f t="shared" si="86"/>
        <v>0.2</v>
      </c>
      <c r="AQ194">
        <f t="shared" si="77"/>
        <v>1.8958947937357529E-3</v>
      </c>
      <c r="AR194">
        <f t="shared" si="78"/>
        <v>-3.7349555357174529E-3</v>
      </c>
      <c r="AS194">
        <f t="shared" si="60"/>
        <v>2.0927117289641561E-3</v>
      </c>
      <c r="AT194">
        <f t="shared" si="61"/>
        <v>1.2183491433998574E-2</v>
      </c>
      <c r="AU194" s="14">
        <f t="shared" si="66"/>
        <v>0.17176617559104207</v>
      </c>
      <c r="AV194" s="19">
        <f t="shared" si="62"/>
        <v>1.276890920696278</v>
      </c>
      <c r="AW194" s="19">
        <f t="shared" si="89"/>
        <v>-3.1938501136466679E-2</v>
      </c>
      <c r="AX194">
        <f t="shared" si="67"/>
        <v>0</v>
      </c>
      <c r="AY194">
        <f>IF(W194,SUMPRODUCT(INDEX(AX:AX,X194):INDEX(AX:AX,X194+Y194)),0)</f>
        <v>5</v>
      </c>
      <c r="AZ194">
        <f>IF(V194,COUNT(INDEX(AX:AX,X194):INDEX(AX:AX,ROW())),0)</f>
        <v>184</v>
      </c>
      <c r="BA194" s="14">
        <f t="shared" si="79"/>
        <v>2.717391304347826E-2</v>
      </c>
      <c r="BB194" s="6">
        <f t="shared" si="68"/>
        <v>322430.66809999995</v>
      </c>
      <c r="BC194" s="6">
        <f>MEDIAN(INDEX(BB:BB,X194):INDEX(BB:BB,X194+Y194-1))</f>
        <v>252161.11940000003</v>
      </c>
      <c r="BD194" s="25">
        <f t="shared" si="69"/>
        <v>252161.11940000003</v>
      </c>
      <c r="BE194">
        <f t="shared" si="80"/>
        <v>0</v>
      </c>
      <c r="BF194" s="6">
        <f>SUM(INDEX(BE:BE,X194):INDEX(BE:BE,X194+Y194-1))</f>
        <v>3</v>
      </c>
      <c r="BG194" s="25">
        <f t="shared" si="70"/>
        <v>3</v>
      </c>
    </row>
    <row r="195" spans="1:59" x14ac:dyDescent="0.3">
      <c r="A195" s="1">
        <v>45635</v>
      </c>
      <c r="B195">
        <v>39.8386</v>
      </c>
      <c r="C195">
        <v>40.169899999999998</v>
      </c>
      <c r="D195">
        <v>39.116300000000003</v>
      </c>
      <c r="E195">
        <v>39.122999999999998</v>
      </c>
      <c r="F195">
        <v>14487</v>
      </c>
      <c r="G195" s="29">
        <v>0.77280010288318601</v>
      </c>
      <c r="H195" s="29">
        <v>1.9753089049489699E-2</v>
      </c>
      <c r="I195" s="29">
        <v>2.6930450118855798E-2</v>
      </c>
      <c r="J195" s="29">
        <v>54.509205764537803</v>
      </c>
      <c r="K195" s="29">
        <v>2.3224794036877001E-2</v>
      </c>
      <c r="L195" s="29">
        <v>0</v>
      </c>
      <c r="M195" s="29">
        <v>0.16811393353558399</v>
      </c>
      <c r="N195" s="29">
        <v>1.2982360704489599</v>
      </c>
      <c r="O195" s="29">
        <v>-4.2799157375533102E-2</v>
      </c>
      <c r="P195" s="29">
        <v>-1.12189734348659E-2</v>
      </c>
      <c r="Q195" s="29">
        <v>1.9841269841269799E-2</v>
      </c>
      <c r="R195" s="30">
        <v>242544.7751</v>
      </c>
      <c r="S195" s="29">
        <v>3</v>
      </c>
      <c r="T195">
        <v>595.65700000000004</v>
      </c>
      <c r="U195" s="21"/>
      <c r="V195">
        <v>185</v>
      </c>
      <c r="W195" t="b">
        <f>V195&gt;=$C$4</f>
        <v>1</v>
      </c>
      <c r="X195">
        <f>IF(V195&lt;=$C$5,11,ROW()-$C$5+1)</f>
        <v>11</v>
      </c>
      <c r="Y195" s="14">
        <f t="shared" si="63"/>
        <v>185</v>
      </c>
      <c r="Z195" s="10">
        <f t="shared" si="71"/>
        <v>1.0535999999999959</v>
      </c>
      <c r="AA195" s="15">
        <f t="shared" si="72"/>
        <v>2.6930450118855812E-2</v>
      </c>
      <c r="AB195" s="15">
        <f t="shared" si="73"/>
        <v>0.77280010288318579</v>
      </c>
      <c r="AC195" s="10">
        <f t="shared" si="64"/>
        <v>1.9753089049489709E-2</v>
      </c>
      <c r="AD195">
        <f t="shared" si="74"/>
        <v>-0.4438999999999993</v>
      </c>
      <c r="AE195">
        <f t="shared" si="81"/>
        <v>0</v>
      </c>
      <c r="AF195">
        <f t="shared" si="82"/>
        <v>0.4438999999999993</v>
      </c>
      <c r="AG195">
        <f t="shared" si="91"/>
        <v>0.24384451947785854</v>
      </c>
      <c r="AH195">
        <f t="shared" si="91"/>
        <v>0.20350093323424207</v>
      </c>
      <c r="AI195">
        <f t="shared" si="75"/>
        <v>1.1982476719022144</v>
      </c>
      <c r="AJ195">
        <f t="shared" si="83"/>
        <v>54.509220558633963</v>
      </c>
      <c r="AK195" s="14">
        <f t="shared" si="65"/>
        <v>54.509220558633963</v>
      </c>
      <c r="AM195" s="14">
        <f t="shared" si="88"/>
        <v>2.322479403687705E-2</v>
      </c>
      <c r="AN195" s="36">
        <f t="shared" si="76"/>
        <v>-1.1218973434865998E-2</v>
      </c>
      <c r="AO195">
        <f t="shared" si="85"/>
        <v>0</v>
      </c>
      <c r="AP195" s="14">
        <f t="shared" si="86"/>
        <v>0</v>
      </c>
      <c r="AQ195">
        <f t="shared" si="77"/>
        <v>-5.1491465410695714E-3</v>
      </c>
      <c r="AR195">
        <f t="shared" si="78"/>
        <v>-6.069826893796329E-3</v>
      </c>
      <c r="AS195">
        <f t="shared" si="60"/>
        <v>2.0521174909761335E-3</v>
      </c>
      <c r="AT195">
        <f t="shared" si="61"/>
        <v>1.2206706772117552E-2</v>
      </c>
      <c r="AU195" s="14">
        <f t="shared" si="66"/>
        <v>0.16811393353558401</v>
      </c>
      <c r="AV195" s="19">
        <f t="shared" si="62"/>
        <v>1.2982360704490148</v>
      </c>
      <c r="AW195" s="19">
        <f t="shared" si="89"/>
        <v>-4.2799157375533192E-2</v>
      </c>
      <c r="AX195">
        <f t="shared" si="67"/>
        <v>0</v>
      </c>
      <c r="AY195">
        <f>IF(W195,SUMPRODUCT(INDEX(AX:AX,X195):INDEX(AX:AX,X195+Y195)),0)</f>
        <v>5</v>
      </c>
      <c r="AZ195">
        <f>IF(V195,COUNT(INDEX(AX:AX,X195):INDEX(AX:AX,ROW())),0)</f>
        <v>185</v>
      </c>
      <c r="BA195" s="14">
        <f t="shared" si="79"/>
        <v>2.7027027027027029E-2</v>
      </c>
      <c r="BB195" s="6">
        <f t="shared" si="68"/>
        <v>566774.90099999995</v>
      </c>
      <c r="BC195" s="6">
        <f>MEDIAN(INDEX(BB:BB,X195):INDEX(BB:BB,X195+Y195-1))</f>
        <v>254942.25600000002</v>
      </c>
      <c r="BD195" s="25">
        <f t="shared" si="69"/>
        <v>254942.25600000002</v>
      </c>
      <c r="BE195">
        <f t="shared" si="80"/>
        <v>0</v>
      </c>
      <c r="BF195" s="6">
        <f>SUM(INDEX(BE:BE,X195):INDEX(BE:BE,X195+Y195-1))</f>
        <v>3</v>
      </c>
      <c r="BG195" s="25">
        <f t="shared" si="70"/>
        <v>3</v>
      </c>
    </row>
    <row r="196" spans="1:59" x14ac:dyDescent="0.3">
      <c r="A196" s="1">
        <v>45636</v>
      </c>
      <c r="B196">
        <v>39.096400000000003</v>
      </c>
      <c r="C196">
        <v>39.427799999999998</v>
      </c>
      <c r="D196">
        <v>38.784999999999997</v>
      </c>
      <c r="E196">
        <v>39.156100000000002</v>
      </c>
      <c r="F196">
        <v>22485</v>
      </c>
      <c r="G196" s="29">
        <v>0.76351438124867299</v>
      </c>
      <c r="H196" s="29">
        <v>1.94992448494276E-2</v>
      </c>
      <c r="I196" s="29">
        <v>1.6416343813607601E-2</v>
      </c>
      <c r="J196" s="29">
        <v>54.766660045811101</v>
      </c>
      <c r="K196" s="29">
        <v>3.0700345882315801E-2</v>
      </c>
      <c r="L196" s="29">
        <v>0.2</v>
      </c>
      <c r="M196" s="29">
        <v>0.17806775948405601</v>
      </c>
      <c r="N196" s="29">
        <v>1.3190746324906399</v>
      </c>
      <c r="O196" s="29">
        <v>-4.1989317948830797E-2</v>
      </c>
      <c r="P196" s="29">
        <v>8.4604963832024505E-4</v>
      </c>
      <c r="Q196" s="29">
        <v>1.9841269841269799E-2</v>
      </c>
      <c r="R196" s="30">
        <v>243543.63284999999</v>
      </c>
      <c r="S196" s="29">
        <v>3</v>
      </c>
      <c r="T196">
        <v>593.80499999999995</v>
      </c>
      <c r="U196" s="21"/>
      <c r="V196">
        <v>186</v>
      </c>
      <c r="W196" t="b">
        <f>V196&gt;=$C$4</f>
        <v>1</v>
      </c>
      <c r="X196">
        <f>IF(V196&lt;=$C$5,11,ROW()-$C$5+1)</f>
        <v>11</v>
      </c>
      <c r="Y196" s="14">
        <f t="shared" si="63"/>
        <v>186</v>
      </c>
      <c r="Z196" s="10">
        <f t="shared" si="71"/>
        <v>0.64280000000000115</v>
      </c>
      <c r="AA196" s="15">
        <f t="shared" si="72"/>
        <v>1.6416343813607615E-2</v>
      </c>
      <c r="AB196" s="15">
        <f t="shared" si="73"/>
        <v>0.76351438124867255</v>
      </c>
      <c r="AC196" s="10">
        <f t="shared" si="64"/>
        <v>1.949924484942761E-2</v>
      </c>
      <c r="AD196">
        <f t="shared" si="74"/>
        <v>3.310000000000457E-2</v>
      </c>
      <c r="AE196">
        <f t="shared" si="81"/>
        <v>3.310000000000457E-2</v>
      </c>
      <c r="AF196">
        <f t="shared" si="82"/>
        <v>0</v>
      </c>
      <c r="AG196">
        <f t="shared" si="91"/>
        <v>0.22879133951515468</v>
      </c>
      <c r="AH196">
        <f t="shared" si="91"/>
        <v>0.18896515228893906</v>
      </c>
      <c r="AI196">
        <f t="shared" si="75"/>
        <v>1.2107594270361499</v>
      </c>
      <c r="AJ196">
        <f t="shared" si="83"/>
        <v>54.766674846179534</v>
      </c>
      <c r="AK196" s="14">
        <f t="shared" si="65"/>
        <v>54.766674846179534</v>
      </c>
      <c r="AM196" s="14">
        <f t="shared" si="88"/>
        <v>3.0700345882315849E-2</v>
      </c>
      <c r="AN196" s="36">
        <f t="shared" si="76"/>
        <v>8.4604963832024538E-4</v>
      </c>
      <c r="AO196">
        <f t="shared" si="85"/>
        <v>1</v>
      </c>
      <c r="AP196" s="14">
        <f t="shared" si="86"/>
        <v>0.2</v>
      </c>
      <c r="AQ196">
        <f t="shared" si="77"/>
        <v>-3.1091718891914644E-3</v>
      </c>
      <c r="AR196">
        <f t="shared" si="78"/>
        <v>3.9552215275117097E-3</v>
      </c>
      <c r="AS196">
        <f t="shared" si="60"/>
        <v>2.1703251162431027E-3</v>
      </c>
      <c r="AT196">
        <f t="shared" si="61"/>
        <v>1.2188198035015065E-2</v>
      </c>
      <c r="AU196" s="14">
        <f t="shared" si="66"/>
        <v>0.17806775948405568</v>
      </c>
      <c r="AV196" s="19">
        <f t="shared" si="62"/>
        <v>1.3190746324906888</v>
      </c>
      <c r="AW196" s="19">
        <f t="shared" si="89"/>
        <v>-4.1989317948830873E-2</v>
      </c>
      <c r="AX196">
        <f t="shared" si="67"/>
        <v>0</v>
      </c>
      <c r="AY196">
        <f>IF(W196,SUMPRODUCT(INDEX(AX:AX,X196):INDEX(AX:AX,X196+Y196)),0)</f>
        <v>5</v>
      </c>
      <c r="AZ196">
        <f>IF(V196,COUNT(INDEX(AX:AX,X196):INDEX(AX:AX,ROW())),0)</f>
        <v>186</v>
      </c>
      <c r="BA196" s="14">
        <f t="shared" si="79"/>
        <v>2.6881720430107527E-2</v>
      </c>
      <c r="BB196" s="6">
        <f t="shared" si="68"/>
        <v>880424.90850000002</v>
      </c>
      <c r="BC196" s="6">
        <f>MEDIAN(INDEX(BB:BB,X196):INDEX(BB:BB,X196+Y196-1))</f>
        <v>255151.52425000002</v>
      </c>
      <c r="BD196" s="25">
        <f t="shared" si="69"/>
        <v>255151.52425000002</v>
      </c>
      <c r="BE196">
        <f t="shared" si="80"/>
        <v>0</v>
      </c>
      <c r="BF196" s="6">
        <f>SUM(INDEX(BE:BE,X196):INDEX(BE:BE,X196+Y196-1))</f>
        <v>3</v>
      </c>
      <c r="BG196" s="25">
        <f t="shared" si="70"/>
        <v>3</v>
      </c>
    </row>
    <row r="197" spans="1:59" x14ac:dyDescent="0.3">
      <c r="A197" s="1">
        <v>45637</v>
      </c>
      <c r="B197">
        <v>39.606699999999996</v>
      </c>
      <c r="C197">
        <v>40.030799999999999</v>
      </c>
      <c r="D197">
        <v>39.503300000000003</v>
      </c>
      <c r="E197">
        <v>39.759099999999997</v>
      </c>
      <c r="F197">
        <v>6036</v>
      </c>
      <c r="G197" s="29">
        <v>0.77145621115948204</v>
      </c>
      <c r="H197" s="29">
        <v>1.94032614208943E-2</v>
      </c>
      <c r="I197" s="29">
        <v>2.1999994969704902E-2</v>
      </c>
      <c r="J197" s="29">
        <v>59.287118121356897</v>
      </c>
      <c r="K197" s="29">
        <v>1.7812115207880501E-2</v>
      </c>
      <c r="L197" s="29">
        <v>0.4</v>
      </c>
      <c r="M197" s="29">
        <v>0.166118718681319</v>
      </c>
      <c r="N197" s="29">
        <v>1.2908137082520199</v>
      </c>
      <c r="O197" s="29">
        <v>-2.72360498430478E-2</v>
      </c>
      <c r="P197" s="29">
        <v>1.5399899377108501E-2</v>
      </c>
      <c r="Q197" s="29">
        <v>1.9841269841269799E-2</v>
      </c>
      <c r="R197" s="30">
        <v>243543.63284999999</v>
      </c>
      <c r="S197" s="29">
        <v>3</v>
      </c>
      <c r="T197">
        <v>598.39499999999998</v>
      </c>
      <c r="U197" s="21"/>
      <c r="V197">
        <v>187</v>
      </c>
      <c r="W197" t="b">
        <f>V197&gt;=$C$4</f>
        <v>1</v>
      </c>
      <c r="X197">
        <f>IF(V197&lt;=$C$5,11,ROW()-$C$5+1)</f>
        <v>11</v>
      </c>
      <c r="Y197" s="14">
        <f t="shared" si="63"/>
        <v>187</v>
      </c>
      <c r="Z197" s="10">
        <f t="shared" si="71"/>
        <v>0.87469999999999715</v>
      </c>
      <c r="AA197" s="15">
        <f t="shared" si="72"/>
        <v>2.1999994969704978E-2</v>
      </c>
      <c r="AB197" s="15">
        <f t="shared" si="73"/>
        <v>0.77145621115948149</v>
      </c>
      <c r="AC197" s="10">
        <f t="shared" si="64"/>
        <v>1.9403261420894376E-2</v>
      </c>
      <c r="AD197">
        <f t="shared" si="74"/>
        <v>0.60299999999999443</v>
      </c>
      <c r="AE197">
        <f t="shared" si="81"/>
        <v>0.60299999999999443</v>
      </c>
      <c r="AF197">
        <f t="shared" si="82"/>
        <v>0</v>
      </c>
      <c r="AG197">
        <f t="shared" si="91"/>
        <v>0.2555205295497861</v>
      </c>
      <c r="AH197">
        <f t="shared" si="91"/>
        <v>0.17546764141115773</v>
      </c>
      <c r="AI197">
        <f t="shared" si="75"/>
        <v>1.4562259314299868</v>
      </c>
      <c r="AJ197">
        <f t="shared" si="83"/>
        <v>59.287132864939203</v>
      </c>
      <c r="AK197" s="14">
        <f t="shared" si="65"/>
        <v>59.287132864939203</v>
      </c>
      <c r="AM197" s="14">
        <f t="shared" si="88"/>
        <v>1.7812115207880508E-2</v>
      </c>
      <c r="AN197" s="36">
        <f t="shared" si="76"/>
        <v>1.5399899377108506E-2</v>
      </c>
      <c r="AO197">
        <f t="shared" si="85"/>
        <v>1</v>
      </c>
      <c r="AP197" s="14">
        <f t="shared" si="86"/>
        <v>0.4</v>
      </c>
      <c r="AQ197">
        <f t="shared" si="77"/>
        <v>7.7298102912572997E-3</v>
      </c>
      <c r="AR197">
        <f t="shared" si="78"/>
        <v>7.6700890858512009E-3</v>
      </c>
      <c r="AS197">
        <f t="shared" si="60"/>
        <v>1.9982977491781037E-3</v>
      </c>
      <c r="AT197">
        <f t="shared" si="61"/>
        <v>1.2029335194979583E-2</v>
      </c>
      <c r="AU197" s="14">
        <f t="shared" si="66"/>
        <v>0.16611871868131906</v>
      </c>
      <c r="AV197" s="19">
        <f t="shared" si="62"/>
        <v>1.2908137082520734</v>
      </c>
      <c r="AW197" s="19">
        <f t="shared" si="89"/>
        <v>-2.7236049843047838E-2</v>
      </c>
      <c r="AX197">
        <f t="shared" si="67"/>
        <v>0</v>
      </c>
      <c r="AY197">
        <f>IF(W197,SUMPRODUCT(INDEX(AX:AX,X197):INDEX(AX:AX,X197+Y197)),0)</f>
        <v>5</v>
      </c>
      <c r="AZ197">
        <f>IF(V197,COUNT(INDEX(AX:AX,X197):INDEX(AX:AX,ROW())),0)</f>
        <v>187</v>
      </c>
      <c r="BA197" s="14">
        <f t="shared" si="79"/>
        <v>2.6737967914438502E-2</v>
      </c>
      <c r="BB197" s="6">
        <f t="shared" si="68"/>
        <v>239985.92759999997</v>
      </c>
      <c r="BC197" s="6">
        <f>MEDIAN(INDEX(BB:BB,X197):INDEX(BB:BB,X197+Y197-1))</f>
        <v>254942.25600000002</v>
      </c>
      <c r="BD197" s="25">
        <f t="shared" si="69"/>
        <v>254942.25600000002</v>
      </c>
      <c r="BE197">
        <f t="shared" si="80"/>
        <v>0</v>
      </c>
      <c r="BF197" s="6">
        <f>SUM(INDEX(BE:BE,X197):INDEX(BE:BE,X197+Y197-1))</f>
        <v>3</v>
      </c>
      <c r="BG197" s="25">
        <f t="shared" si="70"/>
        <v>3</v>
      </c>
    </row>
    <row r="198" spans="1:59" x14ac:dyDescent="0.3">
      <c r="A198" s="1">
        <v>45638</v>
      </c>
      <c r="B198">
        <v>39.560299999999998</v>
      </c>
      <c r="C198">
        <v>39.845199999999998</v>
      </c>
      <c r="D198">
        <v>39.142800000000001</v>
      </c>
      <c r="E198">
        <v>39.182600000000001</v>
      </c>
      <c r="F198">
        <v>14336</v>
      </c>
      <c r="G198" s="29">
        <v>0.76652362464808999</v>
      </c>
      <c r="H198" s="29">
        <v>1.9562857611493099E-2</v>
      </c>
      <c r="I198" s="29">
        <v>1.7926324439929898E-2</v>
      </c>
      <c r="J198" s="29">
        <v>53.755948218331604</v>
      </c>
      <c r="K198" s="29">
        <v>2.2302349730482798E-2</v>
      </c>
      <c r="L198" s="29">
        <v>0.4</v>
      </c>
      <c r="M198" s="29">
        <v>0.14673087536096899</v>
      </c>
      <c r="N198" s="29">
        <v>1.31049935586997</v>
      </c>
      <c r="O198" s="29">
        <v>-4.13409570785103E-2</v>
      </c>
      <c r="P198" s="29">
        <v>-1.44998251972503E-2</v>
      </c>
      <c r="Q198" s="29">
        <v>1.9841269841269799E-2</v>
      </c>
      <c r="R198" s="30">
        <v>244533.65385</v>
      </c>
      <c r="S198" s="29">
        <v>3</v>
      </c>
      <c r="T198">
        <v>595.31200000000001</v>
      </c>
      <c r="U198" s="21"/>
      <c r="V198">
        <v>188</v>
      </c>
      <c r="W198" t="b">
        <f>V198&gt;=$C$4</f>
        <v>1</v>
      </c>
      <c r="X198">
        <f>IF(V198&lt;=$C$5,11,ROW()-$C$5+1)</f>
        <v>11</v>
      </c>
      <c r="Y198" s="14">
        <f t="shared" si="63"/>
        <v>188</v>
      </c>
      <c r="Z198" s="10">
        <f t="shared" si="71"/>
        <v>0.70239999999999725</v>
      </c>
      <c r="AA198" s="15">
        <f t="shared" si="72"/>
        <v>1.7926324439929898E-2</v>
      </c>
      <c r="AB198" s="15">
        <f t="shared" si="73"/>
        <v>0.76652362464808976</v>
      </c>
      <c r="AC198" s="10">
        <f t="shared" si="64"/>
        <v>1.9562857611493106E-2</v>
      </c>
      <c r="AD198">
        <f t="shared" si="74"/>
        <v>-0.57649999999999579</v>
      </c>
      <c r="AE198">
        <f t="shared" si="81"/>
        <v>0</v>
      </c>
      <c r="AF198">
        <f t="shared" si="82"/>
        <v>0.57649999999999579</v>
      </c>
      <c r="AG198">
        <f t="shared" si="91"/>
        <v>0.23726906315337279</v>
      </c>
      <c r="AH198">
        <f t="shared" si="91"/>
        <v>0.20411280988178901</v>
      </c>
      <c r="AI198">
        <f t="shared" si="75"/>
        <v>1.1624408252024263</v>
      </c>
      <c r="AJ198">
        <f t="shared" si="83"/>
        <v>53.755960008459894</v>
      </c>
      <c r="AK198" s="14">
        <f t="shared" si="65"/>
        <v>53.755960008459894</v>
      </c>
      <c r="AM198" s="14">
        <f t="shared" si="88"/>
        <v>2.230234973048284E-2</v>
      </c>
      <c r="AN198" s="36">
        <f t="shared" si="76"/>
        <v>-1.4499825197250349E-2</v>
      </c>
      <c r="AO198">
        <f t="shared" si="85"/>
        <v>0</v>
      </c>
      <c r="AP198" s="14">
        <f t="shared" si="86"/>
        <v>0.4</v>
      </c>
      <c r="AQ198">
        <f t="shared" si="77"/>
        <v>-5.1521152416045268E-3</v>
      </c>
      <c r="AR198">
        <f t="shared" si="78"/>
        <v>-9.3477099556457735E-3</v>
      </c>
      <c r="AS198">
        <f t="shared" si="60"/>
        <v>1.776723693966969E-3</v>
      </c>
      <c r="AT198">
        <f t="shared" si="61"/>
        <v>1.2108724149543174E-2</v>
      </c>
      <c r="AU198" s="14">
        <f t="shared" si="66"/>
        <v>0.14673087536096852</v>
      </c>
      <c r="AV198" s="19">
        <f t="shared" si="62"/>
        <v>1.3104993558700258</v>
      </c>
      <c r="AW198" s="19">
        <f t="shared" si="89"/>
        <v>-4.1340957078510376E-2</v>
      </c>
      <c r="AX198">
        <f t="shared" si="67"/>
        <v>0</v>
      </c>
      <c r="AY198">
        <f>IF(W198,SUMPRODUCT(INDEX(AX:AX,X198):INDEX(AX:AX,X198+Y198)),0)</f>
        <v>5</v>
      </c>
      <c r="AZ198">
        <f>IF(V198,COUNT(INDEX(AX:AX,X198):INDEX(AX:AX,ROW())),0)</f>
        <v>188</v>
      </c>
      <c r="BA198" s="14">
        <f t="shared" si="79"/>
        <v>2.6595744680851064E-2</v>
      </c>
      <c r="BB198" s="6">
        <f t="shared" si="68"/>
        <v>561721.75360000005</v>
      </c>
      <c r="BC198" s="6">
        <f>MEDIAN(INDEX(BB:BB,X198):INDEX(BB:BB,X198+Y198-1))</f>
        <v>255151.52425000002</v>
      </c>
      <c r="BD198" s="25">
        <f t="shared" si="69"/>
        <v>255151.52425000002</v>
      </c>
      <c r="BE198">
        <f t="shared" si="80"/>
        <v>0</v>
      </c>
      <c r="BF198" s="6">
        <f>SUM(INDEX(BE:BE,X198):INDEX(BE:BE,X198+Y198-1))</f>
        <v>3</v>
      </c>
      <c r="BG198" s="25">
        <f t="shared" si="70"/>
        <v>3</v>
      </c>
    </row>
    <row r="199" spans="1:59" x14ac:dyDescent="0.3">
      <c r="A199" s="1">
        <v>45639</v>
      </c>
      <c r="B199">
        <v>39.394599999999997</v>
      </c>
      <c r="C199">
        <v>39.394599999999997</v>
      </c>
      <c r="D199">
        <v>38.871099999999998</v>
      </c>
      <c r="E199">
        <v>38.910899999999998</v>
      </c>
      <c r="F199">
        <v>8752</v>
      </c>
      <c r="G199" s="29">
        <v>0.74916479431608396</v>
      </c>
      <c r="H199" s="29">
        <v>1.92533401775873E-2</v>
      </c>
      <c r="I199" s="29">
        <v>1.3453813712867E-2</v>
      </c>
      <c r="J199" s="29">
        <v>51.325614957888902</v>
      </c>
      <c r="K199" s="29">
        <v>1.3985959316415501E-2</v>
      </c>
      <c r="L199" s="29">
        <v>0.4</v>
      </c>
      <c r="M199" s="29">
        <v>0.11203234069845</v>
      </c>
      <c r="N199" s="29">
        <v>1.3126171348278499</v>
      </c>
      <c r="O199" s="29">
        <v>-4.7988490982890701E-2</v>
      </c>
      <c r="P199" s="29">
        <v>-6.9342003848648004E-3</v>
      </c>
      <c r="Q199" s="29">
        <v>1.9841269841269799E-2</v>
      </c>
      <c r="R199" s="30">
        <v>244533.65385</v>
      </c>
      <c r="S199" s="29">
        <v>3</v>
      </c>
      <c r="T199">
        <v>595.19399999999996</v>
      </c>
      <c r="U199" s="21"/>
      <c r="V199">
        <v>189</v>
      </c>
      <c r="W199" t="b">
        <f>V199&gt;=$C$4</f>
        <v>1</v>
      </c>
      <c r="X199">
        <f>IF(V199&lt;=$C$5,11,ROW()-$C$5+1)</f>
        <v>11</v>
      </c>
      <c r="Y199" s="14">
        <f t="shared" si="63"/>
        <v>189</v>
      </c>
      <c r="Z199" s="10">
        <f t="shared" si="71"/>
        <v>0.52349999999999852</v>
      </c>
      <c r="AA199" s="15">
        <f t="shared" si="72"/>
        <v>1.3453813712867052E-2</v>
      </c>
      <c r="AB199" s="15">
        <f t="shared" si="73"/>
        <v>0.74916479431608329</v>
      </c>
      <c r="AC199" s="10">
        <f t="shared" si="64"/>
        <v>1.9253340177587341E-2</v>
      </c>
      <c r="AD199">
        <f t="shared" si="74"/>
        <v>-0.27170000000000272</v>
      </c>
      <c r="AE199">
        <f t="shared" si="81"/>
        <v>0</v>
      </c>
      <c r="AF199">
        <f t="shared" si="82"/>
        <v>0.27170000000000272</v>
      </c>
      <c r="AG199">
        <f t="shared" si="91"/>
        <v>0.22032127292813186</v>
      </c>
      <c r="AH199">
        <f t="shared" si="91"/>
        <v>0.20894046631880428</v>
      </c>
      <c r="AI199">
        <f t="shared" si="75"/>
        <v>1.0544691356817524</v>
      </c>
      <c r="AJ199">
        <f t="shared" si="83"/>
        <v>51.325625552989315</v>
      </c>
      <c r="AK199" s="14">
        <f t="shared" si="65"/>
        <v>51.325625552989315</v>
      </c>
      <c r="AM199" s="14">
        <f t="shared" si="88"/>
        <v>1.3985959316415553E-2</v>
      </c>
      <c r="AN199" s="36">
        <f t="shared" si="76"/>
        <v>-6.9342003848648082E-3</v>
      </c>
      <c r="AO199">
        <f t="shared" si="85"/>
        <v>0</v>
      </c>
      <c r="AP199" s="14">
        <f t="shared" si="86"/>
        <v>0.4</v>
      </c>
      <c r="AQ199">
        <f t="shared" si="77"/>
        <v>-1.9821538957731644E-4</v>
      </c>
      <c r="AR199">
        <f t="shared" si="78"/>
        <v>-6.7359849952874839E-3</v>
      </c>
      <c r="AS199">
        <f t="shared" si="60"/>
        <v>1.3325501071674729E-3</v>
      </c>
      <c r="AT199">
        <f t="shared" si="61"/>
        <v>1.189433425080544E-2</v>
      </c>
      <c r="AU199" s="14">
        <f t="shared" si="66"/>
        <v>0.11203234069844956</v>
      </c>
      <c r="AV199" s="19">
        <f t="shared" si="62"/>
        <v>1.3126171348279032</v>
      </c>
      <c r="AW199" s="19">
        <f t="shared" si="89"/>
        <v>-4.7988490982890708E-2</v>
      </c>
      <c r="AX199">
        <f t="shared" si="67"/>
        <v>0</v>
      </c>
      <c r="AY199">
        <f>IF(W199,SUMPRODUCT(INDEX(AX:AX,X199):INDEX(AX:AX,X199+Y199)),0)</f>
        <v>5</v>
      </c>
      <c r="AZ199">
        <f>IF(V199,COUNT(INDEX(AX:AX,X199):INDEX(AX:AX,ROW())),0)</f>
        <v>189</v>
      </c>
      <c r="BA199" s="14">
        <f t="shared" si="79"/>
        <v>2.6455026455026454E-2</v>
      </c>
      <c r="BB199" s="6">
        <f t="shared" si="68"/>
        <v>340548.19679999998</v>
      </c>
      <c r="BC199" s="6">
        <f>MEDIAN(INDEX(BB:BB,X199):INDEX(BB:BB,X199+Y199-1))</f>
        <v>255360.79250000001</v>
      </c>
      <c r="BD199" s="25">
        <f t="shared" si="69"/>
        <v>255360.79250000001</v>
      </c>
      <c r="BE199">
        <f t="shared" si="80"/>
        <v>0</v>
      </c>
      <c r="BF199" s="6">
        <f>SUM(INDEX(BE:BE,X199):INDEX(BE:BE,X199+Y199-1))</f>
        <v>3</v>
      </c>
      <c r="BG199" s="25">
        <f t="shared" si="70"/>
        <v>3</v>
      </c>
    </row>
    <row r="200" spans="1:59" x14ac:dyDescent="0.3">
      <c r="A200" s="1">
        <v>45642</v>
      </c>
      <c r="B200">
        <v>38.884399999999999</v>
      </c>
      <c r="C200">
        <v>39.235999999999997</v>
      </c>
      <c r="D200">
        <v>38.8645</v>
      </c>
      <c r="E200">
        <v>39.235999999999997</v>
      </c>
      <c r="F200">
        <v>11905</v>
      </c>
      <c r="G200" s="29">
        <v>0.72218873757921997</v>
      </c>
      <c r="H200" s="29">
        <v>1.84062783560816E-2</v>
      </c>
      <c r="I200" s="29">
        <v>9.46834539708424E-3</v>
      </c>
      <c r="J200" s="29">
        <v>54.005156319340102</v>
      </c>
      <c r="K200" s="29">
        <v>2.45831004893639E-2</v>
      </c>
      <c r="L200" s="29">
        <v>0.6</v>
      </c>
      <c r="M200" s="29">
        <v>0.12379294019885401</v>
      </c>
      <c r="N200" s="29">
        <v>1.31283013224524</v>
      </c>
      <c r="O200" s="29">
        <v>-4.0034448758694802E-2</v>
      </c>
      <c r="P200" s="29">
        <v>8.3549853639981395E-3</v>
      </c>
      <c r="Q200" s="29">
        <v>1.9841269841269799E-2</v>
      </c>
      <c r="R200" s="30">
        <v>244533.65385</v>
      </c>
      <c r="S200" s="29">
        <v>3</v>
      </c>
      <c r="T200">
        <v>597.73500000000001</v>
      </c>
      <c r="U200" s="21"/>
      <c r="V200">
        <v>190</v>
      </c>
      <c r="W200" t="b">
        <f>V200&gt;=$C$4</f>
        <v>1</v>
      </c>
      <c r="X200">
        <f>IF(V200&lt;=$C$5,11,ROW()-$C$5+1)</f>
        <v>11</v>
      </c>
      <c r="Y200" s="14">
        <f t="shared" si="63"/>
        <v>190</v>
      </c>
      <c r="Z200" s="10">
        <f t="shared" si="71"/>
        <v>0.3714999999999975</v>
      </c>
      <c r="AA200" s="15">
        <f t="shared" si="72"/>
        <v>9.468345397084247E-3</v>
      </c>
      <c r="AB200" s="15">
        <f t="shared" si="73"/>
        <v>0.72218873757921997</v>
      </c>
      <c r="AC200" s="10">
        <f t="shared" si="64"/>
        <v>1.8406278356081659E-2</v>
      </c>
      <c r="AD200">
        <f t="shared" si="74"/>
        <v>0.32509999999999906</v>
      </c>
      <c r="AE200">
        <f t="shared" si="81"/>
        <v>0.32509999999999906</v>
      </c>
      <c r="AF200">
        <f t="shared" si="82"/>
        <v>0</v>
      </c>
      <c r="AG200">
        <f t="shared" si="91"/>
        <v>0.22780546771897953</v>
      </c>
      <c r="AH200">
        <f t="shared" si="91"/>
        <v>0.19401614729603253</v>
      </c>
      <c r="AI200">
        <f t="shared" si="75"/>
        <v>1.1741572590419023</v>
      </c>
      <c r="AJ200">
        <f t="shared" si="83"/>
        <v>54.005167020867873</v>
      </c>
      <c r="AK200" s="14">
        <f t="shared" si="65"/>
        <v>54.005167020867873</v>
      </c>
      <c r="AM200" s="14">
        <f t="shared" si="88"/>
        <v>2.4583100489363963E-2</v>
      </c>
      <c r="AN200" s="36">
        <f t="shared" si="76"/>
        <v>8.3549853639981464E-3</v>
      </c>
      <c r="AO200">
        <f t="shared" si="85"/>
        <v>1</v>
      </c>
      <c r="AP200" s="14">
        <f t="shared" si="86"/>
        <v>0.6</v>
      </c>
      <c r="AQ200">
        <f t="shared" si="77"/>
        <v>4.2691962620591273E-3</v>
      </c>
      <c r="AR200">
        <f t="shared" si="78"/>
        <v>4.0857891019390122E-3</v>
      </c>
      <c r="AS200">
        <f t="shared" si="60"/>
        <v>1.4700387581499852E-3</v>
      </c>
      <c r="AT200">
        <f t="shared" si="61"/>
        <v>1.1874980558573025E-2</v>
      </c>
      <c r="AU200" s="14">
        <f t="shared" si="66"/>
        <v>0.12379294019885408</v>
      </c>
      <c r="AV200" s="19">
        <f t="shared" si="62"/>
        <v>1.3128301322452922</v>
      </c>
      <c r="AW200" s="19">
        <f t="shared" si="89"/>
        <v>-4.0034448758694885E-2</v>
      </c>
      <c r="AX200">
        <f t="shared" si="67"/>
        <v>0</v>
      </c>
      <c r="AY200">
        <f>IF(W200,SUMPRODUCT(INDEX(AX:AX,X200):INDEX(AX:AX,X200+Y200)),0)</f>
        <v>5</v>
      </c>
      <c r="AZ200">
        <f>IF(V200,COUNT(INDEX(AX:AX,X200):INDEX(AX:AX,ROW())),0)</f>
        <v>190</v>
      </c>
      <c r="BA200" s="14">
        <f t="shared" si="79"/>
        <v>2.6315789473684209E-2</v>
      </c>
      <c r="BB200" s="6">
        <f t="shared" si="68"/>
        <v>467104.57999999996</v>
      </c>
      <c r="BC200" s="6">
        <f>MEDIAN(INDEX(BB:BB,X200):INDEX(BB:BB,X200+Y200-1))</f>
        <v>257190.28584999999</v>
      </c>
      <c r="BD200" s="25">
        <f t="shared" si="69"/>
        <v>257190.28584999999</v>
      </c>
      <c r="BE200">
        <f t="shared" si="80"/>
        <v>0</v>
      </c>
      <c r="BF200" s="6">
        <f>SUM(INDEX(BE:BE,X200):INDEX(BE:BE,X200+Y200-1))</f>
        <v>3</v>
      </c>
      <c r="BG200" s="25">
        <f t="shared" si="70"/>
        <v>3</v>
      </c>
    </row>
    <row r="201" spans="1:59" x14ac:dyDescent="0.3">
      <c r="A201" s="1">
        <v>45643</v>
      </c>
      <c r="B201">
        <v>39.096699999999998</v>
      </c>
      <c r="C201">
        <v>39.11</v>
      </c>
      <c r="D201">
        <v>38.731699999999996</v>
      </c>
      <c r="E201">
        <v>39.0702</v>
      </c>
      <c r="F201">
        <v>20194</v>
      </c>
      <c r="G201" s="29">
        <v>0.70662525632356199</v>
      </c>
      <c r="H201" s="29">
        <v>1.80860414413942E-2</v>
      </c>
      <c r="I201" s="29">
        <v>1.29075356665694E-2</v>
      </c>
      <c r="J201" s="29">
        <v>52.420222643432197</v>
      </c>
      <c r="K201" s="29">
        <v>3.67573305028525E-2</v>
      </c>
      <c r="L201" s="29">
        <v>0.4</v>
      </c>
      <c r="M201" s="29">
        <v>0.123675696062634</v>
      </c>
      <c r="N201" s="29">
        <v>1.31237139485274</v>
      </c>
      <c r="O201" s="29">
        <v>-4.4090985826586701E-2</v>
      </c>
      <c r="P201" s="29">
        <v>-4.2257110816595802E-3</v>
      </c>
      <c r="Q201" s="29">
        <v>1.9841269841269799E-2</v>
      </c>
      <c r="R201" s="30">
        <v>245658.364</v>
      </c>
      <c r="S201" s="29">
        <v>3</v>
      </c>
      <c r="T201">
        <v>595.27300000000002</v>
      </c>
      <c r="U201" s="21"/>
      <c r="V201">
        <v>191</v>
      </c>
      <c r="W201" t="b">
        <f>V201&gt;=$C$4</f>
        <v>1</v>
      </c>
      <c r="X201">
        <f>IF(V201&lt;=$C$5,11,ROW()-$C$5+1)</f>
        <v>11</v>
      </c>
      <c r="Y201" s="14">
        <f t="shared" si="63"/>
        <v>191</v>
      </c>
      <c r="Z201" s="10">
        <f t="shared" si="71"/>
        <v>0.50430000000000064</v>
      </c>
      <c r="AA201" s="15">
        <f t="shared" si="72"/>
        <v>1.2907535666569422E-2</v>
      </c>
      <c r="AB201" s="15">
        <f t="shared" si="73"/>
        <v>0.70662525632356143</v>
      </c>
      <c r="AC201" s="10">
        <f t="shared" si="64"/>
        <v>1.8086041441394245E-2</v>
      </c>
      <c r="AD201">
        <f t="shared" si="74"/>
        <v>-0.16579999999999728</v>
      </c>
      <c r="AE201">
        <f t="shared" si="81"/>
        <v>0</v>
      </c>
      <c r="AF201">
        <f t="shared" si="82"/>
        <v>0.16579999999999728</v>
      </c>
      <c r="AG201">
        <f t="shared" si="91"/>
        <v>0.21153364859619525</v>
      </c>
      <c r="AH201">
        <f t="shared" si="91"/>
        <v>0.19200070820345858</v>
      </c>
      <c r="AI201">
        <f t="shared" si="75"/>
        <v>1.1017336892947192</v>
      </c>
      <c r="AJ201">
        <f t="shared" si="83"/>
        <v>52.420232634917184</v>
      </c>
      <c r="AK201" s="14">
        <f t="shared" si="65"/>
        <v>52.420232634917184</v>
      </c>
      <c r="AM201" s="14">
        <f t="shared" si="88"/>
        <v>3.675733050285257E-2</v>
      </c>
      <c r="AN201" s="36">
        <f t="shared" si="76"/>
        <v>-4.2257110816595889E-3</v>
      </c>
      <c r="AO201">
        <f t="shared" si="85"/>
        <v>0</v>
      </c>
      <c r="AP201" s="14">
        <f t="shared" si="86"/>
        <v>0.4</v>
      </c>
      <c r="AQ201">
        <f t="shared" si="77"/>
        <v>-4.1188821133110176E-3</v>
      </c>
      <c r="AR201">
        <f t="shared" si="78"/>
        <v>-1.0682896834856258E-4</v>
      </c>
      <c r="AS201">
        <f t="shared" si="60"/>
        <v>1.4686687133401819E-3</v>
      </c>
      <c r="AT201">
        <f t="shared" si="61"/>
        <v>1.1875160278834377E-2</v>
      </c>
      <c r="AU201" s="14">
        <f t="shared" si="66"/>
        <v>0.12367569606263379</v>
      </c>
      <c r="AV201" s="19">
        <f t="shared" si="62"/>
        <v>1.3123713948527953</v>
      </c>
      <c r="AW201" s="19">
        <f t="shared" si="89"/>
        <v>-4.409098582658677E-2</v>
      </c>
      <c r="AX201">
        <f t="shared" si="67"/>
        <v>0</v>
      </c>
      <c r="AY201">
        <f>IF(W201,SUMPRODUCT(INDEX(AX:AX,X201):INDEX(AX:AX,X201+Y201)),0)</f>
        <v>5</v>
      </c>
      <c r="AZ201">
        <f>IF(V201,COUNT(INDEX(AX:AX,X201):INDEX(AX:AX,ROW())),0)</f>
        <v>191</v>
      </c>
      <c r="BA201" s="14">
        <f t="shared" si="79"/>
        <v>2.6178010471204188E-2</v>
      </c>
      <c r="BB201" s="6">
        <f t="shared" si="68"/>
        <v>788983.61879999994</v>
      </c>
      <c r="BC201" s="6">
        <f>MEDIAN(INDEX(BB:BB,X201):INDEX(BB:BB,X201+Y201-1))</f>
        <v>259019.77919999999</v>
      </c>
      <c r="BD201" s="25">
        <f t="shared" si="69"/>
        <v>259019.77919999999</v>
      </c>
      <c r="BE201">
        <f t="shared" si="80"/>
        <v>0</v>
      </c>
      <c r="BF201" s="6">
        <f>SUM(INDEX(BE:BE,X201):INDEX(BE:BE,X201+Y201-1))</f>
        <v>3</v>
      </c>
      <c r="BG201" s="25">
        <f t="shared" si="70"/>
        <v>3</v>
      </c>
    </row>
    <row r="202" spans="1:59" x14ac:dyDescent="0.3">
      <c r="A202" s="1">
        <v>45644</v>
      </c>
      <c r="B202">
        <v>38.930799999999998</v>
      </c>
      <c r="C202">
        <v>39.5214</v>
      </c>
      <c r="D202">
        <v>36.681399999999996</v>
      </c>
      <c r="E202">
        <v>36.787500000000001</v>
      </c>
      <c r="F202">
        <v>30743</v>
      </c>
      <c r="G202" s="29">
        <v>0.859009166586165</v>
      </c>
      <c r="H202" s="29">
        <v>2.33505719765182E-2</v>
      </c>
      <c r="I202" s="29">
        <v>7.7200135915732299E-2</v>
      </c>
      <c r="J202" s="29">
        <v>36.526314064061197</v>
      </c>
      <c r="K202" s="29">
        <v>-1.09451371973351E-2</v>
      </c>
      <c r="L202" s="29">
        <v>0.2</v>
      </c>
      <c r="M202" s="29">
        <v>5.1007993118626901E-2</v>
      </c>
      <c r="N202" s="29">
        <v>1.40164278635918</v>
      </c>
      <c r="O202" s="29">
        <v>-9.9940546531514005E-2</v>
      </c>
      <c r="P202" s="29">
        <v>-5.8425603145108002E-2</v>
      </c>
      <c r="Q202" s="29">
        <v>1.9841269841269799E-2</v>
      </c>
      <c r="R202" s="30">
        <v>245658.364</v>
      </c>
      <c r="S202" s="29">
        <v>3</v>
      </c>
      <c r="T202">
        <v>577.53099999999995</v>
      </c>
      <c r="U202" s="21"/>
      <c r="V202">
        <v>192</v>
      </c>
      <c r="W202" t="b">
        <f>V202&gt;=$C$4</f>
        <v>1</v>
      </c>
      <c r="X202">
        <f>IF(V202&lt;=$C$5,11,ROW()-$C$5+1)</f>
        <v>11</v>
      </c>
      <c r="Y202" s="14">
        <f t="shared" si="63"/>
        <v>192</v>
      </c>
      <c r="Z202" s="10">
        <f t="shared" si="71"/>
        <v>2.8400000000000034</v>
      </c>
      <c r="AA202" s="15">
        <f t="shared" si="72"/>
        <v>7.720013591573234E-2</v>
      </c>
      <c r="AB202" s="15">
        <f t="shared" si="73"/>
        <v>0.85900916658616444</v>
      </c>
      <c r="AC202" s="10">
        <f t="shared" si="64"/>
        <v>2.3350571976518231E-2</v>
      </c>
      <c r="AD202">
        <f t="shared" si="74"/>
        <v>-2.2826999999999984</v>
      </c>
      <c r="AE202">
        <f t="shared" si="81"/>
        <v>0</v>
      </c>
      <c r="AF202">
        <f t="shared" si="82"/>
        <v>2.2826999999999984</v>
      </c>
      <c r="AG202">
        <f t="shared" si="91"/>
        <v>0.19642410226789558</v>
      </c>
      <c r="AH202">
        <f t="shared" si="91"/>
        <v>0.34133637190321142</v>
      </c>
      <c r="AI202">
        <f t="shared" si="75"/>
        <v>0.5754561143680087</v>
      </c>
      <c r="AJ202">
        <f t="shared" si="83"/>
        <v>36.526318259195172</v>
      </c>
      <c r="AK202" s="14">
        <f t="shared" si="65"/>
        <v>36.526318259195172</v>
      </c>
      <c r="AM202" s="14">
        <f t="shared" si="88"/>
        <v>-1.0945137197335142E-2</v>
      </c>
      <c r="AN202" s="36">
        <f t="shared" si="76"/>
        <v>-5.8425603145108029E-2</v>
      </c>
      <c r="AO202">
        <f t="shared" si="85"/>
        <v>0</v>
      </c>
      <c r="AP202" s="14">
        <f t="shared" si="86"/>
        <v>0.2</v>
      </c>
      <c r="AQ202">
        <f t="shared" si="77"/>
        <v>-2.9804812245809997E-2</v>
      </c>
      <c r="AR202">
        <f t="shared" si="78"/>
        <v>-2.8620790899298004E-2</v>
      </c>
      <c r="AS202">
        <f t="shared" ref="AS202:AS265" si="92">AVERAGE(AR140:AR202)</f>
        <v>6.1608410266629325E-4</v>
      </c>
      <c r="AT202">
        <f t="shared" ref="AT202:AT265" si="93">_xlfn.STDEV.S(AR140:AR202)</f>
        <v>1.207818745649333E-2</v>
      </c>
      <c r="AU202" s="14">
        <f t="shared" si="66"/>
        <v>5.1007993118626548E-2</v>
      </c>
      <c r="AV202" s="19">
        <f t="shared" ref="AV202:AV265" si="94">_xlfn.COVARIANCE.S(P140:P202,AQ140:AQ202)/_xlfn.VAR.S(AQ140:AQ202)</f>
        <v>1.401642786359224</v>
      </c>
      <c r="AW202" s="19">
        <f t="shared" si="89"/>
        <v>-9.9940546531514074E-2</v>
      </c>
      <c r="AX202">
        <f t="shared" si="67"/>
        <v>0</v>
      </c>
      <c r="AY202">
        <f>IF(W202,SUMPRODUCT(INDEX(AX:AX,X202):INDEX(AX:AX,X202+Y202)),0)</f>
        <v>5</v>
      </c>
      <c r="AZ202">
        <f>IF(V202,COUNT(INDEX(AX:AX,X202):INDEX(AX:AX,ROW())),0)</f>
        <v>192</v>
      </c>
      <c r="BA202" s="14">
        <f t="shared" si="79"/>
        <v>2.6041666666666668E-2</v>
      </c>
      <c r="BB202" s="6">
        <f t="shared" si="68"/>
        <v>1130958.1125</v>
      </c>
      <c r="BC202" s="6">
        <f>MEDIAN(INDEX(BB:BB,X202):INDEX(BB:BB,X202+Y202-1))</f>
        <v>259065.24280000001</v>
      </c>
      <c r="BD202" s="25">
        <f t="shared" si="69"/>
        <v>259065.24280000001</v>
      </c>
      <c r="BE202">
        <f t="shared" si="80"/>
        <v>0</v>
      </c>
      <c r="BF202" s="6">
        <f>SUM(INDEX(BE:BE,X202):INDEX(BE:BE,X202+Y202-1))</f>
        <v>3</v>
      </c>
      <c r="BG202" s="25">
        <f t="shared" si="70"/>
        <v>3</v>
      </c>
    </row>
    <row r="203" spans="1:59" x14ac:dyDescent="0.3">
      <c r="A203" s="1">
        <v>45645</v>
      </c>
      <c r="B203">
        <v>37.066200000000002</v>
      </c>
      <c r="C203">
        <v>37.398000000000003</v>
      </c>
      <c r="D203">
        <v>36.787500000000001</v>
      </c>
      <c r="E203">
        <v>36.847200000000001</v>
      </c>
      <c r="F203">
        <v>24413</v>
      </c>
      <c r="G203" s="29">
        <v>0.84125851183000999</v>
      </c>
      <c r="H203" s="29">
        <v>2.2831002405339001E-2</v>
      </c>
      <c r="I203" s="29">
        <v>1.6568423109489999E-2</v>
      </c>
      <c r="J203" s="29">
        <v>37.063769859653</v>
      </c>
      <c r="K203" s="29">
        <v>-2.1372095432102899E-2</v>
      </c>
      <c r="L203" s="29">
        <v>0.4</v>
      </c>
      <c r="M203" s="29">
        <v>4.7030709142419101E-2</v>
      </c>
      <c r="N203" s="29">
        <v>1.4046852049196199</v>
      </c>
      <c r="O203" s="29">
        <v>-9.8479899589697703E-2</v>
      </c>
      <c r="P203" s="29">
        <v>1.62283384301731E-3</v>
      </c>
      <c r="Q203" s="29">
        <v>1.9841269841269799E-2</v>
      </c>
      <c r="R203" s="30">
        <v>247815.61739999999</v>
      </c>
      <c r="S203" s="29">
        <v>3</v>
      </c>
      <c r="T203">
        <v>577.35400000000004</v>
      </c>
      <c r="U203" s="21"/>
      <c r="V203">
        <v>193</v>
      </c>
      <c r="W203" t="b">
        <f>V203&gt;=$C$4</f>
        <v>1</v>
      </c>
      <c r="X203">
        <f>IF(V203&lt;=$C$5,11,ROW()-$C$5+1)</f>
        <v>11</v>
      </c>
      <c r="Y203" s="14">
        <f t="shared" ref="Y203:Y266" si="95">ROW()-X203+1</f>
        <v>193</v>
      </c>
      <c r="Z203" s="10">
        <f t="shared" si="71"/>
        <v>0.61050000000000182</v>
      </c>
      <c r="AA203" s="15">
        <f t="shared" si="72"/>
        <v>1.6568423109490051E-2</v>
      </c>
      <c r="AB203" s="15">
        <f t="shared" si="73"/>
        <v>0.84125851183000999</v>
      </c>
      <c r="AC203" s="10">
        <f t="shared" ref="AC203:AC266" si="96">AB203/E203</f>
        <v>2.2831002405339074E-2</v>
      </c>
      <c r="AD203">
        <f t="shared" si="74"/>
        <v>5.969999999999942E-2</v>
      </c>
      <c r="AE203">
        <f t="shared" si="81"/>
        <v>5.969999999999942E-2</v>
      </c>
      <c r="AF203">
        <f t="shared" si="82"/>
        <v>0</v>
      </c>
      <c r="AG203">
        <f t="shared" si="91"/>
        <v>0.18665809496304586</v>
      </c>
      <c r="AH203">
        <f t="shared" si="91"/>
        <v>0.31695520248155346</v>
      </c>
      <c r="AI203">
        <f t="shared" si="75"/>
        <v>0.5889100210428293</v>
      </c>
      <c r="AJ203">
        <f t="shared" si="83"/>
        <v>37.063774112036718</v>
      </c>
      <c r="AK203" s="14">
        <f t="shared" ref="AK203:AK266" si="97">IF(AH203=0,
    IF(AG203=0, 50, 100),
    IF(AG203=0, 0, 100-(100/(1+AG203/AH203)))
)</f>
        <v>37.063774112036718</v>
      </c>
      <c r="AM203" s="14">
        <f t="shared" si="88"/>
        <v>-2.1372095432102944E-2</v>
      </c>
      <c r="AN203" s="36">
        <f t="shared" si="76"/>
        <v>1.6228338430173128E-3</v>
      </c>
      <c r="AO203">
        <f t="shared" si="85"/>
        <v>1</v>
      </c>
      <c r="AP203" s="14">
        <f t="shared" si="86"/>
        <v>0.4</v>
      </c>
      <c r="AQ203">
        <f t="shared" si="77"/>
        <v>-3.064770549111584E-4</v>
      </c>
      <c r="AR203">
        <f t="shared" si="78"/>
        <v>1.9293108979284684E-3</v>
      </c>
      <c r="AS203">
        <f t="shared" si="92"/>
        <v>5.674940471995111E-4</v>
      </c>
      <c r="AT203">
        <f t="shared" si="93"/>
        <v>1.2066457375350682E-2</v>
      </c>
      <c r="AU203" s="14">
        <f t="shared" ref="AU203:AU266" si="98">AS203/AT203</f>
        <v>4.703070914241872E-2</v>
      </c>
      <c r="AV203" s="19">
        <f t="shared" si="94"/>
        <v>1.4046852049196648</v>
      </c>
      <c r="AW203" s="19">
        <f t="shared" si="89"/>
        <v>-9.8479899589697717E-2</v>
      </c>
      <c r="AX203">
        <f t="shared" ref="AX203:AX266" si="99">IF(OR(F203=0,C203=D203),1,0)</f>
        <v>0</v>
      </c>
      <c r="AY203">
        <f>IF(W203,SUMPRODUCT(INDEX(AX:AX,X203):INDEX(AX:AX,X203+Y203)),0)</f>
        <v>5</v>
      </c>
      <c r="AZ203">
        <f>IF(V203,COUNT(INDEX(AX:AX,X203):INDEX(AX:AX,ROW())),0)</f>
        <v>193</v>
      </c>
      <c r="BA203" s="14">
        <f t="shared" si="79"/>
        <v>2.5906735751295335E-2</v>
      </c>
      <c r="BB203" s="6">
        <f t="shared" ref="BB203:BB266" si="100">E203*F203</f>
        <v>899550.6936</v>
      </c>
      <c r="BC203" s="6">
        <f>MEDIAN(INDEX(BB:BB,X203):INDEX(BB:BB,X203+Y203-1))</f>
        <v>259110.7064</v>
      </c>
      <c r="BD203" s="25">
        <f t="shared" ref="BD203:BD266" si="101">IF(W203,BC203,"")</f>
        <v>259110.7064</v>
      </c>
      <c r="BE203">
        <f t="shared" si="80"/>
        <v>0</v>
      </c>
      <c r="BF203" s="6">
        <f>SUM(INDEX(BE:BE,X203):INDEX(BE:BE,X203+Y203-1))</f>
        <v>3</v>
      </c>
      <c r="BG203" s="25">
        <f t="shared" ref="BG203:BG266" si="102">IF(W203,BF203,"")</f>
        <v>3</v>
      </c>
    </row>
    <row r="204" spans="1:59" x14ac:dyDescent="0.3">
      <c r="A204" s="1">
        <v>45646</v>
      </c>
      <c r="B204">
        <v>36.873800000000003</v>
      </c>
      <c r="C204">
        <v>37.713200000000001</v>
      </c>
      <c r="D204">
        <v>36.873800000000003</v>
      </c>
      <c r="E204">
        <v>37.172400000000003</v>
      </c>
      <c r="F204">
        <v>7535</v>
      </c>
      <c r="G204" s="29">
        <v>0.84302576098500903</v>
      </c>
      <c r="H204" s="29">
        <v>2.2678809035332901E-2</v>
      </c>
      <c r="I204" s="29">
        <v>2.3296854655604601E-2</v>
      </c>
      <c r="J204" s="29">
        <v>40.041992187982899</v>
      </c>
      <c r="K204" s="29">
        <v>-6.08821901545719E-3</v>
      </c>
      <c r="L204" s="29">
        <v>0.6</v>
      </c>
      <c r="M204" s="29">
        <v>3.8324208054468997E-2</v>
      </c>
      <c r="N204" s="29">
        <v>1.37698154799038</v>
      </c>
      <c r="O204" s="29">
        <v>-9.0523410720708103E-2</v>
      </c>
      <c r="P204" s="29">
        <v>8.8256366833843192E-3</v>
      </c>
      <c r="Q204" s="29">
        <v>1.9841269841269799E-2</v>
      </c>
      <c r="R204" s="30">
        <v>247815.61739999999</v>
      </c>
      <c r="S204" s="29">
        <v>3</v>
      </c>
      <c r="T204">
        <v>584.28899999999999</v>
      </c>
      <c r="U204" s="21"/>
      <c r="V204">
        <v>194</v>
      </c>
      <c r="W204" t="b">
        <f>V204&gt;=$C$4</f>
        <v>1</v>
      </c>
      <c r="X204">
        <f>IF(V204&lt;=$C$5,11,ROW()-$C$5+1)</f>
        <v>11</v>
      </c>
      <c r="Y204" s="14">
        <f t="shared" si="95"/>
        <v>194</v>
      </c>
      <c r="Z204" s="10">
        <f t="shared" ref="Z204:Z267" si="103">MAX(C204-D204,ABS(C204-E203),ABS(D204-E203))</f>
        <v>0.86599999999999966</v>
      </c>
      <c r="AA204" s="15">
        <f t="shared" ref="AA204:AA267" si="104">Z204/E204</f>
        <v>2.3296854655604684E-2</v>
      </c>
      <c r="AB204" s="15">
        <f t="shared" ref="AB204:AB267" si="105">(Z204+13*AB203)/14</f>
        <v>0.84302576098500925</v>
      </c>
      <c r="AC204" s="10">
        <f t="shared" si="96"/>
        <v>2.2678809035332915E-2</v>
      </c>
      <c r="AD204">
        <f t="shared" ref="AD204:AD267" si="106">E204-E203</f>
        <v>0.32520000000000238</v>
      </c>
      <c r="AE204">
        <f t="shared" si="81"/>
        <v>0.32520000000000238</v>
      </c>
      <c r="AF204">
        <f t="shared" si="82"/>
        <v>0</v>
      </c>
      <c r="AG204">
        <f t="shared" si="91"/>
        <v>0.19655394532282847</v>
      </c>
      <c r="AH204">
        <f t="shared" si="91"/>
        <v>0.29431554516144248</v>
      </c>
      <c r="AI204">
        <f t="shared" ref="AI204:AI267" si="107">AG204/AH204</f>
        <v>0.66783405958054876</v>
      </c>
      <c r="AJ204">
        <f t="shared" si="83"/>
        <v>40.041996728889529</v>
      </c>
      <c r="AK204" s="14">
        <f t="shared" si="97"/>
        <v>40.041996728889529</v>
      </c>
      <c r="AM204" s="14">
        <f t="shared" si="88"/>
        <v>-6.0882190154571969E-3</v>
      </c>
      <c r="AN204" s="36">
        <f t="shared" ref="AN204:AN267" si="108">E204/E203-1</f>
        <v>8.8256366833843192E-3</v>
      </c>
      <c r="AO204">
        <f t="shared" si="85"/>
        <v>1</v>
      </c>
      <c r="AP204" s="14">
        <f t="shared" si="86"/>
        <v>0.6</v>
      </c>
      <c r="AQ204">
        <f t="shared" ref="AQ204:AQ267" si="109">T204/T203-1</f>
        <v>1.2011694731481892E-2</v>
      </c>
      <c r="AR204">
        <f t="shared" ref="AR204:AR267" si="110">P204-AQ204</f>
        <v>-3.1860580480975731E-3</v>
      </c>
      <c r="AS204">
        <f t="shared" si="92"/>
        <v>4.6257150697024557E-4</v>
      </c>
      <c r="AT204">
        <f t="shared" si="93"/>
        <v>1.2069956052655057E-2</v>
      </c>
      <c r="AU204" s="14">
        <f t="shared" si="98"/>
        <v>3.832420805446865E-2</v>
      </c>
      <c r="AV204" s="19">
        <f t="shared" si="94"/>
        <v>1.3769815479904255</v>
      </c>
      <c r="AW204" s="19">
        <f t="shared" si="89"/>
        <v>-9.0523410720708131E-2</v>
      </c>
      <c r="AX204">
        <f t="shared" si="99"/>
        <v>0</v>
      </c>
      <c r="AY204">
        <f>IF(W204,SUMPRODUCT(INDEX(AX:AX,X204):INDEX(AX:AX,X204+Y204)),0)</f>
        <v>5</v>
      </c>
      <c r="AZ204">
        <f>IF(V204,COUNT(INDEX(AX:AX,X204):INDEX(AX:AX,ROW())),0)</f>
        <v>194</v>
      </c>
      <c r="BA204" s="14">
        <f t="shared" ref="BA204:BA267" si="111">IF(W204,AY204/AZ204,"")</f>
        <v>2.5773195876288658E-2</v>
      </c>
      <c r="BB204" s="6">
        <f t="shared" si="100"/>
        <v>280094.03400000004</v>
      </c>
      <c r="BC204" s="6">
        <f>MEDIAN(INDEX(BB:BB,X204):INDEX(BB:BB,X204+Y204-1))</f>
        <v>259227.2212</v>
      </c>
      <c r="BD204" s="25">
        <f t="shared" si="101"/>
        <v>259227.2212</v>
      </c>
      <c r="BE204">
        <f t="shared" ref="BE204:BE267" si="112">IF(F203=F204,1,0)</f>
        <v>0</v>
      </c>
      <c r="BF204" s="6">
        <f>SUM(INDEX(BE:BE,X204):INDEX(BE:BE,X204+Y204-1))</f>
        <v>3</v>
      </c>
      <c r="BG204" s="25">
        <f t="shared" si="102"/>
        <v>3</v>
      </c>
    </row>
    <row r="205" spans="1:59" x14ac:dyDescent="0.3">
      <c r="A205" s="1">
        <v>45649</v>
      </c>
      <c r="B205">
        <v>37.325000000000003</v>
      </c>
      <c r="C205">
        <v>37.816000000000003</v>
      </c>
      <c r="D205">
        <v>37.092799999999997</v>
      </c>
      <c r="E205">
        <v>37.816000000000003</v>
      </c>
      <c r="F205">
        <v>9494</v>
      </c>
      <c r="G205" s="29">
        <v>0.83446677805750902</v>
      </c>
      <c r="H205" s="29">
        <v>2.20665003717344E-2</v>
      </c>
      <c r="I205" s="29">
        <v>1.9124180241167899E-2</v>
      </c>
      <c r="J205" s="29">
        <v>45.535159281735901</v>
      </c>
      <c r="K205" s="29">
        <v>-8.2089747960868396E-3</v>
      </c>
      <c r="L205" s="29">
        <v>0.6</v>
      </c>
      <c r="M205" s="29">
        <v>4.9679034879126602E-2</v>
      </c>
      <c r="N205" s="29">
        <v>1.38925196552135</v>
      </c>
      <c r="O205" s="29">
        <v>-7.4776804828698196E-2</v>
      </c>
      <c r="P205" s="29">
        <v>1.7313921081232302E-2</v>
      </c>
      <c r="Q205" s="29">
        <v>1.9841269841269799E-2</v>
      </c>
      <c r="R205" s="30">
        <v>250382.09224999999</v>
      </c>
      <c r="S205" s="29">
        <v>3</v>
      </c>
      <c r="T205">
        <v>587.78800000000001</v>
      </c>
      <c r="U205" s="21"/>
      <c r="V205">
        <v>195</v>
      </c>
      <c r="W205" t="b">
        <f>V205&gt;=$C$4</f>
        <v>1</v>
      </c>
      <c r="X205">
        <f>IF(V205&lt;=$C$5,11,ROW()-$C$5+1)</f>
        <v>11</v>
      </c>
      <c r="Y205" s="14">
        <f t="shared" si="95"/>
        <v>195</v>
      </c>
      <c r="Z205" s="10">
        <f t="shared" si="103"/>
        <v>0.72320000000000562</v>
      </c>
      <c r="AA205" s="15">
        <f t="shared" si="104"/>
        <v>1.9124180241167906E-2</v>
      </c>
      <c r="AB205" s="15">
        <f t="shared" si="105"/>
        <v>0.83446677805750902</v>
      </c>
      <c r="AC205" s="10">
        <f t="shared" si="96"/>
        <v>2.2066500371734424E-2</v>
      </c>
      <c r="AD205">
        <f t="shared" si="106"/>
        <v>0.64359999999999928</v>
      </c>
      <c r="AE205">
        <f t="shared" ref="AE205:AE268" si="113">MAX($AD205,0)</f>
        <v>0.64359999999999928</v>
      </c>
      <c r="AF205">
        <f t="shared" ref="AF205:AF268" si="114">MAX(-$AD205,0)</f>
        <v>0</v>
      </c>
      <c r="AG205">
        <f t="shared" si="91"/>
        <v>0.22848580637119781</v>
      </c>
      <c r="AH205">
        <f t="shared" si="91"/>
        <v>0.27329300622133945</v>
      </c>
      <c r="AI205">
        <f t="shared" si="107"/>
        <v>0.8360470307320913</v>
      </c>
      <c r="AJ205">
        <f t="shared" ref="AJ205:AJ268" si="115">(100-(100/(1+AI205)))</f>
        <v>45.535164227178448</v>
      </c>
      <c r="AK205" s="14">
        <f t="shared" si="97"/>
        <v>45.535164227178448</v>
      </c>
      <c r="AM205" s="14">
        <f t="shared" si="88"/>
        <v>-8.2089747960868431E-3</v>
      </c>
      <c r="AN205" s="36">
        <f t="shared" si="108"/>
        <v>1.7313921081232309E-2</v>
      </c>
      <c r="AO205">
        <f t="shared" si="85"/>
        <v>1</v>
      </c>
      <c r="AP205" s="14">
        <f t="shared" si="86"/>
        <v>0.6</v>
      </c>
      <c r="AQ205">
        <f t="shared" si="109"/>
        <v>5.9884748814371669E-3</v>
      </c>
      <c r="AR205">
        <f t="shared" si="110"/>
        <v>1.1325446199795135E-2</v>
      </c>
      <c r="AS205">
        <f t="shared" si="92"/>
        <v>6.0335563624226045E-4</v>
      </c>
      <c r="AT205">
        <f t="shared" si="93"/>
        <v>1.2145075638250239E-2</v>
      </c>
      <c r="AU205" s="14">
        <f t="shared" si="98"/>
        <v>4.9679034879126276E-2</v>
      </c>
      <c r="AV205" s="19">
        <f t="shared" si="94"/>
        <v>1.3892519655213973</v>
      </c>
      <c r="AW205" s="19">
        <f t="shared" si="89"/>
        <v>-7.4776804828698196E-2</v>
      </c>
      <c r="AX205">
        <f t="shared" si="99"/>
        <v>0</v>
      </c>
      <c r="AY205">
        <f>IF(W205,SUMPRODUCT(INDEX(AX:AX,X205):INDEX(AX:AX,X205+Y205)),0)</f>
        <v>5</v>
      </c>
      <c r="AZ205">
        <f>IF(V205,COUNT(INDEX(AX:AX,X205):INDEX(AX:AX,ROW())),0)</f>
        <v>195</v>
      </c>
      <c r="BA205" s="14">
        <f t="shared" si="111"/>
        <v>2.564102564102564E-2</v>
      </c>
      <c r="BB205" s="6">
        <f t="shared" si="100"/>
        <v>359025.10400000005</v>
      </c>
      <c r="BC205" s="6">
        <f>MEDIAN(INDEX(BB:BB,X205):INDEX(BB:BB,X205+Y205-1))</f>
        <v>259343.736</v>
      </c>
      <c r="BD205" s="25">
        <f t="shared" si="101"/>
        <v>259343.736</v>
      </c>
      <c r="BE205">
        <f t="shared" si="112"/>
        <v>0</v>
      </c>
      <c r="BF205" s="6">
        <f>SUM(INDEX(BE:BE,X205):INDEX(BE:BE,X205+Y205-1))</f>
        <v>3</v>
      </c>
      <c r="BG205" s="25">
        <f t="shared" si="102"/>
        <v>3</v>
      </c>
    </row>
    <row r="206" spans="1:59" x14ac:dyDescent="0.3">
      <c r="A206" s="1">
        <v>45650</v>
      </c>
      <c r="B206">
        <v>37.822699999999998</v>
      </c>
      <c r="C206">
        <v>38.074800000000003</v>
      </c>
      <c r="D206">
        <v>37.769599999999997</v>
      </c>
      <c r="E206">
        <v>38.074800000000003</v>
      </c>
      <c r="F206">
        <v>4671</v>
      </c>
      <c r="G206" s="29">
        <v>0.79666200819625899</v>
      </c>
      <c r="H206" s="29">
        <v>2.09236032282837E-2</v>
      </c>
      <c r="I206" s="29">
        <v>8.0158004769560493E-3</v>
      </c>
      <c r="J206" s="29">
        <v>47.613551428430299</v>
      </c>
      <c r="K206" s="29">
        <v>-1.4775214900454799E-2</v>
      </c>
      <c r="L206" s="29">
        <v>0.8</v>
      </c>
      <c r="M206" s="29">
        <v>6.01847227194151E-2</v>
      </c>
      <c r="N206" s="29">
        <v>1.3549788619296399</v>
      </c>
      <c r="O206" s="29">
        <v>-6.8444888102700302E-2</v>
      </c>
      <c r="P206" s="29">
        <v>6.8436640575417701E-3</v>
      </c>
      <c r="Q206" s="29">
        <v>1.9841269841269799E-2</v>
      </c>
      <c r="R206" s="30">
        <v>247815.61739999999</v>
      </c>
      <c r="S206" s="29">
        <v>3</v>
      </c>
      <c r="T206">
        <v>594.32100000000003</v>
      </c>
      <c r="U206" s="21"/>
      <c r="V206">
        <v>196</v>
      </c>
      <c r="W206" t="b">
        <f>V206&gt;=$C$4</f>
        <v>1</v>
      </c>
      <c r="X206">
        <f>IF(V206&lt;=$C$5,11,ROW()-$C$5+1)</f>
        <v>11</v>
      </c>
      <c r="Y206" s="14">
        <f t="shared" si="95"/>
        <v>196</v>
      </c>
      <c r="Z206" s="10">
        <f t="shared" si="103"/>
        <v>0.30520000000000636</v>
      </c>
      <c r="AA206" s="15">
        <f t="shared" si="104"/>
        <v>8.0158004769560528E-3</v>
      </c>
      <c r="AB206" s="15">
        <f t="shared" si="105"/>
        <v>0.79666200819625888</v>
      </c>
      <c r="AC206" s="10">
        <f t="shared" si="96"/>
        <v>2.0923603228283769E-2</v>
      </c>
      <c r="AD206">
        <f t="shared" si="106"/>
        <v>0.25880000000000081</v>
      </c>
      <c r="AE206">
        <f t="shared" si="113"/>
        <v>0.25880000000000081</v>
      </c>
      <c r="AF206">
        <f t="shared" si="114"/>
        <v>0</v>
      </c>
      <c r="AG206">
        <f t="shared" ref="AG206:AH221" si="116">(AE206+13*AG205)/14</f>
        <v>0.23065110591611229</v>
      </c>
      <c r="AH206">
        <f t="shared" si="116"/>
        <v>0.25377207720552952</v>
      </c>
      <c r="AI206">
        <f t="shared" si="107"/>
        <v>0.90889079860944832</v>
      </c>
      <c r="AJ206">
        <f t="shared" si="115"/>
        <v>47.613556483772641</v>
      </c>
      <c r="AK206" s="14">
        <f t="shared" si="97"/>
        <v>47.613556483772641</v>
      </c>
      <c r="AM206" s="14">
        <f t="shared" si="88"/>
        <v>-1.4775214900454858E-2</v>
      </c>
      <c r="AN206" s="36">
        <f t="shared" si="108"/>
        <v>6.8436640575417762E-3</v>
      </c>
      <c r="AO206">
        <f t="shared" ref="AO206:AO269" si="117">IF(AN206&gt;0,1,0)</f>
        <v>1</v>
      </c>
      <c r="AP206" s="14">
        <f t="shared" si="86"/>
        <v>0.8</v>
      </c>
      <c r="AQ206">
        <f t="shared" si="109"/>
        <v>1.1114551504964432E-2</v>
      </c>
      <c r="AR206">
        <f t="shared" si="110"/>
        <v>-4.2708874474226615E-3</v>
      </c>
      <c r="AS206">
        <f t="shared" si="92"/>
        <v>7.2552445211825545E-4</v>
      </c>
      <c r="AT206">
        <f t="shared" si="93"/>
        <v>1.2054960450689467E-2</v>
      </c>
      <c r="AU206" s="14">
        <f t="shared" si="98"/>
        <v>6.0184722719414656E-2</v>
      </c>
      <c r="AV206" s="19">
        <f t="shared" si="94"/>
        <v>1.3549788619296801</v>
      </c>
      <c r="AW206" s="19">
        <f t="shared" si="89"/>
        <v>-6.844488810270033E-2</v>
      </c>
      <c r="AX206">
        <f t="shared" si="99"/>
        <v>0</v>
      </c>
      <c r="AY206">
        <f>IF(W206,SUMPRODUCT(INDEX(AX:AX,X206):INDEX(AX:AX,X206+Y206)),0)</f>
        <v>5</v>
      </c>
      <c r="AZ206">
        <f>IF(V206,COUNT(INDEX(AX:AX,X206):INDEX(AX:AX,ROW())),0)</f>
        <v>196</v>
      </c>
      <c r="BA206" s="14">
        <f t="shared" si="111"/>
        <v>2.5510204081632654E-2</v>
      </c>
      <c r="BB206" s="6">
        <f t="shared" si="100"/>
        <v>177847.39080000002</v>
      </c>
      <c r="BC206" s="6">
        <f>MEDIAN(INDEX(BB:BB,X206):INDEX(BB:BB,X206+Y206-1))</f>
        <v>259227.2212</v>
      </c>
      <c r="BD206" s="25">
        <f t="shared" si="101"/>
        <v>259227.2212</v>
      </c>
      <c r="BE206">
        <f t="shared" si="112"/>
        <v>0</v>
      </c>
      <c r="BF206" s="6">
        <f>SUM(INDEX(BE:BE,X206):INDEX(BE:BE,X206+Y206-1))</f>
        <v>3</v>
      </c>
      <c r="BG206" s="25">
        <f t="shared" si="102"/>
        <v>3</v>
      </c>
    </row>
    <row r="207" spans="1:59" x14ac:dyDescent="0.3">
      <c r="A207" s="1">
        <v>45652</v>
      </c>
      <c r="B207">
        <v>37.630200000000002</v>
      </c>
      <c r="C207">
        <v>38.3767</v>
      </c>
      <c r="D207">
        <v>37.630200000000002</v>
      </c>
      <c r="E207">
        <v>38.340200000000003</v>
      </c>
      <c r="F207">
        <v>6480</v>
      </c>
      <c r="G207" s="29">
        <v>0.79307900761081196</v>
      </c>
      <c r="H207" s="29">
        <v>2.0685312220875499E-2</v>
      </c>
      <c r="I207" s="29">
        <v>1.9470425297729198E-2</v>
      </c>
      <c r="J207" s="29">
        <v>49.732029328343302</v>
      </c>
      <c r="K207" s="29">
        <v>-3.1651739936454003E-2</v>
      </c>
      <c r="L207" s="29">
        <v>1</v>
      </c>
      <c r="M207" s="29">
        <v>4.2339415041193401E-2</v>
      </c>
      <c r="N207" s="29">
        <v>1.33733011912915</v>
      </c>
      <c r="O207" s="29">
        <v>-6.1951492820320801E-2</v>
      </c>
      <c r="P207" s="29">
        <v>6.9704896677067396E-3</v>
      </c>
      <c r="Q207" s="29">
        <v>1.9841269841269799E-2</v>
      </c>
      <c r="R207" s="30">
        <v>247347.87400000001</v>
      </c>
      <c r="S207" s="29">
        <v>3</v>
      </c>
      <c r="T207">
        <v>594.36</v>
      </c>
      <c r="U207" s="21"/>
      <c r="V207">
        <v>197</v>
      </c>
      <c r="W207" t="b">
        <f>V207&gt;=$C$4</f>
        <v>1</v>
      </c>
      <c r="X207">
        <f>IF(V207&lt;=$C$5,11,ROW()-$C$5+1)</f>
        <v>11</v>
      </c>
      <c r="Y207" s="14">
        <f t="shared" si="95"/>
        <v>197</v>
      </c>
      <c r="Z207" s="10">
        <f t="shared" si="103"/>
        <v>0.7464999999999975</v>
      </c>
      <c r="AA207" s="15">
        <f t="shared" si="104"/>
        <v>1.9470425297729209E-2</v>
      </c>
      <c r="AB207" s="15">
        <f t="shared" si="105"/>
        <v>0.79307900761081174</v>
      </c>
      <c r="AC207" s="10">
        <f t="shared" si="96"/>
        <v>2.068531222087552E-2</v>
      </c>
      <c r="AD207">
        <f t="shared" si="106"/>
        <v>0.26539999999999964</v>
      </c>
      <c r="AE207">
        <f t="shared" si="113"/>
        <v>0.26539999999999964</v>
      </c>
      <c r="AF207">
        <f t="shared" si="114"/>
        <v>0</v>
      </c>
      <c r="AG207">
        <f t="shared" si="116"/>
        <v>0.23313316977924711</v>
      </c>
      <c r="AH207">
        <f t="shared" si="116"/>
        <v>0.23564550026227743</v>
      </c>
      <c r="AI207">
        <f t="shared" si="107"/>
        <v>0.98933851705110409</v>
      </c>
      <c r="AJ207">
        <f t="shared" si="115"/>
        <v>49.732034471320148</v>
      </c>
      <c r="AK207" s="14">
        <f t="shared" si="97"/>
        <v>49.732034471320148</v>
      </c>
      <c r="AM207" s="14">
        <f t="shared" si="88"/>
        <v>-3.1651739936454093E-2</v>
      </c>
      <c r="AN207" s="36">
        <f t="shared" si="108"/>
        <v>6.9704896677067474E-3</v>
      </c>
      <c r="AO207">
        <f t="shared" si="117"/>
        <v>1</v>
      </c>
      <c r="AP207" s="14">
        <f t="shared" ref="AP207:AP270" si="118">SUM(AO203:AO207) / 5</f>
        <v>1</v>
      </c>
      <c r="AQ207">
        <f t="shared" si="109"/>
        <v>6.5621103746860143E-5</v>
      </c>
      <c r="AR207">
        <f t="shared" si="110"/>
        <v>6.9048685639598794E-3</v>
      </c>
      <c r="AS207">
        <f t="shared" si="92"/>
        <v>4.9946103309063948E-4</v>
      </c>
      <c r="AT207">
        <f t="shared" si="93"/>
        <v>1.1796597392871462E-2</v>
      </c>
      <c r="AU207" s="14">
        <f t="shared" si="98"/>
        <v>4.233941504119295E-2</v>
      </c>
      <c r="AV207" s="19">
        <f t="shared" si="94"/>
        <v>1.3373301191291942</v>
      </c>
      <c r="AW207" s="19">
        <f t="shared" si="89"/>
        <v>-6.1951492820320864E-2</v>
      </c>
      <c r="AX207">
        <f t="shared" si="99"/>
        <v>0</v>
      </c>
      <c r="AY207">
        <f>IF(W207,SUMPRODUCT(INDEX(AX:AX,X207):INDEX(AX:AX,X207+Y207)),0)</f>
        <v>5</v>
      </c>
      <c r="AZ207">
        <f>IF(V207,COUNT(INDEX(AX:AX,X207):INDEX(AX:AX,ROW())),0)</f>
        <v>197</v>
      </c>
      <c r="BA207" s="14">
        <f t="shared" si="111"/>
        <v>2.5380710659898477E-2</v>
      </c>
      <c r="BB207" s="6">
        <f t="shared" si="100"/>
        <v>248444.49600000001</v>
      </c>
      <c r="BC207" s="6">
        <f>MEDIAN(INDEX(BB:BB,X207):INDEX(BB:BB,X207+Y207-1))</f>
        <v>259110.7064</v>
      </c>
      <c r="BD207" s="25">
        <f t="shared" si="101"/>
        <v>259110.7064</v>
      </c>
      <c r="BE207">
        <f t="shared" si="112"/>
        <v>0</v>
      </c>
      <c r="BF207" s="6">
        <f>SUM(INDEX(BE:BE,X207):INDEX(BE:BE,X207+Y207-1))</f>
        <v>3</v>
      </c>
      <c r="BG207" s="25">
        <f t="shared" si="102"/>
        <v>3</v>
      </c>
    </row>
    <row r="208" spans="1:59" x14ac:dyDescent="0.3">
      <c r="A208" s="1">
        <v>45653</v>
      </c>
      <c r="B208">
        <v>38.340200000000003</v>
      </c>
      <c r="C208">
        <v>38.340200000000003</v>
      </c>
      <c r="D208">
        <v>37.749699999999997</v>
      </c>
      <c r="E208">
        <v>37.749699999999997</v>
      </c>
      <c r="F208">
        <v>4068</v>
      </c>
      <c r="G208" s="29">
        <v>0.778609078495754</v>
      </c>
      <c r="H208" s="29">
        <v>2.06255699646819E-2</v>
      </c>
      <c r="I208" s="29">
        <v>1.5642508417285501E-2</v>
      </c>
      <c r="J208" s="29">
        <v>45.338848007726803</v>
      </c>
      <c r="K208" s="29">
        <v>-5.51070928855883E-2</v>
      </c>
      <c r="L208" s="29">
        <v>0.8</v>
      </c>
      <c r="M208" s="29">
        <v>3.7545290502504498E-2</v>
      </c>
      <c r="N208" s="29">
        <v>1.34124058240471</v>
      </c>
      <c r="O208" s="29">
        <v>-7.6398930326896305E-2</v>
      </c>
      <c r="P208" s="29">
        <v>-1.5401588932765199E-2</v>
      </c>
      <c r="Q208" s="29">
        <v>1.9841269841269799E-2</v>
      </c>
      <c r="R208" s="30">
        <v>247347.87400000001</v>
      </c>
      <c r="S208" s="29">
        <v>3</v>
      </c>
      <c r="T208">
        <v>588.10400000000004</v>
      </c>
      <c r="U208" s="21"/>
      <c r="V208">
        <v>198</v>
      </c>
      <c r="W208" t="b">
        <f>V208&gt;=$C$4</f>
        <v>1</v>
      </c>
      <c r="X208">
        <f>IF(V208&lt;=$C$5,11,ROW()-$C$5+1)</f>
        <v>11</v>
      </c>
      <c r="Y208" s="14">
        <f t="shared" si="95"/>
        <v>198</v>
      </c>
      <c r="Z208" s="10">
        <f t="shared" si="103"/>
        <v>0.5905000000000058</v>
      </c>
      <c r="AA208" s="15">
        <f t="shared" si="104"/>
        <v>1.5642508417285591E-2</v>
      </c>
      <c r="AB208" s="15">
        <f t="shared" si="105"/>
        <v>0.77860907849575423</v>
      </c>
      <c r="AC208" s="10">
        <f t="shared" si="96"/>
        <v>2.0625569964681952E-2</v>
      </c>
      <c r="AD208">
        <f t="shared" si="106"/>
        <v>-0.5905000000000058</v>
      </c>
      <c r="AE208">
        <f t="shared" si="113"/>
        <v>0</v>
      </c>
      <c r="AF208">
        <f t="shared" si="114"/>
        <v>0.5905000000000058</v>
      </c>
      <c r="AG208">
        <f t="shared" si="116"/>
        <v>0.21648080050930088</v>
      </c>
      <c r="AH208">
        <f t="shared" si="116"/>
        <v>0.26099225024354372</v>
      </c>
      <c r="AI208">
        <f t="shared" si="107"/>
        <v>0.82945298301881687</v>
      </c>
      <c r="AJ208">
        <f t="shared" si="115"/>
        <v>45.338852144214165</v>
      </c>
      <c r="AK208" s="14">
        <f t="shared" si="97"/>
        <v>45.338852144214165</v>
      </c>
      <c r="AM208" s="14">
        <f t="shared" si="88"/>
        <v>-5.5107092885588349E-2</v>
      </c>
      <c r="AN208" s="36">
        <f t="shared" si="108"/>
        <v>-1.540158893276522E-2</v>
      </c>
      <c r="AO208">
        <f t="shared" si="117"/>
        <v>0</v>
      </c>
      <c r="AP208" s="14">
        <f t="shared" si="118"/>
        <v>0.8</v>
      </c>
      <c r="AQ208">
        <f t="shared" si="109"/>
        <v>-1.0525607376001056E-2</v>
      </c>
      <c r="AR208">
        <f t="shared" si="110"/>
        <v>-4.8759815567641432E-3</v>
      </c>
      <c r="AS208">
        <f t="shared" si="92"/>
        <v>4.4355464588166529E-4</v>
      </c>
      <c r="AT208">
        <f t="shared" si="93"/>
        <v>1.1813855744492964E-2</v>
      </c>
      <c r="AU208" s="14">
        <f t="shared" si="98"/>
        <v>3.754529050250411E-2</v>
      </c>
      <c r="AV208" s="19">
        <f t="shared" si="94"/>
        <v>1.3412405824047557</v>
      </c>
      <c r="AW208" s="19">
        <f t="shared" si="89"/>
        <v>-7.6398930326896375E-2</v>
      </c>
      <c r="AX208">
        <f t="shared" si="99"/>
        <v>0</v>
      </c>
      <c r="AY208">
        <f>IF(W208,SUMPRODUCT(INDEX(AX:AX,X208):INDEX(AX:AX,X208+Y208)),0)</f>
        <v>5</v>
      </c>
      <c r="AZ208">
        <f>IF(V208,COUNT(INDEX(AX:AX,X208):INDEX(AX:AX,ROW())),0)</f>
        <v>198</v>
      </c>
      <c r="BA208" s="14">
        <f t="shared" si="111"/>
        <v>2.5252525252525252E-2</v>
      </c>
      <c r="BB208" s="6">
        <f t="shared" si="100"/>
        <v>153565.77959999998</v>
      </c>
      <c r="BC208" s="6">
        <f>MEDIAN(INDEX(BB:BB,X208):INDEX(BB:BB,X208+Y208-1))</f>
        <v>259065.24280000001</v>
      </c>
      <c r="BD208" s="25">
        <f t="shared" si="101"/>
        <v>259065.24280000001</v>
      </c>
      <c r="BE208">
        <f t="shared" si="112"/>
        <v>0</v>
      </c>
      <c r="BF208" s="6">
        <f>SUM(INDEX(BE:BE,X208):INDEX(BE:BE,X208+Y208-1))</f>
        <v>3</v>
      </c>
      <c r="BG208" s="25">
        <f t="shared" si="102"/>
        <v>3</v>
      </c>
    </row>
    <row r="209" spans="1:59" x14ac:dyDescent="0.3">
      <c r="A209" s="1">
        <v>45656</v>
      </c>
      <c r="B209">
        <v>37.451099999999997</v>
      </c>
      <c r="C209">
        <v>38.174399999999999</v>
      </c>
      <c r="D209">
        <v>37.239400000000003</v>
      </c>
      <c r="E209">
        <v>38.054900000000004</v>
      </c>
      <c r="F209">
        <v>4521</v>
      </c>
      <c r="G209" s="29">
        <v>0.78977985860319999</v>
      </c>
      <c r="H209" s="29">
        <v>2.0753696859095599E-2</v>
      </c>
      <c r="I209" s="29">
        <v>2.4569766311302699E-2</v>
      </c>
      <c r="J209" s="29">
        <v>47.900531956073003</v>
      </c>
      <c r="K209" s="29">
        <v>-6.7572103781420798E-2</v>
      </c>
      <c r="L209" s="29">
        <v>0.8</v>
      </c>
      <c r="M209" s="29">
        <v>7.2192064051420202E-2</v>
      </c>
      <c r="N209" s="29">
        <v>1.2791420826669</v>
      </c>
      <c r="O209" s="29">
        <v>-6.8931770416639102E-2</v>
      </c>
      <c r="P209" s="29">
        <v>8.0848324622448901E-3</v>
      </c>
      <c r="Q209" s="29">
        <v>1.9841269841269799E-2</v>
      </c>
      <c r="R209" s="30">
        <v>247347.87400000001</v>
      </c>
      <c r="S209" s="29">
        <v>3</v>
      </c>
      <c r="T209">
        <v>581.39300000000003</v>
      </c>
      <c r="U209" s="21"/>
      <c r="V209">
        <v>199</v>
      </c>
      <c r="W209" t="b">
        <f>V209&gt;=$C$4</f>
        <v>1</v>
      </c>
      <c r="X209">
        <f>IF(V209&lt;=$C$5,11,ROW()-$C$5+1)</f>
        <v>11</v>
      </c>
      <c r="Y209" s="14">
        <f t="shared" si="95"/>
        <v>199</v>
      </c>
      <c r="Z209" s="10">
        <f t="shared" si="103"/>
        <v>0.93499999999999517</v>
      </c>
      <c r="AA209" s="15">
        <f t="shared" si="104"/>
        <v>2.4569766311302751E-2</v>
      </c>
      <c r="AB209" s="15">
        <f t="shared" si="105"/>
        <v>0.7897798586032001</v>
      </c>
      <c r="AC209" s="10">
        <f t="shared" si="96"/>
        <v>2.0753696859095675E-2</v>
      </c>
      <c r="AD209">
        <f t="shared" si="106"/>
        <v>0.30520000000000636</v>
      </c>
      <c r="AE209">
        <f t="shared" si="113"/>
        <v>0.30520000000000636</v>
      </c>
      <c r="AF209">
        <f t="shared" si="114"/>
        <v>0</v>
      </c>
      <c r="AG209">
        <f t="shared" si="116"/>
        <v>0.22281788618720841</v>
      </c>
      <c r="AH209">
        <f t="shared" si="116"/>
        <v>0.24234994665471918</v>
      </c>
      <c r="AI209">
        <f t="shared" si="107"/>
        <v>0.91940555078669572</v>
      </c>
      <c r="AJ209">
        <f t="shared" si="115"/>
        <v>47.900536205590541</v>
      </c>
      <c r="AK209" s="14">
        <f t="shared" si="97"/>
        <v>47.900536205590541</v>
      </c>
      <c r="AM209" s="14">
        <f t="shared" si="88"/>
        <v>-6.7572103781420867E-2</v>
      </c>
      <c r="AN209" s="36">
        <f t="shared" si="108"/>
        <v>8.0848324622448953E-3</v>
      </c>
      <c r="AO209">
        <f t="shared" si="117"/>
        <v>1</v>
      </c>
      <c r="AP209" s="14">
        <f t="shared" si="118"/>
        <v>0.8</v>
      </c>
      <c r="AQ209">
        <f t="shared" si="109"/>
        <v>-1.141124699032825E-2</v>
      </c>
      <c r="AR209">
        <f t="shared" si="110"/>
        <v>1.9496079452573138E-2</v>
      </c>
      <c r="AS209">
        <f t="shared" si="92"/>
        <v>8.6720322546571227E-4</v>
      </c>
      <c r="AT209">
        <f t="shared" si="93"/>
        <v>1.2012445368621612E-2</v>
      </c>
      <c r="AU209" s="14">
        <f t="shared" si="98"/>
        <v>7.2192064051419771E-2</v>
      </c>
      <c r="AV209" s="19">
        <f t="shared" si="94"/>
        <v>1.2791420826669402</v>
      </c>
      <c r="AW209" s="19">
        <f t="shared" si="89"/>
        <v>-6.8931770416639115E-2</v>
      </c>
      <c r="AX209">
        <f t="shared" si="99"/>
        <v>0</v>
      </c>
      <c r="AY209">
        <f>IF(W209,SUMPRODUCT(INDEX(AX:AX,X209):INDEX(AX:AX,X209+Y209)),0)</f>
        <v>5</v>
      </c>
      <c r="AZ209">
        <f>IF(V209,COUNT(INDEX(AX:AX,X209):INDEX(AX:AX,ROW())),0)</f>
        <v>199</v>
      </c>
      <c r="BA209" s="14">
        <f t="shared" si="111"/>
        <v>2.5125628140703519E-2</v>
      </c>
      <c r="BB209" s="6">
        <f t="shared" si="100"/>
        <v>172046.2029</v>
      </c>
      <c r="BC209" s="6">
        <f>MEDIAN(INDEX(BB:BB,X209):INDEX(BB:BB,X209+Y209-1))</f>
        <v>259019.77919999999</v>
      </c>
      <c r="BD209" s="25">
        <f t="shared" si="101"/>
        <v>259019.77919999999</v>
      </c>
      <c r="BE209">
        <f t="shared" si="112"/>
        <v>0</v>
      </c>
      <c r="BF209" s="6">
        <f>SUM(INDEX(BE:BE,X209):INDEX(BE:BE,X209+Y209-1))</f>
        <v>3</v>
      </c>
      <c r="BG209" s="25">
        <f t="shared" si="102"/>
        <v>3</v>
      </c>
    </row>
    <row r="210" spans="1:59" x14ac:dyDescent="0.3">
      <c r="A210" s="1">
        <v>45657</v>
      </c>
      <c r="B210">
        <v>38.486199999999997</v>
      </c>
      <c r="C210">
        <v>38.486199999999997</v>
      </c>
      <c r="D210">
        <v>37.975299999999997</v>
      </c>
      <c r="E210">
        <v>38.114600000000003</v>
      </c>
      <c r="F210">
        <v>11152</v>
      </c>
      <c r="G210" s="29">
        <v>0.76985986870297096</v>
      </c>
      <c r="H210" s="29">
        <v>2.01985556375502E-2</v>
      </c>
      <c r="I210" s="29">
        <v>1.34043122582947E-2</v>
      </c>
      <c r="J210" s="29">
        <v>48.409848815542603</v>
      </c>
      <c r="K210" s="29">
        <v>-6.3067536541118102E-2</v>
      </c>
      <c r="L210" s="29">
        <v>0.8</v>
      </c>
      <c r="M210" s="29">
        <v>6.4647655201421503E-2</v>
      </c>
      <c r="N210" s="29">
        <v>1.3049715742781201</v>
      </c>
      <c r="O210" s="29">
        <v>-6.7471123474822703E-2</v>
      </c>
      <c r="P210" s="29">
        <v>1.5687861484328101E-3</v>
      </c>
      <c r="Q210" s="29">
        <v>1.9841269841269799E-2</v>
      </c>
      <c r="R210" s="30">
        <v>248912.23939999999</v>
      </c>
      <c r="S210" s="29">
        <v>3</v>
      </c>
      <c r="T210">
        <v>579.27700000000004</v>
      </c>
      <c r="U210" s="21"/>
      <c r="V210">
        <v>200</v>
      </c>
      <c r="W210" t="b">
        <f>V210&gt;=$C$4</f>
        <v>1</v>
      </c>
      <c r="X210">
        <f>IF(V210&lt;=$C$5,11,ROW()-$C$5+1)</f>
        <v>11</v>
      </c>
      <c r="Y210" s="14">
        <f t="shared" si="95"/>
        <v>200</v>
      </c>
      <c r="Z210" s="10">
        <f t="shared" si="103"/>
        <v>0.51089999999999947</v>
      </c>
      <c r="AA210" s="15">
        <f t="shared" si="104"/>
        <v>1.3404312258294707E-2</v>
      </c>
      <c r="AB210" s="15">
        <f t="shared" si="105"/>
        <v>0.76985986870297141</v>
      </c>
      <c r="AC210" s="10">
        <f t="shared" si="96"/>
        <v>2.0198555637550214E-2</v>
      </c>
      <c r="AD210">
        <f t="shared" si="106"/>
        <v>5.969999999999942E-2</v>
      </c>
      <c r="AE210">
        <f t="shared" si="113"/>
        <v>5.969999999999942E-2</v>
      </c>
      <c r="AF210">
        <f t="shared" si="114"/>
        <v>0</v>
      </c>
      <c r="AG210">
        <f t="shared" si="116"/>
        <v>0.21116660860240777</v>
      </c>
      <c r="AH210">
        <f t="shared" si="116"/>
        <v>0.2250392361793821</v>
      </c>
      <c r="AI210">
        <f t="shared" si="107"/>
        <v>0.93835462734189046</v>
      </c>
      <c r="AJ210">
        <f t="shared" si="115"/>
        <v>48.409853083936312</v>
      </c>
      <c r="AK210" s="14">
        <f t="shared" si="97"/>
        <v>48.409853083936312</v>
      </c>
      <c r="AM210" s="14">
        <f t="shared" si="88"/>
        <v>-6.3067536541118185E-2</v>
      </c>
      <c r="AN210" s="36">
        <f t="shared" si="108"/>
        <v>1.5687861484328103E-3</v>
      </c>
      <c r="AO210">
        <f t="shared" si="117"/>
        <v>1</v>
      </c>
      <c r="AP210" s="14">
        <f t="shared" si="118"/>
        <v>0.8</v>
      </c>
      <c r="AQ210">
        <f t="shared" si="109"/>
        <v>-3.6395347037201375E-3</v>
      </c>
      <c r="AR210">
        <f t="shared" si="110"/>
        <v>5.2083208521529478E-3</v>
      </c>
      <c r="AS210">
        <f t="shared" si="92"/>
        <v>7.7276443384945734E-4</v>
      </c>
      <c r="AT210">
        <f t="shared" si="93"/>
        <v>1.195347969608139E-2</v>
      </c>
      <c r="AU210" s="14">
        <f t="shared" si="98"/>
        <v>6.4647655201421086E-2</v>
      </c>
      <c r="AV210" s="19">
        <f t="shared" si="94"/>
        <v>1.3049715742781567</v>
      </c>
      <c r="AW210" s="19">
        <f t="shared" si="89"/>
        <v>-6.7471123474822758E-2</v>
      </c>
      <c r="AX210">
        <f t="shared" si="99"/>
        <v>0</v>
      </c>
      <c r="AY210">
        <f>IF(W210,SUMPRODUCT(INDEX(AX:AX,X210):INDEX(AX:AX,X210+Y210)),0)</f>
        <v>5</v>
      </c>
      <c r="AZ210">
        <f>IF(V210,COUNT(INDEX(AX:AX,X210):INDEX(AX:AX,ROW())),0)</f>
        <v>200</v>
      </c>
      <c r="BA210" s="14">
        <f t="shared" si="111"/>
        <v>2.5000000000000001E-2</v>
      </c>
      <c r="BB210" s="6">
        <f t="shared" si="100"/>
        <v>425054.01920000004</v>
      </c>
      <c r="BC210" s="6">
        <f>MEDIAN(INDEX(BB:BB,X210):INDEX(BB:BB,X210+Y210-1))</f>
        <v>259065.24280000001</v>
      </c>
      <c r="BD210" s="25">
        <f t="shared" si="101"/>
        <v>259065.24280000001</v>
      </c>
      <c r="BE210">
        <f t="shared" si="112"/>
        <v>0</v>
      </c>
      <c r="BF210" s="6">
        <f>SUM(INDEX(BE:BE,X210):INDEX(BE:BE,X210+Y210-1))</f>
        <v>3</v>
      </c>
      <c r="BG210" s="25">
        <f t="shared" si="102"/>
        <v>3</v>
      </c>
    </row>
    <row r="211" spans="1:59" x14ac:dyDescent="0.3">
      <c r="A211" s="1">
        <v>45659</v>
      </c>
      <c r="B211">
        <v>38.260599999999997</v>
      </c>
      <c r="C211">
        <v>38.380099999999999</v>
      </c>
      <c r="D211">
        <v>37.739699999999999</v>
      </c>
      <c r="E211">
        <v>38.081499999999998</v>
      </c>
      <c r="F211">
        <v>7987</v>
      </c>
      <c r="G211" s="29">
        <v>0.76061273522418804</v>
      </c>
      <c r="H211" s="29">
        <v>1.9973287166319201E-2</v>
      </c>
      <c r="I211" s="29">
        <v>1.6816564473563202E-2</v>
      </c>
      <c r="J211" s="29">
        <v>48.128918110721003</v>
      </c>
      <c r="K211" s="29">
        <v>-6.8280962901524994E-2</v>
      </c>
      <c r="L211" s="29">
        <v>0.6</v>
      </c>
      <c r="M211" s="29">
        <v>8.4028272804108198E-2</v>
      </c>
      <c r="N211" s="29">
        <v>1.3033112412660299</v>
      </c>
      <c r="O211" s="29">
        <v>-5.6968451290178801E-2</v>
      </c>
      <c r="P211" s="29">
        <v>-8.6843361861344004E-4</v>
      </c>
      <c r="Q211" s="29">
        <v>1.9841269841269799E-2</v>
      </c>
      <c r="R211" s="30">
        <v>248912.23939999999</v>
      </c>
      <c r="S211" s="29">
        <v>3</v>
      </c>
      <c r="T211">
        <v>577.85400000000004</v>
      </c>
      <c r="U211" s="21"/>
      <c r="V211">
        <v>201</v>
      </c>
      <c r="W211" t="b">
        <f>V211&gt;=$C$4</f>
        <v>1</v>
      </c>
      <c r="X211">
        <f>IF(V211&lt;=$C$5,11,ROW()-$C$5+1)</f>
        <v>11</v>
      </c>
      <c r="Y211" s="14">
        <f t="shared" si="95"/>
        <v>201</v>
      </c>
      <c r="Z211" s="10">
        <f t="shared" si="103"/>
        <v>0.64039999999999964</v>
      </c>
      <c r="AA211" s="15">
        <f t="shared" si="104"/>
        <v>1.6816564473563271E-2</v>
      </c>
      <c r="AB211" s="15">
        <f t="shared" si="105"/>
        <v>0.76061273522418771</v>
      </c>
      <c r="AC211" s="10">
        <f t="shared" si="96"/>
        <v>1.9973287166319281E-2</v>
      </c>
      <c r="AD211">
        <f t="shared" si="106"/>
        <v>-3.310000000000457E-2</v>
      </c>
      <c r="AE211">
        <f t="shared" si="113"/>
        <v>0</v>
      </c>
      <c r="AF211">
        <f t="shared" si="114"/>
        <v>3.310000000000457E-2</v>
      </c>
      <c r="AG211">
        <f t="shared" si="116"/>
        <v>0.19608327941652151</v>
      </c>
      <c r="AH211">
        <f t="shared" si="116"/>
        <v>0.211329290737998</v>
      </c>
      <c r="AI211">
        <f t="shared" si="107"/>
        <v>0.92785661056148527</v>
      </c>
      <c r="AJ211">
        <f t="shared" si="115"/>
        <v>48.128922321211867</v>
      </c>
      <c r="AK211" s="14">
        <f t="shared" si="97"/>
        <v>48.128922321211867</v>
      </c>
      <c r="AM211" s="14">
        <f t="shared" si="88"/>
        <v>-6.8280962901525077E-2</v>
      </c>
      <c r="AN211" s="36">
        <f t="shared" si="108"/>
        <v>-8.6843361861344004E-4</v>
      </c>
      <c r="AO211">
        <f t="shared" si="117"/>
        <v>0</v>
      </c>
      <c r="AP211" s="14">
        <f t="shared" si="118"/>
        <v>0.6</v>
      </c>
      <c r="AQ211">
        <f t="shared" si="109"/>
        <v>-2.4565104431903961E-3</v>
      </c>
      <c r="AR211">
        <f t="shared" si="110"/>
        <v>1.5880768245769561E-3</v>
      </c>
      <c r="AS211">
        <f t="shared" si="92"/>
        <v>9.9443938999674709E-4</v>
      </c>
      <c r="AT211">
        <f t="shared" si="93"/>
        <v>1.1834580871548445E-2</v>
      </c>
      <c r="AU211" s="14">
        <f t="shared" si="98"/>
        <v>8.402827280410767E-2</v>
      </c>
      <c r="AV211" s="19">
        <f t="shared" si="94"/>
        <v>1.3033112412660703</v>
      </c>
      <c r="AW211" s="19">
        <f t="shared" si="89"/>
        <v>-5.6968451290178801E-2</v>
      </c>
      <c r="AX211">
        <f t="shared" si="99"/>
        <v>0</v>
      </c>
      <c r="AY211">
        <f>IF(W211,SUMPRODUCT(INDEX(AX:AX,X211):INDEX(AX:AX,X211+Y211)),0)</f>
        <v>5</v>
      </c>
      <c r="AZ211">
        <f>IF(V211,COUNT(INDEX(AX:AX,X211):INDEX(AX:AX,ROW())),0)</f>
        <v>201</v>
      </c>
      <c r="BA211" s="14">
        <f t="shared" si="111"/>
        <v>2.4875621890547265E-2</v>
      </c>
      <c r="BB211" s="6">
        <f t="shared" si="100"/>
        <v>304156.94049999997</v>
      </c>
      <c r="BC211" s="6">
        <f>MEDIAN(INDEX(BB:BB,X211):INDEX(BB:BB,X211+Y211-1))</f>
        <v>259110.7064</v>
      </c>
      <c r="BD211" s="25">
        <f t="shared" si="101"/>
        <v>259110.7064</v>
      </c>
      <c r="BE211">
        <f t="shared" si="112"/>
        <v>0</v>
      </c>
      <c r="BF211" s="6">
        <f>SUM(INDEX(BE:BE,X211):INDEX(BE:BE,X211+Y211-1))</f>
        <v>3</v>
      </c>
      <c r="BG211" s="25">
        <f t="shared" si="102"/>
        <v>3</v>
      </c>
    </row>
    <row r="212" spans="1:59" x14ac:dyDescent="0.3">
      <c r="A212" s="1">
        <v>45660</v>
      </c>
      <c r="B212">
        <v>38.526000000000003</v>
      </c>
      <c r="C212">
        <v>38.532699999999998</v>
      </c>
      <c r="D212">
        <v>38.194299999999998</v>
      </c>
      <c r="E212">
        <v>38.353499999999997</v>
      </c>
      <c r="F212">
        <v>11905</v>
      </c>
      <c r="G212" s="29">
        <v>0.73851182556531703</v>
      </c>
      <c r="H212" s="29">
        <v>1.9255395871701799E-2</v>
      </c>
      <c r="I212" s="29">
        <v>1.1764245766357701E-2</v>
      </c>
      <c r="J212" s="29">
        <v>50.662684613953502</v>
      </c>
      <c r="K212" s="29">
        <v>-5.0232776979842499E-2</v>
      </c>
      <c r="L212" s="29">
        <v>0.6</v>
      </c>
      <c r="M212" s="29">
        <v>7.5998562428812297E-2</v>
      </c>
      <c r="N212" s="29">
        <v>1.27419616583895</v>
      </c>
      <c r="O212" s="29">
        <v>-4.5533954488442899E-2</v>
      </c>
      <c r="P212" s="29">
        <v>7.1425757913947596E-3</v>
      </c>
      <c r="Q212" s="29">
        <v>1.9841269841269799E-2</v>
      </c>
      <c r="R212" s="30">
        <v>250382.09224999999</v>
      </c>
      <c r="S212" s="29">
        <v>3</v>
      </c>
      <c r="T212">
        <v>585.07899999999995</v>
      </c>
      <c r="U212" s="21"/>
      <c r="V212">
        <v>202</v>
      </c>
      <c r="W212" t="b">
        <f>V212&gt;=$C$4</f>
        <v>1</v>
      </c>
      <c r="X212">
        <f>IF(V212&lt;=$C$5,11,ROW()-$C$5+1)</f>
        <v>11</v>
      </c>
      <c r="Y212" s="14">
        <f t="shared" si="95"/>
        <v>202</v>
      </c>
      <c r="Z212" s="10">
        <f t="shared" si="103"/>
        <v>0.45120000000000005</v>
      </c>
      <c r="AA212" s="15">
        <f t="shared" si="104"/>
        <v>1.1764245766357701E-2</v>
      </c>
      <c r="AB212" s="15">
        <f t="shared" si="105"/>
        <v>0.73851182556531714</v>
      </c>
      <c r="AC212" s="10">
        <f t="shared" si="96"/>
        <v>1.9255395871701858E-2</v>
      </c>
      <c r="AD212">
        <f t="shared" si="106"/>
        <v>0.27199999999999847</v>
      </c>
      <c r="AE212">
        <f t="shared" si="113"/>
        <v>0.27199999999999847</v>
      </c>
      <c r="AF212">
        <f t="shared" si="114"/>
        <v>0</v>
      </c>
      <c r="AG212">
        <f t="shared" si="116"/>
        <v>0.2015059023153413</v>
      </c>
      <c r="AH212">
        <f t="shared" si="116"/>
        <v>0.19623434139956958</v>
      </c>
      <c r="AI212">
        <f t="shared" si="107"/>
        <v>1.0268636003167144</v>
      </c>
      <c r="AJ212">
        <f t="shared" si="115"/>
        <v>50.662688903005524</v>
      </c>
      <c r="AK212" s="14">
        <f t="shared" si="97"/>
        <v>50.662688903005524</v>
      </c>
      <c r="AM212" s="14">
        <f t="shared" si="88"/>
        <v>-5.0232776979842519E-2</v>
      </c>
      <c r="AN212" s="36">
        <f t="shared" si="108"/>
        <v>7.1425757913947674E-3</v>
      </c>
      <c r="AO212">
        <f t="shared" si="117"/>
        <v>1</v>
      </c>
      <c r="AP212" s="14">
        <f t="shared" si="118"/>
        <v>0.6</v>
      </c>
      <c r="AQ212">
        <f t="shared" si="109"/>
        <v>1.2503158237201717E-2</v>
      </c>
      <c r="AR212">
        <f t="shared" si="110"/>
        <v>-5.3605824458069573E-3</v>
      </c>
      <c r="AS212">
        <f t="shared" si="92"/>
        <v>9.0145932187983893E-4</v>
      </c>
      <c r="AT212">
        <f t="shared" si="93"/>
        <v>1.1861531232570883E-2</v>
      </c>
      <c r="AU212" s="14">
        <f t="shared" si="98"/>
        <v>7.5998562428811783E-2</v>
      </c>
      <c r="AV212" s="19">
        <f t="shared" si="94"/>
        <v>1.2741961658389831</v>
      </c>
      <c r="AW212" s="19">
        <f t="shared" si="89"/>
        <v>-4.5533954488442996E-2</v>
      </c>
      <c r="AX212">
        <f t="shared" si="99"/>
        <v>0</v>
      </c>
      <c r="AY212">
        <f>IF(W212,SUMPRODUCT(INDEX(AX:AX,X212):INDEX(AX:AX,X212+Y212)),0)</f>
        <v>5</v>
      </c>
      <c r="AZ212">
        <f>IF(V212,COUNT(INDEX(AX:AX,X212):INDEX(AX:AX,ROW())),0)</f>
        <v>202</v>
      </c>
      <c r="BA212" s="14">
        <f t="shared" si="111"/>
        <v>2.4752475247524754E-2</v>
      </c>
      <c r="BB212" s="6">
        <f t="shared" si="100"/>
        <v>456598.41749999998</v>
      </c>
      <c r="BC212" s="6">
        <f>MEDIAN(INDEX(BB:BB,X212):INDEX(BB:BB,X212+Y212-1))</f>
        <v>259227.2212</v>
      </c>
      <c r="BD212" s="25">
        <f t="shared" si="101"/>
        <v>259227.2212</v>
      </c>
      <c r="BE212">
        <f t="shared" si="112"/>
        <v>0</v>
      </c>
      <c r="BF212" s="6">
        <f>SUM(INDEX(BE:BE,X212):INDEX(BE:BE,X212+Y212-1))</f>
        <v>3</v>
      </c>
      <c r="BG212" s="25">
        <f t="shared" si="102"/>
        <v>3</v>
      </c>
    </row>
    <row r="213" spans="1:59" x14ac:dyDescent="0.3">
      <c r="A213" s="1">
        <v>45663</v>
      </c>
      <c r="B213">
        <v>38.7517</v>
      </c>
      <c r="C213">
        <v>38.7517</v>
      </c>
      <c r="D213">
        <v>37.922199999999997</v>
      </c>
      <c r="E213">
        <v>37.968699999999998</v>
      </c>
      <c r="F213">
        <v>25770</v>
      </c>
      <c r="G213" s="29">
        <v>0.74501098088207995</v>
      </c>
      <c r="H213" s="29">
        <v>1.96217142246661E-2</v>
      </c>
      <c r="I213" s="29">
        <v>2.1846942349882999E-2</v>
      </c>
      <c r="J213" s="29">
        <v>47.153501170416497</v>
      </c>
      <c r="K213" s="29">
        <v>-5.5110095761412702E-2</v>
      </c>
      <c r="L213" s="29">
        <v>0.6</v>
      </c>
      <c r="M213" s="29">
        <v>5.2709594116405502E-2</v>
      </c>
      <c r="N213" s="29">
        <v>1.2557678823493199</v>
      </c>
      <c r="O213" s="29">
        <v>-4.5031200404435603E-2</v>
      </c>
      <c r="P213" s="29">
        <v>-1.0032982648258901E-2</v>
      </c>
      <c r="Q213" s="29">
        <v>1.9841269841269799E-2</v>
      </c>
      <c r="R213" s="30">
        <v>250382.09224999999</v>
      </c>
      <c r="S213" s="29">
        <v>3</v>
      </c>
      <c r="T213">
        <v>588.45000000000005</v>
      </c>
      <c r="U213" s="21"/>
      <c r="V213">
        <v>203</v>
      </c>
      <c r="W213" t="b">
        <f>V213&gt;=$C$4</f>
        <v>1</v>
      </c>
      <c r="X213">
        <f>IF(V213&lt;=$C$5,11,ROW()-$C$5+1)</f>
        <v>11</v>
      </c>
      <c r="Y213" s="14">
        <f t="shared" si="95"/>
        <v>203</v>
      </c>
      <c r="Z213" s="10">
        <f t="shared" si="103"/>
        <v>0.82950000000000301</v>
      </c>
      <c r="AA213" s="15">
        <f t="shared" si="104"/>
        <v>2.1846942349883009E-2</v>
      </c>
      <c r="AB213" s="15">
        <f t="shared" si="105"/>
        <v>0.7450109808820804</v>
      </c>
      <c r="AC213" s="10">
        <f t="shared" si="96"/>
        <v>1.9621714224666117E-2</v>
      </c>
      <c r="AD213">
        <f t="shared" si="106"/>
        <v>-0.38479999999999848</v>
      </c>
      <c r="AE213">
        <f t="shared" si="113"/>
        <v>0</v>
      </c>
      <c r="AF213">
        <f t="shared" si="114"/>
        <v>0.38479999999999848</v>
      </c>
      <c r="AG213">
        <f t="shared" si="116"/>
        <v>0.1871126235785312</v>
      </c>
      <c r="AH213">
        <f t="shared" si="116"/>
        <v>0.20970331701388595</v>
      </c>
      <c r="AI213">
        <f t="shared" si="107"/>
        <v>0.89227307532832756</v>
      </c>
      <c r="AJ213">
        <f t="shared" si="115"/>
        <v>47.153504795998302</v>
      </c>
      <c r="AK213" s="14">
        <f t="shared" si="97"/>
        <v>47.153504795998302</v>
      </c>
      <c r="AM213" s="14">
        <f t="shared" si="88"/>
        <v>-5.5110095761412792E-2</v>
      </c>
      <c r="AN213" s="36">
        <f t="shared" si="108"/>
        <v>-1.0032982648258915E-2</v>
      </c>
      <c r="AO213">
        <f t="shared" si="117"/>
        <v>0</v>
      </c>
      <c r="AP213" s="14">
        <f t="shared" si="118"/>
        <v>0.6</v>
      </c>
      <c r="AQ213">
        <f t="shared" si="109"/>
        <v>5.7616150981321113E-3</v>
      </c>
      <c r="AR213">
        <f t="shared" si="110"/>
        <v>-1.5794597746391012E-2</v>
      </c>
      <c r="AS213">
        <f t="shared" si="92"/>
        <v>6.3496954226370322E-4</v>
      </c>
      <c r="AT213">
        <f t="shared" si="93"/>
        <v>1.2046564821983284E-2</v>
      </c>
      <c r="AU213" s="14">
        <f t="shared" si="98"/>
        <v>5.2709594116405134E-2</v>
      </c>
      <c r="AV213" s="19">
        <f t="shared" si="94"/>
        <v>1.2557678823493539</v>
      </c>
      <c r="AW213" s="19">
        <f t="shared" si="89"/>
        <v>-4.5031200404435645E-2</v>
      </c>
      <c r="AX213">
        <f t="shared" si="99"/>
        <v>0</v>
      </c>
      <c r="AY213">
        <f>IF(W213,SUMPRODUCT(INDEX(AX:AX,X213):INDEX(AX:AX,X213+Y213)),0)</f>
        <v>5</v>
      </c>
      <c r="AZ213">
        <f>IF(V213,COUNT(INDEX(AX:AX,X213):INDEX(AX:AX,ROW())),0)</f>
        <v>203</v>
      </c>
      <c r="BA213" s="14">
        <f t="shared" si="111"/>
        <v>2.4630541871921183E-2</v>
      </c>
      <c r="BB213" s="6">
        <f t="shared" si="100"/>
        <v>978453.39899999998</v>
      </c>
      <c r="BC213" s="6">
        <f>MEDIAN(INDEX(BB:BB,X213):INDEX(BB:BB,X213+Y213-1))</f>
        <v>259343.736</v>
      </c>
      <c r="BD213" s="25">
        <f t="shared" si="101"/>
        <v>259343.736</v>
      </c>
      <c r="BE213">
        <f t="shared" si="112"/>
        <v>0</v>
      </c>
      <c r="BF213" s="6">
        <f>SUM(INDEX(BE:BE,X213):INDEX(BE:BE,X213+Y213-1))</f>
        <v>3</v>
      </c>
      <c r="BG213" s="25">
        <f t="shared" si="102"/>
        <v>3</v>
      </c>
    </row>
    <row r="214" spans="1:59" x14ac:dyDescent="0.3">
      <c r="A214" s="1">
        <v>45664</v>
      </c>
      <c r="B214">
        <v>37.975299999999997</v>
      </c>
      <c r="C214">
        <v>38.579099999999997</v>
      </c>
      <c r="D214">
        <v>37.590400000000002</v>
      </c>
      <c r="E214">
        <v>37.663400000000003</v>
      </c>
      <c r="F214">
        <v>51841</v>
      </c>
      <c r="G214" s="29">
        <v>0.76241733939050305</v>
      </c>
      <c r="H214" s="29">
        <v>2.0242923883411999E-2</v>
      </c>
      <c r="I214" s="29">
        <v>2.6250949197363802E-2</v>
      </c>
      <c r="J214" s="29">
        <v>44.5187634473317</v>
      </c>
      <c r="K214" s="29">
        <v>-4.9858980115944002E-2</v>
      </c>
      <c r="L214" s="29">
        <v>0.4</v>
      </c>
      <c r="M214" s="29">
        <v>6.3803469115762901E-2</v>
      </c>
      <c r="N214" s="29">
        <v>1.2310241126644099</v>
      </c>
      <c r="O214" s="29">
        <v>-5.2709945647662799E-2</v>
      </c>
      <c r="P214" s="29">
        <v>-8.0408336340195199E-3</v>
      </c>
      <c r="Q214" s="29">
        <v>1.9841269841269799E-2</v>
      </c>
      <c r="R214" s="30">
        <v>253132.24184999999</v>
      </c>
      <c r="S214" s="29">
        <v>3</v>
      </c>
      <c r="T214">
        <v>581.798</v>
      </c>
      <c r="U214" s="21"/>
      <c r="V214">
        <v>204</v>
      </c>
      <c r="W214" t="b">
        <f>V214&gt;=$C$4</f>
        <v>1</v>
      </c>
      <c r="X214">
        <f>IF(V214&lt;=$C$5,11,ROW()-$C$5+1)</f>
        <v>11</v>
      </c>
      <c r="Y214" s="14">
        <f t="shared" si="95"/>
        <v>204</v>
      </c>
      <c r="Z214" s="10">
        <f t="shared" si="103"/>
        <v>0.98869999999999436</v>
      </c>
      <c r="AA214" s="15">
        <f t="shared" si="104"/>
        <v>2.6250949197363867E-2</v>
      </c>
      <c r="AB214" s="15">
        <f t="shared" si="105"/>
        <v>0.76241733939050282</v>
      </c>
      <c r="AC214" s="10">
        <f t="shared" si="96"/>
        <v>2.0242923883412086E-2</v>
      </c>
      <c r="AD214">
        <f t="shared" si="106"/>
        <v>-0.30529999999999546</v>
      </c>
      <c r="AE214">
        <f t="shared" si="113"/>
        <v>0</v>
      </c>
      <c r="AF214">
        <f t="shared" si="114"/>
        <v>0.30529999999999546</v>
      </c>
      <c r="AG214">
        <f t="shared" si="116"/>
        <v>0.17374743618006466</v>
      </c>
      <c r="AH214">
        <f t="shared" si="116"/>
        <v>0.21653165151289375</v>
      </c>
      <c r="AI214">
        <f t="shared" si="107"/>
        <v>0.80241126397042506</v>
      </c>
      <c r="AJ214">
        <f t="shared" si="115"/>
        <v>44.518766610614762</v>
      </c>
      <c r="AK214" s="14">
        <f t="shared" si="97"/>
        <v>44.518766610614762</v>
      </c>
      <c r="AM214" s="14">
        <f t="shared" si="88"/>
        <v>-4.9858980115944029E-2</v>
      </c>
      <c r="AN214" s="36">
        <f t="shared" si="108"/>
        <v>-8.0408336340195286E-3</v>
      </c>
      <c r="AO214">
        <f t="shared" si="117"/>
        <v>0</v>
      </c>
      <c r="AP214" s="14">
        <f t="shared" si="118"/>
        <v>0.4</v>
      </c>
      <c r="AQ214">
        <f t="shared" si="109"/>
        <v>-1.1304273940011988E-2</v>
      </c>
      <c r="AR214">
        <f t="shared" si="110"/>
        <v>3.2634403059924686E-3</v>
      </c>
      <c r="AS214">
        <f t="shared" si="92"/>
        <v>7.6746280929959013E-4</v>
      </c>
      <c r="AT214">
        <f t="shared" si="93"/>
        <v>1.2028543587608636E-2</v>
      </c>
      <c r="AU214" s="14">
        <f t="shared" si="98"/>
        <v>6.3803469115762457E-2</v>
      </c>
      <c r="AV214" s="19">
        <f t="shared" si="94"/>
        <v>1.2310241126644434</v>
      </c>
      <c r="AW214" s="19">
        <f t="shared" si="89"/>
        <v>-5.2709945647662848E-2</v>
      </c>
      <c r="AX214">
        <f t="shared" si="99"/>
        <v>0</v>
      </c>
      <c r="AY214">
        <f>IF(W214,SUMPRODUCT(INDEX(AX:AX,X214):INDEX(AX:AX,X214+Y214)),0)</f>
        <v>5</v>
      </c>
      <c r="AZ214">
        <f>IF(V214,COUNT(INDEX(AX:AX,X214):INDEX(AX:AX,ROW())),0)</f>
        <v>204</v>
      </c>
      <c r="BA214" s="14">
        <f t="shared" si="111"/>
        <v>2.4509803921568627E-2</v>
      </c>
      <c r="BB214" s="6">
        <f t="shared" si="100"/>
        <v>1952508.3194000002</v>
      </c>
      <c r="BC214" s="6">
        <f>MEDIAN(INDEX(BB:BB,X214):INDEX(BB:BB,X214+Y214-1))</f>
        <v>260862.52620000002</v>
      </c>
      <c r="BD214" s="25">
        <f t="shared" si="101"/>
        <v>260862.52620000002</v>
      </c>
      <c r="BE214">
        <f t="shared" si="112"/>
        <v>0</v>
      </c>
      <c r="BF214" s="6">
        <f>SUM(INDEX(BE:BE,X214):INDEX(BE:BE,X214+Y214-1))</f>
        <v>3</v>
      </c>
      <c r="BG214" s="25">
        <f t="shared" si="102"/>
        <v>3</v>
      </c>
    </row>
    <row r="215" spans="1:59" x14ac:dyDescent="0.3">
      <c r="A215" s="1">
        <v>45665</v>
      </c>
      <c r="B215">
        <v>37.298499999999997</v>
      </c>
      <c r="C215">
        <v>38.771599999999999</v>
      </c>
      <c r="D215">
        <v>37.298499999999997</v>
      </c>
      <c r="E215">
        <v>38.665399999999998</v>
      </c>
      <c r="F215">
        <v>13864</v>
      </c>
      <c r="G215" s="29">
        <v>0.81318038657689595</v>
      </c>
      <c r="H215" s="29">
        <v>2.10312161926915E-2</v>
      </c>
      <c r="I215" s="29">
        <v>3.8098661852715897E-2</v>
      </c>
      <c r="J215" s="29">
        <v>53.668795866779803</v>
      </c>
      <c r="K215" s="29">
        <v>-2.2784195880900401E-2</v>
      </c>
      <c r="L215" s="29">
        <v>0.4</v>
      </c>
      <c r="M215" s="29">
        <v>0.10168325657552001</v>
      </c>
      <c r="N215" s="29">
        <v>1.2562768918768401</v>
      </c>
      <c r="O215" s="29">
        <v>-2.75081679414271E-2</v>
      </c>
      <c r="P215" s="29">
        <v>2.66040771677542E-2</v>
      </c>
      <c r="Q215" s="29">
        <v>1.9841269841269799E-2</v>
      </c>
      <c r="R215" s="30">
        <v>253132.24184999999</v>
      </c>
      <c r="S215" s="29">
        <v>3</v>
      </c>
      <c r="T215">
        <v>582.64800000000002</v>
      </c>
      <c r="U215" s="21"/>
      <c r="V215">
        <v>205</v>
      </c>
      <c r="W215" t="b">
        <f>V215&gt;=$C$4</f>
        <v>1</v>
      </c>
      <c r="X215">
        <f>IF(V215&lt;=$C$5,11,ROW()-$C$5+1)</f>
        <v>11</v>
      </c>
      <c r="Y215" s="14">
        <f t="shared" si="95"/>
        <v>205</v>
      </c>
      <c r="Z215" s="10">
        <f t="shared" si="103"/>
        <v>1.4731000000000023</v>
      </c>
      <c r="AA215" s="15">
        <f t="shared" si="104"/>
        <v>3.8098661852715925E-2</v>
      </c>
      <c r="AB215" s="15">
        <f t="shared" si="105"/>
        <v>0.81318038657689562</v>
      </c>
      <c r="AC215" s="10">
        <f t="shared" si="96"/>
        <v>2.1031216192691545E-2</v>
      </c>
      <c r="AD215">
        <f t="shared" si="106"/>
        <v>1.0019999999999953</v>
      </c>
      <c r="AE215">
        <f t="shared" si="113"/>
        <v>1.0019999999999953</v>
      </c>
      <c r="AF215">
        <f t="shared" si="114"/>
        <v>0</v>
      </c>
      <c r="AG215">
        <f t="shared" si="116"/>
        <v>0.23290833359577401</v>
      </c>
      <c r="AH215">
        <f t="shared" si="116"/>
        <v>0.20106510497625846</v>
      </c>
      <c r="AI215">
        <f t="shared" si="107"/>
        <v>1.1583727252089593</v>
      </c>
      <c r="AJ215">
        <f t="shared" si="115"/>
        <v>53.668799261573945</v>
      </c>
      <c r="AK215" s="14">
        <f t="shared" si="97"/>
        <v>53.668799261573945</v>
      </c>
      <c r="AM215" s="14">
        <f t="shared" si="88"/>
        <v>-2.2784195880900415E-2</v>
      </c>
      <c r="AN215" s="36">
        <f t="shared" si="108"/>
        <v>2.6604077167754259E-2</v>
      </c>
      <c r="AO215">
        <f t="shared" si="117"/>
        <v>1</v>
      </c>
      <c r="AP215" s="14">
        <f t="shared" si="118"/>
        <v>0.4</v>
      </c>
      <c r="AQ215">
        <f t="shared" si="109"/>
        <v>1.4609881780274225E-3</v>
      </c>
      <c r="AR215">
        <f t="shared" si="110"/>
        <v>2.5143088989726777E-2</v>
      </c>
      <c r="AS215">
        <f t="shared" si="92"/>
        <v>1.2590751093054596E-3</v>
      </c>
      <c r="AT215">
        <f t="shared" si="93"/>
        <v>1.2382324796711754E-2</v>
      </c>
      <c r="AU215" s="14">
        <f t="shared" si="98"/>
        <v>0.10168325657551958</v>
      </c>
      <c r="AV215" s="19">
        <f t="shared" si="94"/>
        <v>1.2562768918768787</v>
      </c>
      <c r="AW215" s="19">
        <f t="shared" si="89"/>
        <v>-2.7508167941427186E-2</v>
      </c>
      <c r="AX215">
        <f t="shared" si="99"/>
        <v>0</v>
      </c>
      <c r="AY215">
        <f>IF(W215,SUMPRODUCT(INDEX(AX:AX,X215):INDEX(AX:AX,X215+Y215)),0)</f>
        <v>5</v>
      </c>
      <c r="AZ215">
        <f>IF(V215,COUNT(INDEX(AX:AX,X215):INDEX(AX:AX,ROW())),0)</f>
        <v>205</v>
      </c>
      <c r="BA215" s="14">
        <f t="shared" si="111"/>
        <v>2.4390243902439025E-2</v>
      </c>
      <c r="BB215" s="6">
        <f t="shared" si="100"/>
        <v>536057.10560000001</v>
      </c>
      <c r="BC215" s="6">
        <f>MEDIAN(INDEX(BB:BB,X215):INDEX(BB:BB,X215+Y215-1))</f>
        <v>262381.31640000001</v>
      </c>
      <c r="BD215" s="25">
        <f t="shared" si="101"/>
        <v>262381.31640000001</v>
      </c>
      <c r="BE215">
        <f t="shared" si="112"/>
        <v>0</v>
      </c>
      <c r="BF215" s="6">
        <f>SUM(INDEX(BE:BE,X215):INDEX(BE:BE,X215+Y215-1))</f>
        <v>3</v>
      </c>
      <c r="BG215" s="25">
        <f t="shared" si="102"/>
        <v>3</v>
      </c>
    </row>
    <row r="216" spans="1:59" x14ac:dyDescent="0.3">
      <c r="A216" s="1">
        <v>45667</v>
      </c>
      <c r="B216">
        <v>38.154400000000003</v>
      </c>
      <c r="C216">
        <v>38.154400000000003</v>
      </c>
      <c r="D216">
        <v>36.515500000000003</v>
      </c>
      <c r="E216">
        <v>36.515500000000003</v>
      </c>
      <c r="F216">
        <v>24866</v>
      </c>
      <c r="G216" s="29">
        <v>0.90866035896426001</v>
      </c>
      <c r="H216" s="29">
        <v>2.4884237076426698E-2</v>
      </c>
      <c r="I216" s="29">
        <v>5.8876367569935903E-2</v>
      </c>
      <c r="J216" s="29">
        <v>38.860129075861998</v>
      </c>
      <c r="K216" s="29">
        <v>-6.6648774378242695E-2</v>
      </c>
      <c r="L216" s="29">
        <v>0.4</v>
      </c>
      <c r="M216" s="29">
        <v>4.70150624825902E-2</v>
      </c>
      <c r="N216" s="29">
        <v>1.40234616451411</v>
      </c>
      <c r="O216" s="29">
        <v>-8.1581323520904497E-2</v>
      </c>
      <c r="P216" s="29">
        <v>-5.5602683536184597E-2</v>
      </c>
      <c r="Q216" s="29">
        <v>1.9841269841269799E-2</v>
      </c>
      <c r="R216" s="30">
        <v>254911.269</v>
      </c>
      <c r="S216" s="29">
        <v>3</v>
      </c>
      <c r="T216">
        <v>573.75199999999995</v>
      </c>
      <c r="U216" s="21"/>
      <c r="V216">
        <v>206</v>
      </c>
      <c r="W216" t="b">
        <f>V216&gt;=$C$4</f>
        <v>1</v>
      </c>
      <c r="X216">
        <f>IF(V216&lt;=$C$5,11,ROW()-$C$5+1)</f>
        <v>11</v>
      </c>
      <c r="Y216" s="14">
        <f t="shared" si="95"/>
        <v>206</v>
      </c>
      <c r="Z216" s="10">
        <f t="shared" si="103"/>
        <v>2.1498999999999953</v>
      </c>
      <c r="AA216" s="15">
        <f t="shared" si="104"/>
        <v>5.8876367569935917E-2</v>
      </c>
      <c r="AB216" s="15">
        <f t="shared" si="105"/>
        <v>0.90866035896425978</v>
      </c>
      <c r="AC216" s="10">
        <f t="shared" si="96"/>
        <v>2.4884237076426716E-2</v>
      </c>
      <c r="AD216">
        <f t="shared" si="106"/>
        <v>-2.1498999999999953</v>
      </c>
      <c r="AE216">
        <f t="shared" si="113"/>
        <v>0</v>
      </c>
      <c r="AF216">
        <f t="shared" si="114"/>
        <v>2.1498999999999953</v>
      </c>
      <c r="AG216">
        <f t="shared" si="116"/>
        <v>0.21627202405321874</v>
      </c>
      <c r="AH216">
        <f t="shared" si="116"/>
        <v>0.34026759747795399</v>
      </c>
      <c r="AI216">
        <f t="shared" si="107"/>
        <v>0.63559394328527286</v>
      </c>
      <c r="AJ216">
        <f t="shared" si="115"/>
        <v>38.860130651291819</v>
      </c>
      <c r="AK216" s="14">
        <f t="shared" si="97"/>
        <v>38.860130651291819</v>
      </c>
      <c r="AM216" s="14">
        <f t="shared" si="88"/>
        <v>-6.6648774378242792E-2</v>
      </c>
      <c r="AN216" s="36">
        <f t="shared" si="108"/>
        <v>-5.5602683536184694E-2</v>
      </c>
      <c r="AO216">
        <f t="shared" si="117"/>
        <v>0</v>
      </c>
      <c r="AP216" s="14">
        <f t="shared" si="118"/>
        <v>0.4</v>
      </c>
      <c r="AQ216">
        <f t="shared" si="109"/>
        <v>-1.526822369595382E-2</v>
      </c>
      <c r="AR216">
        <f t="shared" si="110"/>
        <v>-4.0334459840230777E-2</v>
      </c>
      <c r="AS216">
        <f t="shared" si="92"/>
        <v>6.3209543360308491E-4</v>
      </c>
      <c r="AT216">
        <f t="shared" si="93"/>
        <v>1.3444530331894296E-2</v>
      </c>
      <c r="AU216" s="14">
        <f t="shared" si="98"/>
        <v>4.701506248258986E-2</v>
      </c>
      <c r="AV216" s="19">
        <f t="shared" si="94"/>
        <v>1.4023461645141506</v>
      </c>
      <c r="AW216" s="19">
        <f t="shared" si="89"/>
        <v>-8.1581323520904525E-2</v>
      </c>
      <c r="AX216">
        <f t="shared" si="99"/>
        <v>0</v>
      </c>
      <c r="AY216">
        <f>IF(W216,SUMPRODUCT(INDEX(AX:AX,X216):INDEX(AX:AX,X216+Y216)),0)</f>
        <v>5</v>
      </c>
      <c r="AZ216">
        <f>IF(V216,COUNT(INDEX(AX:AX,X216):INDEX(AX:AX,ROW())),0)</f>
        <v>206</v>
      </c>
      <c r="BA216" s="14">
        <f t="shared" si="111"/>
        <v>2.4271844660194174E-2</v>
      </c>
      <c r="BB216" s="6">
        <f t="shared" si="100"/>
        <v>907994.42300000007</v>
      </c>
      <c r="BC216" s="6">
        <f>MEDIAN(INDEX(BB:BB,X216):INDEX(BB:BB,X216+Y216-1))</f>
        <v>264387.65299999999</v>
      </c>
      <c r="BD216" s="25">
        <f t="shared" si="101"/>
        <v>264387.65299999999</v>
      </c>
      <c r="BE216">
        <f t="shared" si="112"/>
        <v>0</v>
      </c>
      <c r="BF216" s="6">
        <f>SUM(INDEX(BE:BE,X216):INDEX(BE:BE,X216+Y216-1))</f>
        <v>3</v>
      </c>
      <c r="BG216" s="25">
        <f t="shared" si="102"/>
        <v>3</v>
      </c>
    </row>
    <row r="217" spans="1:59" x14ac:dyDescent="0.3">
      <c r="A217" s="1">
        <v>45670</v>
      </c>
      <c r="B217">
        <v>35.971400000000003</v>
      </c>
      <c r="C217">
        <v>36.561900000000001</v>
      </c>
      <c r="D217">
        <v>35.8386</v>
      </c>
      <c r="E217">
        <v>36.469000000000001</v>
      </c>
      <c r="F217">
        <v>19892</v>
      </c>
      <c r="G217" s="29">
        <v>0.89542033332395599</v>
      </c>
      <c r="H217" s="29">
        <v>2.4552917089142999E-2</v>
      </c>
      <c r="I217" s="29">
        <v>1.9833283062326901E-2</v>
      </c>
      <c r="J217" s="29">
        <v>38.611967000362299</v>
      </c>
      <c r="K217" s="29">
        <v>-6.8625322746647399E-2</v>
      </c>
      <c r="L217" s="29">
        <v>0.2</v>
      </c>
      <c r="M217" s="29">
        <v>3.7389323444101001E-2</v>
      </c>
      <c r="N217" s="29">
        <v>1.40369282465699</v>
      </c>
      <c r="O217" s="29">
        <v>-8.2750867097092104E-2</v>
      </c>
      <c r="P217" s="29">
        <v>-1.2734318303186901E-3</v>
      </c>
      <c r="Q217" s="29">
        <v>1.9841269841269799E-2</v>
      </c>
      <c r="R217" s="30">
        <v>255151.52424999999</v>
      </c>
      <c r="S217" s="29">
        <v>3</v>
      </c>
      <c r="T217">
        <v>574.64200000000005</v>
      </c>
      <c r="U217" s="21"/>
      <c r="V217">
        <v>207</v>
      </c>
      <c r="W217" t="b">
        <f>V217&gt;=$C$4</f>
        <v>1</v>
      </c>
      <c r="X217">
        <f>IF(V217&lt;=$C$5,11,ROW()-$C$5+1)</f>
        <v>11</v>
      </c>
      <c r="Y217" s="14">
        <f t="shared" si="95"/>
        <v>207</v>
      </c>
      <c r="Z217" s="10">
        <f t="shared" si="103"/>
        <v>0.72330000000000183</v>
      </c>
      <c r="AA217" s="15">
        <f t="shared" si="104"/>
        <v>1.9833283062326956E-2</v>
      </c>
      <c r="AB217" s="15">
        <f t="shared" si="105"/>
        <v>0.89542033332395565</v>
      </c>
      <c r="AC217" s="10">
        <f t="shared" si="96"/>
        <v>2.4552917089142989E-2</v>
      </c>
      <c r="AD217">
        <f t="shared" si="106"/>
        <v>-4.6500000000001762E-2</v>
      </c>
      <c r="AE217">
        <f t="shared" si="113"/>
        <v>0</v>
      </c>
      <c r="AF217">
        <f t="shared" si="114"/>
        <v>4.6500000000001762E-2</v>
      </c>
      <c r="AG217">
        <f t="shared" si="116"/>
        <v>0.20082402233513169</v>
      </c>
      <c r="AH217">
        <f t="shared" si="116"/>
        <v>0.31928419765810023</v>
      </c>
      <c r="AI217">
        <f t="shared" si="107"/>
        <v>0.6289820285756218</v>
      </c>
      <c r="AJ217">
        <f t="shared" si="115"/>
        <v>38.61196855103443</v>
      </c>
      <c r="AK217" s="14">
        <f t="shared" si="97"/>
        <v>38.61196855103443</v>
      </c>
      <c r="AM217" s="14">
        <f t="shared" si="88"/>
        <v>-6.8625322746647455E-2</v>
      </c>
      <c r="AN217" s="36">
        <f t="shared" si="108"/>
        <v>-1.2734318303186942E-3</v>
      </c>
      <c r="AO217">
        <f t="shared" si="117"/>
        <v>0</v>
      </c>
      <c r="AP217" s="14">
        <f t="shared" si="118"/>
        <v>0.2</v>
      </c>
      <c r="AQ217">
        <f t="shared" si="109"/>
        <v>1.5511928498725958E-3</v>
      </c>
      <c r="AR217">
        <f t="shared" si="110"/>
        <v>-2.8246246801912856E-3</v>
      </c>
      <c r="AS217">
        <f t="shared" si="92"/>
        <v>5.0242803163003038E-4</v>
      </c>
      <c r="AT217">
        <f t="shared" si="93"/>
        <v>1.3437740652921673E-2</v>
      </c>
      <c r="AU217" s="14">
        <f t="shared" si="98"/>
        <v>3.7389323444100772E-2</v>
      </c>
      <c r="AV217" s="19">
        <f t="shared" si="94"/>
        <v>1.4036928246570313</v>
      </c>
      <c r="AW217" s="19">
        <f t="shared" si="89"/>
        <v>-8.2750867097092118E-2</v>
      </c>
      <c r="AX217">
        <f t="shared" si="99"/>
        <v>0</v>
      </c>
      <c r="AY217">
        <f>IF(W217,SUMPRODUCT(INDEX(AX:AX,X217):INDEX(AX:AX,X217+Y217)),0)</f>
        <v>5</v>
      </c>
      <c r="AZ217">
        <f>IF(V217,COUNT(INDEX(AX:AX,X217):INDEX(AX:AX,ROW())),0)</f>
        <v>207</v>
      </c>
      <c r="BA217" s="14">
        <f t="shared" si="111"/>
        <v>2.4154589371980676E-2</v>
      </c>
      <c r="BB217" s="6">
        <f t="shared" si="100"/>
        <v>725441.348</v>
      </c>
      <c r="BC217" s="6">
        <f>MEDIAN(INDEX(BB:BB,X217):INDEX(BB:BB,X217+Y217-1))</f>
        <v>266393.98959999997</v>
      </c>
      <c r="BD217" s="25">
        <f t="shared" si="101"/>
        <v>266393.98959999997</v>
      </c>
      <c r="BE217">
        <f t="shared" si="112"/>
        <v>0</v>
      </c>
      <c r="BF217" s="6">
        <f>SUM(INDEX(BE:BE,X217):INDEX(BE:BE,X217+Y217-1))</f>
        <v>3</v>
      </c>
      <c r="BG217" s="25">
        <f t="shared" si="102"/>
        <v>3</v>
      </c>
    </row>
    <row r="218" spans="1:59" x14ac:dyDescent="0.3">
      <c r="A218" s="1">
        <v>45671</v>
      </c>
      <c r="B218">
        <v>36.601700000000001</v>
      </c>
      <c r="C218">
        <v>37.006500000000003</v>
      </c>
      <c r="D218">
        <v>36.469000000000001</v>
      </c>
      <c r="E218">
        <v>36.6614</v>
      </c>
      <c r="F218">
        <v>22002</v>
      </c>
      <c r="G218" s="29">
        <v>0.86985459522938702</v>
      </c>
      <c r="H218" s="29">
        <v>2.3726715161706501E-2</v>
      </c>
      <c r="I218" s="29">
        <v>1.46611967900844E-2</v>
      </c>
      <c r="J218" s="29">
        <v>40.310469289387299</v>
      </c>
      <c r="K218" s="29">
        <v>-7.7911723353898704E-2</v>
      </c>
      <c r="L218" s="29">
        <v>0.4</v>
      </c>
      <c r="M218" s="29">
        <v>3.6386841797893997E-2</v>
      </c>
      <c r="N218" s="29">
        <v>1.4018240647276401</v>
      </c>
      <c r="O218" s="29">
        <v>-6.5618309715567202E-2</v>
      </c>
      <c r="P218" s="29">
        <v>5.2757136197867302E-3</v>
      </c>
      <c r="Q218" s="29">
        <v>1.9841269841269799E-2</v>
      </c>
      <c r="R218" s="30">
        <v>255151.52424999999</v>
      </c>
      <c r="S218" s="29">
        <v>3</v>
      </c>
      <c r="T218">
        <v>575.43299999999999</v>
      </c>
      <c r="U218" s="21"/>
      <c r="V218">
        <v>208</v>
      </c>
      <c r="W218" t="b">
        <f>V218&gt;=$C$4</f>
        <v>1</v>
      </c>
      <c r="X218">
        <f>IF(V218&lt;=$C$5,11,ROW()-$C$5+1)</f>
        <v>11</v>
      </c>
      <c r="Y218" s="14">
        <f t="shared" si="95"/>
        <v>208</v>
      </c>
      <c r="Z218" s="10">
        <f t="shared" si="103"/>
        <v>0.53750000000000142</v>
      </c>
      <c r="AA218" s="15">
        <f t="shared" si="104"/>
        <v>1.4661196790084433E-2</v>
      </c>
      <c r="AB218" s="15">
        <f t="shared" si="105"/>
        <v>0.86985459522938746</v>
      </c>
      <c r="AC218" s="10">
        <f t="shared" si="96"/>
        <v>2.3726715161706522E-2</v>
      </c>
      <c r="AD218">
        <f t="shared" si="106"/>
        <v>0.19239999999999924</v>
      </c>
      <c r="AE218">
        <f t="shared" si="113"/>
        <v>0.19239999999999924</v>
      </c>
      <c r="AF218">
        <f t="shared" si="114"/>
        <v>0</v>
      </c>
      <c r="AG218">
        <f t="shared" si="116"/>
        <v>0.20022230645405079</v>
      </c>
      <c r="AH218">
        <f t="shared" si="116"/>
        <v>0.29647818353966449</v>
      </c>
      <c r="AI218">
        <f t="shared" si="107"/>
        <v>0.67533571632013167</v>
      </c>
      <c r="AJ218">
        <f t="shared" si="115"/>
        <v>40.310470894962108</v>
      </c>
      <c r="AK218" s="14">
        <f t="shared" si="97"/>
        <v>40.310470894962108</v>
      </c>
      <c r="AM218" s="14">
        <f t="shared" si="88"/>
        <v>-7.7911723353898732E-2</v>
      </c>
      <c r="AN218" s="36">
        <f t="shared" si="108"/>
        <v>5.2757136197867371E-3</v>
      </c>
      <c r="AO218">
        <f t="shared" si="117"/>
        <v>1</v>
      </c>
      <c r="AP218" s="14">
        <f t="shared" si="118"/>
        <v>0.4</v>
      </c>
      <c r="AQ218">
        <f t="shared" si="109"/>
        <v>1.3765092005109114E-3</v>
      </c>
      <c r="AR218">
        <f t="shared" si="110"/>
        <v>3.8992044192758188E-3</v>
      </c>
      <c r="AS218">
        <f t="shared" si="92"/>
        <v>4.8881335660947464E-4</v>
      </c>
      <c r="AT218">
        <f t="shared" si="93"/>
        <v>1.3433794538270948E-2</v>
      </c>
      <c r="AU218" s="14">
        <f t="shared" si="98"/>
        <v>3.6386841797893789E-2</v>
      </c>
      <c r="AV218" s="19">
        <f t="shared" si="94"/>
        <v>1.401824064727677</v>
      </c>
      <c r="AW218" s="19">
        <f t="shared" si="89"/>
        <v>-6.5618309715567258E-2</v>
      </c>
      <c r="AX218">
        <f t="shared" si="99"/>
        <v>0</v>
      </c>
      <c r="AY218">
        <f>IF(W218,SUMPRODUCT(INDEX(AX:AX,X218):INDEX(AX:AX,X218+Y218)),0)</f>
        <v>5</v>
      </c>
      <c r="AZ218">
        <f>IF(V218,COUNT(INDEX(AX:AX,X218):INDEX(AX:AX,ROW())),0)</f>
        <v>208</v>
      </c>
      <c r="BA218" s="14">
        <f t="shared" si="111"/>
        <v>2.403846153846154E-2</v>
      </c>
      <c r="BB218" s="6">
        <f t="shared" si="100"/>
        <v>806624.12280000001</v>
      </c>
      <c r="BC218" s="6">
        <f>MEDIAN(INDEX(BB:BB,X218):INDEX(BB:BB,X218+Y218-1))</f>
        <v>270628.56809999997</v>
      </c>
      <c r="BD218" s="25">
        <f t="shared" si="101"/>
        <v>270628.56809999997</v>
      </c>
      <c r="BE218">
        <f t="shared" si="112"/>
        <v>0</v>
      </c>
      <c r="BF218" s="6">
        <f>SUM(INDEX(BE:BE,X218):INDEX(BE:BE,X218+Y218-1))</f>
        <v>3</v>
      </c>
      <c r="BG218" s="25">
        <f t="shared" si="102"/>
        <v>3</v>
      </c>
    </row>
    <row r="219" spans="1:59" x14ac:dyDescent="0.3">
      <c r="A219" s="1">
        <v>45672</v>
      </c>
      <c r="B219">
        <v>37.583799999999997</v>
      </c>
      <c r="C219">
        <v>38.187600000000003</v>
      </c>
      <c r="D219">
        <v>37.583799999999997</v>
      </c>
      <c r="E219">
        <v>37.756300000000003</v>
      </c>
      <c r="F219">
        <v>14768</v>
      </c>
      <c r="G219" s="29">
        <v>0.91673640985586002</v>
      </c>
      <c r="H219" s="29">
        <v>2.42803561221798E-2</v>
      </c>
      <c r="I219" s="29">
        <v>4.0422393084068101E-2</v>
      </c>
      <c r="J219" s="29">
        <v>48.9643369844175</v>
      </c>
      <c r="K219" s="29">
        <v>-3.6401361828975E-2</v>
      </c>
      <c r="L219" s="29">
        <v>0.6</v>
      </c>
      <c r="M219" s="29">
        <v>5.2304238783594997E-2</v>
      </c>
      <c r="N219" s="29">
        <v>1.42827825551441</v>
      </c>
      <c r="O219" s="29">
        <v>-3.7712814761953199E-2</v>
      </c>
      <c r="P219" s="29">
        <v>2.98651988194669E-2</v>
      </c>
      <c r="Q219" s="29">
        <v>1.9841269841269799E-2</v>
      </c>
      <c r="R219" s="30">
        <v>256326.30064999999</v>
      </c>
      <c r="S219" s="29">
        <v>3</v>
      </c>
      <c r="T219">
        <v>585.9</v>
      </c>
      <c r="U219" s="21"/>
      <c r="V219">
        <v>209</v>
      </c>
      <c r="W219" t="b">
        <f>V219&gt;=$C$4</f>
        <v>1</v>
      </c>
      <c r="X219">
        <f>IF(V219&lt;=$C$5,11,ROW()-$C$5+1)</f>
        <v>11</v>
      </c>
      <c r="Y219" s="14">
        <f t="shared" si="95"/>
        <v>209</v>
      </c>
      <c r="Z219" s="10">
        <f t="shared" si="103"/>
        <v>1.5262000000000029</v>
      </c>
      <c r="AA219" s="15">
        <f t="shared" si="104"/>
        <v>4.0422393084068163E-2</v>
      </c>
      <c r="AB219" s="15">
        <f t="shared" si="105"/>
        <v>0.91673640985585991</v>
      </c>
      <c r="AC219" s="10">
        <f t="shared" si="96"/>
        <v>2.428035612217987E-2</v>
      </c>
      <c r="AD219">
        <f t="shared" si="106"/>
        <v>1.0949000000000026</v>
      </c>
      <c r="AE219">
        <f t="shared" si="113"/>
        <v>1.0949000000000026</v>
      </c>
      <c r="AF219">
        <f t="shared" si="114"/>
        <v>0</v>
      </c>
      <c r="AG219">
        <f t="shared" si="116"/>
        <v>0.26412785599304733</v>
      </c>
      <c r="AH219">
        <f t="shared" si="116"/>
        <v>0.27530117042968844</v>
      </c>
      <c r="AI219">
        <f t="shared" si="107"/>
        <v>0.95941421382552838</v>
      </c>
      <c r="AJ219">
        <f t="shared" si="115"/>
        <v>48.96433878329298</v>
      </c>
      <c r="AK219" s="14">
        <f t="shared" si="97"/>
        <v>48.96433878329298</v>
      </c>
      <c r="AM219" s="14">
        <f t="shared" si="88"/>
        <v>-3.6401361828975021E-2</v>
      </c>
      <c r="AN219" s="36">
        <f t="shared" si="108"/>
        <v>2.986519881946692E-2</v>
      </c>
      <c r="AO219">
        <f t="shared" si="117"/>
        <v>1</v>
      </c>
      <c r="AP219" s="14">
        <f t="shared" si="118"/>
        <v>0.6</v>
      </c>
      <c r="AQ219">
        <f t="shared" si="109"/>
        <v>1.8189780565243785E-2</v>
      </c>
      <c r="AR219">
        <f t="shared" si="110"/>
        <v>1.1675418254223115E-2</v>
      </c>
      <c r="AS219">
        <f t="shared" si="92"/>
        <v>7.0627242845663874E-4</v>
      </c>
      <c r="AT219">
        <f t="shared" si="93"/>
        <v>1.3503158537088993E-2</v>
      </c>
      <c r="AU219" s="14">
        <f t="shared" si="98"/>
        <v>5.2304238783594761E-2</v>
      </c>
      <c r="AV219" s="19">
        <f t="shared" si="94"/>
        <v>1.428278255514446</v>
      </c>
      <c r="AW219" s="19">
        <f t="shared" si="89"/>
        <v>-3.7712814761953206E-2</v>
      </c>
      <c r="AX219">
        <f t="shared" si="99"/>
        <v>0</v>
      </c>
      <c r="AY219">
        <f>IF(W219,SUMPRODUCT(INDEX(AX:AX,X219):INDEX(AX:AX,X219+Y219)),0)</f>
        <v>5</v>
      </c>
      <c r="AZ219">
        <f>IF(V219,COUNT(INDEX(AX:AX,X219):INDEX(AX:AX,ROW())),0)</f>
        <v>209</v>
      </c>
      <c r="BA219" s="14">
        <f t="shared" si="111"/>
        <v>2.3923444976076555E-2</v>
      </c>
      <c r="BB219" s="6">
        <f t="shared" si="100"/>
        <v>557585.03840000008</v>
      </c>
      <c r="BC219" s="6">
        <f>MEDIAN(INDEX(BB:BB,X219):INDEX(BB:BB,X219+Y219-1))</f>
        <v>274863.14659999998</v>
      </c>
      <c r="BD219" s="25">
        <f t="shared" si="101"/>
        <v>274863.14659999998</v>
      </c>
      <c r="BE219">
        <f t="shared" si="112"/>
        <v>0</v>
      </c>
      <c r="BF219" s="6">
        <f>SUM(INDEX(BE:BE,X219):INDEX(BE:BE,X219+Y219-1))</f>
        <v>3</v>
      </c>
      <c r="BG219" s="25">
        <f t="shared" si="102"/>
        <v>3</v>
      </c>
    </row>
    <row r="220" spans="1:59" x14ac:dyDescent="0.3">
      <c r="A220" s="1">
        <v>45673</v>
      </c>
      <c r="B220">
        <v>37.776200000000003</v>
      </c>
      <c r="C220">
        <v>38.167700000000004</v>
      </c>
      <c r="D220">
        <v>37.729799999999997</v>
      </c>
      <c r="E220">
        <v>38.167700000000004</v>
      </c>
      <c r="F220">
        <v>8590</v>
      </c>
      <c r="G220" s="29">
        <v>0.88253380915186996</v>
      </c>
      <c r="H220" s="29">
        <v>2.3122530546820199E-2</v>
      </c>
      <c r="I220" s="29">
        <v>1.14730518213045E-2</v>
      </c>
      <c r="J220" s="29">
        <v>51.792480150362998</v>
      </c>
      <c r="K220" s="29">
        <v>-1.91000465165286E-2</v>
      </c>
      <c r="L220" s="29">
        <v>0.6</v>
      </c>
      <c r="M220" s="29">
        <v>6.8934336499216001E-2</v>
      </c>
      <c r="N220" s="29">
        <v>1.42323742451077</v>
      </c>
      <c r="O220" s="29">
        <v>-2.72275461311038E-2</v>
      </c>
      <c r="P220" s="29">
        <v>1.08961948072241E-2</v>
      </c>
      <c r="Q220" s="29">
        <v>1.9841269841269799E-2</v>
      </c>
      <c r="R220" s="30">
        <v>258155.79399999999</v>
      </c>
      <c r="S220" s="29">
        <v>3</v>
      </c>
      <c r="T220">
        <v>584.77300000000002</v>
      </c>
      <c r="U220" s="21"/>
      <c r="V220">
        <v>210</v>
      </c>
      <c r="W220" t="b">
        <f>V220&gt;=$C$4</f>
        <v>1</v>
      </c>
      <c r="X220">
        <f>IF(V220&lt;=$C$5,11,ROW()-$C$5+1)</f>
        <v>11</v>
      </c>
      <c r="Y220" s="14">
        <f t="shared" si="95"/>
        <v>210</v>
      </c>
      <c r="Z220" s="10">
        <f t="shared" si="103"/>
        <v>0.43790000000000617</v>
      </c>
      <c r="AA220" s="15">
        <f t="shared" si="104"/>
        <v>1.1473051821304562E-2</v>
      </c>
      <c r="AB220" s="15">
        <f t="shared" si="105"/>
        <v>0.88253380915187041</v>
      </c>
      <c r="AC220" s="10">
        <f t="shared" si="96"/>
        <v>2.3122530546820227E-2</v>
      </c>
      <c r="AD220">
        <f t="shared" si="106"/>
        <v>0.41140000000000043</v>
      </c>
      <c r="AE220">
        <f t="shared" si="113"/>
        <v>0.41140000000000043</v>
      </c>
      <c r="AF220">
        <f t="shared" si="114"/>
        <v>0</v>
      </c>
      <c r="AG220">
        <f t="shared" si="116"/>
        <v>0.27464729485068684</v>
      </c>
      <c r="AH220">
        <f t="shared" si="116"/>
        <v>0.25563680111328213</v>
      </c>
      <c r="AI220">
        <f t="shared" si="107"/>
        <v>1.0743652465318578</v>
      </c>
      <c r="AJ220">
        <f t="shared" si="115"/>
        <v>51.792481981082872</v>
      </c>
      <c r="AK220" s="14">
        <f t="shared" si="97"/>
        <v>51.792481981082872</v>
      </c>
      <c r="AM220" s="14">
        <f t="shared" si="88"/>
        <v>-1.9100046516528635E-2</v>
      </c>
      <c r="AN220" s="36">
        <f t="shared" si="108"/>
        <v>1.0896194807224147E-2</v>
      </c>
      <c r="AO220">
        <f t="shared" si="117"/>
        <v>1</v>
      </c>
      <c r="AP220" s="14">
        <f t="shared" si="118"/>
        <v>0.6</v>
      </c>
      <c r="AQ220">
        <f t="shared" si="109"/>
        <v>-1.9235364396653631E-3</v>
      </c>
      <c r="AR220">
        <f t="shared" si="110"/>
        <v>1.2819731246889463E-2</v>
      </c>
      <c r="AS220">
        <f t="shared" si="92"/>
        <v>9.3648262231693928E-4</v>
      </c>
      <c r="AT220">
        <f t="shared" si="93"/>
        <v>1.3585140147502452E-2</v>
      </c>
      <c r="AU220" s="14">
        <f t="shared" si="98"/>
        <v>6.8934336499215737E-2</v>
      </c>
      <c r="AV220" s="19">
        <f t="shared" si="94"/>
        <v>1.4232374245108128</v>
      </c>
      <c r="AW220" s="19">
        <f t="shared" si="89"/>
        <v>-2.7227546131103897E-2</v>
      </c>
      <c r="AX220">
        <f t="shared" si="99"/>
        <v>0</v>
      </c>
      <c r="AY220">
        <f>IF(W220,SUMPRODUCT(INDEX(AX:AX,X220):INDEX(AX:AX,X220+Y220)),0)</f>
        <v>5</v>
      </c>
      <c r="AZ220">
        <f>IF(V220,COUNT(INDEX(AX:AX,X220):INDEX(AX:AX,ROW())),0)</f>
        <v>210</v>
      </c>
      <c r="BA220" s="14">
        <f t="shared" si="111"/>
        <v>2.3809523809523808E-2</v>
      </c>
      <c r="BB220" s="6">
        <f t="shared" si="100"/>
        <v>327860.54300000001</v>
      </c>
      <c r="BC220" s="6">
        <f>MEDIAN(INDEX(BB:BB,X220):INDEX(BB:BB,X220+Y220-1))</f>
        <v>276839.02119999996</v>
      </c>
      <c r="BD220" s="25">
        <f t="shared" si="101"/>
        <v>276839.02119999996</v>
      </c>
      <c r="BE220">
        <f t="shared" si="112"/>
        <v>0</v>
      </c>
      <c r="BF220" s="6">
        <f>SUM(INDEX(BE:BE,X220):INDEX(BE:BE,X220+Y220-1))</f>
        <v>3</v>
      </c>
      <c r="BG220" s="25">
        <f t="shared" si="102"/>
        <v>3</v>
      </c>
    </row>
    <row r="221" spans="1:59" x14ac:dyDescent="0.3">
      <c r="A221" s="1">
        <v>45674</v>
      </c>
      <c r="B221">
        <v>38.605699999999999</v>
      </c>
      <c r="C221">
        <v>38.671999999999997</v>
      </c>
      <c r="D221">
        <v>38.512799999999999</v>
      </c>
      <c r="E221">
        <v>38.559199999999997</v>
      </c>
      <c r="F221">
        <v>11453</v>
      </c>
      <c r="G221" s="29">
        <v>0.85551710849816498</v>
      </c>
      <c r="H221" s="29">
        <v>2.2187107318050299E-2</v>
      </c>
      <c r="I221" s="29">
        <v>1.3078590842133401E-2</v>
      </c>
      <c r="J221" s="29">
        <v>54.383110563214899</v>
      </c>
      <c r="K221" s="29">
        <v>-1.7249464777245399E-2</v>
      </c>
      <c r="L221" s="29">
        <v>0.8</v>
      </c>
      <c r="M221" s="29">
        <v>4.5359646834575898E-2</v>
      </c>
      <c r="N221" s="29">
        <v>1.39656339470668</v>
      </c>
      <c r="O221" s="29">
        <v>-1.30790218632104E-2</v>
      </c>
      <c r="P221" s="29">
        <v>1.0257364211099599E-2</v>
      </c>
      <c r="Q221" s="29">
        <v>1.9841269841269799E-2</v>
      </c>
      <c r="R221" s="30">
        <v>258155.79399999999</v>
      </c>
      <c r="S221" s="29">
        <v>3</v>
      </c>
      <c r="T221">
        <v>590.64400000000001</v>
      </c>
      <c r="U221" s="21"/>
      <c r="V221">
        <v>211</v>
      </c>
      <c r="W221" t="b">
        <f>V221&gt;=$C$4</f>
        <v>1</v>
      </c>
      <c r="X221">
        <f>IF(V221&lt;=$C$5,11,ROW()-$C$5+1)</f>
        <v>11</v>
      </c>
      <c r="Y221" s="14">
        <f t="shared" si="95"/>
        <v>211</v>
      </c>
      <c r="Z221" s="10">
        <f t="shared" si="103"/>
        <v>0.50429999999999353</v>
      </c>
      <c r="AA221" s="15">
        <f t="shared" si="104"/>
        <v>1.3078590842133487E-2</v>
      </c>
      <c r="AB221" s="15">
        <f t="shared" si="105"/>
        <v>0.85551710849816487</v>
      </c>
      <c r="AC221" s="10">
        <f t="shared" si="96"/>
        <v>2.2187107318050295E-2</v>
      </c>
      <c r="AD221">
        <f t="shared" si="106"/>
        <v>0.39149999999999352</v>
      </c>
      <c r="AE221">
        <f t="shared" si="113"/>
        <v>0.39149999999999352</v>
      </c>
      <c r="AF221">
        <f t="shared" si="114"/>
        <v>0</v>
      </c>
      <c r="AG221">
        <f t="shared" si="116"/>
        <v>0.28299391664706591</v>
      </c>
      <c r="AH221">
        <f t="shared" si="116"/>
        <v>0.23737702960519055</v>
      </c>
      <c r="AI221">
        <f t="shared" si="107"/>
        <v>1.192170603523627</v>
      </c>
      <c r="AJ221">
        <f t="shared" si="115"/>
        <v>54.383112409561967</v>
      </c>
      <c r="AK221" s="14">
        <f t="shared" si="97"/>
        <v>54.383112409561967</v>
      </c>
      <c r="AM221" s="14">
        <f t="shared" si="88"/>
        <v>-1.7249464777245427E-2</v>
      </c>
      <c r="AN221" s="36">
        <f t="shared" si="108"/>
        <v>1.0257364211099684E-2</v>
      </c>
      <c r="AO221">
        <f t="shared" si="117"/>
        <v>1</v>
      </c>
      <c r="AP221" s="14">
        <f t="shared" si="118"/>
        <v>0.8</v>
      </c>
      <c r="AQ221">
        <f t="shared" si="109"/>
        <v>1.0039793218907134E-2</v>
      </c>
      <c r="AR221">
        <f t="shared" si="110"/>
        <v>2.175709921924656E-4</v>
      </c>
      <c r="AS221">
        <f t="shared" si="92"/>
        <v>6.0499340522091884E-4</v>
      </c>
      <c r="AT221">
        <f t="shared" si="93"/>
        <v>1.3337700961987241E-2</v>
      </c>
      <c r="AU221" s="14">
        <f t="shared" si="98"/>
        <v>4.5359646834575475E-2</v>
      </c>
      <c r="AV221" s="19">
        <f t="shared" si="94"/>
        <v>1.3965633947067146</v>
      </c>
      <c r="AW221" s="19">
        <f t="shared" si="89"/>
        <v>-1.3079021863210416E-2</v>
      </c>
      <c r="AX221">
        <f t="shared" si="99"/>
        <v>0</v>
      </c>
      <c r="AY221">
        <f>IF(W221,SUMPRODUCT(INDEX(AX:AX,X221):INDEX(AX:AX,X221+Y221)),0)</f>
        <v>5</v>
      </c>
      <c r="AZ221">
        <f>IF(V221,COUNT(INDEX(AX:AX,X221):INDEX(AX:AX,ROW())),0)</f>
        <v>211</v>
      </c>
      <c r="BA221" s="14">
        <f t="shared" si="111"/>
        <v>2.3696682464454975E-2</v>
      </c>
      <c r="BB221" s="6">
        <f t="shared" si="100"/>
        <v>441618.51759999996</v>
      </c>
      <c r="BC221" s="6">
        <f>MEDIAN(INDEX(BB:BB,X221):INDEX(BB:BB,X221+Y221-1))</f>
        <v>278814.8958</v>
      </c>
      <c r="BD221" s="25">
        <f t="shared" si="101"/>
        <v>278814.8958</v>
      </c>
      <c r="BE221">
        <f t="shared" si="112"/>
        <v>0</v>
      </c>
      <c r="BF221" s="6">
        <f>SUM(INDEX(BE:BE,X221):INDEX(BE:BE,X221+Y221-1))</f>
        <v>3</v>
      </c>
      <c r="BG221" s="25">
        <f t="shared" si="102"/>
        <v>3</v>
      </c>
    </row>
    <row r="222" spans="1:59" x14ac:dyDescent="0.3">
      <c r="A222" s="1">
        <v>45678</v>
      </c>
      <c r="B222">
        <v>38.7517</v>
      </c>
      <c r="C222">
        <v>39.7271</v>
      </c>
      <c r="D222">
        <v>38.7517</v>
      </c>
      <c r="E222">
        <v>39.6342</v>
      </c>
      <c r="F222">
        <v>24715</v>
      </c>
      <c r="G222" s="29">
        <v>0.87783017217686798</v>
      </c>
      <c r="H222" s="29">
        <v>2.2148300512609499E-2</v>
      </c>
      <c r="I222" s="29">
        <v>2.9466975490864002E-2</v>
      </c>
      <c r="J222" s="29">
        <v>60.638118954717001</v>
      </c>
      <c r="K222" s="29">
        <v>1.4435554463504099E-2</v>
      </c>
      <c r="L222" s="29">
        <v>1</v>
      </c>
      <c r="M222" s="29">
        <v>5.74846790511849E-2</v>
      </c>
      <c r="N222" s="29">
        <v>1.4255491301626799</v>
      </c>
      <c r="O222" s="29">
        <v>0</v>
      </c>
      <c r="P222" s="29">
        <v>2.78792091122224E-2</v>
      </c>
      <c r="Q222" s="29">
        <v>1.9841269841269799E-2</v>
      </c>
      <c r="R222" s="30">
        <v>259065.24280000001</v>
      </c>
      <c r="S222" s="29">
        <v>3</v>
      </c>
      <c r="T222">
        <v>596.04999999999995</v>
      </c>
      <c r="U222" s="21"/>
      <c r="V222">
        <v>212</v>
      </c>
      <c r="W222" t="b">
        <f>V222&gt;=$C$4</f>
        <v>1</v>
      </c>
      <c r="X222">
        <f>IF(V222&lt;=$C$5,11,ROW()-$C$5+1)</f>
        <v>11</v>
      </c>
      <c r="Y222" s="14">
        <f t="shared" si="95"/>
        <v>212</v>
      </c>
      <c r="Z222" s="10">
        <f t="shared" si="103"/>
        <v>1.167900000000003</v>
      </c>
      <c r="AA222" s="15">
        <f t="shared" si="104"/>
        <v>2.9466975490864029E-2</v>
      </c>
      <c r="AB222" s="15">
        <f t="shared" si="105"/>
        <v>0.87783017217686765</v>
      </c>
      <c r="AC222" s="10">
        <f t="shared" si="96"/>
        <v>2.2148300512609506E-2</v>
      </c>
      <c r="AD222">
        <f t="shared" si="106"/>
        <v>1.0750000000000028</v>
      </c>
      <c r="AE222">
        <f t="shared" si="113"/>
        <v>1.0750000000000028</v>
      </c>
      <c r="AF222">
        <f t="shared" si="114"/>
        <v>0</v>
      </c>
      <c r="AG222">
        <f t="shared" ref="AG222:AH237" si="119">(AE222+13*AG221)/14</f>
        <v>0.33956577974370422</v>
      </c>
      <c r="AH222">
        <f t="shared" si="119"/>
        <v>0.22042152749053409</v>
      </c>
      <c r="AI222">
        <f t="shared" si="107"/>
        <v>1.5405291107888122</v>
      </c>
      <c r="AJ222">
        <f t="shared" si="115"/>
        <v>60.638120785417463</v>
      </c>
      <c r="AK222" s="14">
        <f t="shared" si="97"/>
        <v>60.638120785417463</v>
      </c>
      <c r="AM222" s="14">
        <f t="shared" si="88"/>
        <v>1.4435554463504197E-2</v>
      </c>
      <c r="AN222" s="36">
        <f t="shared" si="108"/>
        <v>2.7879209112222414E-2</v>
      </c>
      <c r="AO222">
        <f t="shared" si="117"/>
        <v>1</v>
      </c>
      <c r="AP222" s="14">
        <f t="shared" si="118"/>
        <v>1</v>
      </c>
      <c r="AQ222">
        <f t="shared" si="109"/>
        <v>9.1527214362627785E-3</v>
      </c>
      <c r="AR222">
        <f t="shared" si="110"/>
        <v>1.8726487675959622E-2</v>
      </c>
      <c r="AS222">
        <f t="shared" si="92"/>
        <v>7.7613302004122533E-4</v>
      </c>
      <c r="AT222">
        <f t="shared" si="93"/>
        <v>1.3501563074748217E-2</v>
      </c>
      <c r="AU222" s="14">
        <f t="shared" si="98"/>
        <v>5.7484679051184519E-2</v>
      </c>
      <c r="AV222" s="19">
        <f t="shared" si="94"/>
        <v>1.4255491301627206</v>
      </c>
      <c r="AW222" s="19">
        <f t="shared" si="89"/>
        <v>0</v>
      </c>
      <c r="AX222">
        <f t="shared" si="99"/>
        <v>0</v>
      </c>
      <c r="AY222">
        <f>IF(W222,SUMPRODUCT(INDEX(AX:AX,X222):INDEX(AX:AX,X222+Y222)),0)</f>
        <v>5</v>
      </c>
      <c r="AZ222">
        <f>IF(V222,COUNT(INDEX(AX:AX,X222):INDEX(AX:AX,ROW())),0)</f>
        <v>212</v>
      </c>
      <c r="BA222" s="14">
        <f t="shared" si="111"/>
        <v>2.358490566037736E-2</v>
      </c>
      <c r="BB222" s="6">
        <f t="shared" si="100"/>
        <v>979559.25300000003</v>
      </c>
      <c r="BC222" s="6">
        <f>MEDIAN(INDEX(BB:BB,X222):INDEX(BB:BB,X222+Y222-1))</f>
        <v>279454.46490000002</v>
      </c>
      <c r="BD222" s="25">
        <f t="shared" si="101"/>
        <v>279454.46490000002</v>
      </c>
      <c r="BE222">
        <f t="shared" si="112"/>
        <v>0</v>
      </c>
      <c r="BF222" s="6">
        <f>SUM(INDEX(BE:BE,X222):INDEX(BE:BE,X222+Y222-1))</f>
        <v>3</v>
      </c>
      <c r="BG222" s="25">
        <f t="shared" si="102"/>
        <v>3</v>
      </c>
    </row>
    <row r="223" spans="1:59" x14ac:dyDescent="0.3">
      <c r="A223" s="1">
        <v>45679</v>
      </c>
      <c r="B223">
        <v>39.4756</v>
      </c>
      <c r="C223">
        <v>39.4756</v>
      </c>
      <c r="D223">
        <v>39.136499999999998</v>
      </c>
      <c r="E223">
        <v>39.136499999999998</v>
      </c>
      <c r="F223">
        <v>11152</v>
      </c>
      <c r="G223" s="29">
        <v>0.85067801702137702</v>
      </c>
      <c r="H223" s="29">
        <v>2.1736180215946099E-2</v>
      </c>
      <c r="I223" s="29">
        <v>1.27170288605266E-2</v>
      </c>
      <c r="J223" s="29">
        <v>56.757764735265901</v>
      </c>
      <c r="K223" s="29">
        <v>6.3853211009174293E-2</v>
      </c>
      <c r="L223" s="29">
        <v>0.8</v>
      </c>
      <c r="M223" s="29">
        <v>1.52753376663594E-2</v>
      </c>
      <c r="N223" s="29">
        <v>1.3911707278337699</v>
      </c>
      <c r="O223" s="29">
        <v>-1.25573368454516E-2</v>
      </c>
      <c r="P223" s="29">
        <v>-1.25573368454516E-2</v>
      </c>
      <c r="Q223" s="29">
        <v>1.9841269841269799E-2</v>
      </c>
      <c r="R223" s="30">
        <v>259065.24280000001</v>
      </c>
      <c r="S223" s="29">
        <v>3</v>
      </c>
      <c r="T223">
        <v>599.40099999999995</v>
      </c>
      <c r="U223" s="21"/>
      <c r="V223">
        <v>213</v>
      </c>
      <c r="W223" t="b">
        <f>V223&gt;=$C$4</f>
        <v>1</v>
      </c>
      <c r="X223">
        <f>IF(V223&lt;=$C$5,11,ROW()-$C$5+1)</f>
        <v>11</v>
      </c>
      <c r="Y223" s="14">
        <f t="shared" si="95"/>
        <v>213</v>
      </c>
      <c r="Z223" s="10">
        <f t="shared" si="103"/>
        <v>0.49770000000000181</v>
      </c>
      <c r="AA223" s="15">
        <f t="shared" si="104"/>
        <v>1.2717028860526666E-2</v>
      </c>
      <c r="AB223" s="15">
        <f t="shared" si="105"/>
        <v>0.85067801702137724</v>
      </c>
      <c r="AC223" s="10">
        <f t="shared" si="96"/>
        <v>2.1736180215946171E-2</v>
      </c>
      <c r="AD223">
        <f t="shared" si="106"/>
        <v>-0.49770000000000181</v>
      </c>
      <c r="AE223">
        <f t="shared" si="113"/>
        <v>0</v>
      </c>
      <c r="AF223">
        <f t="shared" si="114"/>
        <v>0.49770000000000181</v>
      </c>
      <c r="AG223">
        <f t="shared" si="119"/>
        <v>0.31531108119058249</v>
      </c>
      <c r="AH223">
        <f t="shared" si="119"/>
        <v>0.2402271326697818</v>
      </c>
      <c r="AI223">
        <f t="shared" si="107"/>
        <v>1.3125539887453583</v>
      </c>
      <c r="AJ223">
        <f t="shared" si="115"/>
        <v>56.757766310894432</v>
      </c>
      <c r="AK223" s="14">
        <f t="shared" si="97"/>
        <v>56.757766310894432</v>
      </c>
      <c r="AM223" s="14">
        <f t="shared" si="88"/>
        <v>6.3853211009174293E-2</v>
      </c>
      <c r="AN223" s="36">
        <f t="shared" si="108"/>
        <v>-1.2557336845451683E-2</v>
      </c>
      <c r="AO223">
        <f t="shared" si="117"/>
        <v>0</v>
      </c>
      <c r="AP223" s="14">
        <f t="shared" si="118"/>
        <v>0.8</v>
      </c>
      <c r="AQ223">
        <f t="shared" si="109"/>
        <v>5.6220115762100065E-3</v>
      </c>
      <c r="AR223">
        <f t="shared" si="110"/>
        <v>-1.8179348421661606E-2</v>
      </c>
      <c r="AS223">
        <f t="shared" si="92"/>
        <v>2.067210548574699E-4</v>
      </c>
      <c r="AT223">
        <f t="shared" si="93"/>
        <v>1.3532994122462573E-2</v>
      </c>
      <c r="AU223" s="14">
        <f t="shared" si="98"/>
        <v>1.5275337666359178E-2</v>
      </c>
      <c r="AV223" s="19">
        <f t="shared" si="94"/>
        <v>1.3911707278338037</v>
      </c>
      <c r="AW223" s="19">
        <f t="shared" si="89"/>
        <v>-1.2557336845451683E-2</v>
      </c>
      <c r="AX223">
        <f t="shared" si="99"/>
        <v>0</v>
      </c>
      <c r="AY223">
        <f>IF(W223,SUMPRODUCT(INDEX(AX:AX,X223):INDEX(AX:AX,X223+Y223)),0)</f>
        <v>5</v>
      </c>
      <c r="AZ223">
        <f>IF(V223,COUNT(INDEX(AX:AX,X223):INDEX(AX:AX,ROW())),0)</f>
        <v>213</v>
      </c>
      <c r="BA223" s="14">
        <f t="shared" si="111"/>
        <v>2.3474178403755867E-2</v>
      </c>
      <c r="BB223" s="6">
        <f t="shared" si="100"/>
        <v>436450.24799999996</v>
      </c>
      <c r="BC223" s="6">
        <f>MEDIAN(INDEX(BB:BB,X223):INDEX(BB:BB,X223+Y223-1))</f>
        <v>280094.03400000004</v>
      </c>
      <c r="BD223" s="25">
        <f t="shared" si="101"/>
        <v>280094.03400000004</v>
      </c>
      <c r="BE223">
        <f t="shared" si="112"/>
        <v>0</v>
      </c>
      <c r="BF223" s="6">
        <f>SUM(INDEX(BE:BE,X223):INDEX(BE:BE,X223+Y223-1))</f>
        <v>3</v>
      </c>
      <c r="BG223" s="25">
        <f t="shared" si="102"/>
        <v>3</v>
      </c>
    </row>
    <row r="224" spans="1:59" x14ac:dyDescent="0.3">
      <c r="A224" s="1">
        <v>45680</v>
      </c>
      <c r="B224">
        <v>38.871099999999998</v>
      </c>
      <c r="C224">
        <v>39.514699999999998</v>
      </c>
      <c r="D224">
        <v>38.871099999999998</v>
      </c>
      <c r="E224">
        <v>39.468299999999999</v>
      </c>
      <c r="F224">
        <v>7836</v>
      </c>
      <c r="G224" s="29">
        <v>0.83588673009127901</v>
      </c>
      <c r="H224" s="29">
        <v>2.1178685935073899E-2</v>
      </c>
      <c r="I224" s="29">
        <v>1.6306757575066499E-2</v>
      </c>
      <c r="J224" s="29">
        <v>58.657176857512198</v>
      </c>
      <c r="K224" s="29">
        <v>7.1134305998827599E-2</v>
      </c>
      <c r="L224" s="29">
        <v>0.8</v>
      </c>
      <c r="M224" s="29">
        <v>3.8560430219763901E-2</v>
      </c>
      <c r="N224" s="29">
        <v>1.3836413103340199</v>
      </c>
      <c r="O224" s="29">
        <v>-4.1857789484839297E-3</v>
      </c>
      <c r="P224" s="29">
        <v>8.4780192403510705E-3</v>
      </c>
      <c r="Q224" s="29">
        <v>1.9841269841269799E-2</v>
      </c>
      <c r="R224" s="30">
        <v>259065.24280000001</v>
      </c>
      <c r="S224" s="29">
        <v>3</v>
      </c>
      <c r="T224">
        <v>602.673</v>
      </c>
      <c r="U224" s="21"/>
      <c r="V224">
        <v>214</v>
      </c>
      <c r="W224" t="b">
        <f>V224&gt;=$C$4</f>
        <v>1</v>
      </c>
      <c r="X224">
        <f>IF(V224&lt;=$C$5,11,ROW()-$C$5+1)</f>
        <v>11</v>
      </c>
      <c r="Y224" s="14">
        <f t="shared" si="95"/>
        <v>214</v>
      </c>
      <c r="Z224" s="10">
        <f t="shared" si="103"/>
        <v>0.64359999999999928</v>
      </c>
      <c r="AA224" s="15">
        <f t="shared" si="104"/>
        <v>1.6306757575066555E-2</v>
      </c>
      <c r="AB224" s="15">
        <f t="shared" si="105"/>
        <v>0.83588673009127878</v>
      </c>
      <c r="AC224" s="10">
        <f t="shared" si="96"/>
        <v>2.1178685935073941E-2</v>
      </c>
      <c r="AD224">
        <f t="shared" si="106"/>
        <v>0.33180000000000121</v>
      </c>
      <c r="AE224">
        <f t="shared" si="113"/>
        <v>0.33180000000000121</v>
      </c>
      <c r="AF224">
        <f t="shared" si="114"/>
        <v>0</v>
      </c>
      <c r="AG224">
        <f t="shared" si="119"/>
        <v>0.31648886110554092</v>
      </c>
      <c r="AH224">
        <f t="shared" si="119"/>
        <v>0.22306805176479738</v>
      </c>
      <c r="AI224">
        <f t="shared" si="107"/>
        <v>1.4187995932256865</v>
      </c>
      <c r="AJ224">
        <f t="shared" si="115"/>
        <v>58.657178428477813</v>
      </c>
      <c r="AK224" s="14">
        <f t="shared" si="97"/>
        <v>58.657178428477813</v>
      </c>
      <c r="AM224" s="14">
        <f t="shared" ref="AM224:AM287" si="120">E224/E203-1</f>
        <v>7.113430599882764E-2</v>
      </c>
      <c r="AN224" s="36">
        <f t="shared" si="108"/>
        <v>8.4780192403510757E-3</v>
      </c>
      <c r="AO224">
        <f t="shared" si="117"/>
        <v>1</v>
      </c>
      <c r="AP224" s="14">
        <f t="shared" si="118"/>
        <v>0.8</v>
      </c>
      <c r="AQ224">
        <f t="shared" si="109"/>
        <v>5.4587830183800978E-3</v>
      </c>
      <c r="AR224">
        <f t="shared" si="110"/>
        <v>3.0192362219709726E-3</v>
      </c>
      <c r="AS224">
        <f t="shared" si="92"/>
        <v>5.1548102444868324E-4</v>
      </c>
      <c r="AT224">
        <f t="shared" si="93"/>
        <v>1.3368134678758872E-2</v>
      </c>
      <c r="AU224" s="14">
        <f t="shared" si="98"/>
        <v>3.8560430219763589E-2</v>
      </c>
      <c r="AV224" s="19">
        <f t="shared" si="94"/>
        <v>1.3836413103340541</v>
      </c>
      <c r="AW224" s="19">
        <f t="shared" ref="AW224:AW287" si="121">(E224/MAX(E204:E224)-1)</f>
        <v>-4.1857789484839314E-3</v>
      </c>
      <c r="AX224">
        <f t="shared" si="99"/>
        <v>0</v>
      </c>
      <c r="AY224">
        <f>IF(W224,SUMPRODUCT(INDEX(AX:AX,X224):INDEX(AX:AX,X224+Y224)),0)</f>
        <v>5</v>
      </c>
      <c r="AZ224">
        <f>IF(V224,COUNT(INDEX(AX:AX,X224):INDEX(AX:AX,ROW())),0)</f>
        <v>214</v>
      </c>
      <c r="BA224" s="14">
        <f t="shared" si="111"/>
        <v>2.336448598130841E-2</v>
      </c>
      <c r="BB224" s="6">
        <f t="shared" si="100"/>
        <v>309273.59879999998</v>
      </c>
      <c r="BC224" s="6">
        <f>MEDIAN(INDEX(BB:BB,X224):INDEX(BB:BB,X224+Y224-1))</f>
        <v>281577.78769999999</v>
      </c>
      <c r="BD224" s="25">
        <f t="shared" si="101"/>
        <v>281577.78769999999</v>
      </c>
      <c r="BE224">
        <f t="shared" si="112"/>
        <v>0</v>
      </c>
      <c r="BF224" s="6">
        <f>SUM(INDEX(BE:BE,X224):INDEX(BE:BE,X224+Y224-1))</f>
        <v>3</v>
      </c>
      <c r="BG224" s="25">
        <f t="shared" si="102"/>
        <v>3</v>
      </c>
    </row>
    <row r="225" spans="1:59" x14ac:dyDescent="0.3">
      <c r="A225" s="1">
        <v>45681</v>
      </c>
      <c r="B225">
        <v>39.514699999999998</v>
      </c>
      <c r="C225">
        <v>40.510100000000001</v>
      </c>
      <c r="D225">
        <v>39.514699999999998</v>
      </c>
      <c r="E225">
        <v>40.510100000000001</v>
      </c>
      <c r="F225">
        <v>16878</v>
      </c>
      <c r="G225" s="29">
        <v>0.85059482079904503</v>
      </c>
      <c r="H225" s="29">
        <v>2.0997104939238401E-2</v>
      </c>
      <c r="I225" s="29">
        <v>2.57170434039906E-2</v>
      </c>
      <c r="J225" s="29">
        <v>64.003594276599301</v>
      </c>
      <c r="K225" s="29">
        <v>8.9789736471145298E-2</v>
      </c>
      <c r="L225" s="29">
        <v>0.8</v>
      </c>
      <c r="M225" s="29">
        <v>9.3183941383052998E-2</v>
      </c>
      <c r="N225" s="29">
        <v>1.35383874640482</v>
      </c>
      <c r="O225" s="29">
        <v>0</v>
      </c>
      <c r="P225" s="29">
        <v>2.6395867062934002E-2</v>
      </c>
      <c r="Q225" s="29">
        <v>1.9841269841269799E-2</v>
      </c>
      <c r="R225" s="30">
        <v>259227.2212</v>
      </c>
      <c r="S225" s="29">
        <v>3</v>
      </c>
      <c r="T225">
        <v>600.91300000000001</v>
      </c>
      <c r="U225" s="21"/>
      <c r="V225">
        <v>215</v>
      </c>
      <c r="W225" t="b">
        <f>V225&gt;=$C$4</f>
        <v>1</v>
      </c>
      <c r="X225">
        <f>IF(V225&lt;=$C$5,11,ROW()-$C$5+1)</f>
        <v>11</v>
      </c>
      <c r="Y225" s="14">
        <f t="shared" si="95"/>
        <v>215</v>
      </c>
      <c r="Z225" s="10">
        <f t="shared" si="103"/>
        <v>1.0418000000000021</v>
      </c>
      <c r="AA225" s="15">
        <f t="shared" si="104"/>
        <v>2.5717043403990659E-2</v>
      </c>
      <c r="AB225" s="15">
        <f t="shared" si="105"/>
        <v>0.85059482079904469</v>
      </c>
      <c r="AC225" s="10">
        <f t="shared" si="96"/>
        <v>2.0997104939238478E-2</v>
      </c>
      <c r="AD225">
        <f t="shared" si="106"/>
        <v>1.0418000000000021</v>
      </c>
      <c r="AE225">
        <f t="shared" si="113"/>
        <v>1.0418000000000021</v>
      </c>
      <c r="AF225">
        <f t="shared" si="114"/>
        <v>0</v>
      </c>
      <c r="AG225">
        <f t="shared" si="119"/>
        <v>0.36829679959800243</v>
      </c>
      <c r="AH225">
        <f t="shared" si="119"/>
        <v>0.20713461949588327</v>
      </c>
      <c r="AI225">
        <f t="shared" si="107"/>
        <v>1.7780552593977281</v>
      </c>
      <c r="AJ225">
        <f t="shared" si="115"/>
        <v>64.003595802597673</v>
      </c>
      <c r="AK225" s="14">
        <f t="shared" si="97"/>
        <v>64.003595802597673</v>
      </c>
      <c r="AM225" s="14">
        <f t="shared" si="120"/>
        <v>8.9789736471145298E-2</v>
      </c>
      <c r="AN225" s="36">
        <f t="shared" si="108"/>
        <v>2.6395867062934064E-2</v>
      </c>
      <c r="AO225">
        <f t="shared" si="117"/>
        <v>1</v>
      </c>
      <c r="AP225" s="14">
        <f t="shared" si="118"/>
        <v>0.8</v>
      </c>
      <c r="AQ225">
        <f t="shared" si="109"/>
        <v>-2.9203232930626877E-3</v>
      </c>
      <c r="AR225">
        <f t="shared" si="110"/>
        <v>2.9316190355996689E-2</v>
      </c>
      <c r="AS225">
        <f t="shared" si="92"/>
        <v>1.2702953150403136E-3</v>
      </c>
      <c r="AT225">
        <f t="shared" si="93"/>
        <v>1.3632126911422342E-2</v>
      </c>
      <c r="AU225" s="14">
        <f t="shared" si="98"/>
        <v>9.318394138305261E-2</v>
      </c>
      <c r="AV225" s="19">
        <f t="shared" si="94"/>
        <v>1.3538387464048569</v>
      </c>
      <c r="AW225" s="19">
        <f t="shared" si="121"/>
        <v>0</v>
      </c>
      <c r="AX225">
        <f t="shared" si="99"/>
        <v>0</v>
      </c>
      <c r="AY225">
        <f>IF(W225,SUMPRODUCT(INDEX(AX:AX,X225):INDEX(AX:AX,X225+Y225)),0)</f>
        <v>5</v>
      </c>
      <c r="AZ225">
        <f>IF(V225,COUNT(INDEX(AX:AX,X225):INDEX(AX:AX,ROW())),0)</f>
        <v>215</v>
      </c>
      <c r="BA225" s="14">
        <f t="shared" si="111"/>
        <v>2.3255813953488372E-2</v>
      </c>
      <c r="BB225" s="6">
        <f t="shared" si="100"/>
        <v>683729.46779999998</v>
      </c>
      <c r="BC225" s="6">
        <f>MEDIAN(INDEX(BB:BB,X225):INDEX(BB:BB,X225+Y225-1))</f>
        <v>283061.54139999999</v>
      </c>
      <c r="BD225" s="25">
        <f t="shared" si="101"/>
        <v>283061.54139999999</v>
      </c>
      <c r="BE225">
        <f t="shared" si="112"/>
        <v>0</v>
      </c>
      <c r="BF225" s="6">
        <f>SUM(INDEX(BE:BE,X225):INDEX(BE:BE,X225+Y225-1))</f>
        <v>3</v>
      </c>
      <c r="BG225" s="25">
        <f t="shared" si="102"/>
        <v>3</v>
      </c>
    </row>
    <row r="226" spans="1:59" x14ac:dyDescent="0.3">
      <c r="A226" s="1">
        <v>45684</v>
      </c>
      <c r="B226">
        <v>40.171700000000001</v>
      </c>
      <c r="C226">
        <v>40.171700000000001</v>
      </c>
      <c r="D226">
        <v>39.4285</v>
      </c>
      <c r="E226">
        <v>39.7669</v>
      </c>
      <c r="F226">
        <v>8137</v>
      </c>
      <c r="G226" s="29">
        <v>0.86709519074196995</v>
      </c>
      <c r="H226" s="29">
        <v>2.1804445172793702E-2</v>
      </c>
      <c r="I226" s="29">
        <v>2.7198499254405002E-2</v>
      </c>
      <c r="J226" s="29">
        <v>58.219477308695502</v>
      </c>
      <c r="K226" s="29">
        <v>5.1589274381214301E-2</v>
      </c>
      <c r="L226" s="29">
        <v>0.6</v>
      </c>
      <c r="M226" s="29">
        <v>9.2404612713581399E-2</v>
      </c>
      <c r="N226" s="29">
        <v>1.35167136148171</v>
      </c>
      <c r="O226" s="29">
        <v>-1.83460420981435E-2</v>
      </c>
      <c r="P226" s="29">
        <v>-1.83460420981435E-2</v>
      </c>
      <c r="Q226" s="29">
        <v>1.9841269841269799E-2</v>
      </c>
      <c r="R226" s="30">
        <v>260862.52619999999</v>
      </c>
      <c r="S226" s="29">
        <v>3</v>
      </c>
      <c r="T226">
        <v>592.41300000000001</v>
      </c>
      <c r="U226" s="21"/>
      <c r="V226">
        <v>216</v>
      </c>
      <c r="W226" t="b">
        <f>V226&gt;=$C$4</f>
        <v>1</v>
      </c>
      <c r="X226">
        <f>IF(V226&lt;=$C$5,11,ROW()-$C$5+1)</f>
        <v>11</v>
      </c>
      <c r="Y226" s="14">
        <f t="shared" si="95"/>
        <v>216</v>
      </c>
      <c r="Z226" s="10">
        <f t="shared" si="103"/>
        <v>1.0816000000000017</v>
      </c>
      <c r="AA226" s="15">
        <f t="shared" si="104"/>
        <v>2.7198499254405088E-2</v>
      </c>
      <c r="AB226" s="15">
        <f t="shared" si="105"/>
        <v>0.86709519074197028</v>
      </c>
      <c r="AC226" s="10">
        <f t="shared" si="96"/>
        <v>2.1804445172793712E-2</v>
      </c>
      <c r="AD226">
        <f t="shared" si="106"/>
        <v>-0.74320000000000164</v>
      </c>
      <c r="AE226">
        <f t="shared" si="113"/>
        <v>0</v>
      </c>
      <c r="AF226">
        <f t="shared" si="114"/>
        <v>0.74320000000000164</v>
      </c>
      <c r="AG226">
        <f t="shared" si="119"/>
        <v>0.34198988534100228</v>
      </c>
      <c r="AH226">
        <f t="shared" si="119"/>
        <v>0.24542500381760601</v>
      </c>
      <c r="AI226">
        <f t="shared" si="107"/>
        <v>1.3934598350670129</v>
      </c>
      <c r="AJ226">
        <f t="shared" si="115"/>
        <v>58.219478541113617</v>
      </c>
      <c r="AK226" s="14">
        <f t="shared" si="97"/>
        <v>58.219478541113617</v>
      </c>
      <c r="AM226" s="14">
        <f t="shared" si="120"/>
        <v>5.1589274381214301E-2</v>
      </c>
      <c r="AN226" s="36">
        <f t="shared" si="108"/>
        <v>-1.83460420981435E-2</v>
      </c>
      <c r="AO226">
        <f t="shared" si="117"/>
        <v>0</v>
      </c>
      <c r="AP226" s="14">
        <f t="shared" si="118"/>
        <v>0.6</v>
      </c>
      <c r="AQ226">
        <f t="shared" si="109"/>
        <v>-1.4145142474867423E-2</v>
      </c>
      <c r="AR226">
        <f t="shared" si="110"/>
        <v>-4.2008996232760776E-3</v>
      </c>
      <c r="AS226">
        <f t="shared" si="92"/>
        <v>1.2600348115630645E-3</v>
      </c>
      <c r="AT226">
        <f t="shared" si="93"/>
        <v>1.3636059657202307E-2</v>
      </c>
      <c r="AU226" s="14">
        <f t="shared" si="98"/>
        <v>9.2404612713580941E-2</v>
      </c>
      <c r="AV226" s="19">
        <f t="shared" si="94"/>
        <v>1.3516713614817484</v>
      </c>
      <c r="AW226" s="19">
        <f t="shared" si="121"/>
        <v>-1.83460420981435E-2</v>
      </c>
      <c r="AX226">
        <f t="shared" si="99"/>
        <v>0</v>
      </c>
      <c r="AY226">
        <f>IF(W226,SUMPRODUCT(INDEX(AX:AX,X226):INDEX(AX:AX,X226+Y226)),0)</f>
        <v>5</v>
      </c>
      <c r="AZ226">
        <f>IF(V226,COUNT(INDEX(AX:AX,X226):INDEX(AX:AX,ROW())),0)</f>
        <v>216</v>
      </c>
      <c r="BA226" s="14">
        <f t="shared" si="111"/>
        <v>2.3148148148148147E-2</v>
      </c>
      <c r="BB226" s="6">
        <f t="shared" si="100"/>
        <v>323583.26529999997</v>
      </c>
      <c r="BC226" s="6">
        <f>MEDIAN(INDEX(BB:BB,X226):INDEX(BB:BB,X226+Y226-1))</f>
        <v>283776.01490000001</v>
      </c>
      <c r="BD226" s="25">
        <f t="shared" si="101"/>
        <v>283776.01490000001</v>
      </c>
      <c r="BE226">
        <f t="shared" si="112"/>
        <v>0</v>
      </c>
      <c r="BF226" s="6">
        <f>SUM(INDEX(BE:BE,X226):INDEX(BE:BE,X226+Y226-1))</f>
        <v>3</v>
      </c>
      <c r="BG226" s="25">
        <f t="shared" si="102"/>
        <v>3</v>
      </c>
    </row>
    <row r="227" spans="1:59" x14ac:dyDescent="0.3">
      <c r="A227" s="1">
        <v>45685</v>
      </c>
      <c r="B227">
        <v>39.600999999999999</v>
      </c>
      <c r="C227">
        <v>40.098700000000001</v>
      </c>
      <c r="D227">
        <v>39.600999999999999</v>
      </c>
      <c r="E227">
        <v>40.098700000000001</v>
      </c>
      <c r="F227">
        <v>7987</v>
      </c>
      <c r="G227" s="29">
        <v>0.84070981997468697</v>
      </c>
      <c r="H227" s="29">
        <v>2.0966011865089999E-2</v>
      </c>
      <c r="I227" s="29">
        <v>1.24118737016412E-2</v>
      </c>
      <c r="J227" s="29">
        <v>59.9592414056211</v>
      </c>
      <c r="K227" s="29">
        <v>5.3155893136667798E-2</v>
      </c>
      <c r="L227" s="29">
        <v>0.6</v>
      </c>
      <c r="M227" s="29">
        <v>8.4746283123148206E-2</v>
      </c>
      <c r="N227" s="29">
        <v>1.3431215430141401</v>
      </c>
      <c r="O227" s="29">
        <v>-1.0155492087158401E-2</v>
      </c>
      <c r="P227" s="29">
        <v>8.3436224598849498E-3</v>
      </c>
      <c r="Q227" s="29">
        <v>1.9841269841269799E-2</v>
      </c>
      <c r="R227" s="30">
        <v>260862.52619999999</v>
      </c>
      <c r="S227" s="29">
        <v>3</v>
      </c>
      <c r="T227">
        <v>597.50300000000004</v>
      </c>
      <c r="U227" s="21"/>
      <c r="V227">
        <v>217</v>
      </c>
      <c r="W227" t="b">
        <f>V227&gt;=$C$4</f>
        <v>1</v>
      </c>
      <c r="X227">
        <f>IF(V227&lt;=$C$5,11,ROW()-$C$5+1)</f>
        <v>11</v>
      </c>
      <c r="Y227" s="14">
        <f t="shared" si="95"/>
        <v>217</v>
      </c>
      <c r="Z227" s="10">
        <f t="shared" si="103"/>
        <v>0.49770000000000181</v>
      </c>
      <c r="AA227" s="15">
        <f t="shared" si="104"/>
        <v>1.2411873701641245E-2</v>
      </c>
      <c r="AB227" s="15">
        <f t="shared" si="105"/>
        <v>0.84070981997468686</v>
      </c>
      <c r="AC227" s="10">
        <f t="shared" si="96"/>
        <v>2.0966011865090062E-2</v>
      </c>
      <c r="AD227">
        <f t="shared" si="106"/>
        <v>0.33180000000000121</v>
      </c>
      <c r="AE227">
        <f t="shared" si="113"/>
        <v>0.33180000000000121</v>
      </c>
      <c r="AF227">
        <f t="shared" si="114"/>
        <v>0</v>
      </c>
      <c r="AG227">
        <f t="shared" si="119"/>
        <v>0.34126203638807368</v>
      </c>
      <c r="AH227">
        <f t="shared" si="119"/>
        <v>0.22789464640206272</v>
      </c>
      <c r="AI227">
        <f t="shared" si="107"/>
        <v>1.4974552573999598</v>
      </c>
      <c r="AJ227">
        <f t="shared" si="115"/>
        <v>59.959242631594691</v>
      </c>
      <c r="AK227" s="14">
        <f t="shared" si="97"/>
        <v>59.959242631594691</v>
      </c>
      <c r="AM227" s="14">
        <f t="shared" si="120"/>
        <v>5.3155893136667798E-2</v>
      </c>
      <c r="AN227" s="36">
        <f t="shared" si="108"/>
        <v>8.3436224598849584E-3</v>
      </c>
      <c r="AO227">
        <f t="shared" si="117"/>
        <v>1</v>
      </c>
      <c r="AP227" s="14">
        <f t="shared" si="118"/>
        <v>0.6</v>
      </c>
      <c r="AQ227">
        <f t="shared" si="109"/>
        <v>8.5919789066073449E-3</v>
      </c>
      <c r="AR227">
        <f t="shared" si="110"/>
        <v>-2.4835644672239511E-4</v>
      </c>
      <c r="AS227">
        <f t="shared" si="92"/>
        <v>1.1543544332358307E-3</v>
      </c>
      <c r="AT227">
        <f t="shared" si="93"/>
        <v>1.3621298665788062E-2</v>
      </c>
      <c r="AU227" s="14">
        <f t="shared" si="98"/>
        <v>8.4746283123147817E-2</v>
      </c>
      <c r="AV227" s="19">
        <f t="shared" si="94"/>
        <v>1.3431215430141734</v>
      </c>
      <c r="AW227" s="19">
        <f t="shared" si="121"/>
        <v>-1.0155492087158491E-2</v>
      </c>
      <c r="AX227">
        <f t="shared" si="99"/>
        <v>0</v>
      </c>
      <c r="AY227">
        <f>IF(W227,SUMPRODUCT(INDEX(AX:AX,X227):INDEX(AX:AX,X227+Y227)),0)</f>
        <v>5</v>
      </c>
      <c r="AZ227">
        <f>IF(V227,COUNT(INDEX(AX:AX,X227):INDEX(AX:AX,ROW())),0)</f>
        <v>217</v>
      </c>
      <c r="BA227" s="14">
        <f t="shared" si="111"/>
        <v>2.3041474654377881E-2</v>
      </c>
      <c r="BB227" s="6">
        <f t="shared" si="100"/>
        <v>320268.31690000003</v>
      </c>
      <c r="BC227" s="6">
        <f>MEDIAN(INDEX(BB:BB,X227):INDEX(BB:BB,X227+Y227-1))</f>
        <v>284490.48840000003</v>
      </c>
      <c r="BD227" s="25">
        <f t="shared" si="101"/>
        <v>284490.48840000003</v>
      </c>
      <c r="BE227">
        <f t="shared" si="112"/>
        <v>0</v>
      </c>
      <c r="BF227" s="6">
        <f>SUM(INDEX(BE:BE,X227):INDEX(BE:BE,X227+Y227-1))</f>
        <v>3</v>
      </c>
      <c r="BG227" s="25">
        <f t="shared" si="102"/>
        <v>3</v>
      </c>
    </row>
    <row r="228" spans="1:59" x14ac:dyDescent="0.3">
      <c r="A228" s="1">
        <v>45686</v>
      </c>
      <c r="B228">
        <v>40.5366</v>
      </c>
      <c r="C228">
        <v>40.6096</v>
      </c>
      <c r="D228">
        <v>40.078800000000001</v>
      </c>
      <c r="E228">
        <v>40.1252</v>
      </c>
      <c r="F228">
        <v>14015</v>
      </c>
      <c r="G228" s="29">
        <v>0.81857340426220904</v>
      </c>
      <c r="H228" s="29">
        <v>2.0400481599149801E-2</v>
      </c>
      <c r="I228" s="29">
        <v>1.32285944992174E-2</v>
      </c>
      <c r="J228" s="29">
        <v>60.102137480768299</v>
      </c>
      <c r="K228" s="29">
        <v>4.6556877637570798E-2</v>
      </c>
      <c r="L228" s="29">
        <v>0.8</v>
      </c>
      <c r="M228" s="29">
        <v>0.107197795505308</v>
      </c>
      <c r="N228" s="29">
        <v>1.3336084695342101</v>
      </c>
      <c r="O228" s="29">
        <v>-9.5013342351660795E-3</v>
      </c>
      <c r="P228" s="29">
        <v>6.6086930498987495E-4</v>
      </c>
      <c r="Q228" s="29">
        <v>1.9841269841269799E-2</v>
      </c>
      <c r="R228" s="30">
        <v>264387.65299999999</v>
      </c>
      <c r="S228" s="29">
        <v>3</v>
      </c>
      <c r="T228">
        <v>594.82500000000005</v>
      </c>
      <c r="U228" s="21"/>
      <c r="V228">
        <v>218</v>
      </c>
      <c r="W228" t="b">
        <f>V228&gt;=$C$4</f>
        <v>1</v>
      </c>
      <c r="X228">
        <f>IF(V228&lt;=$C$5,11,ROW()-$C$5+1)</f>
        <v>11</v>
      </c>
      <c r="Y228" s="14">
        <f t="shared" si="95"/>
        <v>218</v>
      </c>
      <c r="Z228" s="10">
        <f t="shared" si="103"/>
        <v>0.53079999999999927</v>
      </c>
      <c r="AA228" s="15">
        <f t="shared" si="104"/>
        <v>1.3228594499217431E-2</v>
      </c>
      <c r="AB228" s="15">
        <f t="shared" si="105"/>
        <v>0.81857340426220915</v>
      </c>
      <c r="AC228" s="10">
        <f t="shared" si="96"/>
        <v>2.0400481599149891E-2</v>
      </c>
      <c r="AD228">
        <f t="shared" si="106"/>
        <v>2.6499999999998636E-2</v>
      </c>
      <c r="AE228">
        <f t="shared" si="113"/>
        <v>2.6499999999998636E-2</v>
      </c>
      <c r="AF228">
        <f t="shared" si="114"/>
        <v>0</v>
      </c>
      <c r="AG228">
        <f t="shared" si="119"/>
        <v>0.31877903378892547</v>
      </c>
      <c r="AH228">
        <f t="shared" si="119"/>
        <v>0.21161645737334395</v>
      </c>
      <c r="AI228">
        <f t="shared" si="107"/>
        <v>1.5064000113494016</v>
      </c>
      <c r="AJ228">
        <f t="shared" si="115"/>
        <v>60.102138706039277</v>
      </c>
      <c r="AK228" s="14">
        <f t="shared" si="97"/>
        <v>60.102138706039277</v>
      </c>
      <c r="AM228" s="14">
        <f t="shared" si="120"/>
        <v>4.6556877637570881E-2</v>
      </c>
      <c r="AN228" s="36">
        <f t="shared" si="108"/>
        <v>6.6086930498987506E-4</v>
      </c>
      <c r="AO228">
        <f t="shared" si="117"/>
        <v>1</v>
      </c>
      <c r="AP228" s="14">
        <f t="shared" si="118"/>
        <v>0.8</v>
      </c>
      <c r="AQ228">
        <f t="shared" si="109"/>
        <v>-4.4819858645060995E-3</v>
      </c>
      <c r="AR228">
        <f t="shared" si="110"/>
        <v>5.1428551694959745E-3</v>
      </c>
      <c r="AS228">
        <f t="shared" si="92"/>
        <v>1.4474799494428425E-3</v>
      </c>
      <c r="AT228">
        <f t="shared" si="93"/>
        <v>1.3502889146364713E-2</v>
      </c>
      <c r="AU228" s="14">
        <f t="shared" si="98"/>
        <v>0.10719779550530764</v>
      </c>
      <c r="AV228" s="19">
        <f t="shared" si="94"/>
        <v>1.3336084695342441</v>
      </c>
      <c r="AW228" s="19">
        <f t="shared" si="121"/>
        <v>-9.5013342351660812E-3</v>
      </c>
      <c r="AX228">
        <f t="shared" si="99"/>
        <v>0</v>
      </c>
      <c r="AY228">
        <f>IF(W228,SUMPRODUCT(INDEX(AX:AX,X228):INDEX(AX:AX,X228+Y228)),0)</f>
        <v>5</v>
      </c>
      <c r="AZ228">
        <f>IF(V228,COUNT(INDEX(AX:AX,X228):INDEX(AX:AX,ROW())),0)</f>
        <v>218</v>
      </c>
      <c r="BA228" s="14">
        <f t="shared" si="111"/>
        <v>2.2935779816513763E-2</v>
      </c>
      <c r="BB228" s="6">
        <f t="shared" si="100"/>
        <v>562354.67799999996</v>
      </c>
      <c r="BC228" s="6">
        <f>MEDIAN(INDEX(BB:BB,X228):INDEX(BB:BB,X228+Y228-1))</f>
        <v>284874.33705000003</v>
      </c>
      <c r="BD228" s="25">
        <f t="shared" si="101"/>
        <v>284874.33705000003</v>
      </c>
      <c r="BE228">
        <f t="shared" si="112"/>
        <v>0</v>
      </c>
      <c r="BF228" s="6">
        <f>SUM(INDEX(BE:BE,X228):INDEX(BE:BE,X228+Y228-1))</f>
        <v>3</v>
      </c>
      <c r="BG228" s="25">
        <f t="shared" si="102"/>
        <v>3</v>
      </c>
    </row>
    <row r="229" spans="1:59" x14ac:dyDescent="0.3">
      <c r="A229" s="1">
        <v>45687</v>
      </c>
      <c r="B229">
        <v>41.074100000000001</v>
      </c>
      <c r="C229">
        <v>41.186900000000001</v>
      </c>
      <c r="D229">
        <v>40.941400000000002</v>
      </c>
      <c r="E229">
        <v>41.067500000000003</v>
      </c>
      <c r="F229">
        <v>21249</v>
      </c>
      <c r="G229" s="29">
        <v>0.83593958967205095</v>
      </c>
      <c r="H229" s="29">
        <v>2.03552587732891E-2</v>
      </c>
      <c r="I229" s="29">
        <v>2.5852559810068801E-2</v>
      </c>
      <c r="J229" s="29">
        <v>64.899079895319602</v>
      </c>
      <c r="K229" s="29">
        <v>8.7889440180981701E-2</v>
      </c>
      <c r="L229" s="29">
        <v>0.8</v>
      </c>
      <c r="M229" s="29">
        <v>0.106107341210089</v>
      </c>
      <c r="N229" s="29">
        <v>1.3399673738837801</v>
      </c>
      <c r="O229" s="29">
        <v>0</v>
      </c>
      <c r="P229" s="29">
        <v>2.3483995095351502E-2</v>
      </c>
      <c r="Q229" s="29">
        <v>1.9841269841269799E-2</v>
      </c>
      <c r="R229" s="30">
        <v>267193.10179999901</v>
      </c>
      <c r="S229" s="29">
        <v>3</v>
      </c>
      <c r="T229">
        <v>598.01700000000005</v>
      </c>
      <c r="U229" s="21"/>
      <c r="V229">
        <v>219</v>
      </c>
      <c r="W229" t="b">
        <f>V229&gt;=$C$4</f>
        <v>1</v>
      </c>
      <c r="X229">
        <f>IF(V229&lt;=$C$5,11,ROW()-$C$5+1)</f>
        <v>11</v>
      </c>
      <c r="Y229" s="14">
        <f t="shared" si="95"/>
        <v>219</v>
      </c>
      <c r="Z229" s="10">
        <f t="shared" si="103"/>
        <v>1.0617000000000019</v>
      </c>
      <c r="AA229" s="15">
        <f t="shared" si="104"/>
        <v>2.5852559810068832E-2</v>
      </c>
      <c r="AB229" s="15">
        <f t="shared" si="105"/>
        <v>0.83593958967205151</v>
      </c>
      <c r="AC229" s="10">
        <f t="shared" si="96"/>
        <v>2.0355258773289132E-2</v>
      </c>
      <c r="AD229">
        <f t="shared" si="106"/>
        <v>0.94230000000000302</v>
      </c>
      <c r="AE229">
        <f t="shared" si="113"/>
        <v>0.94230000000000302</v>
      </c>
      <c r="AF229">
        <f t="shared" si="114"/>
        <v>0</v>
      </c>
      <c r="AG229">
        <f t="shared" si="119"/>
        <v>0.36331624566114529</v>
      </c>
      <c r="AH229">
        <f t="shared" si="119"/>
        <v>0.19650099613239083</v>
      </c>
      <c r="AI229">
        <f t="shared" si="107"/>
        <v>1.8489282640397615</v>
      </c>
      <c r="AJ229">
        <f t="shared" si="115"/>
        <v>64.89908108173961</v>
      </c>
      <c r="AK229" s="14">
        <f t="shared" si="97"/>
        <v>64.89908108173961</v>
      </c>
      <c r="AM229" s="14">
        <f t="shared" si="120"/>
        <v>8.788944018098177E-2</v>
      </c>
      <c r="AN229" s="36">
        <f t="shared" si="108"/>
        <v>2.3483995095351595E-2</v>
      </c>
      <c r="AO229">
        <f t="shared" si="117"/>
        <v>1</v>
      </c>
      <c r="AP229" s="14">
        <f t="shared" si="118"/>
        <v>0.8</v>
      </c>
      <c r="AQ229">
        <f t="shared" si="109"/>
        <v>5.3662842012356382E-3</v>
      </c>
      <c r="AR229">
        <f t="shared" si="110"/>
        <v>1.8117710894115863E-2</v>
      </c>
      <c r="AS229">
        <f t="shared" si="92"/>
        <v>1.4304066371586786E-3</v>
      </c>
      <c r="AT229">
        <f t="shared" si="93"/>
        <v>1.3480750915495358E-2</v>
      </c>
      <c r="AU229" s="14">
        <f t="shared" si="98"/>
        <v>0.10610734121008848</v>
      </c>
      <c r="AV229" s="19">
        <f t="shared" si="94"/>
        <v>1.3399673738838158</v>
      </c>
      <c r="AW229" s="19">
        <f t="shared" si="121"/>
        <v>0</v>
      </c>
      <c r="AX229">
        <f t="shared" si="99"/>
        <v>0</v>
      </c>
      <c r="AY229">
        <f>IF(W229,SUMPRODUCT(INDEX(AX:AX,X229):INDEX(AX:AX,X229+Y229)),0)</f>
        <v>5</v>
      </c>
      <c r="AZ229">
        <f>IF(V229,COUNT(INDEX(AX:AX,X229):INDEX(AX:AX,ROW())),0)</f>
        <v>219</v>
      </c>
      <c r="BA229" s="14">
        <f t="shared" si="111"/>
        <v>2.2831050228310501E-2</v>
      </c>
      <c r="BB229" s="6">
        <f t="shared" si="100"/>
        <v>872643.30750000011</v>
      </c>
      <c r="BC229" s="6">
        <f>MEDIAN(INDEX(BB:BB,X229):INDEX(BB:BB,X229+Y229-1))</f>
        <v>285258.18570000003</v>
      </c>
      <c r="BD229" s="25">
        <f t="shared" si="101"/>
        <v>285258.18570000003</v>
      </c>
      <c r="BE229">
        <f t="shared" si="112"/>
        <v>0</v>
      </c>
      <c r="BF229" s="6">
        <f>SUM(INDEX(BE:BE,X229):INDEX(BE:BE,X229+Y229-1))</f>
        <v>3</v>
      </c>
      <c r="BG229" s="25">
        <f t="shared" si="102"/>
        <v>3</v>
      </c>
    </row>
    <row r="230" spans="1:59" x14ac:dyDescent="0.3">
      <c r="A230" s="1">
        <v>45688</v>
      </c>
      <c r="B230">
        <v>40.928100000000001</v>
      </c>
      <c r="C230">
        <v>41.618200000000002</v>
      </c>
      <c r="D230">
        <v>40.5366</v>
      </c>
      <c r="E230">
        <v>40.636200000000002</v>
      </c>
      <c r="F230">
        <v>17933</v>
      </c>
      <c r="G230" s="29">
        <v>0.85348676183833305</v>
      </c>
      <c r="H230" s="29">
        <v>2.10031145096818E-2</v>
      </c>
      <c r="I230" s="29">
        <v>2.66166619910326E-2</v>
      </c>
      <c r="J230" s="29">
        <v>61.268096889004099</v>
      </c>
      <c r="K230" s="29">
        <v>6.7830949496648196E-2</v>
      </c>
      <c r="L230" s="29">
        <v>0.6</v>
      </c>
      <c r="M230" s="29">
        <v>0.129611415619384</v>
      </c>
      <c r="N230" s="29">
        <v>1.35069071795484</v>
      </c>
      <c r="O230" s="29">
        <v>-1.05022219516649E-2</v>
      </c>
      <c r="P230" s="29">
        <v>-1.05022219516649E-2</v>
      </c>
      <c r="Q230" s="29">
        <v>1.9841269841269799E-2</v>
      </c>
      <c r="R230" s="30">
        <v>271427.68030000001</v>
      </c>
      <c r="S230" s="29">
        <v>3</v>
      </c>
      <c r="T230">
        <v>594.83500000000004</v>
      </c>
      <c r="U230" s="21"/>
      <c r="V230">
        <v>220</v>
      </c>
      <c r="W230" t="b">
        <f>V230&gt;=$C$4</f>
        <v>1</v>
      </c>
      <c r="X230">
        <f>IF(V230&lt;=$C$5,11,ROW()-$C$5+1)</f>
        <v>11</v>
      </c>
      <c r="Y230" s="14">
        <f t="shared" si="95"/>
        <v>220</v>
      </c>
      <c r="Z230" s="10">
        <f t="shared" si="103"/>
        <v>1.0816000000000017</v>
      </c>
      <c r="AA230" s="15">
        <f t="shared" si="104"/>
        <v>2.6616661991032665E-2</v>
      </c>
      <c r="AB230" s="15">
        <f t="shared" si="105"/>
        <v>0.85348676183833372</v>
      </c>
      <c r="AC230" s="10">
        <f t="shared" si="96"/>
        <v>2.1003114509681852E-2</v>
      </c>
      <c r="AD230">
        <f t="shared" si="106"/>
        <v>-0.43130000000000024</v>
      </c>
      <c r="AE230">
        <f t="shared" si="113"/>
        <v>0</v>
      </c>
      <c r="AF230">
        <f t="shared" si="114"/>
        <v>0.43130000000000024</v>
      </c>
      <c r="AG230">
        <f t="shared" si="119"/>
        <v>0.33736508525677777</v>
      </c>
      <c r="AH230">
        <f t="shared" si="119"/>
        <v>0.21327235355150578</v>
      </c>
      <c r="AI230">
        <f t="shared" si="107"/>
        <v>1.5818509977445496</v>
      </c>
      <c r="AJ230">
        <f t="shared" si="115"/>
        <v>61.268097931539081</v>
      </c>
      <c r="AK230" s="14">
        <f t="shared" si="97"/>
        <v>61.268097931539081</v>
      </c>
      <c r="AM230" s="14">
        <f t="shared" si="120"/>
        <v>6.7830949496648252E-2</v>
      </c>
      <c r="AN230" s="36">
        <f t="shared" si="108"/>
        <v>-1.0502221951664947E-2</v>
      </c>
      <c r="AO230">
        <f t="shared" si="117"/>
        <v>0</v>
      </c>
      <c r="AP230" s="14">
        <f t="shared" si="118"/>
        <v>0.6</v>
      </c>
      <c r="AQ230">
        <f t="shared" si="109"/>
        <v>-5.3209189705309967E-3</v>
      </c>
      <c r="AR230">
        <f t="shared" si="110"/>
        <v>-5.1813029811339038E-3</v>
      </c>
      <c r="AS230">
        <f t="shared" si="92"/>
        <v>1.7053616786845431E-3</v>
      </c>
      <c r="AT230">
        <f t="shared" si="93"/>
        <v>1.3157495970050203E-2</v>
      </c>
      <c r="AU230" s="14">
        <f t="shared" si="98"/>
        <v>0.12961141561938372</v>
      </c>
      <c r="AV230" s="19">
        <f t="shared" si="94"/>
        <v>1.3506907179548737</v>
      </c>
      <c r="AW230" s="19">
        <f t="shared" si="121"/>
        <v>-1.0502221951664947E-2</v>
      </c>
      <c r="AX230">
        <f t="shared" si="99"/>
        <v>0</v>
      </c>
      <c r="AY230">
        <f>IF(W230,SUMPRODUCT(INDEX(AX:AX,X230):INDEX(AX:AX,X230+Y230)),0)</f>
        <v>5</v>
      </c>
      <c r="AZ230">
        <f>IF(V230,COUNT(INDEX(AX:AX,X230):INDEX(AX:AX,ROW())),0)</f>
        <v>220</v>
      </c>
      <c r="BA230" s="14">
        <f t="shared" si="111"/>
        <v>2.2727272727272728E-2</v>
      </c>
      <c r="BB230" s="6">
        <f t="shared" si="100"/>
        <v>728728.97460000007</v>
      </c>
      <c r="BC230" s="6">
        <f>MEDIAN(INDEX(BB:BB,X230):INDEX(BB:BB,X230+Y230-1))</f>
        <v>290020.87075</v>
      </c>
      <c r="BD230" s="25">
        <f t="shared" si="101"/>
        <v>290020.87075</v>
      </c>
      <c r="BE230">
        <f t="shared" si="112"/>
        <v>0</v>
      </c>
      <c r="BF230" s="6">
        <f>SUM(INDEX(BE:BE,X230):INDEX(BE:BE,X230+Y230-1))</f>
        <v>3</v>
      </c>
      <c r="BG230" s="25">
        <f t="shared" si="102"/>
        <v>3</v>
      </c>
    </row>
    <row r="231" spans="1:59" x14ac:dyDescent="0.3">
      <c r="A231" s="1">
        <v>45691</v>
      </c>
      <c r="B231">
        <v>39.269199999999998</v>
      </c>
      <c r="C231">
        <v>39.813299999999998</v>
      </c>
      <c r="D231">
        <v>38.652099999999997</v>
      </c>
      <c r="E231">
        <v>39.355499999999999</v>
      </c>
      <c r="F231">
        <v>29236</v>
      </c>
      <c r="G231" s="29">
        <v>0.93424485027845305</v>
      </c>
      <c r="H231" s="29">
        <v>2.37386096042091E-2</v>
      </c>
      <c r="I231" s="29">
        <v>5.0414808603626002E-2</v>
      </c>
      <c r="J231" s="29">
        <v>51.970055191286399</v>
      </c>
      <c r="K231" s="29">
        <v>3.2557077865174901E-2</v>
      </c>
      <c r="L231" s="29">
        <v>0.6</v>
      </c>
      <c r="M231" s="29">
        <v>7.9170735878301396E-2</v>
      </c>
      <c r="N231" s="29">
        <v>1.3983828250385</v>
      </c>
      <c r="O231" s="29">
        <v>-4.16874657575943E-2</v>
      </c>
      <c r="P231" s="29">
        <v>-3.1516234293560902E-2</v>
      </c>
      <c r="Q231" s="29">
        <v>1.9841269841269799E-2</v>
      </c>
      <c r="R231" s="30">
        <v>276839.02119999903</v>
      </c>
      <c r="S231" s="29">
        <v>3</v>
      </c>
      <c r="T231">
        <v>590.83199999999999</v>
      </c>
      <c r="U231" s="21"/>
      <c r="V231">
        <v>221</v>
      </c>
      <c r="W231" t="b">
        <f>V231&gt;=$C$4</f>
        <v>1</v>
      </c>
      <c r="X231">
        <f>IF(V231&lt;=$C$5,11,ROW()-$C$5+1)</f>
        <v>11</v>
      </c>
      <c r="Y231" s="14">
        <f t="shared" si="95"/>
        <v>221</v>
      </c>
      <c r="Z231" s="10">
        <f t="shared" si="103"/>
        <v>1.9841000000000051</v>
      </c>
      <c r="AA231" s="15">
        <f t="shared" si="104"/>
        <v>5.041480860362605E-2</v>
      </c>
      <c r="AB231" s="15">
        <f t="shared" si="105"/>
        <v>0.93424485027845316</v>
      </c>
      <c r="AC231" s="10">
        <f t="shared" si="96"/>
        <v>2.3738609604209149E-2</v>
      </c>
      <c r="AD231">
        <f t="shared" si="106"/>
        <v>-1.2807000000000031</v>
      </c>
      <c r="AE231">
        <f t="shared" si="113"/>
        <v>0</v>
      </c>
      <c r="AF231">
        <f t="shared" si="114"/>
        <v>1.2807000000000031</v>
      </c>
      <c r="AG231">
        <f t="shared" si="119"/>
        <v>0.31326757916700793</v>
      </c>
      <c r="AH231">
        <f t="shared" si="119"/>
        <v>0.28951718544068417</v>
      </c>
      <c r="AI231">
        <f t="shared" si="107"/>
        <v>1.0820344867962586</v>
      </c>
      <c r="AJ231">
        <f t="shared" si="115"/>
        <v>51.970055907250831</v>
      </c>
      <c r="AK231" s="14">
        <f t="shared" si="97"/>
        <v>51.970055907250831</v>
      </c>
      <c r="AM231" s="14">
        <f t="shared" si="120"/>
        <v>3.2557077865174922E-2</v>
      </c>
      <c r="AN231" s="36">
        <f t="shared" si="108"/>
        <v>-3.1516234293560985E-2</v>
      </c>
      <c r="AO231">
        <f t="shared" si="117"/>
        <v>0</v>
      </c>
      <c r="AP231" s="14">
        <f t="shared" si="118"/>
        <v>0.6</v>
      </c>
      <c r="AQ231">
        <f t="shared" si="109"/>
        <v>-6.7295972832802642E-3</v>
      </c>
      <c r="AR231">
        <f t="shared" si="110"/>
        <v>-2.4786637010280638E-2</v>
      </c>
      <c r="AS231">
        <f t="shared" si="92"/>
        <v>1.0649157112595821E-3</v>
      </c>
      <c r="AT231">
        <f t="shared" si="93"/>
        <v>1.345087549642761E-2</v>
      </c>
      <c r="AU231" s="14">
        <f t="shared" si="98"/>
        <v>7.9170735878301063E-2</v>
      </c>
      <c r="AV231" s="19">
        <f t="shared" si="94"/>
        <v>1.3983828250385335</v>
      </c>
      <c r="AW231" s="19">
        <f t="shared" si="121"/>
        <v>-4.16874657575943E-2</v>
      </c>
      <c r="AX231">
        <f t="shared" si="99"/>
        <v>0</v>
      </c>
      <c r="AY231">
        <f>IF(W231,SUMPRODUCT(INDEX(AX:AX,X231):INDEX(AX:AX,X231+Y231)),0)</f>
        <v>5</v>
      </c>
      <c r="AZ231">
        <f>IF(V231,COUNT(INDEX(AX:AX,X231):INDEX(AX:AX,ROW())),0)</f>
        <v>221</v>
      </c>
      <c r="BA231" s="14">
        <f t="shared" si="111"/>
        <v>2.2624434389140271E-2</v>
      </c>
      <c r="BB231" s="6">
        <f t="shared" si="100"/>
        <v>1150597.398</v>
      </c>
      <c r="BC231" s="6">
        <f>MEDIAN(INDEX(BB:BB,X231):INDEX(BB:BB,X231+Y231-1))</f>
        <v>294783.55579999997</v>
      </c>
      <c r="BD231" s="25">
        <f t="shared" si="101"/>
        <v>294783.55579999997</v>
      </c>
      <c r="BE231">
        <f t="shared" si="112"/>
        <v>0</v>
      </c>
      <c r="BF231" s="6">
        <f>SUM(INDEX(BE:BE,X231):INDEX(BE:BE,X231+Y231-1))</f>
        <v>3</v>
      </c>
      <c r="BG231" s="25">
        <f t="shared" si="102"/>
        <v>3</v>
      </c>
    </row>
    <row r="232" spans="1:59" x14ac:dyDescent="0.3">
      <c r="A232" s="1">
        <v>45692</v>
      </c>
      <c r="B232">
        <v>39.640799999999999</v>
      </c>
      <c r="C232">
        <v>39.733699999999999</v>
      </c>
      <c r="D232">
        <v>38.778199999999998</v>
      </c>
      <c r="E232">
        <v>38.778199999999998</v>
      </c>
      <c r="F232">
        <v>18988</v>
      </c>
      <c r="G232" s="29">
        <v>0.93576307525856295</v>
      </c>
      <c r="H232" s="29">
        <v>2.41311632633429E-2</v>
      </c>
      <c r="I232" s="29">
        <v>2.4640132858152201E-2</v>
      </c>
      <c r="J232" s="29">
        <v>48.404083189344597</v>
      </c>
      <c r="K232" s="29">
        <v>1.8294972624502699E-2</v>
      </c>
      <c r="L232" s="29">
        <v>0.4</v>
      </c>
      <c r="M232" s="29">
        <v>5.2559946569986499E-2</v>
      </c>
      <c r="N232" s="29">
        <v>1.3995926376624701</v>
      </c>
      <c r="O232" s="29">
        <v>-5.5744810373166198E-2</v>
      </c>
      <c r="P232" s="29">
        <v>-1.46688518758496E-2</v>
      </c>
      <c r="Q232" s="29">
        <v>1.9841269841269799E-2</v>
      </c>
      <c r="R232" s="30">
        <v>279454.46490000002</v>
      </c>
      <c r="S232" s="29">
        <v>3</v>
      </c>
      <c r="T232">
        <v>594.79499999999996</v>
      </c>
      <c r="U232" s="21"/>
      <c r="V232">
        <v>222</v>
      </c>
      <c r="W232" t="b">
        <f>V232&gt;=$C$4</f>
        <v>1</v>
      </c>
      <c r="X232">
        <f>IF(V232&lt;=$C$5,11,ROW()-$C$5+1)</f>
        <v>11</v>
      </c>
      <c r="Y232" s="14">
        <f t="shared" si="95"/>
        <v>222</v>
      </c>
      <c r="Z232" s="10">
        <f t="shared" si="103"/>
        <v>0.95550000000000068</v>
      </c>
      <c r="AA232" s="15">
        <f t="shared" si="104"/>
        <v>2.464013285815228E-2</v>
      </c>
      <c r="AB232" s="15">
        <f t="shared" si="105"/>
        <v>0.93576307525856373</v>
      </c>
      <c r="AC232" s="10">
        <f t="shared" si="96"/>
        <v>2.4131163263342904E-2</v>
      </c>
      <c r="AD232">
        <f t="shared" si="106"/>
        <v>-0.57730000000000103</v>
      </c>
      <c r="AE232">
        <f t="shared" si="113"/>
        <v>0</v>
      </c>
      <c r="AF232">
        <f t="shared" si="114"/>
        <v>0.57730000000000103</v>
      </c>
      <c r="AG232">
        <f t="shared" si="119"/>
        <v>0.29089132351222163</v>
      </c>
      <c r="AH232">
        <f t="shared" si="119"/>
        <v>0.31007310076634964</v>
      </c>
      <c r="AI232">
        <f t="shared" si="107"/>
        <v>0.93813788681855992</v>
      </c>
      <c r="AJ232">
        <f t="shared" si="115"/>
        <v>48.404083796045434</v>
      </c>
      <c r="AK232" s="14">
        <f t="shared" si="97"/>
        <v>48.404083796045434</v>
      </c>
      <c r="AM232" s="14">
        <f t="shared" si="120"/>
        <v>1.8294972624502748E-2</v>
      </c>
      <c r="AN232" s="36">
        <f t="shared" si="108"/>
        <v>-1.4668851875849653E-2</v>
      </c>
      <c r="AO232">
        <f t="shared" si="117"/>
        <v>0</v>
      </c>
      <c r="AP232" s="14">
        <f t="shared" si="118"/>
        <v>0.4</v>
      </c>
      <c r="AQ232">
        <f t="shared" si="109"/>
        <v>6.7074904541390978E-3</v>
      </c>
      <c r="AR232">
        <f t="shared" si="110"/>
        <v>-2.1376342329988696E-2</v>
      </c>
      <c r="AS232">
        <f t="shared" si="92"/>
        <v>7.2242218480059932E-4</v>
      </c>
      <c r="AT232">
        <f t="shared" si="93"/>
        <v>1.3744728294931929E-2</v>
      </c>
      <c r="AU232" s="14">
        <f t="shared" si="98"/>
        <v>5.2559946569986173E-2</v>
      </c>
      <c r="AV232" s="19">
        <f t="shared" si="94"/>
        <v>1.3995926376625052</v>
      </c>
      <c r="AW232" s="19">
        <f t="shared" si="121"/>
        <v>-5.5744810373166254E-2</v>
      </c>
      <c r="AX232">
        <f t="shared" si="99"/>
        <v>0</v>
      </c>
      <c r="AY232">
        <f>IF(W232,SUMPRODUCT(INDEX(AX:AX,X232):INDEX(AX:AX,X232+Y232)),0)</f>
        <v>5</v>
      </c>
      <c r="AZ232">
        <f>IF(V232,COUNT(INDEX(AX:AX,X232):INDEX(AX:AX,ROW())),0)</f>
        <v>222</v>
      </c>
      <c r="BA232" s="14">
        <f t="shared" si="111"/>
        <v>2.2522522522522521E-2</v>
      </c>
      <c r="BB232" s="6">
        <f t="shared" si="100"/>
        <v>736320.46159999992</v>
      </c>
      <c r="BC232" s="6">
        <f>MEDIAN(INDEX(BB:BB,X232):INDEX(BB:BB,X232+Y232-1))</f>
        <v>296508.62569999998</v>
      </c>
      <c r="BD232" s="25">
        <f t="shared" si="101"/>
        <v>296508.62569999998</v>
      </c>
      <c r="BE232">
        <f t="shared" si="112"/>
        <v>0</v>
      </c>
      <c r="BF232" s="6">
        <f>SUM(INDEX(BE:BE,X232):INDEX(BE:BE,X232+Y232-1))</f>
        <v>3</v>
      </c>
      <c r="BG232" s="25">
        <f t="shared" si="102"/>
        <v>3</v>
      </c>
    </row>
    <row r="233" spans="1:59" x14ac:dyDescent="0.3">
      <c r="A233" s="1">
        <v>45693</v>
      </c>
      <c r="B233">
        <v>38.930799999999998</v>
      </c>
      <c r="C233">
        <v>39.4617</v>
      </c>
      <c r="D233">
        <v>38.930799999999998</v>
      </c>
      <c r="E233">
        <v>39.2958</v>
      </c>
      <c r="F233">
        <v>8590</v>
      </c>
      <c r="G233" s="29">
        <v>0.91774428416866605</v>
      </c>
      <c r="H233" s="29">
        <v>2.33547677911803E-2</v>
      </c>
      <c r="I233" s="29">
        <v>1.7393716376813799E-2</v>
      </c>
      <c r="J233" s="29">
        <v>51.610038201338497</v>
      </c>
      <c r="K233" s="29">
        <v>2.45688137979585E-2</v>
      </c>
      <c r="L233" s="29">
        <v>0.4</v>
      </c>
      <c r="M233" s="29">
        <v>6.3401977076271099E-2</v>
      </c>
      <c r="N233" s="29">
        <v>1.4063589905777201</v>
      </c>
      <c r="O233" s="29">
        <v>-4.3141170024958903E-2</v>
      </c>
      <c r="P233" s="29">
        <v>1.3347705669680399E-2</v>
      </c>
      <c r="Q233" s="29">
        <v>1.9841269841269799E-2</v>
      </c>
      <c r="R233" s="30">
        <v>281577.78769999999</v>
      </c>
      <c r="S233" s="29">
        <v>3</v>
      </c>
      <c r="T233">
        <v>597.20699999999999</v>
      </c>
      <c r="U233" s="21"/>
      <c r="V233">
        <v>223</v>
      </c>
      <c r="W233" t="b">
        <f>V233&gt;=$C$4</f>
        <v>1</v>
      </c>
      <c r="X233">
        <f>IF(V233&lt;=$C$5,11,ROW()-$C$5+1)</f>
        <v>11</v>
      </c>
      <c r="Y233" s="14">
        <f t="shared" si="95"/>
        <v>223</v>
      </c>
      <c r="Z233" s="10">
        <f t="shared" si="103"/>
        <v>0.68350000000000222</v>
      </c>
      <c r="AA233" s="15">
        <f t="shared" si="104"/>
        <v>1.7393716376813865E-2</v>
      </c>
      <c r="AB233" s="15">
        <f t="shared" si="105"/>
        <v>0.91774428416866649</v>
      </c>
      <c r="AC233" s="10">
        <f t="shared" si="96"/>
        <v>2.3354767791180394E-2</v>
      </c>
      <c r="AD233">
        <f t="shared" si="106"/>
        <v>0.51760000000000161</v>
      </c>
      <c r="AE233">
        <f t="shared" si="113"/>
        <v>0.51760000000000161</v>
      </c>
      <c r="AF233">
        <f t="shared" si="114"/>
        <v>0</v>
      </c>
      <c r="AG233">
        <f t="shared" si="119"/>
        <v>0.30708480040420588</v>
      </c>
      <c r="AH233">
        <f t="shared" si="119"/>
        <v>0.28792502214018179</v>
      </c>
      <c r="AI233">
        <f t="shared" si="107"/>
        <v>1.0665443319986818</v>
      </c>
      <c r="AJ233">
        <f t="shared" si="115"/>
        <v>51.610038821047759</v>
      </c>
      <c r="AK233" s="14">
        <f t="shared" si="97"/>
        <v>51.610038821047759</v>
      </c>
      <c r="AM233" s="14">
        <f t="shared" si="120"/>
        <v>2.45688137979585E-2</v>
      </c>
      <c r="AN233" s="36">
        <f t="shared" si="108"/>
        <v>1.3347705669680465E-2</v>
      </c>
      <c r="AO233">
        <f t="shared" si="117"/>
        <v>1</v>
      </c>
      <c r="AP233" s="14">
        <f t="shared" si="118"/>
        <v>0.4</v>
      </c>
      <c r="AQ233">
        <f t="shared" si="109"/>
        <v>4.0551786750058216E-3</v>
      </c>
      <c r="AR233">
        <f t="shared" si="110"/>
        <v>9.2925269946745777E-3</v>
      </c>
      <c r="AS233">
        <f t="shared" si="92"/>
        <v>8.7408123055965239E-4</v>
      </c>
      <c r="AT233">
        <f t="shared" si="93"/>
        <v>1.3786340282546048E-2</v>
      </c>
      <c r="AU233" s="14">
        <f t="shared" si="98"/>
        <v>6.3401977076270738E-2</v>
      </c>
      <c r="AV233" s="19">
        <f t="shared" si="94"/>
        <v>1.4063589905777631</v>
      </c>
      <c r="AW233" s="19">
        <f t="shared" si="121"/>
        <v>-4.3141170024958986E-2</v>
      </c>
      <c r="AX233">
        <f t="shared" si="99"/>
        <v>0</v>
      </c>
      <c r="AY233">
        <f>IF(W233,SUMPRODUCT(INDEX(AX:AX,X233):INDEX(AX:AX,X233+Y233)),0)</f>
        <v>5</v>
      </c>
      <c r="AZ233">
        <f>IF(V233,COUNT(INDEX(AX:AX,X233):INDEX(AX:AX,ROW())),0)</f>
        <v>223</v>
      </c>
      <c r="BA233" s="14">
        <f t="shared" si="111"/>
        <v>2.2421524663677129E-2</v>
      </c>
      <c r="BB233" s="6">
        <f t="shared" si="100"/>
        <v>337550.92200000002</v>
      </c>
      <c r="BC233" s="6">
        <f>MEDIAN(INDEX(BB:BB,X233):INDEX(BB:BB,X233+Y233-1))</f>
        <v>298233.69559999998</v>
      </c>
      <c r="BD233" s="25">
        <f t="shared" si="101"/>
        <v>298233.69559999998</v>
      </c>
      <c r="BE233">
        <f t="shared" si="112"/>
        <v>0</v>
      </c>
      <c r="BF233" s="6">
        <f>SUM(INDEX(BE:BE,X233):INDEX(BE:BE,X233+Y233-1))</f>
        <v>3</v>
      </c>
      <c r="BG233" s="25">
        <f t="shared" si="102"/>
        <v>3</v>
      </c>
    </row>
    <row r="234" spans="1:59" x14ac:dyDescent="0.3">
      <c r="A234" s="1">
        <v>45694</v>
      </c>
      <c r="B234">
        <v>39.713799999999999</v>
      </c>
      <c r="C234">
        <v>40.025700000000001</v>
      </c>
      <c r="D234">
        <v>39.508099999999999</v>
      </c>
      <c r="E234">
        <v>39.7072</v>
      </c>
      <c r="F234">
        <v>15673</v>
      </c>
      <c r="G234" s="29">
        <v>0.904326835299476</v>
      </c>
      <c r="H234" s="29">
        <v>2.2774883026238899E-2</v>
      </c>
      <c r="I234" s="29">
        <v>1.83820566547125E-2</v>
      </c>
      <c r="J234" s="29">
        <v>54.053733323362401</v>
      </c>
      <c r="K234" s="29">
        <v>4.5787714617566699E-2</v>
      </c>
      <c r="L234" s="29">
        <v>0.4</v>
      </c>
      <c r="M234" s="29">
        <v>5.2607324981443201E-2</v>
      </c>
      <c r="N234" s="29">
        <v>1.4217101885560499</v>
      </c>
      <c r="O234" s="29">
        <v>-3.31235161624156E-2</v>
      </c>
      <c r="P234" s="29">
        <v>1.04693122420207E-2</v>
      </c>
      <c r="Q234" s="29">
        <v>1.9841269841269799E-2</v>
      </c>
      <c r="R234" s="30">
        <v>283776.01490000001</v>
      </c>
      <c r="S234" s="29">
        <v>3</v>
      </c>
      <c r="T234">
        <v>599.28300000000002</v>
      </c>
      <c r="U234" s="21"/>
      <c r="V234">
        <v>224</v>
      </c>
      <c r="W234" t="b">
        <f>V234&gt;=$C$4</f>
        <v>1</v>
      </c>
      <c r="X234">
        <f>IF(V234&lt;=$C$5,11,ROW()-$C$5+1)</f>
        <v>11</v>
      </c>
      <c r="Y234" s="14">
        <f t="shared" si="95"/>
        <v>224</v>
      </c>
      <c r="Z234" s="10">
        <f t="shared" si="103"/>
        <v>0.72990000000000066</v>
      </c>
      <c r="AA234" s="15">
        <f t="shared" si="104"/>
        <v>1.8382056654712511E-2</v>
      </c>
      <c r="AB234" s="15">
        <f t="shared" si="105"/>
        <v>0.90432683529947611</v>
      </c>
      <c r="AC234" s="10">
        <f t="shared" si="96"/>
        <v>2.2774883026238972E-2</v>
      </c>
      <c r="AD234">
        <f t="shared" si="106"/>
        <v>0.41140000000000043</v>
      </c>
      <c r="AE234">
        <f t="shared" si="113"/>
        <v>0.41140000000000043</v>
      </c>
      <c r="AF234">
        <f t="shared" si="114"/>
        <v>0</v>
      </c>
      <c r="AG234">
        <f t="shared" si="119"/>
        <v>0.3145358860896198</v>
      </c>
      <c r="AH234">
        <f t="shared" si="119"/>
        <v>0.26735894913016878</v>
      </c>
      <c r="AI234">
        <f t="shared" si="107"/>
        <v>1.1764554248621093</v>
      </c>
      <c r="AJ234">
        <f t="shared" si="115"/>
        <v>54.053733948474701</v>
      </c>
      <c r="AK234" s="14">
        <f t="shared" si="97"/>
        <v>54.053733948474701</v>
      </c>
      <c r="AM234" s="14">
        <f t="shared" si="120"/>
        <v>4.5787714617566699E-2</v>
      </c>
      <c r="AN234" s="36">
        <f t="shared" si="108"/>
        <v>1.0469312242020745E-2</v>
      </c>
      <c r="AO234">
        <f t="shared" si="117"/>
        <v>1</v>
      </c>
      <c r="AP234" s="14">
        <f t="shared" si="118"/>
        <v>0.4</v>
      </c>
      <c r="AQ234">
        <f t="shared" si="109"/>
        <v>3.476181625466479E-3</v>
      </c>
      <c r="AR234">
        <f t="shared" si="110"/>
        <v>6.9931306165542211E-3</v>
      </c>
      <c r="AS234">
        <f t="shared" si="92"/>
        <v>7.1853900133430878E-4</v>
      </c>
      <c r="AT234">
        <f t="shared" si="93"/>
        <v>1.3658535224662581E-2</v>
      </c>
      <c r="AU234" s="14">
        <f t="shared" si="98"/>
        <v>5.2607324981442841E-2</v>
      </c>
      <c r="AV234" s="19">
        <f t="shared" si="94"/>
        <v>1.4217101885560932</v>
      </c>
      <c r="AW234" s="19">
        <f t="shared" si="121"/>
        <v>-3.31235161624156E-2</v>
      </c>
      <c r="AX234">
        <f t="shared" si="99"/>
        <v>0</v>
      </c>
      <c r="AY234">
        <f>IF(W234,SUMPRODUCT(INDEX(AX:AX,X234):INDEX(AX:AX,X234+Y234)),0)</f>
        <v>5</v>
      </c>
      <c r="AZ234">
        <f>IF(V234,COUNT(INDEX(AX:AX,X234):INDEX(AX:AX,ROW())),0)</f>
        <v>224</v>
      </c>
      <c r="BA234" s="14">
        <f t="shared" si="111"/>
        <v>2.2321428571428572E-2</v>
      </c>
      <c r="BB234" s="6">
        <f t="shared" si="100"/>
        <v>622330.94559999998</v>
      </c>
      <c r="BC234" s="6">
        <f>MEDIAN(INDEX(BB:BB,X234):INDEX(BB:BB,X234+Y234-1))</f>
        <v>298452.60475</v>
      </c>
      <c r="BD234" s="25">
        <f t="shared" si="101"/>
        <v>298452.60475</v>
      </c>
      <c r="BE234">
        <f t="shared" si="112"/>
        <v>0</v>
      </c>
      <c r="BF234" s="6">
        <f>SUM(INDEX(BE:BE,X234):INDEX(BE:BE,X234+Y234-1))</f>
        <v>3</v>
      </c>
      <c r="BG234" s="25">
        <f t="shared" si="102"/>
        <v>3</v>
      </c>
    </row>
    <row r="235" spans="1:59" x14ac:dyDescent="0.3">
      <c r="A235" s="1">
        <v>45695</v>
      </c>
      <c r="B235">
        <v>40.032299999999999</v>
      </c>
      <c r="C235">
        <v>40.032299999999999</v>
      </c>
      <c r="D235">
        <v>39.381999999999998</v>
      </c>
      <c r="E235">
        <v>39.514699999999998</v>
      </c>
      <c r="F235">
        <v>11453</v>
      </c>
      <c r="G235" s="29">
        <v>0.88618206134951305</v>
      </c>
      <c r="H235" s="29">
        <v>2.2426642777232601E-2</v>
      </c>
      <c r="I235" s="29">
        <v>1.6457166573452399E-2</v>
      </c>
      <c r="J235" s="29">
        <v>52.712342927834698</v>
      </c>
      <c r="K235" s="29">
        <v>4.9153820419823802E-2</v>
      </c>
      <c r="L235" s="29">
        <v>0.4</v>
      </c>
      <c r="M235" s="29">
        <v>3.56403955259047E-2</v>
      </c>
      <c r="N235" s="29">
        <v>1.3677406232604401</v>
      </c>
      <c r="O235" s="29">
        <v>-3.7810921044621797E-2</v>
      </c>
      <c r="P235" s="29">
        <v>-4.8479872667930302E-3</v>
      </c>
      <c r="Q235" s="29">
        <v>1.9841269841269799E-2</v>
      </c>
      <c r="R235" s="30">
        <v>283776.01490000001</v>
      </c>
      <c r="S235" s="29">
        <v>3</v>
      </c>
      <c r="T235">
        <v>593.79700000000003</v>
      </c>
      <c r="U235" s="21"/>
      <c r="V235">
        <v>225</v>
      </c>
      <c r="W235" t="b">
        <f>V235&gt;=$C$4</f>
        <v>1</v>
      </c>
      <c r="X235">
        <f>IF(V235&lt;=$C$5,11,ROW()-$C$5+1)</f>
        <v>11</v>
      </c>
      <c r="Y235" s="14">
        <f t="shared" si="95"/>
        <v>225</v>
      </c>
      <c r="Z235" s="10">
        <f t="shared" si="103"/>
        <v>0.65030000000000143</v>
      </c>
      <c r="AA235" s="15">
        <f t="shared" si="104"/>
        <v>1.6457166573452447E-2</v>
      </c>
      <c r="AB235" s="15">
        <f t="shared" si="105"/>
        <v>0.88618206134951361</v>
      </c>
      <c r="AC235" s="10">
        <f t="shared" si="96"/>
        <v>2.2426642777232615E-2</v>
      </c>
      <c r="AD235">
        <f t="shared" si="106"/>
        <v>-0.19250000000000256</v>
      </c>
      <c r="AE235">
        <f t="shared" si="113"/>
        <v>0</v>
      </c>
      <c r="AF235">
        <f t="shared" si="114"/>
        <v>0.19250000000000256</v>
      </c>
      <c r="AG235">
        <f t="shared" si="119"/>
        <v>0.29206903708321841</v>
      </c>
      <c r="AH235">
        <f t="shared" si="119"/>
        <v>0.2620118813351569</v>
      </c>
      <c r="AI235">
        <f t="shared" si="107"/>
        <v>1.1147167662584483</v>
      </c>
      <c r="AJ235">
        <f t="shared" si="115"/>
        <v>52.712343517789755</v>
      </c>
      <c r="AK235" s="14">
        <f t="shared" si="97"/>
        <v>52.712343517789755</v>
      </c>
      <c r="AM235" s="14">
        <f t="shared" si="120"/>
        <v>4.9153820419823857E-2</v>
      </c>
      <c r="AN235" s="36">
        <f t="shared" si="108"/>
        <v>-4.8479872667930302E-3</v>
      </c>
      <c r="AO235">
        <f t="shared" si="117"/>
        <v>0</v>
      </c>
      <c r="AP235" s="14">
        <f t="shared" si="118"/>
        <v>0.4</v>
      </c>
      <c r="AQ235">
        <f t="shared" si="109"/>
        <v>-9.1542726891968851E-3</v>
      </c>
      <c r="AR235">
        <f t="shared" si="110"/>
        <v>4.3062854224038549E-3</v>
      </c>
      <c r="AS235">
        <f t="shared" si="92"/>
        <v>4.7962711148049659E-4</v>
      </c>
      <c r="AT235">
        <f t="shared" si="93"/>
        <v>1.3457401479506321E-2</v>
      </c>
      <c r="AU235" s="14">
        <f t="shared" si="98"/>
        <v>3.5640395525904423E-2</v>
      </c>
      <c r="AV235" s="19">
        <f t="shared" si="94"/>
        <v>1.367740623260475</v>
      </c>
      <c r="AW235" s="19">
        <f t="shared" si="121"/>
        <v>-3.7810921044621804E-2</v>
      </c>
      <c r="AX235">
        <f t="shared" si="99"/>
        <v>0</v>
      </c>
      <c r="AY235">
        <f>IF(W235,SUMPRODUCT(INDEX(AX:AX,X235):INDEX(AX:AX,X235+Y235)),0)</f>
        <v>5</v>
      </c>
      <c r="AZ235">
        <f>IF(V235,COUNT(INDEX(AX:AX,X235):INDEX(AX:AX,ROW())),0)</f>
        <v>225</v>
      </c>
      <c r="BA235" s="14">
        <f t="shared" si="111"/>
        <v>2.2222222222222223E-2</v>
      </c>
      <c r="BB235" s="6">
        <f t="shared" si="100"/>
        <v>452561.8591</v>
      </c>
      <c r="BC235" s="6">
        <f>MEDIAN(INDEX(BB:BB,X235):INDEX(BB:BB,X235+Y235-1))</f>
        <v>298671.51390000002</v>
      </c>
      <c r="BD235" s="25">
        <f t="shared" si="101"/>
        <v>298671.51390000002</v>
      </c>
      <c r="BE235">
        <f t="shared" si="112"/>
        <v>0</v>
      </c>
      <c r="BF235" s="6">
        <f>SUM(INDEX(BE:BE,X235):INDEX(BE:BE,X235+Y235-1))</f>
        <v>3</v>
      </c>
      <c r="BG235" s="25">
        <f t="shared" si="102"/>
        <v>3</v>
      </c>
    </row>
    <row r="236" spans="1:59" x14ac:dyDescent="0.3">
      <c r="A236" s="1">
        <v>45698</v>
      </c>
      <c r="B236">
        <v>39.581099999999999</v>
      </c>
      <c r="C236">
        <v>39.615600000000001</v>
      </c>
      <c r="D236">
        <v>39.448399999999999</v>
      </c>
      <c r="E236">
        <v>39.448399999999999</v>
      </c>
      <c r="F236">
        <v>16878</v>
      </c>
      <c r="G236" s="29">
        <v>0.83482619982454798</v>
      </c>
      <c r="H236" s="29">
        <v>2.1162485673045E-2</v>
      </c>
      <c r="I236" s="29">
        <v>4.2384482006875002E-3</v>
      </c>
      <c r="J236" s="29">
        <v>52.231580912937602</v>
      </c>
      <c r="K236" s="29">
        <v>2.02506633838004E-2</v>
      </c>
      <c r="L236" s="29">
        <v>0.4</v>
      </c>
      <c r="M236" s="29">
        <v>2.7390175482988499E-2</v>
      </c>
      <c r="N236" s="29">
        <v>1.41860281280345</v>
      </c>
      <c r="O236" s="29">
        <v>-3.94253363365192E-2</v>
      </c>
      <c r="P236" s="29">
        <v>-1.6778565951405199E-3</v>
      </c>
      <c r="Q236" s="29">
        <v>1.9841269841269799E-2</v>
      </c>
      <c r="R236" s="30">
        <v>284874.33704999997</v>
      </c>
      <c r="S236" s="29">
        <v>3</v>
      </c>
      <c r="T236">
        <v>597.83000000000004</v>
      </c>
      <c r="U236" s="21"/>
      <c r="V236">
        <v>226</v>
      </c>
      <c r="W236" t="b">
        <f>V236&gt;=$C$4</f>
        <v>1</v>
      </c>
      <c r="X236">
        <f>IF(V236&lt;=$C$5,11,ROW()-$C$5+1)</f>
        <v>11</v>
      </c>
      <c r="Y236" s="14">
        <f t="shared" si="95"/>
        <v>226</v>
      </c>
      <c r="Z236" s="10">
        <f t="shared" si="103"/>
        <v>0.16720000000000113</v>
      </c>
      <c r="AA236" s="15">
        <f t="shared" si="104"/>
        <v>4.2384482006875088E-3</v>
      </c>
      <c r="AB236" s="15">
        <f t="shared" si="105"/>
        <v>0.83482619982454842</v>
      </c>
      <c r="AC236" s="10">
        <f t="shared" si="96"/>
        <v>2.1162485673045E-2</v>
      </c>
      <c r="AD236">
        <f t="shared" si="106"/>
        <v>-6.6299999999998249E-2</v>
      </c>
      <c r="AE236">
        <f t="shared" si="113"/>
        <v>0</v>
      </c>
      <c r="AF236">
        <f t="shared" si="114"/>
        <v>6.6299999999998249E-2</v>
      </c>
      <c r="AG236">
        <f t="shared" si="119"/>
        <v>0.27120696300584568</v>
      </c>
      <c r="AH236">
        <f t="shared" si="119"/>
        <v>0.24803246123978842</v>
      </c>
      <c r="AI236">
        <f t="shared" si="107"/>
        <v>1.0934333419513707</v>
      </c>
      <c r="AJ236">
        <f t="shared" si="115"/>
        <v>52.231581490535483</v>
      </c>
      <c r="AK236" s="14">
        <f t="shared" si="97"/>
        <v>52.231581490535483</v>
      </c>
      <c r="AM236" s="14">
        <f t="shared" si="120"/>
        <v>2.0250663383800438E-2</v>
      </c>
      <c r="AN236" s="36">
        <f t="shared" si="108"/>
        <v>-1.6778565951405255E-3</v>
      </c>
      <c r="AO236">
        <f t="shared" si="117"/>
        <v>0</v>
      </c>
      <c r="AP236" s="14">
        <f t="shared" si="118"/>
        <v>0.4</v>
      </c>
      <c r="AQ236">
        <f t="shared" si="109"/>
        <v>6.7918834214386603E-3</v>
      </c>
      <c r="AR236">
        <f t="shared" si="110"/>
        <v>-8.4697400165791806E-3</v>
      </c>
      <c r="AS236">
        <f t="shared" si="92"/>
        <v>3.6983287611245028E-4</v>
      </c>
      <c r="AT236">
        <f t="shared" si="93"/>
        <v>1.3502391627324485E-2</v>
      </c>
      <c r="AU236" s="14">
        <f t="shared" si="98"/>
        <v>2.739017548298835E-2</v>
      </c>
      <c r="AV236" s="19">
        <f t="shared" si="94"/>
        <v>1.4186028128034958</v>
      </c>
      <c r="AW236" s="19">
        <f t="shared" si="121"/>
        <v>-3.9425336336519234E-2</v>
      </c>
      <c r="AX236">
        <f t="shared" si="99"/>
        <v>0</v>
      </c>
      <c r="AY236">
        <f>IF(W236,SUMPRODUCT(INDEX(AX:AX,X236):INDEX(AX:AX,X236+Y236)),0)</f>
        <v>5</v>
      </c>
      <c r="AZ236">
        <f>IF(V236,COUNT(INDEX(AX:AX,X236):INDEX(AX:AX,ROW())),0)</f>
        <v>226</v>
      </c>
      <c r="BA236" s="14">
        <f t="shared" si="111"/>
        <v>2.2123893805309734E-2</v>
      </c>
      <c r="BB236" s="6">
        <f t="shared" si="100"/>
        <v>665810.09519999998</v>
      </c>
      <c r="BC236" s="6">
        <f>MEDIAN(INDEX(BB:BB,X236):INDEX(BB:BB,X236+Y236-1))</f>
        <v>300379.92945000005</v>
      </c>
      <c r="BD236" s="25">
        <f t="shared" si="101"/>
        <v>300379.92945000005</v>
      </c>
      <c r="BE236">
        <f t="shared" si="112"/>
        <v>0</v>
      </c>
      <c r="BF236" s="6">
        <f>SUM(INDEX(BE:BE,X236):INDEX(BE:BE,X236+Y236-1))</f>
        <v>3</v>
      </c>
      <c r="BG236" s="25">
        <f t="shared" si="102"/>
        <v>3</v>
      </c>
    </row>
    <row r="237" spans="1:59" x14ac:dyDescent="0.3">
      <c r="A237" s="1">
        <v>45699</v>
      </c>
      <c r="B237">
        <v>39.136499999999998</v>
      </c>
      <c r="C237">
        <v>39.136499999999998</v>
      </c>
      <c r="D237">
        <v>38.645499999999998</v>
      </c>
      <c r="E237">
        <v>38.884399999999999</v>
      </c>
      <c r="F237">
        <v>10549</v>
      </c>
      <c r="G237" s="29">
        <v>0.83254575697993805</v>
      </c>
      <c r="H237" s="29">
        <v>2.1410790882203001E-2</v>
      </c>
      <c r="I237" s="29">
        <v>2.0648383413399699E-2</v>
      </c>
      <c r="J237" s="29">
        <v>48.203941034663302</v>
      </c>
      <c r="K237" s="29">
        <v>6.4873820706275301E-2</v>
      </c>
      <c r="L237" s="29">
        <v>0.4</v>
      </c>
      <c r="M237" s="29">
        <v>5.5402367732452504E-3</v>
      </c>
      <c r="N237" s="29">
        <v>1.4167518065628699</v>
      </c>
      <c r="O237" s="29">
        <v>-5.3158823887502302E-2</v>
      </c>
      <c r="P237" s="29">
        <v>-1.42971578061468E-2</v>
      </c>
      <c r="Q237" s="29">
        <v>1.9841269841269799E-2</v>
      </c>
      <c r="R237" s="30">
        <v>284874.33704999997</v>
      </c>
      <c r="S237" s="29">
        <v>3</v>
      </c>
      <c r="T237">
        <v>598.28399999999999</v>
      </c>
      <c r="U237" s="21"/>
      <c r="V237">
        <v>227</v>
      </c>
      <c r="W237" t="b">
        <f>V237&gt;=$C$4</f>
        <v>1</v>
      </c>
      <c r="X237">
        <f>IF(V237&lt;=$C$5,11,ROW()-$C$5+1)</f>
        <v>11</v>
      </c>
      <c r="Y237" s="14">
        <f t="shared" si="95"/>
        <v>227</v>
      </c>
      <c r="Z237" s="10">
        <f t="shared" si="103"/>
        <v>0.80290000000000106</v>
      </c>
      <c r="AA237" s="15">
        <f t="shared" si="104"/>
        <v>2.0648383413399744E-2</v>
      </c>
      <c r="AB237" s="15">
        <f t="shared" si="105"/>
        <v>0.83254575697993793</v>
      </c>
      <c r="AC237" s="10">
        <f t="shared" si="96"/>
        <v>2.1410790882203094E-2</v>
      </c>
      <c r="AD237">
        <f t="shared" si="106"/>
        <v>-0.56400000000000006</v>
      </c>
      <c r="AE237">
        <f t="shared" si="113"/>
        <v>0</v>
      </c>
      <c r="AF237">
        <f t="shared" si="114"/>
        <v>0.56400000000000006</v>
      </c>
      <c r="AG237">
        <f t="shared" si="119"/>
        <v>0.25183503707685667</v>
      </c>
      <c r="AH237">
        <f t="shared" si="119"/>
        <v>0.27060157115123212</v>
      </c>
      <c r="AI237">
        <f t="shared" si="107"/>
        <v>0.93064883550181854</v>
      </c>
      <c r="AJ237">
        <f t="shared" si="115"/>
        <v>48.203941513782446</v>
      </c>
      <c r="AK237" s="14">
        <f t="shared" si="97"/>
        <v>48.203941513782446</v>
      </c>
      <c r="AM237" s="14">
        <f t="shared" si="120"/>
        <v>6.4873820706275342E-2</v>
      </c>
      <c r="AN237" s="36">
        <f t="shared" si="108"/>
        <v>-1.4297157806146821E-2</v>
      </c>
      <c r="AO237">
        <f t="shared" si="117"/>
        <v>0</v>
      </c>
      <c r="AP237" s="14">
        <f t="shared" si="118"/>
        <v>0.4</v>
      </c>
      <c r="AQ237">
        <f t="shared" si="109"/>
        <v>7.5941321111350213E-4</v>
      </c>
      <c r="AR237">
        <f t="shared" si="110"/>
        <v>-1.5056571017260302E-2</v>
      </c>
      <c r="AS237">
        <f t="shared" si="92"/>
        <v>7.5540159709614076E-5</v>
      </c>
      <c r="AT237">
        <f t="shared" si="93"/>
        <v>1.3634825153035515E-2</v>
      </c>
      <c r="AU237" s="14">
        <f t="shared" si="98"/>
        <v>5.5402367732450613E-3</v>
      </c>
      <c r="AV237" s="19">
        <f t="shared" si="94"/>
        <v>1.4167518065629117</v>
      </c>
      <c r="AW237" s="19">
        <f t="shared" si="121"/>
        <v>-5.3158823887502371E-2</v>
      </c>
      <c r="AX237">
        <f t="shared" si="99"/>
        <v>0</v>
      </c>
      <c r="AY237">
        <f>IF(W237,SUMPRODUCT(INDEX(AX:AX,X237):INDEX(AX:AX,X237+Y237)),0)</f>
        <v>5</v>
      </c>
      <c r="AZ237">
        <f>IF(V237,COUNT(INDEX(AX:AX,X237):INDEX(AX:AX,ROW())),0)</f>
        <v>227</v>
      </c>
      <c r="BA237" s="14">
        <f t="shared" si="111"/>
        <v>2.2026431718061675E-2</v>
      </c>
      <c r="BB237" s="6">
        <f t="shared" si="100"/>
        <v>410191.5356</v>
      </c>
      <c r="BC237" s="6">
        <f>MEDIAN(INDEX(BB:BB,X237):INDEX(BB:BB,X237+Y237-1))</f>
        <v>302088.34500000003</v>
      </c>
      <c r="BD237" s="25">
        <f t="shared" si="101"/>
        <v>302088.34500000003</v>
      </c>
      <c r="BE237">
        <f t="shared" si="112"/>
        <v>0</v>
      </c>
      <c r="BF237" s="6">
        <f>SUM(INDEX(BE:BE,X237):INDEX(BE:BE,X237+Y237-1))</f>
        <v>3</v>
      </c>
      <c r="BG237" s="25">
        <f t="shared" si="102"/>
        <v>3</v>
      </c>
    </row>
    <row r="238" spans="1:59" x14ac:dyDescent="0.3">
      <c r="A238" s="1">
        <v>45700</v>
      </c>
      <c r="B238">
        <v>38.519399999999997</v>
      </c>
      <c r="C238">
        <v>38.884399999999999</v>
      </c>
      <c r="D238">
        <v>38.307099999999998</v>
      </c>
      <c r="E238">
        <v>38.731699999999996</v>
      </c>
      <c r="F238">
        <v>14467</v>
      </c>
      <c r="G238" s="29">
        <v>0.81431391719565605</v>
      </c>
      <c r="H238" s="29">
        <v>2.1024481682850399E-2</v>
      </c>
      <c r="I238" s="29">
        <v>1.4905103571493101E-2</v>
      </c>
      <c r="J238" s="29">
        <v>47.143983768784203</v>
      </c>
      <c r="K238" s="29">
        <v>6.2044476130411898E-2</v>
      </c>
      <c r="L238" s="29">
        <v>0.2</v>
      </c>
      <c r="M238" s="29">
        <v>1.7316526753400899E-2</v>
      </c>
      <c r="N238" s="29">
        <v>1.4296833885620801</v>
      </c>
      <c r="O238" s="29">
        <v>-5.6877092591465402E-2</v>
      </c>
      <c r="P238" s="29">
        <v>-3.9270247194248499E-3</v>
      </c>
      <c r="Q238" s="29">
        <v>1.9841269841269799E-2</v>
      </c>
      <c r="R238" s="30">
        <v>290020.87075</v>
      </c>
      <c r="S238" s="29">
        <v>3</v>
      </c>
      <c r="T238">
        <v>596.35699999999997</v>
      </c>
      <c r="U238" s="21"/>
      <c r="V238">
        <v>228</v>
      </c>
      <c r="W238" t="b">
        <f>V238&gt;=$C$4</f>
        <v>1</v>
      </c>
      <c r="X238">
        <f>IF(V238&lt;=$C$5,11,ROW()-$C$5+1)</f>
        <v>11</v>
      </c>
      <c r="Y238" s="14">
        <f t="shared" si="95"/>
        <v>228</v>
      </c>
      <c r="Z238" s="10">
        <f t="shared" si="103"/>
        <v>0.57730000000000103</v>
      </c>
      <c r="AA238" s="15">
        <f t="shared" si="104"/>
        <v>1.4905103571493146E-2</v>
      </c>
      <c r="AB238" s="15">
        <f t="shared" si="105"/>
        <v>0.81431391719565671</v>
      </c>
      <c r="AC238" s="10">
        <f t="shared" si="96"/>
        <v>2.1024481682850399E-2</v>
      </c>
      <c r="AD238">
        <f t="shared" si="106"/>
        <v>-0.15270000000000294</v>
      </c>
      <c r="AE238">
        <f t="shared" si="113"/>
        <v>0</v>
      </c>
      <c r="AF238">
        <f t="shared" si="114"/>
        <v>0.15270000000000294</v>
      </c>
      <c r="AG238">
        <f t="shared" ref="AG238:AH253" si="122">(AE238+13*AG237)/14</f>
        <v>0.23384682014279548</v>
      </c>
      <c r="AH238">
        <f t="shared" si="122"/>
        <v>0.26218003035471577</v>
      </c>
      <c r="AI238">
        <f t="shared" si="107"/>
        <v>0.89193223384104825</v>
      </c>
      <c r="AJ238">
        <f t="shared" si="115"/>
        <v>47.14398422348485</v>
      </c>
      <c r="AK238" s="14">
        <f t="shared" si="97"/>
        <v>47.14398422348485</v>
      </c>
      <c r="AM238" s="14">
        <f t="shared" si="120"/>
        <v>6.2044476130411974E-2</v>
      </c>
      <c r="AN238" s="36">
        <f t="shared" si="108"/>
        <v>-3.9270247194248542E-3</v>
      </c>
      <c r="AO238">
        <f t="shared" si="117"/>
        <v>0</v>
      </c>
      <c r="AP238" s="14">
        <f t="shared" si="118"/>
        <v>0.2</v>
      </c>
      <c r="AQ238">
        <f t="shared" si="109"/>
        <v>-3.2208783788301165E-3</v>
      </c>
      <c r="AR238">
        <f t="shared" si="110"/>
        <v>-7.0614634059473335E-4</v>
      </c>
      <c r="AS238">
        <f t="shared" si="92"/>
        <v>2.3489527041576055E-4</v>
      </c>
      <c r="AT238">
        <f t="shared" si="93"/>
        <v>1.3564802789891497E-2</v>
      </c>
      <c r="AU238" s="14">
        <f t="shared" si="98"/>
        <v>1.7316526753400698E-2</v>
      </c>
      <c r="AV238" s="19">
        <f t="shared" si="94"/>
        <v>1.4296833885621263</v>
      </c>
      <c r="AW238" s="19">
        <f t="shared" si="121"/>
        <v>-5.687709259146545E-2</v>
      </c>
      <c r="AX238">
        <f t="shared" si="99"/>
        <v>0</v>
      </c>
      <c r="AY238">
        <f>IF(W238,SUMPRODUCT(INDEX(AX:AX,X238):INDEX(AX:AX,X238+Y238)),0)</f>
        <v>5</v>
      </c>
      <c r="AZ238">
        <f>IF(V238,COUNT(INDEX(AX:AX,X238):INDEX(AX:AX,ROW())),0)</f>
        <v>228</v>
      </c>
      <c r="BA238" s="14">
        <f t="shared" si="111"/>
        <v>2.1929824561403508E-2</v>
      </c>
      <c r="BB238" s="6">
        <f t="shared" si="100"/>
        <v>560331.50389999989</v>
      </c>
      <c r="BC238" s="6">
        <f>MEDIAN(INDEX(BB:BB,X238):INDEX(BB:BB,X238+Y238-1))</f>
        <v>303122.64275</v>
      </c>
      <c r="BD238" s="25">
        <f t="shared" si="101"/>
        <v>303122.64275</v>
      </c>
      <c r="BE238">
        <f t="shared" si="112"/>
        <v>0</v>
      </c>
      <c r="BF238" s="6">
        <f>SUM(INDEX(BE:BE,X238):INDEX(BE:BE,X238+Y238-1))</f>
        <v>3</v>
      </c>
      <c r="BG238" s="25">
        <f t="shared" si="102"/>
        <v>3</v>
      </c>
    </row>
    <row r="239" spans="1:59" x14ac:dyDescent="0.3">
      <c r="A239" s="1">
        <v>45701</v>
      </c>
      <c r="B239">
        <v>39.256</v>
      </c>
      <c r="C239">
        <v>40.417200000000001</v>
      </c>
      <c r="D239">
        <v>39.256</v>
      </c>
      <c r="E239">
        <v>40.018999999999998</v>
      </c>
      <c r="F239">
        <v>17180</v>
      </c>
      <c r="G239" s="29">
        <v>0.87654149453882402</v>
      </c>
      <c r="H239" s="29">
        <v>2.1903133375117401E-2</v>
      </c>
      <c r="I239" s="29">
        <v>4.2117494190259702E-2</v>
      </c>
      <c r="J239" s="29">
        <v>55.939826038110397</v>
      </c>
      <c r="K239" s="29">
        <v>9.1584063892813594E-2</v>
      </c>
      <c r="L239" s="29">
        <v>0.2</v>
      </c>
      <c r="M239" s="29">
        <v>1.2024125298265E-2</v>
      </c>
      <c r="N239" s="29">
        <v>1.47284946071144</v>
      </c>
      <c r="O239" s="29">
        <v>-2.5531137761003301E-2</v>
      </c>
      <c r="P239" s="29">
        <v>3.3236341291500202E-2</v>
      </c>
      <c r="Q239" s="29">
        <v>1.9841269841269799E-2</v>
      </c>
      <c r="R239" s="30">
        <v>296508.62569999998</v>
      </c>
      <c r="S239" s="29">
        <v>3</v>
      </c>
      <c r="T239">
        <v>602.65300000000002</v>
      </c>
      <c r="U239" s="21"/>
      <c r="V239">
        <v>229</v>
      </c>
      <c r="W239" t="b">
        <f>V239&gt;=$C$4</f>
        <v>1</v>
      </c>
      <c r="X239">
        <f>IF(V239&lt;=$C$5,11,ROW()-$C$5+1)</f>
        <v>11</v>
      </c>
      <c r="Y239" s="14">
        <f t="shared" si="95"/>
        <v>229</v>
      </c>
      <c r="Z239" s="10">
        <f t="shared" si="103"/>
        <v>1.6855000000000047</v>
      </c>
      <c r="AA239" s="15">
        <f t="shared" si="104"/>
        <v>4.2117494190259744E-2</v>
      </c>
      <c r="AB239" s="15">
        <f t="shared" si="105"/>
        <v>0.87654149453882446</v>
      </c>
      <c r="AC239" s="10">
        <f t="shared" si="96"/>
        <v>2.1903133375117432E-2</v>
      </c>
      <c r="AD239">
        <f t="shared" si="106"/>
        <v>1.2873000000000019</v>
      </c>
      <c r="AE239">
        <f t="shared" si="113"/>
        <v>1.2873000000000019</v>
      </c>
      <c r="AF239">
        <f t="shared" si="114"/>
        <v>0</v>
      </c>
      <c r="AG239">
        <f t="shared" si="122"/>
        <v>0.30909347584688163</v>
      </c>
      <c r="AH239">
        <f t="shared" si="122"/>
        <v>0.24345288532937892</v>
      </c>
      <c r="AI239">
        <f t="shared" si="107"/>
        <v>1.2696233828927288</v>
      </c>
      <c r="AJ239">
        <f t="shared" si="115"/>
        <v>55.939826513178645</v>
      </c>
      <c r="AK239" s="14">
        <f t="shared" si="97"/>
        <v>55.939826513178645</v>
      </c>
      <c r="AM239" s="14">
        <f t="shared" si="120"/>
        <v>9.1584063892813594E-2</v>
      </c>
      <c r="AN239" s="36">
        <f t="shared" si="108"/>
        <v>3.3236341291500215E-2</v>
      </c>
      <c r="AO239">
        <f t="shared" si="117"/>
        <v>1</v>
      </c>
      <c r="AP239" s="14">
        <f t="shared" si="118"/>
        <v>0.2</v>
      </c>
      <c r="AQ239">
        <f t="shared" si="109"/>
        <v>1.0557434556817569E-2</v>
      </c>
      <c r="AR239">
        <f t="shared" si="110"/>
        <v>2.2678906734682633E-2</v>
      </c>
      <c r="AS239">
        <f t="shared" si="92"/>
        <v>1.6145649081323994E-4</v>
      </c>
      <c r="AT239">
        <f t="shared" si="93"/>
        <v>1.3427711938143105E-2</v>
      </c>
      <c r="AU239" s="14">
        <f t="shared" si="98"/>
        <v>1.2024125298264887E-2</v>
      </c>
      <c r="AV239" s="19">
        <f t="shared" si="94"/>
        <v>1.472849460711489</v>
      </c>
      <c r="AW239" s="19">
        <f t="shared" si="121"/>
        <v>-2.5531137761003353E-2</v>
      </c>
      <c r="AX239">
        <f t="shared" si="99"/>
        <v>0</v>
      </c>
      <c r="AY239">
        <f>IF(W239,SUMPRODUCT(INDEX(AX:AX,X239):INDEX(AX:AX,X239+Y239)),0)</f>
        <v>5</v>
      </c>
      <c r="AZ239">
        <f>IF(V239,COUNT(INDEX(AX:AX,X239):INDEX(AX:AX,ROW())),0)</f>
        <v>229</v>
      </c>
      <c r="BA239" s="14">
        <f t="shared" si="111"/>
        <v>2.1834061135371178E-2</v>
      </c>
      <c r="BB239" s="6">
        <f t="shared" si="100"/>
        <v>687526.41999999993</v>
      </c>
      <c r="BC239" s="6">
        <f>MEDIAN(INDEX(BB:BB,X239):INDEX(BB:BB,X239+Y239-1))</f>
        <v>304156.94049999997</v>
      </c>
      <c r="BD239" s="25">
        <f t="shared" si="101"/>
        <v>304156.94049999997</v>
      </c>
      <c r="BE239">
        <f t="shared" si="112"/>
        <v>0</v>
      </c>
      <c r="BF239" s="6">
        <f>SUM(INDEX(BE:BE,X239):INDEX(BE:BE,X239+Y239-1))</f>
        <v>3</v>
      </c>
      <c r="BG239" s="25">
        <f t="shared" si="102"/>
        <v>3</v>
      </c>
    </row>
    <row r="240" spans="1:59" x14ac:dyDescent="0.3">
      <c r="A240" s="1">
        <v>45702</v>
      </c>
      <c r="B240">
        <v>40.563200000000002</v>
      </c>
      <c r="C240">
        <v>40.603000000000002</v>
      </c>
      <c r="D240">
        <v>40.317599999999999</v>
      </c>
      <c r="E240">
        <v>40.3309</v>
      </c>
      <c r="F240">
        <v>6480</v>
      </c>
      <c r="G240" s="29">
        <v>0.85564567350033705</v>
      </c>
      <c r="H240" s="29">
        <v>2.12156354928934E-2</v>
      </c>
      <c r="I240" s="29">
        <v>1.4480212442568899E-2</v>
      </c>
      <c r="J240" s="29">
        <v>57.773363486142102</v>
      </c>
      <c r="K240" s="29">
        <v>6.8189944459599902E-2</v>
      </c>
      <c r="L240" s="29">
        <v>0.4</v>
      </c>
      <c r="M240" s="29">
        <v>4.02471494171079E-2</v>
      </c>
      <c r="N240" s="29">
        <v>1.4589357987682201</v>
      </c>
      <c r="O240" s="29">
        <v>-1.7936324344067701E-2</v>
      </c>
      <c r="P240" s="29">
        <v>7.7937979459756701E-3</v>
      </c>
      <c r="Q240" s="29">
        <v>1.9841269841269799E-2</v>
      </c>
      <c r="R240" s="30">
        <v>290020.87075</v>
      </c>
      <c r="S240" s="29">
        <v>3</v>
      </c>
      <c r="T240">
        <v>602.62300000000005</v>
      </c>
      <c r="U240" s="21"/>
      <c r="V240">
        <v>230</v>
      </c>
      <c r="W240" t="b">
        <f>V240&gt;=$C$4</f>
        <v>1</v>
      </c>
      <c r="X240">
        <f>IF(V240&lt;=$C$5,11,ROW()-$C$5+1)</f>
        <v>11</v>
      </c>
      <c r="Y240" s="14">
        <f t="shared" si="95"/>
        <v>230</v>
      </c>
      <c r="Z240" s="10">
        <f t="shared" si="103"/>
        <v>0.58400000000000318</v>
      </c>
      <c r="AA240" s="15">
        <f t="shared" si="104"/>
        <v>1.4480212442568929E-2</v>
      </c>
      <c r="AB240" s="15">
        <f t="shared" si="105"/>
        <v>0.85564567350033727</v>
      </c>
      <c r="AC240" s="10">
        <f t="shared" si="96"/>
        <v>2.1215635492893469E-2</v>
      </c>
      <c r="AD240">
        <f t="shared" si="106"/>
        <v>0.3119000000000014</v>
      </c>
      <c r="AE240">
        <f t="shared" si="113"/>
        <v>0.3119000000000014</v>
      </c>
      <c r="AF240">
        <f t="shared" si="114"/>
        <v>0</v>
      </c>
      <c r="AG240">
        <f t="shared" si="122"/>
        <v>0.30929394185781872</v>
      </c>
      <c r="AH240">
        <f t="shared" si="122"/>
        <v>0.22606339352013757</v>
      </c>
      <c r="AI240">
        <f t="shared" si="107"/>
        <v>1.3681734890450852</v>
      </c>
      <c r="AJ240">
        <f t="shared" si="115"/>
        <v>57.773363960626526</v>
      </c>
      <c r="AK240" s="14">
        <f t="shared" si="97"/>
        <v>57.773363960626526</v>
      </c>
      <c r="AM240" s="14">
        <f t="shared" si="120"/>
        <v>6.8189944459599916E-2</v>
      </c>
      <c r="AN240" s="36">
        <f t="shared" si="108"/>
        <v>7.7937979459756779E-3</v>
      </c>
      <c r="AO240">
        <f t="shared" si="117"/>
        <v>1</v>
      </c>
      <c r="AP240" s="14">
        <f t="shared" si="118"/>
        <v>0.4</v>
      </c>
      <c r="AQ240">
        <f t="shared" si="109"/>
        <v>-4.977988992005411E-5</v>
      </c>
      <c r="AR240">
        <f t="shared" si="110"/>
        <v>7.843577835895725E-3</v>
      </c>
      <c r="AS240">
        <f t="shared" si="92"/>
        <v>5.3551976400743775E-4</v>
      </c>
      <c r="AT240">
        <f t="shared" si="93"/>
        <v>1.3305781198501603E-2</v>
      </c>
      <c r="AU240" s="14">
        <f t="shared" si="98"/>
        <v>4.0247149417107803E-2</v>
      </c>
      <c r="AV240" s="19">
        <f t="shared" si="94"/>
        <v>1.4589357987682672</v>
      </c>
      <c r="AW240" s="19">
        <f t="shared" si="121"/>
        <v>-1.7936324344067778E-2</v>
      </c>
      <c r="AX240">
        <f t="shared" si="99"/>
        <v>0</v>
      </c>
      <c r="AY240">
        <f>IF(W240,SUMPRODUCT(INDEX(AX:AX,X240):INDEX(AX:AX,X240+Y240)),0)</f>
        <v>5</v>
      </c>
      <c r="AZ240">
        <f>IF(V240,COUNT(INDEX(AX:AX,X240):INDEX(AX:AX,ROW())),0)</f>
        <v>230</v>
      </c>
      <c r="BA240" s="14">
        <f t="shared" si="111"/>
        <v>2.1739130434782608E-2</v>
      </c>
      <c r="BB240" s="6">
        <f t="shared" si="100"/>
        <v>261344.23199999999</v>
      </c>
      <c r="BC240" s="6">
        <f>MEDIAN(INDEX(BB:BB,X240):INDEX(BB:BB,X240+Y240-1))</f>
        <v>303122.64275</v>
      </c>
      <c r="BD240" s="25">
        <f t="shared" si="101"/>
        <v>303122.64275</v>
      </c>
      <c r="BE240">
        <f t="shared" si="112"/>
        <v>0</v>
      </c>
      <c r="BF240" s="6">
        <f>SUM(INDEX(BE:BE,X240):INDEX(BE:BE,X240+Y240-1))</f>
        <v>3</v>
      </c>
      <c r="BG240" s="25">
        <f t="shared" si="102"/>
        <v>3</v>
      </c>
    </row>
    <row r="241" spans="1:59" x14ac:dyDescent="0.3">
      <c r="A241" s="1">
        <v>45706</v>
      </c>
      <c r="B241">
        <v>40.324300000000001</v>
      </c>
      <c r="C241">
        <v>40.682600000000001</v>
      </c>
      <c r="D241">
        <v>40.324300000000001</v>
      </c>
      <c r="E241">
        <v>40.6295</v>
      </c>
      <c r="F241">
        <v>16577</v>
      </c>
      <c r="G241" s="29">
        <v>0.82012098253602705</v>
      </c>
      <c r="H241" s="29">
        <v>2.0185357499748299E-2</v>
      </c>
      <c r="I241" s="29">
        <v>8.8187154653638303E-3</v>
      </c>
      <c r="J241" s="29">
        <v>59.510542778284297</v>
      </c>
      <c r="K241" s="29">
        <v>6.4499563767269105E-2</v>
      </c>
      <c r="L241" s="29">
        <v>0.6</v>
      </c>
      <c r="M241" s="29">
        <v>4.4680677554611303E-2</v>
      </c>
      <c r="N241" s="29">
        <v>1.4607061132055399</v>
      </c>
      <c r="O241" s="29">
        <v>-1.0665367991721001E-2</v>
      </c>
      <c r="P241" s="29">
        <v>7.4037524577930097E-3</v>
      </c>
      <c r="Q241" s="29">
        <v>1.9841269841269799E-2</v>
      </c>
      <c r="R241" s="30">
        <v>296508.62569999998</v>
      </c>
      <c r="S241" s="29">
        <v>3</v>
      </c>
      <c r="T241">
        <v>604.39300000000003</v>
      </c>
      <c r="U241" s="21"/>
      <c r="V241">
        <v>231</v>
      </c>
      <c r="W241" t="b">
        <f>V241&gt;=$C$4</f>
        <v>1</v>
      </c>
      <c r="X241">
        <f>IF(V241&lt;=$C$5,11,ROW()-$C$5+1)</f>
        <v>11</v>
      </c>
      <c r="Y241" s="14">
        <f t="shared" si="95"/>
        <v>231</v>
      </c>
      <c r="Z241" s="10">
        <f t="shared" si="103"/>
        <v>0.35829999999999984</v>
      </c>
      <c r="AA241" s="15">
        <f t="shared" si="104"/>
        <v>8.8187154653638321E-3</v>
      </c>
      <c r="AB241" s="15">
        <f t="shared" si="105"/>
        <v>0.8201209825360275</v>
      </c>
      <c r="AC241" s="10">
        <f t="shared" si="96"/>
        <v>2.0185357499748396E-2</v>
      </c>
      <c r="AD241">
        <f t="shared" si="106"/>
        <v>0.29860000000000042</v>
      </c>
      <c r="AE241">
        <f t="shared" si="113"/>
        <v>0.29860000000000042</v>
      </c>
      <c r="AF241">
        <f t="shared" si="114"/>
        <v>0</v>
      </c>
      <c r="AG241">
        <f t="shared" si="122"/>
        <v>0.30853008886797456</v>
      </c>
      <c r="AH241">
        <f t="shared" si="122"/>
        <v>0.20991600826869919</v>
      </c>
      <c r="AI241">
        <f t="shared" si="107"/>
        <v>1.4697787530003248</v>
      </c>
      <c r="AJ241">
        <f t="shared" si="115"/>
        <v>59.510543250678438</v>
      </c>
      <c r="AK241" s="14">
        <f t="shared" si="97"/>
        <v>59.510543250678438</v>
      </c>
      <c r="AM241" s="14">
        <f t="shared" si="120"/>
        <v>6.4499563767269175E-2</v>
      </c>
      <c r="AN241" s="36">
        <f t="shared" si="108"/>
        <v>7.4037524577930114E-3</v>
      </c>
      <c r="AO241">
        <f t="shared" si="117"/>
        <v>1</v>
      </c>
      <c r="AP241" s="14">
        <f t="shared" si="118"/>
        <v>0.6</v>
      </c>
      <c r="AQ241">
        <f t="shared" si="109"/>
        <v>2.9371597167715535E-3</v>
      </c>
      <c r="AR241">
        <f t="shared" si="110"/>
        <v>4.4665927410214561E-3</v>
      </c>
      <c r="AS241">
        <f t="shared" si="92"/>
        <v>5.9492267762429587E-4</v>
      </c>
      <c r="AT241">
        <f t="shared" si="93"/>
        <v>1.3314987824371028E-2</v>
      </c>
      <c r="AU241" s="14">
        <f t="shared" si="98"/>
        <v>4.4680677554611192E-2</v>
      </c>
      <c r="AV241" s="19">
        <f t="shared" si="94"/>
        <v>1.4607061132055836</v>
      </c>
      <c r="AW241" s="19">
        <f t="shared" si="121"/>
        <v>-1.066536799172102E-2</v>
      </c>
      <c r="AX241">
        <f t="shared" si="99"/>
        <v>0</v>
      </c>
      <c r="AY241">
        <f>IF(W241,SUMPRODUCT(INDEX(AX:AX,X241):INDEX(AX:AX,X241+Y241)),0)</f>
        <v>5</v>
      </c>
      <c r="AZ241">
        <f>IF(V241,COUNT(INDEX(AX:AX,X241):INDEX(AX:AX,ROW())),0)</f>
        <v>231</v>
      </c>
      <c r="BA241" s="14">
        <f t="shared" si="111"/>
        <v>2.1645021645021644E-2</v>
      </c>
      <c r="BB241" s="6">
        <f t="shared" si="100"/>
        <v>673515.22149999999</v>
      </c>
      <c r="BC241" s="6">
        <f>MEDIAN(INDEX(BB:BB,X241):INDEX(BB:BB,X241+Y241-1))</f>
        <v>304156.94049999997</v>
      </c>
      <c r="BD241" s="25">
        <f t="shared" si="101"/>
        <v>304156.94049999997</v>
      </c>
      <c r="BE241">
        <f t="shared" si="112"/>
        <v>0</v>
      </c>
      <c r="BF241" s="6">
        <f>SUM(INDEX(BE:BE,X241):INDEX(BE:BE,X241+Y241-1))</f>
        <v>3</v>
      </c>
      <c r="BG241" s="25">
        <f t="shared" si="102"/>
        <v>3</v>
      </c>
    </row>
    <row r="242" spans="1:59" x14ac:dyDescent="0.3">
      <c r="A242" s="1">
        <v>45707</v>
      </c>
      <c r="B242">
        <v>40.6295</v>
      </c>
      <c r="C242">
        <v>40.6295</v>
      </c>
      <c r="D242">
        <v>40.072099999999999</v>
      </c>
      <c r="E242">
        <v>40.145099999999999</v>
      </c>
      <c r="F242">
        <v>11604</v>
      </c>
      <c r="G242" s="29">
        <v>0.801355198069168</v>
      </c>
      <c r="H242" s="29">
        <v>1.99614697203187E-2</v>
      </c>
      <c r="I242" s="29">
        <v>1.3884633492007701E-2</v>
      </c>
      <c r="J242" s="29">
        <v>55.520217262140797</v>
      </c>
      <c r="K242" s="29">
        <v>4.1128965331230997E-2</v>
      </c>
      <c r="L242" s="29">
        <v>0.6</v>
      </c>
      <c r="M242" s="29">
        <v>2.22646819471141E-2</v>
      </c>
      <c r="N242" s="29">
        <v>1.46621202605697</v>
      </c>
      <c r="O242" s="29">
        <v>-2.2460583186217901E-2</v>
      </c>
      <c r="P242" s="29">
        <v>-1.19223716757528E-2</v>
      </c>
      <c r="Q242" s="29">
        <v>1.9841269841269799E-2</v>
      </c>
      <c r="R242" s="30">
        <v>298452.60475</v>
      </c>
      <c r="S242" s="29">
        <v>3</v>
      </c>
      <c r="T242">
        <v>605.81600000000003</v>
      </c>
      <c r="U242" s="21"/>
      <c r="V242">
        <v>232</v>
      </c>
      <c r="W242" t="b">
        <f>V242&gt;=$C$4</f>
        <v>1</v>
      </c>
      <c r="X242">
        <f>IF(V242&lt;=$C$5,11,ROW()-$C$5+1)</f>
        <v>11</v>
      </c>
      <c r="Y242" s="14">
        <f t="shared" si="95"/>
        <v>232</v>
      </c>
      <c r="Z242" s="10">
        <f t="shared" si="103"/>
        <v>0.55740000000000123</v>
      </c>
      <c r="AA242" s="15">
        <f t="shared" si="104"/>
        <v>1.3884633492007773E-2</v>
      </c>
      <c r="AB242" s="15">
        <f t="shared" si="105"/>
        <v>0.80135519806916844</v>
      </c>
      <c r="AC242" s="10">
        <f t="shared" si="96"/>
        <v>1.9961469720318755E-2</v>
      </c>
      <c r="AD242">
        <f t="shared" si="106"/>
        <v>-0.48440000000000083</v>
      </c>
      <c r="AE242">
        <f t="shared" si="113"/>
        <v>0</v>
      </c>
      <c r="AF242">
        <f t="shared" si="114"/>
        <v>0.48440000000000083</v>
      </c>
      <c r="AG242">
        <f t="shared" si="122"/>
        <v>0.28649222537740499</v>
      </c>
      <c r="AH242">
        <f t="shared" si="122"/>
        <v>0.2295220076780779</v>
      </c>
      <c r="AI242">
        <f t="shared" si="107"/>
        <v>1.2482124406093213</v>
      </c>
      <c r="AJ242">
        <f t="shared" si="115"/>
        <v>55.520217665507836</v>
      </c>
      <c r="AK242" s="14">
        <f t="shared" si="97"/>
        <v>55.520217665507836</v>
      </c>
      <c r="AM242" s="14">
        <f t="shared" si="120"/>
        <v>4.1128965331231004E-2</v>
      </c>
      <c r="AN242" s="36">
        <f t="shared" si="108"/>
        <v>-1.192237167575283E-2</v>
      </c>
      <c r="AO242">
        <f t="shared" si="117"/>
        <v>0</v>
      </c>
      <c r="AP242" s="14">
        <f t="shared" si="118"/>
        <v>0.6</v>
      </c>
      <c r="AQ242">
        <f t="shared" si="109"/>
        <v>2.3544283272638467E-3</v>
      </c>
      <c r="AR242">
        <f t="shared" si="110"/>
        <v>-1.4276800003016647E-2</v>
      </c>
      <c r="AS242">
        <f t="shared" si="92"/>
        <v>2.9915899724560022E-4</v>
      </c>
      <c r="AT242">
        <f t="shared" si="93"/>
        <v>1.3436481956319957E-2</v>
      </c>
      <c r="AU242" s="14">
        <f t="shared" si="98"/>
        <v>2.2264681947114021E-2</v>
      </c>
      <c r="AV242" s="19">
        <f t="shared" si="94"/>
        <v>1.4662120260570144</v>
      </c>
      <c r="AW242" s="19">
        <f t="shared" si="121"/>
        <v>-2.2460583186217908E-2</v>
      </c>
      <c r="AX242">
        <f t="shared" si="99"/>
        <v>0</v>
      </c>
      <c r="AY242">
        <f>IF(W242,SUMPRODUCT(INDEX(AX:AX,X242):INDEX(AX:AX,X242+Y242)),0)</f>
        <v>5</v>
      </c>
      <c r="AZ242">
        <f>IF(V242,COUNT(INDEX(AX:AX,X242):INDEX(AX:AX,ROW())),0)</f>
        <v>232</v>
      </c>
      <c r="BA242" s="14">
        <f t="shared" si="111"/>
        <v>2.1551724137931036E-2</v>
      </c>
      <c r="BB242" s="6">
        <f t="shared" si="100"/>
        <v>465843.74040000001</v>
      </c>
      <c r="BC242" s="6">
        <f>MEDIAN(INDEX(BB:BB,X242):INDEX(BB:BB,X242+Y242-1))</f>
        <v>306715.26964999997</v>
      </c>
      <c r="BD242" s="25">
        <f t="shared" si="101"/>
        <v>306715.26964999997</v>
      </c>
      <c r="BE242">
        <f t="shared" si="112"/>
        <v>0</v>
      </c>
      <c r="BF242" s="6">
        <f>SUM(INDEX(BE:BE,X242):INDEX(BE:BE,X242+Y242-1))</f>
        <v>3</v>
      </c>
      <c r="BG242" s="25">
        <f t="shared" si="102"/>
        <v>3</v>
      </c>
    </row>
    <row r="243" spans="1:59" x14ac:dyDescent="0.3">
      <c r="A243" s="1">
        <v>45708</v>
      </c>
      <c r="B243">
        <v>39.9129</v>
      </c>
      <c r="C243">
        <v>40.370699999999999</v>
      </c>
      <c r="D243">
        <v>39.401899999999998</v>
      </c>
      <c r="E243">
        <v>39.720399999999998</v>
      </c>
      <c r="F243">
        <v>9494</v>
      </c>
      <c r="G243" s="29">
        <v>0.81331554106422799</v>
      </c>
      <c r="H243" s="29">
        <v>2.0476015877590001E-2</v>
      </c>
      <c r="I243" s="29">
        <v>2.4390489521757101E-2</v>
      </c>
      <c r="J243" s="29">
        <v>52.214481088712503</v>
      </c>
      <c r="K243" s="29">
        <v>2.1748893632267301E-3</v>
      </c>
      <c r="L243" s="29">
        <v>0.6</v>
      </c>
      <c r="M243" s="29">
        <v>1.8329048589021499E-2</v>
      </c>
      <c r="N243" s="29">
        <v>1.48266634381206</v>
      </c>
      <c r="O243" s="29">
        <v>-3.2802094113350097E-2</v>
      </c>
      <c r="P243" s="29">
        <v>-1.0579124226867E-2</v>
      </c>
      <c r="Q243" s="29">
        <v>1.9841269841269799E-2</v>
      </c>
      <c r="R243" s="30">
        <v>300379.92945</v>
      </c>
      <c r="S243" s="29">
        <v>3</v>
      </c>
      <c r="T243">
        <v>603.29499999999996</v>
      </c>
      <c r="U243" s="21"/>
      <c r="V243">
        <v>233</v>
      </c>
      <c r="W243" t="b">
        <f>V243&gt;=$C$4</f>
        <v>1</v>
      </c>
      <c r="X243">
        <f>IF(V243&lt;=$C$5,11,ROW()-$C$5+1)</f>
        <v>11</v>
      </c>
      <c r="Y243" s="14">
        <f t="shared" si="95"/>
        <v>233</v>
      </c>
      <c r="Z243" s="10">
        <f t="shared" si="103"/>
        <v>0.96880000000000166</v>
      </c>
      <c r="AA243" s="15">
        <f t="shared" si="104"/>
        <v>2.4390489521757125E-2</v>
      </c>
      <c r="AB243" s="15">
        <f t="shared" si="105"/>
        <v>0.81331554106422799</v>
      </c>
      <c r="AC243" s="10">
        <f t="shared" si="96"/>
        <v>2.0476015877590056E-2</v>
      </c>
      <c r="AD243">
        <f t="shared" si="106"/>
        <v>-0.42470000000000141</v>
      </c>
      <c r="AE243">
        <f t="shared" si="113"/>
        <v>0</v>
      </c>
      <c r="AF243">
        <f t="shared" si="114"/>
        <v>0.42470000000000141</v>
      </c>
      <c r="AG243">
        <f t="shared" si="122"/>
        <v>0.26602849499330461</v>
      </c>
      <c r="AH243">
        <f t="shared" si="122"/>
        <v>0.24346329284392956</v>
      </c>
      <c r="AI243">
        <f t="shared" si="107"/>
        <v>1.0926842066653568</v>
      </c>
      <c r="AJ243">
        <f t="shared" si="115"/>
        <v>52.214481438961286</v>
      </c>
      <c r="AK243" s="14">
        <f t="shared" si="97"/>
        <v>52.214481438961286</v>
      </c>
      <c r="AM243" s="14">
        <f t="shared" si="120"/>
        <v>2.1748893632267396E-3</v>
      </c>
      <c r="AN243" s="36">
        <f t="shared" si="108"/>
        <v>-1.057912422686702E-2</v>
      </c>
      <c r="AO243">
        <f t="shared" si="117"/>
        <v>0</v>
      </c>
      <c r="AP243" s="14">
        <f t="shared" si="118"/>
        <v>0.6</v>
      </c>
      <c r="AQ243">
        <f t="shared" si="109"/>
        <v>-4.1613295125914052E-3</v>
      </c>
      <c r="AR243">
        <f t="shared" si="110"/>
        <v>-6.4177947142755945E-3</v>
      </c>
      <c r="AS243">
        <f t="shared" si="92"/>
        <v>2.466442743470844E-4</v>
      </c>
      <c r="AT243">
        <f t="shared" si="93"/>
        <v>1.3456469011425769E-2</v>
      </c>
      <c r="AU243" s="14">
        <f t="shared" si="98"/>
        <v>1.8329048589021454E-2</v>
      </c>
      <c r="AV243" s="19">
        <f t="shared" si="94"/>
        <v>1.4826663438121104</v>
      </c>
      <c r="AW243" s="19">
        <f t="shared" si="121"/>
        <v>-3.2802094113350111E-2</v>
      </c>
      <c r="AX243">
        <f t="shared" si="99"/>
        <v>0</v>
      </c>
      <c r="AY243">
        <f>IF(W243,SUMPRODUCT(INDEX(AX:AX,X243):INDEX(AX:AX,X243+Y243)),0)</f>
        <v>5</v>
      </c>
      <c r="AZ243">
        <f>IF(V243,COUNT(INDEX(AX:AX,X243):INDEX(AX:AX,ROW())),0)</f>
        <v>233</v>
      </c>
      <c r="BA243" s="14">
        <f t="shared" si="111"/>
        <v>2.1459227467811159E-2</v>
      </c>
      <c r="BB243" s="6">
        <f t="shared" si="100"/>
        <v>377105.47759999998</v>
      </c>
      <c r="BC243" s="6">
        <f>MEDIAN(INDEX(BB:BB,X243):INDEX(BB:BB,X243+Y243-1))</f>
        <v>309273.59879999998</v>
      </c>
      <c r="BD243" s="25">
        <f t="shared" si="101"/>
        <v>309273.59879999998</v>
      </c>
      <c r="BE243">
        <f t="shared" si="112"/>
        <v>0</v>
      </c>
      <c r="BF243" s="6">
        <f>SUM(INDEX(BE:BE,X243):INDEX(BE:BE,X243+Y243-1))</f>
        <v>3</v>
      </c>
      <c r="BG243" s="25">
        <f t="shared" si="102"/>
        <v>3</v>
      </c>
    </row>
    <row r="244" spans="1:59" x14ac:dyDescent="0.3">
      <c r="A244" s="1">
        <v>45709</v>
      </c>
      <c r="B244">
        <v>39.6873</v>
      </c>
      <c r="C244">
        <v>39.908900000000003</v>
      </c>
      <c r="D244">
        <v>38.805399999999999</v>
      </c>
      <c r="E244">
        <v>39.030299999999997</v>
      </c>
      <c r="F244">
        <v>22605</v>
      </c>
      <c r="G244" s="29">
        <v>0.83404300241678297</v>
      </c>
      <c r="H244" s="29">
        <v>2.1369115851448298E-2</v>
      </c>
      <c r="I244" s="29">
        <v>2.8272905921809501E-2</v>
      </c>
      <c r="J244" s="29">
        <v>47.287531419068799</v>
      </c>
      <c r="K244" s="29">
        <v>-2.7135793951937799E-3</v>
      </c>
      <c r="L244" s="29">
        <v>0.4</v>
      </c>
      <c r="M244" s="29">
        <v>3.8722420581419802E-2</v>
      </c>
      <c r="N244" s="29">
        <v>1.46470039680787</v>
      </c>
      <c r="O244" s="29">
        <v>-4.9606136239118602E-2</v>
      </c>
      <c r="P244" s="29">
        <v>-1.73739438676348E-2</v>
      </c>
      <c r="Q244" s="29">
        <v>1.9841269841269799E-2</v>
      </c>
      <c r="R244" s="30">
        <v>300379.92945</v>
      </c>
      <c r="S244" s="29">
        <v>3</v>
      </c>
      <c r="T244">
        <v>592.97699999999998</v>
      </c>
      <c r="U244" s="21"/>
      <c r="V244">
        <v>234</v>
      </c>
      <c r="W244" t="b">
        <f>V244&gt;=$C$4</f>
        <v>1</v>
      </c>
      <c r="X244">
        <f>IF(V244&lt;=$C$5,11,ROW()-$C$5+1)</f>
        <v>11</v>
      </c>
      <c r="Y244" s="14">
        <f t="shared" si="95"/>
        <v>234</v>
      </c>
      <c r="Z244" s="10">
        <f t="shared" si="103"/>
        <v>1.1035000000000039</v>
      </c>
      <c r="AA244" s="15">
        <f t="shared" si="104"/>
        <v>2.8272905921809567E-2</v>
      </c>
      <c r="AB244" s="15">
        <f t="shared" si="105"/>
        <v>0.83404300241678342</v>
      </c>
      <c r="AC244" s="10">
        <f t="shared" si="96"/>
        <v>2.1369115851448323E-2</v>
      </c>
      <c r="AD244">
        <f t="shared" si="106"/>
        <v>-0.69010000000000105</v>
      </c>
      <c r="AE244">
        <f t="shared" si="113"/>
        <v>0</v>
      </c>
      <c r="AF244">
        <f t="shared" si="114"/>
        <v>0.69010000000000105</v>
      </c>
      <c r="AG244">
        <f t="shared" si="122"/>
        <v>0.24702645963663999</v>
      </c>
      <c r="AH244">
        <f t="shared" si="122"/>
        <v>0.27536591478364897</v>
      </c>
      <c r="AI244">
        <f t="shared" si="107"/>
        <v>0.89708437527834595</v>
      </c>
      <c r="AJ244">
        <f t="shared" si="115"/>
        <v>47.287531696987543</v>
      </c>
      <c r="AK244" s="14">
        <f t="shared" si="97"/>
        <v>47.287531696987543</v>
      </c>
      <c r="AM244" s="14">
        <f t="shared" si="120"/>
        <v>-2.7135793951937881E-3</v>
      </c>
      <c r="AN244" s="36">
        <f t="shared" si="108"/>
        <v>-1.73739438676348E-2</v>
      </c>
      <c r="AO244">
        <f t="shared" si="117"/>
        <v>0</v>
      </c>
      <c r="AP244" s="14">
        <f t="shared" si="118"/>
        <v>0.4</v>
      </c>
      <c r="AQ244">
        <f t="shared" si="109"/>
        <v>-1.7102744097000633E-2</v>
      </c>
      <c r="AR244">
        <f t="shared" si="110"/>
        <v>-2.7119977063416734E-4</v>
      </c>
      <c r="AS244">
        <f t="shared" si="92"/>
        <v>5.1392880213591886E-4</v>
      </c>
      <c r="AT244">
        <f t="shared" si="93"/>
        <v>1.3272124893517626E-2</v>
      </c>
      <c r="AU244" s="14">
        <f t="shared" si="98"/>
        <v>3.8722420581419642E-2</v>
      </c>
      <c r="AV244" s="19">
        <f t="shared" si="94"/>
        <v>1.4647003968079164</v>
      </c>
      <c r="AW244" s="19">
        <f t="shared" si="121"/>
        <v>-4.9606136239118692E-2</v>
      </c>
      <c r="AX244">
        <f t="shared" si="99"/>
        <v>0</v>
      </c>
      <c r="AY244">
        <f>IF(W244,SUMPRODUCT(INDEX(AX:AX,X244):INDEX(AX:AX,X244+Y244)),0)</f>
        <v>5</v>
      </c>
      <c r="AZ244">
        <f>IF(V244,COUNT(INDEX(AX:AX,X244):INDEX(AX:AX,ROW())),0)</f>
        <v>234</v>
      </c>
      <c r="BA244" s="14">
        <f t="shared" si="111"/>
        <v>2.1367521367521368E-2</v>
      </c>
      <c r="BB244" s="6">
        <f t="shared" si="100"/>
        <v>882279.93149999995</v>
      </c>
      <c r="BC244" s="6">
        <f>MEDIAN(INDEX(BB:BB,X244):INDEX(BB:BB,X244+Y244-1))</f>
        <v>311270.83959999995</v>
      </c>
      <c r="BD244" s="25">
        <f t="shared" si="101"/>
        <v>311270.83959999995</v>
      </c>
      <c r="BE244">
        <f t="shared" si="112"/>
        <v>0</v>
      </c>
      <c r="BF244" s="6">
        <f>SUM(INDEX(BE:BE,X244):INDEX(BE:BE,X244+Y244-1))</f>
        <v>3</v>
      </c>
      <c r="BG244" s="25">
        <f t="shared" si="102"/>
        <v>3</v>
      </c>
    </row>
    <row r="245" spans="1:59" x14ac:dyDescent="0.3">
      <c r="A245" s="1">
        <v>45712</v>
      </c>
      <c r="B245">
        <v>39.169699999999999</v>
      </c>
      <c r="C245">
        <v>39.183</v>
      </c>
      <c r="D245">
        <v>38.167700000000004</v>
      </c>
      <c r="E245">
        <v>38.446399999999997</v>
      </c>
      <c r="F245">
        <v>11001</v>
      </c>
      <c r="G245" s="29">
        <v>0.84698993081558405</v>
      </c>
      <c r="H245" s="29">
        <v>2.20304093703333E-2</v>
      </c>
      <c r="I245" s="29">
        <v>2.64081942652627E-2</v>
      </c>
      <c r="J245" s="29">
        <v>43.5436417722618</v>
      </c>
      <c r="K245" s="29">
        <v>-2.5891664956433399E-2</v>
      </c>
      <c r="L245" s="29">
        <v>0.2</v>
      </c>
      <c r="M245" s="29">
        <v>1.59074603416825E-2</v>
      </c>
      <c r="N245" s="29">
        <v>1.46950538942958</v>
      </c>
      <c r="O245" s="29">
        <v>-6.3824191879223294E-2</v>
      </c>
      <c r="P245" s="29">
        <v>-1.49601719689574E-2</v>
      </c>
      <c r="Q245" s="29">
        <v>1.9841269841269799E-2</v>
      </c>
      <c r="R245" s="30">
        <v>303122.64275</v>
      </c>
      <c r="S245" s="29">
        <v>3</v>
      </c>
      <c r="T245">
        <v>590.27800000000002</v>
      </c>
      <c r="U245" s="21"/>
      <c r="V245">
        <v>235</v>
      </c>
      <c r="W245" t="b">
        <f>V245&gt;=$C$4</f>
        <v>1</v>
      </c>
      <c r="X245">
        <f>IF(V245&lt;=$C$5,11,ROW()-$C$5+1)</f>
        <v>11</v>
      </c>
      <c r="Y245" s="14">
        <f t="shared" si="95"/>
        <v>235</v>
      </c>
      <c r="Z245" s="10">
        <f t="shared" si="103"/>
        <v>1.0152999999999963</v>
      </c>
      <c r="AA245" s="15">
        <f t="shared" si="104"/>
        <v>2.6408194265262714E-2</v>
      </c>
      <c r="AB245" s="15">
        <f t="shared" si="105"/>
        <v>0.84698993081558438</v>
      </c>
      <c r="AC245" s="10">
        <f t="shared" si="96"/>
        <v>2.2030409370333359E-2</v>
      </c>
      <c r="AD245">
        <f t="shared" si="106"/>
        <v>-0.58389999999999986</v>
      </c>
      <c r="AE245">
        <f t="shared" si="113"/>
        <v>0</v>
      </c>
      <c r="AF245">
        <f t="shared" si="114"/>
        <v>0.58389999999999986</v>
      </c>
      <c r="AG245">
        <f t="shared" si="122"/>
        <v>0.22938171251973713</v>
      </c>
      <c r="AH245">
        <f t="shared" si="122"/>
        <v>0.29740406372767403</v>
      </c>
      <c r="AI245">
        <f t="shared" si="107"/>
        <v>0.7712796847650899</v>
      </c>
      <c r="AJ245">
        <f t="shared" si="115"/>
        <v>43.543642000691619</v>
      </c>
      <c r="AK245" s="14">
        <f t="shared" si="97"/>
        <v>43.543642000691619</v>
      </c>
      <c r="AM245" s="14">
        <f t="shared" si="120"/>
        <v>-2.5891664956433469E-2</v>
      </c>
      <c r="AN245" s="36">
        <f t="shared" si="108"/>
        <v>-1.4960171968957492E-2</v>
      </c>
      <c r="AO245">
        <f t="shared" si="117"/>
        <v>0</v>
      </c>
      <c r="AP245" s="14">
        <f t="shared" si="118"/>
        <v>0.2</v>
      </c>
      <c r="AQ245">
        <f t="shared" si="109"/>
        <v>-4.5516099275350053E-3</v>
      </c>
      <c r="AR245">
        <f t="shared" si="110"/>
        <v>-1.0408562041422395E-2</v>
      </c>
      <c r="AS245">
        <f t="shared" si="92"/>
        <v>2.1158465177579033E-4</v>
      </c>
      <c r="AT245">
        <f t="shared" si="93"/>
        <v>1.3300969936814578E-2</v>
      </c>
      <c r="AU245" s="14">
        <f t="shared" si="98"/>
        <v>1.5907460341682594E-2</v>
      </c>
      <c r="AV245" s="19">
        <f t="shared" si="94"/>
        <v>1.4695053894296228</v>
      </c>
      <c r="AW245" s="19">
        <f t="shared" si="121"/>
        <v>-6.3824191879223391E-2</v>
      </c>
      <c r="AX245">
        <f t="shared" si="99"/>
        <v>0</v>
      </c>
      <c r="AY245">
        <f>IF(W245,SUMPRODUCT(INDEX(AX:AX,X245):INDEX(AX:AX,X245+Y245)),0)</f>
        <v>5</v>
      </c>
      <c r="AZ245">
        <f>IF(V245,COUNT(INDEX(AX:AX,X245):INDEX(AX:AX,ROW())),0)</f>
        <v>235</v>
      </c>
      <c r="BA245" s="14">
        <f t="shared" si="111"/>
        <v>2.1276595744680851E-2</v>
      </c>
      <c r="BB245" s="6">
        <f t="shared" si="100"/>
        <v>422948.84639999998</v>
      </c>
      <c r="BC245" s="6">
        <f>MEDIAN(INDEX(BB:BB,X245):INDEX(BB:BB,X245+Y245-1))</f>
        <v>313268.08039999998</v>
      </c>
      <c r="BD245" s="25">
        <f t="shared" si="101"/>
        <v>313268.08039999998</v>
      </c>
      <c r="BE245">
        <f t="shared" si="112"/>
        <v>0</v>
      </c>
      <c r="BF245" s="6">
        <f>SUM(INDEX(BE:BE,X245):INDEX(BE:BE,X245+Y245-1))</f>
        <v>3</v>
      </c>
      <c r="BG245" s="25">
        <f t="shared" si="102"/>
        <v>3</v>
      </c>
    </row>
    <row r="246" spans="1:59" x14ac:dyDescent="0.3">
      <c r="A246" s="1">
        <v>45713</v>
      </c>
      <c r="B246">
        <v>38.240699999999997</v>
      </c>
      <c r="C246">
        <v>38.459699999999998</v>
      </c>
      <c r="D246">
        <v>37.948700000000002</v>
      </c>
      <c r="E246">
        <v>38.282499999999999</v>
      </c>
      <c r="F246">
        <v>5877</v>
      </c>
      <c r="G246" s="29">
        <v>0.82299065004304195</v>
      </c>
      <c r="H246" s="29">
        <v>2.14978292964942E-2</v>
      </c>
      <c r="I246" s="29">
        <v>1.33481355710832E-2</v>
      </c>
      <c r="J246" s="29">
        <v>42.525860012769002</v>
      </c>
      <c r="K246" s="29">
        <v>-5.4988755890506301E-2</v>
      </c>
      <c r="L246" s="29">
        <v>0</v>
      </c>
      <c r="M246" s="29">
        <v>2.5199875372672698E-2</v>
      </c>
      <c r="N246" s="29">
        <v>1.46598506251718</v>
      </c>
      <c r="O246" s="29">
        <v>-6.7815182321787404E-2</v>
      </c>
      <c r="P246" s="29">
        <v>-4.2630779474800403E-3</v>
      </c>
      <c r="Q246" s="29">
        <v>1.9841269841269799E-2</v>
      </c>
      <c r="R246" s="30">
        <v>300379.92945</v>
      </c>
      <c r="S246" s="29">
        <v>3</v>
      </c>
      <c r="T246">
        <v>587.34299999999996</v>
      </c>
      <c r="U246" s="21"/>
      <c r="V246">
        <v>236</v>
      </c>
      <c r="W246" t="b">
        <f>V246&gt;=$C$4</f>
        <v>1</v>
      </c>
      <c r="X246">
        <f>IF(V246&lt;=$C$5,11,ROW()-$C$5+1)</f>
        <v>11</v>
      </c>
      <c r="Y246" s="14">
        <f t="shared" si="95"/>
        <v>236</v>
      </c>
      <c r="Z246" s="10">
        <f t="shared" si="103"/>
        <v>0.51099999999999568</v>
      </c>
      <c r="AA246" s="15">
        <f t="shared" si="104"/>
        <v>1.334813557108328E-2</v>
      </c>
      <c r="AB246" s="15">
        <f t="shared" si="105"/>
        <v>0.82299065004304239</v>
      </c>
      <c r="AC246" s="10">
        <f t="shared" si="96"/>
        <v>2.1497829296494284E-2</v>
      </c>
      <c r="AD246">
        <f t="shared" si="106"/>
        <v>-0.16389999999999816</v>
      </c>
      <c r="AE246">
        <f t="shared" si="113"/>
        <v>0</v>
      </c>
      <c r="AF246">
        <f t="shared" si="114"/>
        <v>0.16389999999999816</v>
      </c>
      <c r="AG246">
        <f t="shared" si="122"/>
        <v>0.21299730448261303</v>
      </c>
      <c r="AH246">
        <f t="shared" si="122"/>
        <v>0.28786805917569719</v>
      </c>
      <c r="AI246">
        <f t="shared" si="107"/>
        <v>0.73991294863530654</v>
      </c>
      <c r="AJ246">
        <f t="shared" si="115"/>
        <v>42.525860228562252</v>
      </c>
      <c r="AK246" s="14">
        <f t="shared" si="97"/>
        <v>42.525860228562252</v>
      </c>
      <c r="AM246" s="14">
        <f t="shared" si="120"/>
        <v>-5.4988755890506336E-2</v>
      </c>
      <c r="AN246" s="36">
        <f t="shared" si="108"/>
        <v>-4.2630779474800429E-3</v>
      </c>
      <c r="AO246">
        <f t="shared" si="117"/>
        <v>0</v>
      </c>
      <c r="AP246" s="14">
        <f t="shared" si="118"/>
        <v>0</v>
      </c>
      <c r="AQ246">
        <f t="shared" si="109"/>
        <v>-4.9722334222180864E-3</v>
      </c>
      <c r="AR246">
        <f t="shared" si="110"/>
        <v>7.0915547473804613E-4</v>
      </c>
      <c r="AS246">
        <f t="shared" si="92"/>
        <v>3.3437063998657189E-4</v>
      </c>
      <c r="AT246">
        <f t="shared" si="93"/>
        <v>1.3268741810888857E-2</v>
      </c>
      <c r="AU246" s="14">
        <f t="shared" si="98"/>
        <v>2.5199875372672792E-2</v>
      </c>
      <c r="AV246" s="19">
        <f t="shared" si="94"/>
        <v>1.4659850625172217</v>
      </c>
      <c r="AW246" s="19">
        <f t="shared" si="121"/>
        <v>-6.7815182321787404E-2</v>
      </c>
      <c r="AX246">
        <f t="shared" si="99"/>
        <v>0</v>
      </c>
      <c r="AY246">
        <f>IF(W246,SUMPRODUCT(INDEX(AX:AX,X246):INDEX(AX:AX,X246+Y246)),0)</f>
        <v>5</v>
      </c>
      <c r="AZ246">
        <f>IF(V246,COUNT(INDEX(AX:AX,X246):INDEX(AX:AX,ROW())),0)</f>
        <v>236</v>
      </c>
      <c r="BA246" s="14">
        <f t="shared" si="111"/>
        <v>2.1186440677966101E-2</v>
      </c>
      <c r="BB246" s="6">
        <f t="shared" si="100"/>
        <v>224986.2525</v>
      </c>
      <c r="BC246" s="6">
        <f>MEDIAN(INDEX(BB:BB,X246):INDEX(BB:BB,X246+Y246-1))</f>
        <v>311270.83959999995</v>
      </c>
      <c r="BD246" s="25">
        <f t="shared" si="101"/>
        <v>311270.83959999995</v>
      </c>
      <c r="BE246">
        <f t="shared" si="112"/>
        <v>0</v>
      </c>
      <c r="BF246" s="6">
        <f>SUM(INDEX(BE:BE,X246):INDEX(BE:BE,X246+Y246-1))</f>
        <v>3</v>
      </c>
      <c r="BG246" s="25">
        <f t="shared" si="102"/>
        <v>3</v>
      </c>
    </row>
    <row r="247" spans="1:59" x14ac:dyDescent="0.3">
      <c r="A247" s="1">
        <v>45714</v>
      </c>
      <c r="B247">
        <v>38.678699999999999</v>
      </c>
      <c r="C247">
        <v>38.678699999999999</v>
      </c>
      <c r="D247">
        <v>38.227400000000003</v>
      </c>
      <c r="E247">
        <v>38.227400000000003</v>
      </c>
      <c r="F247">
        <v>3616</v>
      </c>
      <c r="G247" s="29">
        <v>0.79644131789711003</v>
      </c>
      <c r="H247" s="29">
        <v>2.0834305181548E-2</v>
      </c>
      <c r="I247" s="29">
        <v>1.18056681856468E-2</v>
      </c>
      <c r="J247" s="29">
        <v>42.169014129247103</v>
      </c>
      <c r="K247" s="29">
        <v>-3.8713100593709797E-2</v>
      </c>
      <c r="L247" s="29">
        <v>0</v>
      </c>
      <c r="M247" s="29">
        <v>6.0358511410906097E-3</v>
      </c>
      <c r="N247" s="29">
        <v>1.4507596666569</v>
      </c>
      <c r="O247" s="29">
        <v>-6.9156875875083595E-2</v>
      </c>
      <c r="P247" s="29">
        <v>-1.4392999412262599E-3</v>
      </c>
      <c r="Q247" s="29">
        <v>1.9841269841269799E-2</v>
      </c>
      <c r="R247" s="30">
        <v>298452.60475</v>
      </c>
      <c r="S247" s="29">
        <v>3</v>
      </c>
      <c r="T247">
        <v>587.63900000000001</v>
      </c>
      <c r="U247" s="21"/>
      <c r="V247">
        <v>237</v>
      </c>
      <c r="W247" t="b">
        <f>V247&gt;=$C$4</f>
        <v>1</v>
      </c>
      <c r="X247">
        <f>IF(V247&lt;=$C$5,11,ROW()-$C$5+1)</f>
        <v>11</v>
      </c>
      <c r="Y247" s="14">
        <f t="shared" si="95"/>
        <v>237</v>
      </c>
      <c r="Z247" s="10">
        <f t="shared" si="103"/>
        <v>0.45129999999999626</v>
      </c>
      <c r="AA247" s="15">
        <f t="shared" si="104"/>
        <v>1.1805668185646845E-2</v>
      </c>
      <c r="AB247" s="15">
        <f t="shared" si="105"/>
        <v>0.79644131789711048</v>
      </c>
      <c r="AC247" s="10">
        <f t="shared" si="96"/>
        <v>2.0834305181548062E-2</v>
      </c>
      <c r="AD247">
        <f t="shared" si="106"/>
        <v>-5.509999999999593E-2</v>
      </c>
      <c r="AE247">
        <f t="shared" si="113"/>
        <v>0</v>
      </c>
      <c r="AF247">
        <f t="shared" si="114"/>
        <v>5.509999999999593E-2</v>
      </c>
      <c r="AG247">
        <f t="shared" si="122"/>
        <v>0.19778321130528353</v>
      </c>
      <c r="AH247">
        <f t="shared" si="122"/>
        <v>0.27124176923457566</v>
      </c>
      <c r="AI247">
        <f t="shared" si="107"/>
        <v>0.72917682207800527</v>
      </c>
      <c r="AJ247">
        <f t="shared" si="115"/>
        <v>42.16901434069252</v>
      </c>
      <c r="AK247" s="14">
        <f t="shared" si="97"/>
        <v>42.16901434069252</v>
      </c>
      <c r="AM247" s="14">
        <f t="shared" si="120"/>
        <v>-3.8713100593709804E-2</v>
      </c>
      <c r="AN247" s="36">
        <f t="shared" si="108"/>
        <v>-1.4392999412262686E-3</v>
      </c>
      <c r="AO247">
        <f t="shared" si="117"/>
        <v>0</v>
      </c>
      <c r="AP247" s="14">
        <f t="shared" si="118"/>
        <v>0</v>
      </c>
      <c r="AQ247">
        <f t="shared" si="109"/>
        <v>5.0396446369505021E-4</v>
      </c>
      <c r="AR247">
        <f t="shared" si="110"/>
        <v>-1.9432644049213101E-3</v>
      </c>
      <c r="AS247">
        <f t="shared" si="92"/>
        <v>7.9391916564649644E-5</v>
      </c>
      <c r="AT247">
        <f t="shared" si="93"/>
        <v>1.3153392074924929E-2</v>
      </c>
      <c r="AU247" s="14">
        <f t="shared" si="98"/>
        <v>6.0358511410907485E-3</v>
      </c>
      <c r="AV247" s="19">
        <f t="shared" si="94"/>
        <v>1.4507596666569489</v>
      </c>
      <c r="AW247" s="19">
        <f t="shared" si="121"/>
        <v>-6.9156875875083679E-2</v>
      </c>
      <c r="AX247">
        <f t="shared" si="99"/>
        <v>0</v>
      </c>
      <c r="AY247">
        <f>IF(W247,SUMPRODUCT(INDEX(AX:AX,X247):INDEX(AX:AX,X247+Y247)),0)</f>
        <v>5</v>
      </c>
      <c r="AZ247">
        <f>IF(V247,COUNT(INDEX(AX:AX,X247):INDEX(AX:AX,ROW())),0)</f>
        <v>237</v>
      </c>
      <c r="BA247" s="14">
        <f t="shared" si="111"/>
        <v>2.1097046413502109E-2</v>
      </c>
      <c r="BB247" s="6">
        <f t="shared" si="100"/>
        <v>138230.27840000001</v>
      </c>
      <c r="BC247" s="6">
        <f>MEDIAN(INDEX(BB:BB,X247):INDEX(BB:BB,X247+Y247-1))</f>
        <v>309273.59879999998</v>
      </c>
      <c r="BD247" s="25">
        <f t="shared" si="101"/>
        <v>309273.59879999998</v>
      </c>
      <c r="BE247">
        <f t="shared" si="112"/>
        <v>0</v>
      </c>
      <c r="BF247" s="6">
        <f>SUM(INDEX(BE:BE,X247):INDEX(BE:BE,X247+Y247-1))</f>
        <v>3</v>
      </c>
      <c r="BG247" s="25">
        <f t="shared" si="102"/>
        <v>3</v>
      </c>
    </row>
    <row r="248" spans="1:59" x14ac:dyDescent="0.3">
      <c r="A248" s="1">
        <v>45715</v>
      </c>
      <c r="B248">
        <v>37.955399999999997</v>
      </c>
      <c r="C248">
        <v>38.393300000000004</v>
      </c>
      <c r="D248">
        <v>37.603700000000003</v>
      </c>
      <c r="E248">
        <v>37.862499999999997</v>
      </c>
      <c r="F248">
        <v>13412</v>
      </c>
      <c r="G248" s="29">
        <v>0.79595265233303103</v>
      </c>
      <c r="H248" s="29">
        <v>2.1022189563104102E-2</v>
      </c>
      <c r="I248" s="29">
        <v>2.0854407395179901E-2</v>
      </c>
      <c r="J248" s="29">
        <v>39.787872377771997</v>
      </c>
      <c r="K248" s="29">
        <v>-5.5767393955415002E-2</v>
      </c>
      <c r="L248" s="29">
        <v>0</v>
      </c>
      <c r="M248" s="29">
        <v>1.16763999696233E-3</v>
      </c>
      <c r="N248" s="29">
        <v>1.3931749879813</v>
      </c>
      <c r="O248" s="29">
        <v>-7.8042247519328006E-2</v>
      </c>
      <c r="P248" s="29">
        <v>-9.5455092420621002E-3</v>
      </c>
      <c r="Q248" s="29">
        <v>1.9841269841269799E-2</v>
      </c>
      <c r="R248" s="30">
        <v>300379.92945</v>
      </c>
      <c r="S248" s="29">
        <v>3</v>
      </c>
      <c r="T248">
        <v>578.25900000000001</v>
      </c>
      <c r="U248" s="21"/>
      <c r="V248">
        <v>238</v>
      </c>
      <c r="W248" t="b">
        <f>V248&gt;=$C$4</f>
        <v>1</v>
      </c>
      <c r="X248">
        <f>IF(V248&lt;=$C$5,11,ROW()-$C$5+1)</f>
        <v>11</v>
      </c>
      <c r="Y248" s="14">
        <f t="shared" si="95"/>
        <v>238</v>
      </c>
      <c r="Z248" s="10">
        <f t="shared" si="103"/>
        <v>0.78960000000000008</v>
      </c>
      <c r="AA248" s="15">
        <f t="shared" si="104"/>
        <v>2.0854407395179932E-2</v>
      </c>
      <c r="AB248" s="15">
        <f t="shared" si="105"/>
        <v>0.79595265233303114</v>
      </c>
      <c r="AC248" s="10">
        <f t="shared" si="96"/>
        <v>2.1022189563104157E-2</v>
      </c>
      <c r="AD248">
        <f t="shared" si="106"/>
        <v>-0.36490000000000578</v>
      </c>
      <c r="AE248">
        <f t="shared" si="113"/>
        <v>0</v>
      </c>
      <c r="AF248">
        <f t="shared" si="114"/>
        <v>0.36490000000000578</v>
      </c>
      <c r="AG248">
        <f t="shared" si="122"/>
        <v>0.18365583906919186</v>
      </c>
      <c r="AH248">
        <f t="shared" si="122"/>
        <v>0.27793164286067779</v>
      </c>
      <c r="AI248">
        <f t="shared" si="107"/>
        <v>0.66079499685199672</v>
      </c>
      <c r="AJ248">
        <f t="shared" si="115"/>
        <v>39.787872561304688</v>
      </c>
      <c r="AK248" s="14">
        <f t="shared" si="97"/>
        <v>39.787872561304688</v>
      </c>
      <c r="AM248" s="14">
        <f t="shared" si="120"/>
        <v>-5.5767393955415079E-2</v>
      </c>
      <c r="AN248" s="36">
        <f t="shared" si="108"/>
        <v>-9.5455092420621002E-3</v>
      </c>
      <c r="AO248">
        <f t="shared" si="117"/>
        <v>0</v>
      </c>
      <c r="AP248" s="14">
        <f t="shared" si="118"/>
        <v>0</v>
      </c>
      <c r="AQ248">
        <f t="shared" si="109"/>
        <v>-1.5962180862740594E-2</v>
      </c>
      <c r="AR248">
        <f t="shared" si="110"/>
        <v>6.4166716206784935E-3</v>
      </c>
      <c r="AS248">
        <f t="shared" si="92"/>
        <v>1.5309864618760586E-5</v>
      </c>
      <c r="AT248">
        <f t="shared" si="93"/>
        <v>1.3111802146713121E-2</v>
      </c>
      <c r="AU248" s="14">
        <f t="shared" si="98"/>
        <v>1.1676399969624677E-3</v>
      </c>
      <c r="AV248" s="19">
        <f t="shared" si="94"/>
        <v>1.3931749879813364</v>
      </c>
      <c r="AW248" s="19">
        <f t="shared" si="121"/>
        <v>-7.804224751932809E-2</v>
      </c>
      <c r="AX248">
        <f t="shared" si="99"/>
        <v>0</v>
      </c>
      <c r="AY248">
        <f>IF(W248,SUMPRODUCT(INDEX(AX:AX,X248):INDEX(AX:AX,X248+Y248)),0)</f>
        <v>5</v>
      </c>
      <c r="AZ248">
        <f>IF(V248,COUNT(INDEX(AX:AX,X248):INDEX(AX:AX,ROW())),0)</f>
        <v>238</v>
      </c>
      <c r="BA248" s="14">
        <f t="shared" si="111"/>
        <v>2.100840336134454E-2</v>
      </c>
      <c r="BB248" s="6">
        <f t="shared" si="100"/>
        <v>507811.85</v>
      </c>
      <c r="BC248" s="6">
        <f>MEDIAN(INDEX(BB:BB,X248):INDEX(BB:BB,X248+Y248-1))</f>
        <v>311270.83959999995</v>
      </c>
      <c r="BD248" s="25">
        <f t="shared" si="101"/>
        <v>311270.83959999995</v>
      </c>
      <c r="BE248">
        <f t="shared" si="112"/>
        <v>0</v>
      </c>
      <c r="BF248" s="6">
        <f>SUM(INDEX(BE:BE,X248):INDEX(BE:BE,X248+Y248-1))</f>
        <v>3</v>
      </c>
      <c r="BG248" s="25">
        <f t="shared" si="102"/>
        <v>3</v>
      </c>
    </row>
    <row r="249" spans="1:59" x14ac:dyDescent="0.3">
      <c r="A249" s="1">
        <v>45716</v>
      </c>
      <c r="B249">
        <v>38.021700000000003</v>
      </c>
      <c r="C249">
        <v>38.439799999999998</v>
      </c>
      <c r="D249">
        <v>37.504199999999997</v>
      </c>
      <c r="E249">
        <v>38.386699999999998</v>
      </c>
      <c r="F249">
        <v>24112</v>
      </c>
      <c r="G249" s="29">
        <v>0.80592746288067196</v>
      </c>
      <c r="H249" s="29">
        <v>2.0994966039817702E-2</v>
      </c>
      <c r="I249" s="29">
        <v>2.43730250321075E-2</v>
      </c>
      <c r="J249" s="29">
        <v>44.6252646103312</v>
      </c>
      <c r="K249" s="29">
        <v>-4.3326886844177702E-2</v>
      </c>
      <c r="L249" s="29">
        <v>0.2</v>
      </c>
      <c r="M249" s="29">
        <v>-2.7120742154908201E-2</v>
      </c>
      <c r="N249" s="29">
        <v>1.3503299128831101</v>
      </c>
      <c r="O249" s="29">
        <v>-6.5277896146587994E-2</v>
      </c>
      <c r="P249" s="29">
        <v>1.38448332783096E-2</v>
      </c>
      <c r="Q249" s="29">
        <v>1.9841269841269799E-2</v>
      </c>
      <c r="R249" s="30">
        <v>303122.64275</v>
      </c>
      <c r="S249" s="29">
        <v>3</v>
      </c>
      <c r="T249">
        <v>587.28300000000002</v>
      </c>
      <c r="U249" s="21"/>
      <c r="V249">
        <v>239</v>
      </c>
      <c r="W249" t="b">
        <f>V249&gt;=$C$4</f>
        <v>1</v>
      </c>
      <c r="X249">
        <f>IF(V249&lt;=$C$5,11,ROW()-$C$5+1)</f>
        <v>11</v>
      </c>
      <c r="Y249" s="14">
        <f t="shared" si="95"/>
        <v>239</v>
      </c>
      <c r="Z249" s="10">
        <f t="shared" si="103"/>
        <v>0.93560000000000088</v>
      </c>
      <c r="AA249" s="15">
        <f t="shared" si="104"/>
        <v>2.43730250321075E-2</v>
      </c>
      <c r="AB249" s="15">
        <f t="shared" si="105"/>
        <v>0.80592746288067185</v>
      </c>
      <c r="AC249" s="10">
        <f t="shared" si="96"/>
        <v>2.0994966039817747E-2</v>
      </c>
      <c r="AD249">
        <f t="shared" si="106"/>
        <v>0.52420000000000044</v>
      </c>
      <c r="AE249">
        <f t="shared" si="113"/>
        <v>0.52420000000000044</v>
      </c>
      <c r="AF249">
        <f t="shared" si="114"/>
        <v>0</v>
      </c>
      <c r="AG249">
        <f t="shared" si="122"/>
        <v>0.20798042199282105</v>
      </c>
      <c r="AH249">
        <f t="shared" si="122"/>
        <v>0.25807938265634367</v>
      </c>
      <c r="AI249">
        <f t="shared" si="107"/>
        <v>0.80587771038559097</v>
      </c>
      <c r="AJ249">
        <f t="shared" si="115"/>
        <v>44.625264808962065</v>
      </c>
      <c r="AK249" s="14">
        <f t="shared" si="97"/>
        <v>44.625264808962065</v>
      </c>
      <c r="AM249" s="14">
        <f t="shared" si="120"/>
        <v>-4.3326886844177737E-2</v>
      </c>
      <c r="AN249" s="36">
        <f t="shared" si="108"/>
        <v>1.3844833278309654E-2</v>
      </c>
      <c r="AO249">
        <f t="shared" si="117"/>
        <v>1</v>
      </c>
      <c r="AP249" s="14">
        <f t="shared" si="118"/>
        <v>0.2</v>
      </c>
      <c r="AQ249">
        <f t="shared" si="109"/>
        <v>1.560546398759044E-2</v>
      </c>
      <c r="AR249">
        <f t="shared" si="110"/>
        <v>-1.7606307092808398E-3</v>
      </c>
      <c r="AS249">
        <f t="shared" si="92"/>
        <v>-3.4799914345626503E-4</v>
      </c>
      <c r="AT249">
        <f t="shared" si="93"/>
        <v>1.2831475682655184E-2</v>
      </c>
      <c r="AU249" s="14">
        <f t="shared" si="98"/>
        <v>-2.7120742154908131E-2</v>
      </c>
      <c r="AV249" s="19">
        <f t="shared" si="94"/>
        <v>1.3503299128831481</v>
      </c>
      <c r="AW249" s="19">
        <f t="shared" si="121"/>
        <v>-6.5277896146588077E-2</v>
      </c>
      <c r="AX249">
        <f t="shared" si="99"/>
        <v>0</v>
      </c>
      <c r="AY249">
        <f>IF(W249,SUMPRODUCT(INDEX(AX:AX,X249):INDEX(AX:AX,X249+Y249)),0)</f>
        <v>5</v>
      </c>
      <c r="AZ249">
        <f>IF(V249,COUNT(INDEX(AX:AX,X249):INDEX(AX:AX,ROW())),0)</f>
        <v>239</v>
      </c>
      <c r="BA249" s="14">
        <f t="shared" si="111"/>
        <v>2.0920502092050208E-2</v>
      </c>
      <c r="BB249" s="6">
        <f t="shared" si="100"/>
        <v>925580.11039999989</v>
      </c>
      <c r="BC249" s="6">
        <f>MEDIAN(INDEX(BB:BB,X249):INDEX(BB:BB,X249+Y249-1))</f>
        <v>313268.08039999998</v>
      </c>
      <c r="BD249" s="25">
        <f t="shared" si="101"/>
        <v>313268.08039999998</v>
      </c>
      <c r="BE249">
        <f t="shared" si="112"/>
        <v>0</v>
      </c>
      <c r="BF249" s="6">
        <f>SUM(INDEX(BE:BE,X249):INDEX(BE:BE,X249+Y249-1))</f>
        <v>3</v>
      </c>
      <c r="BG249" s="25">
        <f t="shared" si="102"/>
        <v>3</v>
      </c>
    </row>
    <row r="250" spans="1:59" x14ac:dyDescent="0.3">
      <c r="A250" s="1">
        <v>45719</v>
      </c>
      <c r="B250">
        <v>38.320300000000003</v>
      </c>
      <c r="C250">
        <v>38.910899999999998</v>
      </c>
      <c r="D250">
        <v>37.265300000000003</v>
      </c>
      <c r="E250">
        <v>37.417900000000003</v>
      </c>
      <c r="F250">
        <v>82133</v>
      </c>
      <c r="G250" s="29">
        <v>0.86590407267490899</v>
      </c>
      <c r="H250" s="29">
        <v>2.31414395964206E-2</v>
      </c>
      <c r="I250" s="29">
        <v>4.3978951250604498E-2</v>
      </c>
      <c r="J250" s="29">
        <v>38.473364276550903</v>
      </c>
      <c r="K250" s="29">
        <v>-8.8868326535581604E-2</v>
      </c>
      <c r="L250" s="29">
        <v>0.2</v>
      </c>
      <c r="M250" s="29">
        <v>-4.1321840197870302E-2</v>
      </c>
      <c r="N250" s="29">
        <v>1.3520389750067601</v>
      </c>
      <c r="O250" s="29">
        <v>-7.9197858067437399E-2</v>
      </c>
      <c r="P250" s="29">
        <v>-2.5237907921233E-2</v>
      </c>
      <c r="Q250" s="29">
        <v>1.9841269841269799E-2</v>
      </c>
      <c r="R250" s="30">
        <v>306715.26964999997</v>
      </c>
      <c r="S250" s="29">
        <v>3</v>
      </c>
      <c r="T250">
        <v>576.99400000000003</v>
      </c>
      <c r="U250" s="21"/>
      <c r="V250">
        <v>240</v>
      </c>
      <c r="W250" t="b">
        <f>V250&gt;=$C$4</f>
        <v>1</v>
      </c>
      <c r="X250">
        <f>IF(V250&lt;=$C$5,11,ROW()-$C$5+1)</f>
        <v>11</v>
      </c>
      <c r="Y250" s="14">
        <f t="shared" si="95"/>
        <v>240</v>
      </c>
      <c r="Z250" s="10">
        <f t="shared" si="103"/>
        <v>1.6455999999999946</v>
      </c>
      <c r="AA250" s="15">
        <f t="shared" si="104"/>
        <v>4.3978951250604512E-2</v>
      </c>
      <c r="AB250" s="15">
        <f t="shared" si="105"/>
        <v>0.86590407267490921</v>
      </c>
      <c r="AC250" s="10">
        <f t="shared" si="96"/>
        <v>2.3141439596420673E-2</v>
      </c>
      <c r="AD250">
        <f t="shared" si="106"/>
        <v>-0.96879999999999455</v>
      </c>
      <c r="AE250">
        <f t="shared" si="113"/>
        <v>0</v>
      </c>
      <c r="AF250">
        <f t="shared" si="114"/>
        <v>0.96879999999999455</v>
      </c>
      <c r="AG250">
        <f t="shared" si="122"/>
        <v>0.1931246775647624</v>
      </c>
      <c r="AH250">
        <f t="shared" si="122"/>
        <v>0.30884514103803301</v>
      </c>
      <c r="AI250">
        <f t="shared" si="107"/>
        <v>0.62531233910842032</v>
      </c>
      <c r="AJ250">
        <f t="shared" si="115"/>
        <v>38.473364415078585</v>
      </c>
      <c r="AK250" s="14">
        <f t="shared" si="97"/>
        <v>38.473364415078585</v>
      </c>
      <c r="AM250" s="14">
        <f t="shared" si="120"/>
        <v>-8.8868326535581632E-2</v>
      </c>
      <c r="AN250" s="36">
        <f t="shared" si="108"/>
        <v>-2.5237907921233038E-2</v>
      </c>
      <c r="AO250">
        <f t="shared" si="117"/>
        <v>0</v>
      </c>
      <c r="AP250" s="14">
        <f t="shared" si="118"/>
        <v>0.2</v>
      </c>
      <c r="AQ250">
        <f t="shared" si="109"/>
        <v>-1.7519662581753526E-2</v>
      </c>
      <c r="AR250">
        <f t="shared" si="110"/>
        <v>-7.7182453394794744E-3</v>
      </c>
      <c r="AS250">
        <f t="shared" si="92"/>
        <v>-5.3112441017499619E-4</v>
      </c>
      <c r="AT250">
        <f t="shared" si="93"/>
        <v>1.2853358118411503E-2</v>
      </c>
      <c r="AU250" s="14">
        <f t="shared" si="98"/>
        <v>-4.132184019787008E-2</v>
      </c>
      <c r="AV250" s="19">
        <f t="shared" si="94"/>
        <v>1.352038975006792</v>
      </c>
      <c r="AW250" s="19">
        <f t="shared" si="121"/>
        <v>-7.9197858067437399E-2</v>
      </c>
      <c r="AX250">
        <f t="shared" si="99"/>
        <v>0</v>
      </c>
      <c r="AY250">
        <f>IF(W250,SUMPRODUCT(INDEX(AX:AX,X250):INDEX(AX:AX,X250+Y250)),0)</f>
        <v>5</v>
      </c>
      <c r="AZ250">
        <f>IF(V250,COUNT(INDEX(AX:AX,X250):INDEX(AX:AX,ROW())),0)</f>
        <v>240</v>
      </c>
      <c r="BA250" s="14">
        <f t="shared" si="111"/>
        <v>2.0833333333333332E-2</v>
      </c>
      <c r="BB250" s="6">
        <f t="shared" si="100"/>
        <v>3073244.3807000001</v>
      </c>
      <c r="BC250" s="6">
        <f>MEDIAN(INDEX(BB:BB,X250):INDEX(BB:BB,X250+Y250-1))</f>
        <v>316768.19865000003</v>
      </c>
      <c r="BD250" s="25">
        <f t="shared" si="101"/>
        <v>316768.19865000003</v>
      </c>
      <c r="BE250">
        <f t="shared" si="112"/>
        <v>0</v>
      </c>
      <c r="BF250" s="6">
        <f>SUM(INDEX(BE:BE,X250):INDEX(BE:BE,X250+Y250-1))</f>
        <v>3</v>
      </c>
      <c r="BG250" s="25">
        <f t="shared" si="102"/>
        <v>3</v>
      </c>
    </row>
    <row r="251" spans="1:59" x14ac:dyDescent="0.3">
      <c r="A251" s="1">
        <v>45720</v>
      </c>
      <c r="B251">
        <v>36.827300000000001</v>
      </c>
      <c r="C251">
        <v>37.291800000000002</v>
      </c>
      <c r="D251">
        <v>35.2547</v>
      </c>
      <c r="E251">
        <v>35.5533</v>
      </c>
      <c r="F251">
        <v>71282</v>
      </c>
      <c r="G251" s="29">
        <v>0.95856806748384404</v>
      </c>
      <c r="H251" s="29">
        <v>2.6961437264159501E-2</v>
      </c>
      <c r="I251" s="29">
        <v>6.0843859782355E-2</v>
      </c>
      <c r="J251" s="29">
        <v>29.923226092176201</v>
      </c>
      <c r="K251" s="29">
        <v>-0.12508305402572001</v>
      </c>
      <c r="L251" s="29">
        <v>0.2</v>
      </c>
      <c r="M251" s="29">
        <v>-0.114701683836199</v>
      </c>
      <c r="N251" s="29">
        <v>1.44348089289366</v>
      </c>
      <c r="O251" s="29">
        <v>-0.124938776012503</v>
      </c>
      <c r="P251" s="29">
        <v>-4.9831765010863803E-2</v>
      </c>
      <c r="Q251" s="29">
        <v>1.9841269841269799E-2</v>
      </c>
      <c r="R251" s="30">
        <v>311270.83959999902</v>
      </c>
      <c r="S251" s="29">
        <v>3</v>
      </c>
      <c r="T251">
        <v>570.16399999999999</v>
      </c>
      <c r="U251" s="21"/>
      <c r="V251">
        <v>241</v>
      </c>
      <c r="W251" t="b">
        <f>V251&gt;=$C$4</f>
        <v>1</v>
      </c>
      <c r="X251">
        <f>IF(V251&lt;=$C$5,11,ROW()-$C$5+1)</f>
        <v>11</v>
      </c>
      <c r="Y251" s="14">
        <f t="shared" si="95"/>
        <v>241</v>
      </c>
      <c r="Z251" s="10">
        <f t="shared" si="103"/>
        <v>2.1632000000000033</v>
      </c>
      <c r="AA251" s="15">
        <f t="shared" si="104"/>
        <v>6.0843859782355035E-2</v>
      </c>
      <c r="AB251" s="15">
        <f t="shared" si="105"/>
        <v>0.95856806748384449</v>
      </c>
      <c r="AC251" s="10">
        <f t="shared" si="96"/>
        <v>2.6961437264159571E-2</v>
      </c>
      <c r="AD251">
        <f t="shared" si="106"/>
        <v>-1.8646000000000029</v>
      </c>
      <c r="AE251">
        <f t="shared" si="113"/>
        <v>0</v>
      </c>
      <c r="AF251">
        <f t="shared" si="114"/>
        <v>1.8646000000000029</v>
      </c>
      <c r="AG251">
        <f t="shared" si="122"/>
        <v>0.17933005773870794</v>
      </c>
      <c r="AH251">
        <f t="shared" si="122"/>
        <v>0.41997048810674514</v>
      </c>
      <c r="AI251">
        <f t="shared" si="107"/>
        <v>0.4270063321523847</v>
      </c>
      <c r="AJ251">
        <f t="shared" si="115"/>
        <v>29.923226164548396</v>
      </c>
      <c r="AK251" s="14">
        <f t="shared" si="97"/>
        <v>29.923226164548396</v>
      </c>
      <c r="AM251" s="14">
        <f t="shared" si="120"/>
        <v>-0.12508305402572095</v>
      </c>
      <c r="AN251" s="36">
        <f t="shared" si="108"/>
        <v>-4.9831765010863838E-2</v>
      </c>
      <c r="AO251">
        <f t="shared" si="117"/>
        <v>0</v>
      </c>
      <c r="AP251" s="14">
        <f t="shared" si="118"/>
        <v>0.2</v>
      </c>
      <c r="AQ251">
        <f t="shared" si="109"/>
        <v>-1.1837211478802234E-2</v>
      </c>
      <c r="AR251">
        <f t="shared" si="110"/>
        <v>-3.7994553532061569E-2</v>
      </c>
      <c r="AS251">
        <f t="shared" si="92"/>
        <v>-1.5245549300103957E-3</v>
      </c>
      <c r="AT251">
        <f t="shared" si="93"/>
        <v>1.3291478198241172E-2</v>
      </c>
      <c r="AU251" s="14">
        <f t="shared" si="98"/>
        <v>-0.11470168383619936</v>
      </c>
      <c r="AV251" s="19">
        <f t="shared" si="94"/>
        <v>1.4434808928936984</v>
      </c>
      <c r="AW251" s="19">
        <f t="shared" si="121"/>
        <v>-0.12493877601250325</v>
      </c>
      <c r="AX251">
        <f t="shared" si="99"/>
        <v>0</v>
      </c>
      <c r="AY251">
        <f>IF(W251,SUMPRODUCT(INDEX(AX:AX,X251):INDEX(AX:AX,X251+Y251)),0)</f>
        <v>5</v>
      </c>
      <c r="AZ251">
        <f>IF(V251,COUNT(INDEX(AX:AX,X251):INDEX(AX:AX,ROW())),0)</f>
        <v>241</v>
      </c>
      <c r="BA251" s="14">
        <f t="shared" si="111"/>
        <v>2.0746887966804978E-2</v>
      </c>
      <c r="BB251" s="6">
        <f t="shared" si="100"/>
        <v>2534310.3306</v>
      </c>
      <c r="BC251" s="6">
        <f>MEDIAN(INDEX(BB:BB,X251):INDEX(BB:BB,X251+Y251-1))</f>
        <v>320268.31690000003</v>
      </c>
      <c r="BD251" s="25">
        <f t="shared" si="101"/>
        <v>320268.31690000003</v>
      </c>
      <c r="BE251">
        <f t="shared" si="112"/>
        <v>0</v>
      </c>
      <c r="BF251" s="6">
        <f>SUM(INDEX(BE:BE,X251):INDEX(BE:BE,X251+Y251-1))</f>
        <v>3</v>
      </c>
      <c r="BG251" s="25">
        <f t="shared" si="102"/>
        <v>3</v>
      </c>
    </row>
    <row r="252" spans="1:59" x14ac:dyDescent="0.3">
      <c r="A252" s="1">
        <v>45721</v>
      </c>
      <c r="B252">
        <v>35.632899999999999</v>
      </c>
      <c r="C252">
        <v>36.688000000000002</v>
      </c>
      <c r="D252">
        <v>35.632899999999999</v>
      </c>
      <c r="E252">
        <v>36.674700000000001</v>
      </c>
      <c r="F252">
        <v>22906</v>
      </c>
      <c r="G252" s="29">
        <v>0.97114891980642704</v>
      </c>
      <c r="H252" s="29">
        <v>2.6480078086703499E-2</v>
      </c>
      <c r="I252" s="29">
        <v>3.0939585054547199E-2</v>
      </c>
      <c r="J252" s="29">
        <v>38.740706586245501</v>
      </c>
      <c r="K252" s="29">
        <v>-6.8117543926515894E-2</v>
      </c>
      <c r="L252" s="29">
        <v>0.4</v>
      </c>
      <c r="M252" s="29">
        <v>-7.7106142801178196E-2</v>
      </c>
      <c r="N252" s="29">
        <v>1.4973012543455799</v>
      </c>
      <c r="O252" s="29">
        <v>-9.7338141005919296E-2</v>
      </c>
      <c r="P252" s="29">
        <v>3.1541375906034098E-2</v>
      </c>
      <c r="Q252" s="29">
        <v>1.9841269841269799E-2</v>
      </c>
      <c r="R252" s="30">
        <v>311270.83959999902</v>
      </c>
      <c r="S252" s="29">
        <v>3</v>
      </c>
      <c r="T252">
        <v>576.29200000000003</v>
      </c>
      <c r="U252" s="21"/>
      <c r="V252">
        <v>242</v>
      </c>
      <c r="W252" t="b">
        <f>V252&gt;=$C$4</f>
        <v>1</v>
      </c>
      <c r="X252">
        <f>IF(V252&lt;=$C$5,11,ROW()-$C$5+1)</f>
        <v>11</v>
      </c>
      <c r="Y252" s="14">
        <f t="shared" si="95"/>
        <v>242</v>
      </c>
      <c r="Z252" s="10">
        <f t="shared" si="103"/>
        <v>1.1347000000000023</v>
      </c>
      <c r="AA252" s="15">
        <f t="shared" si="104"/>
        <v>3.0939585054547202E-2</v>
      </c>
      <c r="AB252" s="15">
        <f t="shared" si="105"/>
        <v>0.97114891980642715</v>
      </c>
      <c r="AC252" s="10">
        <f t="shared" si="96"/>
        <v>2.6480078086703562E-2</v>
      </c>
      <c r="AD252">
        <f t="shared" si="106"/>
        <v>1.1214000000000013</v>
      </c>
      <c r="AE252">
        <f t="shared" si="113"/>
        <v>1.1214000000000013</v>
      </c>
      <c r="AF252">
        <f t="shared" si="114"/>
        <v>0</v>
      </c>
      <c r="AG252">
        <f t="shared" si="122"/>
        <v>0.24662076790022888</v>
      </c>
      <c r="AH252">
        <f t="shared" si="122"/>
        <v>0.38997259609912049</v>
      </c>
      <c r="AI252">
        <f t="shared" si="107"/>
        <v>0.63240538019123926</v>
      </c>
      <c r="AJ252">
        <f t="shared" si="115"/>
        <v>38.740706681397477</v>
      </c>
      <c r="AK252" s="14">
        <f t="shared" si="97"/>
        <v>38.740706681397477</v>
      </c>
      <c r="AM252" s="14">
        <f t="shared" si="120"/>
        <v>-6.8117543926515922E-2</v>
      </c>
      <c r="AN252" s="36">
        <f t="shared" si="108"/>
        <v>3.1541375906034119E-2</v>
      </c>
      <c r="AO252">
        <f t="shared" si="117"/>
        <v>1</v>
      </c>
      <c r="AP252" s="14">
        <f t="shared" si="118"/>
        <v>0.4</v>
      </c>
      <c r="AQ252">
        <f t="shared" si="109"/>
        <v>1.0747784847868314E-2</v>
      </c>
      <c r="AR252">
        <f t="shared" si="110"/>
        <v>2.0793591058165785E-2</v>
      </c>
      <c r="AS252">
        <f t="shared" si="92"/>
        <v>-1.0443468323864818E-3</v>
      </c>
      <c r="AT252">
        <f t="shared" si="93"/>
        <v>1.354427539034578E-2</v>
      </c>
      <c r="AU252" s="14">
        <f t="shared" si="98"/>
        <v>-7.7106142801177946E-2</v>
      </c>
      <c r="AV252" s="19">
        <f t="shared" si="94"/>
        <v>1.4973012543456194</v>
      </c>
      <c r="AW252" s="19">
        <f t="shared" si="121"/>
        <v>-9.733814100591931E-2</v>
      </c>
      <c r="AX252">
        <f t="shared" si="99"/>
        <v>0</v>
      </c>
      <c r="AY252">
        <f>IF(W252,SUMPRODUCT(INDEX(AX:AX,X252):INDEX(AX:AX,X252+Y252)),0)</f>
        <v>5</v>
      </c>
      <c r="AZ252">
        <f>IF(V252,COUNT(INDEX(AX:AX,X252):INDEX(AX:AX,ROW())),0)</f>
        <v>242</v>
      </c>
      <c r="BA252" s="14">
        <f t="shared" si="111"/>
        <v>2.0661157024793389E-2</v>
      </c>
      <c r="BB252" s="6">
        <f t="shared" si="100"/>
        <v>840070.67820000008</v>
      </c>
      <c r="BC252" s="6">
        <f>MEDIAN(INDEX(BB:BB,X252):INDEX(BB:BB,X252+Y252-1))</f>
        <v>320361.89604999998</v>
      </c>
      <c r="BD252" s="25">
        <f t="shared" si="101"/>
        <v>320361.89604999998</v>
      </c>
      <c r="BE252">
        <f t="shared" si="112"/>
        <v>0</v>
      </c>
      <c r="BF252" s="6">
        <f>SUM(INDEX(BE:BE,X252):INDEX(BE:BE,X252+Y252-1))</f>
        <v>3</v>
      </c>
      <c r="BG252" s="25">
        <f t="shared" si="102"/>
        <v>3</v>
      </c>
    </row>
    <row r="253" spans="1:59" x14ac:dyDescent="0.3">
      <c r="A253" s="1">
        <v>45722</v>
      </c>
      <c r="B253">
        <v>35.9315</v>
      </c>
      <c r="C253">
        <v>35.9315</v>
      </c>
      <c r="D253">
        <v>34.576599999999999</v>
      </c>
      <c r="E253">
        <v>34.83</v>
      </c>
      <c r="F253">
        <v>27126</v>
      </c>
      <c r="G253" s="29">
        <v>1.05164542553453</v>
      </c>
      <c r="H253" s="29">
        <v>3.0193667112676899E-2</v>
      </c>
      <c r="I253" s="29">
        <v>6.0238300315819698E-2</v>
      </c>
      <c r="J253" s="29">
        <v>31.679238239115399</v>
      </c>
      <c r="K253" s="29">
        <v>-0.101814937258562</v>
      </c>
      <c r="L253" s="29">
        <v>0.4</v>
      </c>
      <c r="M253" s="29">
        <v>-0.11398944681018799</v>
      </c>
      <c r="N253" s="29">
        <v>1.5703020001004</v>
      </c>
      <c r="O253" s="29">
        <v>-0.14274111175377499</v>
      </c>
      <c r="P253" s="29">
        <v>-5.0298979950756197E-2</v>
      </c>
      <c r="Q253" s="29">
        <v>1.9841269841269799E-2</v>
      </c>
      <c r="R253" s="30">
        <v>311270.83959999902</v>
      </c>
      <c r="S253" s="29">
        <v>3</v>
      </c>
      <c r="T253">
        <v>566.06299999999999</v>
      </c>
      <c r="U253" s="21"/>
      <c r="V253">
        <v>243</v>
      </c>
      <c r="W253" t="b">
        <f>V253&gt;=$C$4</f>
        <v>1</v>
      </c>
      <c r="X253">
        <f>IF(V253&lt;=$C$5,11,ROW()-$C$5+1)</f>
        <v>11</v>
      </c>
      <c r="Y253" s="14">
        <f t="shared" si="95"/>
        <v>243</v>
      </c>
      <c r="Z253" s="10">
        <f t="shared" si="103"/>
        <v>2.0981000000000023</v>
      </c>
      <c r="AA253" s="15">
        <f t="shared" si="104"/>
        <v>6.0238300315819768E-2</v>
      </c>
      <c r="AB253" s="15">
        <f t="shared" si="105"/>
        <v>1.0516454255345395</v>
      </c>
      <c r="AC253" s="10">
        <f t="shared" si="96"/>
        <v>3.019366711267699E-2</v>
      </c>
      <c r="AD253">
        <f t="shared" si="106"/>
        <v>-1.8447000000000031</v>
      </c>
      <c r="AE253">
        <f t="shared" si="113"/>
        <v>0</v>
      </c>
      <c r="AF253">
        <f t="shared" si="114"/>
        <v>1.8447000000000031</v>
      </c>
      <c r="AG253">
        <f t="shared" si="122"/>
        <v>0.22900499876449823</v>
      </c>
      <c r="AH253">
        <f t="shared" si="122"/>
        <v>0.49388169637775498</v>
      </c>
      <c r="AI253">
        <f t="shared" si="107"/>
        <v>0.46368391548841553</v>
      </c>
      <c r="AJ253">
        <f t="shared" si="115"/>
        <v>31.679238296042172</v>
      </c>
      <c r="AK253" s="14">
        <f t="shared" si="97"/>
        <v>31.679238296042172</v>
      </c>
      <c r="AM253" s="14">
        <f t="shared" si="120"/>
        <v>-0.10181493725856283</v>
      </c>
      <c r="AN253" s="36">
        <f t="shared" si="108"/>
        <v>-5.0298979950756273E-2</v>
      </c>
      <c r="AO253">
        <f t="shared" si="117"/>
        <v>0</v>
      </c>
      <c r="AP253" s="14">
        <f t="shared" si="118"/>
        <v>0.4</v>
      </c>
      <c r="AQ253">
        <f t="shared" si="109"/>
        <v>-1.7749682452645632E-2</v>
      </c>
      <c r="AR253">
        <f t="shared" si="110"/>
        <v>-3.2549297498110565E-2</v>
      </c>
      <c r="AS253">
        <f t="shared" si="92"/>
        <v>-1.6075310325912038E-3</v>
      </c>
      <c r="AT253">
        <f t="shared" si="93"/>
        <v>1.4102454898899677E-2</v>
      </c>
      <c r="AU253" s="14">
        <f t="shared" si="98"/>
        <v>-0.11398944681018827</v>
      </c>
      <c r="AV253" s="19">
        <f t="shared" si="94"/>
        <v>1.5703020001004342</v>
      </c>
      <c r="AW253" s="19">
        <f t="shared" si="121"/>
        <v>-0.14274111175377502</v>
      </c>
      <c r="AX253">
        <f t="shared" si="99"/>
        <v>0</v>
      </c>
      <c r="AY253">
        <f>IF(W253,SUMPRODUCT(INDEX(AX:AX,X253):INDEX(AX:AX,X253+Y253)),0)</f>
        <v>5</v>
      </c>
      <c r="AZ253">
        <f>IF(V253,COUNT(INDEX(AX:AX,X253):INDEX(AX:AX,ROW())),0)</f>
        <v>243</v>
      </c>
      <c r="BA253" s="14">
        <f t="shared" si="111"/>
        <v>2.0576131687242798E-2</v>
      </c>
      <c r="BB253" s="6">
        <f t="shared" si="100"/>
        <v>944798.58</v>
      </c>
      <c r="BC253" s="6">
        <f>MEDIAN(INDEX(BB:BB,X253):INDEX(BB:BB,X253+Y253-1))</f>
        <v>320455.47519999999</v>
      </c>
      <c r="BD253" s="25">
        <f t="shared" si="101"/>
        <v>320455.47519999999</v>
      </c>
      <c r="BE253">
        <f t="shared" si="112"/>
        <v>0</v>
      </c>
      <c r="BF253" s="6">
        <f>SUM(INDEX(BE:BE,X253):INDEX(BE:BE,X253+Y253-1))</f>
        <v>3</v>
      </c>
      <c r="BG253" s="25">
        <f t="shared" si="102"/>
        <v>3</v>
      </c>
    </row>
    <row r="254" spans="1:59" x14ac:dyDescent="0.3">
      <c r="A254" s="1">
        <v>45723</v>
      </c>
      <c r="B254">
        <v>34.491599999999998</v>
      </c>
      <c r="C254">
        <v>34.740499999999997</v>
      </c>
      <c r="D254">
        <v>33.370199999999997</v>
      </c>
      <c r="E254">
        <v>34.584499999999998</v>
      </c>
      <c r="F254">
        <v>28784</v>
      </c>
      <c r="G254" s="29">
        <v>1.0807993237106399</v>
      </c>
      <c r="H254" s="29">
        <v>3.12509743876778E-2</v>
      </c>
      <c r="I254" s="29">
        <v>4.2209660396998597E-2</v>
      </c>
      <c r="J254" s="29">
        <v>30.872722511681399</v>
      </c>
      <c r="K254" s="29">
        <v>-0.11989322014057401</v>
      </c>
      <c r="L254" s="29">
        <v>0.2</v>
      </c>
      <c r="M254" s="29">
        <v>-0.11418617010186501</v>
      </c>
      <c r="N254" s="29">
        <v>1.5553467143298301</v>
      </c>
      <c r="O254" s="29">
        <v>-0.14878351936400799</v>
      </c>
      <c r="P254" s="29">
        <v>-7.0485213896066502E-3</v>
      </c>
      <c r="Q254" s="29">
        <v>1.9841269841269799E-2</v>
      </c>
      <c r="R254" s="30">
        <v>316768.19864999998</v>
      </c>
      <c r="S254" s="29">
        <v>3</v>
      </c>
      <c r="T254">
        <v>569.23500000000001</v>
      </c>
      <c r="U254" s="21"/>
      <c r="V254">
        <v>244</v>
      </c>
      <c r="W254" t="b">
        <f>V254&gt;=$C$4</f>
        <v>1</v>
      </c>
      <c r="X254">
        <f>IF(V254&lt;=$C$5,11,ROW()-$C$5+1)</f>
        <v>11</v>
      </c>
      <c r="Y254" s="14">
        <f t="shared" si="95"/>
        <v>244</v>
      </c>
      <c r="Z254" s="10">
        <f t="shared" si="103"/>
        <v>1.4598000000000013</v>
      </c>
      <c r="AA254" s="15">
        <f t="shared" si="104"/>
        <v>4.2209660396998694E-2</v>
      </c>
      <c r="AB254" s="15">
        <f t="shared" si="105"/>
        <v>1.0807993237106439</v>
      </c>
      <c r="AC254" s="10">
        <f t="shared" si="96"/>
        <v>3.1250974387677828E-2</v>
      </c>
      <c r="AD254">
        <f t="shared" si="106"/>
        <v>-0.24549999999999983</v>
      </c>
      <c r="AE254">
        <f t="shared" si="113"/>
        <v>0</v>
      </c>
      <c r="AF254">
        <f t="shared" si="114"/>
        <v>0.24549999999999983</v>
      </c>
      <c r="AG254">
        <f t="shared" ref="AG254:AH269" si="123">(AE254+13*AG253)/14</f>
        <v>0.21264749885274833</v>
      </c>
      <c r="AH254">
        <f t="shared" si="123"/>
        <v>0.47614014663648679</v>
      </c>
      <c r="AI254">
        <f t="shared" si="107"/>
        <v>0.44660695040087822</v>
      </c>
      <c r="AJ254">
        <f t="shared" si="115"/>
        <v>30.872722564834646</v>
      </c>
      <c r="AK254" s="14">
        <f t="shared" si="97"/>
        <v>30.872722564834646</v>
      </c>
      <c r="AM254" s="14">
        <f t="shared" si="120"/>
        <v>-0.11989322014057491</v>
      </c>
      <c r="AN254" s="36">
        <f t="shared" si="108"/>
        <v>-7.0485213896066545E-3</v>
      </c>
      <c r="AO254">
        <f t="shared" si="117"/>
        <v>0</v>
      </c>
      <c r="AP254" s="14">
        <f t="shared" si="118"/>
        <v>0.2</v>
      </c>
      <c r="AQ254">
        <f t="shared" si="109"/>
        <v>5.6036165585808817E-3</v>
      </c>
      <c r="AR254">
        <f t="shared" si="110"/>
        <v>-1.2652137948187533E-2</v>
      </c>
      <c r="AS254">
        <f t="shared" si="92"/>
        <v>-1.6105798913254195E-3</v>
      </c>
      <c r="AT254">
        <f t="shared" si="93"/>
        <v>1.4104859545500401E-2</v>
      </c>
      <c r="AU254" s="14">
        <f t="shared" si="98"/>
        <v>-0.11418617010186476</v>
      </c>
      <c r="AV254" s="19">
        <f t="shared" si="94"/>
        <v>1.5553467143298698</v>
      </c>
      <c r="AW254" s="19">
        <f t="shared" si="121"/>
        <v>-0.14878351936400891</v>
      </c>
      <c r="AX254">
        <f t="shared" si="99"/>
        <v>0</v>
      </c>
      <c r="AY254">
        <f>IF(W254,SUMPRODUCT(INDEX(AX:AX,X254):INDEX(AX:AX,X254+Y254)),0)</f>
        <v>5</v>
      </c>
      <c r="AZ254">
        <f>IF(V254,COUNT(INDEX(AX:AX,X254):INDEX(AX:AX,ROW())),0)</f>
        <v>244</v>
      </c>
      <c r="BA254" s="14">
        <f t="shared" si="111"/>
        <v>2.0491803278688523E-2</v>
      </c>
      <c r="BB254" s="6">
        <f t="shared" si="100"/>
        <v>995480.24799999991</v>
      </c>
      <c r="BC254" s="6">
        <f>MEDIAN(INDEX(BB:BB,X254):INDEX(BB:BB,X254+Y254-1))</f>
        <v>321443.07164999994</v>
      </c>
      <c r="BD254" s="25">
        <f t="shared" si="101"/>
        <v>321443.07164999994</v>
      </c>
      <c r="BE254">
        <f t="shared" si="112"/>
        <v>0</v>
      </c>
      <c r="BF254" s="6">
        <f>SUM(INDEX(BE:BE,X254):INDEX(BE:BE,X254+Y254-1))</f>
        <v>3</v>
      </c>
      <c r="BG254" s="25">
        <f t="shared" si="102"/>
        <v>3</v>
      </c>
    </row>
    <row r="255" spans="1:59" x14ac:dyDescent="0.3">
      <c r="A255" s="1">
        <v>45726</v>
      </c>
      <c r="B255">
        <v>33.542700000000004</v>
      </c>
      <c r="C255">
        <v>34.057699999999997</v>
      </c>
      <c r="D255">
        <v>33.031799999999997</v>
      </c>
      <c r="E255">
        <v>33.264000000000003</v>
      </c>
      <c r="F255">
        <v>28633</v>
      </c>
      <c r="G255" s="29">
        <v>1.11450651487416</v>
      </c>
      <c r="H255" s="29">
        <v>3.3504885608290298E-2</v>
      </c>
      <c r="I255" s="29">
        <v>4.6678090428090402E-2</v>
      </c>
      <c r="J255" s="29">
        <v>26.9049887890557</v>
      </c>
      <c r="K255" s="29">
        <v>-0.162267800298182</v>
      </c>
      <c r="L255" s="29">
        <v>0.2</v>
      </c>
      <c r="M255" s="29">
        <v>-0.114614292461029</v>
      </c>
      <c r="N255" s="29">
        <v>1.5526603891022699</v>
      </c>
      <c r="O255" s="29">
        <v>-0.18128453463616301</v>
      </c>
      <c r="P255" s="29">
        <v>-3.8181844467897297E-2</v>
      </c>
      <c r="Q255" s="29">
        <v>1.9841269841269799E-2</v>
      </c>
      <c r="R255" s="30">
        <v>320361.89604999998</v>
      </c>
      <c r="S255" s="29">
        <v>3</v>
      </c>
      <c r="T255">
        <v>554.07299999999998</v>
      </c>
      <c r="U255" s="21"/>
      <c r="V255">
        <v>245</v>
      </c>
      <c r="W255" t="b">
        <f>V255&gt;=$C$4</f>
        <v>1</v>
      </c>
      <c r="X255">
        <f>IF(V255&lt;=$C$5,11,ROW()-$C$5+1)</f>
        <v>11</v>
      </c>
      <c r="Y255" s="14">
        <f t="shared" si="95"/>
        <v>245</v>
      </c>
      <c r="Z255" s="10">
        <f t="shared" si="103"/>
        <v>1.5527000000000015</v>
      </c>
      <c r="AA255" s="15">
        <f t="shared" si="104"/>
        <v>4.6678090428090471E-2</v>
      </c>
      <c r="AB255" s="15">
        <f t="shared" si="105"/>
        <v>1.1145065148741693</v>
      </c>
      <c r="AC255" s="10">
        <f t="shared" si="96"/>
        <v>3.3504885608290319E-2</v>
      </c>
      <c r="AD255">
        <f t="shared" si="106"/>
        <v>-1.3204999999999956</v>
      </c>
      <c r="AE255">
        <f t="shared" si="113"/>
        <v>0</v>
      </c>
      <c r="AF255">
        <f t="shared" si="114"/>
        <v>1.3204999999999956</v>
      </c>
      <c r="AG255">
        <f t="shared" si="123"/>
        <v>0.19745839179183775</v>
      </c>
      <c r="AH255">
        <f t="shared" si="123"/>
        <v>0.53645156473388034</v>
      </c>
      <c r="AI255">
        <f t="shared" si="107"/>
        <v>0.36808242304184857</v>
      </c>
      <c r="AJ255">
        <f t="shared" si="115"/>
        <v>26.904988825412985</v>
      </c>
      <c r="AK255" s="14">
        <f t="shared" si="97"/>
        <v>26.904988825412985</v>
      </c>
      <c r="AM255" s="14">
        <f t="shared" si="120"/>
        <v>-0.16226780029818266</v>
      </c>
      <c r="AN255" s="36">
        <f t="shared" si="108"/>
        <v>-3.8181844467897297E-2</v>
      </c>
      <c r="AO255">
        <f t="shared" si="117"/>
        <v>0</v>
      </c>
      <c r="AP255" s="14">
        <f t="shared" si="118"/>
        <v>0.2</v>
      </c>
      <c r="AQ255">
        <f t="shared" si="109"/>
        <v>-2.6635747977548863E-2</v>
      </c>
      <c r="AR255">
        <f t="shared" si="110"/>
        <v>-1.1546096490348434E-2</v>
      </c>
      <c r="AS255">
        <f t="shared" si="92"/>
        <v>-1.6171456557733342E-3</v>
      </c>
      <c r="AT255">
        <f t="shared" si="93"/>
        <v>1.4109458960567112E-2</v>
      </c>
      <c r="AU255" s="14">
        <f t="shared" si="98"/>
        <v>-0.11461429246102964</v>
      </c>
      <c r="AV255" s="19">
        <f t="shared" si="94"/>
        <v>1.5526603891023025</v>
      </c>
      <c r="AW255" s="19">
        <f t="shared" si="121"/>
        <v>-0.18128453463616334</v>
      </c>
      <c r="AX255">
        <f t="shared" si="99"/>
        <v>0</v>
      </c>
      <c r="AY255">
        <f>IF(W255,SUMPRODUCT(INDEX(AX:AX,X255):INDEX(AX:AX,X255+Y255)),0)</f>
        <v>5</v>
      </c>
      <c r="AZ255">
        <f>IF(V255,COUNT(INDEX(AX:AX,X255):INDEX(AX:AX,ROW())),0)</f>
        <v>245</v>
      </c>
      <c r="BA255" s="14">
        <f t="shared" si="111"/>
        <v>2.0408163265306121E-2</v>
      </c>
      <c r="BB255" s="6">
        <f t="shared" si="100"/>
        <v>952448.11200000008</v>
      </c>
      <c r="BC255" s="6">
        <f>MEDIAN(INDEX(BB:BB,X255):INDEX(BB:BB,X255+Y255-1))</f>
        <v>322430.66809999995</v>
      </c>
      <c r="BD255" s="25">
        <f t="shared" si="101"/>
        <v>322430.66809999995</v>
      </c>
      <c r="BE255">
        <f t="shared" si="112"/>
        <v>0</v>
      </c>
      <c r="BF255" s="6">
        <f>SUM(INDEX(BE:BE,X255):INDEX(BE:BE,X255+Y255-1))</f>
        <v>3</v>
      </c>
      <c r="BG255" s="25">
        <f t="shared" si="102"/>
        <v>3</v>
      </c>
    </row>
    <row r="256" spans="1:59" x14ac:dyDescent="0.3">
      <c r="A256" s="1">
        <v>45727</v>
      </c>
      <c r="B256">
        <v>33.602499999999999</v>
      </c>
      <c r="C256">
        <v>33.602499999999999</v>
      </c>
      <c r="D256">
        <v>32.646900000000002</v>
      </c>
      <c r="E256">
        <v>33.098199999999999</v>
      </c>
      <c r="F256">
        <v>28332</v>
      </c>
      <c r="G256" s="29">
        <v>1.10315604952601</v>
      </c>
      <c r="H256" s="29">
        <v>3.33297898231932E-2</v>
      </c>
      <c r="I256" s="29">
        <v>2.88716606945391E-2</v>
      </c>
      <c r="J256" s="29">
        <v>26.4454217312874</v>
      </c>
      <c r="K256" s="29">
        <v>-0.162382606979174</v>
      </c>
      <c r="L256" s="29">
        <v>0.2</v>
      </c>
      <c r="M256" s="29">
        <v>-9.7845049915245605E-2</v>
      </c>
      <c r="N256" s="29">
        <v>1.5415300335814901</v>
      </c>
      <c r="O256" s="29">
        <v>-0.185365313380671</v>
      </c>
      <c r="P256" s="29">
        <v>-4.9843674843675903E-3</v>
      </c>
      <c r="Q256" s="29">
        <v>1.9841269841269799E-2</v>
      </c>
      <c r="R256" s="30">
        <v>321443.07164999901</v>
      </c>
      <c r="S256" s="29">
        <v>3</v>
      </c>
      <c r="T256">
        <v>549.46799999999996</v>
      </c>
      <c r="U256" s="21"/>
      <c r="V256">
        <v>246</v>
      </c>
      <c r="W256" t="b">
        <f>V256&gt;=$C$4</f>
        <v>1</v>
      </c>
      <c r="X256">
        <f>IF(V256&lt;=$C$5,11,ROW()-$C$5+1)</f>
        <v>11</v>
      </c>
      <c r="Y256" s="14">
        <f t="shared" si="95"/>
        <v>246</v>
      </c>
      <c r="Z256" s="10">
        <f t="shared" si="103"/>
        <v>0.9555999999999969</v>
      </c>
      <c r="AA256" s="15">
        <f t="shared" si="104"/>
        <v>2.8871660694539187E-2</v>
      </c>
      <c r="AB256" s="15">
        <f t="shared" si="105"/>
        <v>1.1031560495260142</v>
      </c>
      <c r="AC256" s="10">
        <f t="shared" si="96"/>
        <v>3.3329789823193234E-2</v>
      </c>
      <c r="AD256">
        <f t="shared" si="106"/>
        <v>-0.16580000000000439</v>
      </c>
      <c r="AE256">
        <f t="shared" si="113"/>
        <v>0</v>
      </c>
      <c r="AF256">
        <f t="shared" si="114"/>
        <v>0.16580000000000439</v>
      </c>
      <c r="AG256">
        <f t="shared" si="123"/>
        <v>0.18335422094956361</v>
      </c>
      <c r="AH256">
        <f t="shared" si="123"/>
        <v>0.50997645296717498</v>
      </c>
      <c r="AI256">
        <f t="shared" si="107"/>
        <v>0.35953468024408047</v>
      </c>
      <c r="AJ256">
        <f t="shared" si="115"/>
        <v>26.445421765889222</v>
      </c>
      <c r="AK256" s="14">
        <f t="shared" si="97"/>
        <v>26.445421765889222</v>
      </c>
      <c r="AM256" s="14">
        <f t="shared" si="120"/>
        <v>-0.16238260697917484</v>
      </c>
      <c r="AN256" s="36">
        <f t="shared" si="108"/>
        <v>-4.9843674843675911E-3</v>
      </c>
      <c r="AO256">
        <f t="shared" si="117"/>
        <v>0</v>
      </c>
      <c r="AP256" s="14">
        <f t="shared" si="118"/>
        <v>0.2</v>
      </c>
      <c r="AQ256">
        <f t="shared" si="109"/>
        <v>-8.3111792128474082E-3</v>
      </c>
      <c r="AR256">
        <f t="shared" si="110"/>
        <v>3.326811728479818E-3</v>
      </c>
      <c r="AS256">
        <f t="shared" si="92"/>
        <v>-1.3758067998859015E-3</v>
      </c>
      <c r="AT256">
        <f t="shared" si="93"/>
        <v>1.4061077193763432E-2</v>
      </c>
      <c r="AU256" s="14">
        <f t="shared" si="98"/>
        <v>-9.7845049915245383E-2</v>
      </c>
      <c r="AV256" s="19">
        <f t="shared" si="94"/>
        <v>1.5415300335815261</v>
      </c>
      <c r="AW256" s="19">
        <f t="shared" si="121"/>
        <v>-0.18536531338067175</v>
      </c>
      <c r="AX256">
        <f t="shared" si="99"/>
        <v>0</v>
      </c>
      <c r="AY256">
        <f>IF(W256,SUMPRODUCT(INDEX(AX:AX,X256):INDEX(AX:AX,X256+Y256)),0)</f>
        <v>5</v>
      </c>
      <c r="AZ256">
        <f>IF(V256,COUNT(INDEX(AX:AX,X256):INDEX(AX:AX,ROW())),0)</f>
        <v>246</v>
      </c>
      <c r="BA256" s="14">
        <f t="shared" si="111"/>
        <v>2.032520325203252E-2</v>
      </c>
      <c r="BB256" s="6">
        <f t="shared" si="100"/>
        <v>937738.20239999995</v>
      </c>
      <c r="BC256" s="6">
        <f>MEDIAN(INDEX(BB:BB,X256):INDEX(BB:BB,X256+Y256-1))</f>
        <v>323006.96669999999</v>
      </c>
      <c r="BD256" s="25">
        <f t="shared" si="101"/>
        <v>323006.96669999999</v>
      </c>
      <c r="BE256">
        <f t="shared" si="112"/>
        <v>0</v>
      </c>
      <c r="BF256" s="6">
        <f>SUM(INDEX(BE:BE,X256):INDEX(BE:BE,X256+Y256-1))</f>
        <v>3</v>
      </c>
      <c r="BG256" s="25">
        <f t="shared" si="102"/>
        <v>3</v>
      </c>
    </row>
    <row r="257" spans="1:59" x14ac:dyDescent="0.3">
      <c r="A257" s="1">
        <v>45728</v>
      </c>
      <c r="B257">
        <v>33.509599999999999</v>
      </c>
      <c r="C257">
        <v>33.701999999999998</v>
      </c>
      <c r="D257">
        <v>33.005299999999998</v>
      </c>
      <c r="E257">
        <v>33.429900000000004</v>
      </c>
      <c r="F257">
        <v>16275</v>
      </c>
      <c r="G257" s="29">
        <v>1.07412347455987</v>
      </c>
      <c r="H257" s="29">
        <v>3.2130621825368001E-2</v>
      </c>
      <c r="I257" s="29">
        <v>2.08406247102145E-2</v>
      </c>
      <c r="J257" s="29">
        <v>29.0562357268632</v>
      </c>
      <c r="K257" s="29">
        <v>-0.15256639052534399</v>
      </c>
      <c r="L257" s="29">
        <v>0.2</v>
      </c>
      <c r="M257" s="29">
        <v>-8.8195097742967604E-2</v>
      </c>
      <c r="N257" s="29">
        <v>1.5464333729580999</v>
      </c>
      <c r="O257" s="29">
        <v>-0.17720129462582601</v>
      </c>
      <c r="P257" s="29">
        <v>1.00216930225813E-2</v>
      </c>
      <c r="Q257" s="29">
        <v>1.9841269841269799E-2</v>
      </c>
      <c r="R257" s="30">
        <v>321443.07164999901</v>
      </c>
      <c r="S257" s="29">
        <v>3</v>
      </c>
      <c r="T257">
        <v>552.38300000000004</v>
      </c>
      <c r="U257" s="21"/>
      <c r="V257">
        <v>247</v>
      </c>
      <c r="W257" t="b">
        <f>V257&gt;=$C$4</f>
        <v>1</v>
      </c>
      <c r="X257">
        <f>IF(V257&lt;=$C$5,11,ROW()-$C$5+1)</f>
        <v>11</v>
      </c>
      <c r="Y257" s="14">
        <f t="shared" si="95"/>
        <v>247</v>
      </c>
      <c r="Z257" s="10">
        <f t="shared" si="103"/>
        <v>0.69669999999999987</v>
      </c>
      <c r="AA257" s="15">
        <f t="shared" si="104"/>
        <v>2.0840624710214504E-2</v>
      </c>
      <c r="AB257" s="15">
        <f t="shared" si="105"/>
        <v>1.0741234745598702</v>
      </c>
      <c r="AC257" s="10">
        <f t="shared" si="96"/>
        <v>3.2130621825368015E-2</v>
      </c>
      <c r="AD257">
        <f t="shared" si="106"/>
        <v>0.33170000000000499</v>
      </c>
      <c r="AE257">
        <f t="shared" si="113"/>
        <v>0.33170000000000499</v>
      </c>
      <c r="AF257">
        <f t="shared" si="114"/>
        <v>0</v>
      </c>
      <c r="AG257">
        <f t="shared" si="123"/>
        <v>0.19395034802459515</v>
      </c>
      <c r="AH257">
        <f t="shared" si="123"/>
        <v>0.47354956346951965</v>
      </c>
      <c r="AI257">
        <f t="shared" si="107"/>
        <v>0.40956715618866557</v>
      </c>
      <c r="AJ257">
        <f t="shared" si="115"/>
        <v>29.056235766453014</v>
      </c>
      <c r="AK257" s="14">
        <f t="shared" si="97"/>
        <v>29.056235766453014</v>
      </c>
      <c r="AM257" s="14">
        <f t="shared" si="120"/>
        <v>-0.15256639052534438</v>
      </c>
      <c r="AN257" s="36">
        <f t="shared" si="108"/>
        <v>1.0021693022581379E-2</v>
      </c>
      <c r="AO257">
        <f t="shared" si="117"/>
        <v>1</v>
      </c>
      <c r="AP257" s="14">
        <f t="shared" si="118"/>
        <v>0.2</v>
      </c>
      <c r="AQ257">
        <f t="shared" si="109"/>
        <v>5.305131509023342E-3</v>
      </c>
      <c r="AR257">
        <f t="shared" si="110"/>
        <v>4.7165615135579576E-3</v>
      </c>
      <c r="AS257">
        <f t="shared" si="92"/>
        <v>-1.2416557356116885E-3</v>
      </c>
      <c r="AT257">
        <f t="shared" si="93"/>
        <v>1.4078511928523796E-2</v>
      </c>
      <c r="AU257" s="14">
        <f t="shared" si="98"/>
        <v>-8.8195097742967382E-2</v>
      </c>
      <c r="AV257" s="19">
        <f t="shared" si="94"/>
        <v>1.5464333729581381</v>
      </c>
      <c r="AW257" s="19">
        <f t="shared" si="121"/>
        <v>-0.17720129462582601</v>
      </c>
      <c r="AX257">
        <f t="shared" si="99"/>
        <v>0</v>
      </c>
      <c r="AY257">
        <f>IF(W257,SUMPRODUCT(INDEX(AX:AX,X257):INDEX(AX:AX,X257+Y257)),0)</f>
        <v>5</v>
      </c>
      <c r="AZ257">
        <f>IF(V257,COUNT(INDEX(AX:AX,X257):INDEX(AX:AX,ROW())),0)</f>
        <v>247</v>
      </c>
      <c r="BA257" s="14">
        <f t="shared" si="111"/>
        <v>2.0242914979757085E-2</v>
      </c>
      <c r="BB257" s="6">
        <f t="shared" si="100"/>
        <v>544071.62250000006</v>
      </c>
      <c r="BC257" s="6">
        <f>MEDIAN(INDEX(BB:BB,X257):INDEX(BB:BB,X257+Y257-1))</f>
        <v>323583.26529999997</v>
      </c>
      <c r="BD257" s="25">
        <f t="shared" si="101"/>
        <v>323583.26529999997</v>
      </c>
      <c r="BE257">
        <f t="shared" si="112"/>
        <v>0</v>
      </c>
      <c r="BF257" s="6">
        <f>SUM(INDEX(BE:BE,X257):INDEX(BE:BE,X257+Y257-1))</f>
        <v>3</v>
      </c>
      <c r="BG257" s="25">
        <f t="shared" si="102"/>
        <v>3</v>
      </c>
    </row>
    <row r="258" spans="1:59" x14ac:dyDescent="0.3">
      <c r="A258" s="1">
        <v>45729</v>
      </c>
      <c r="B258">
        <v>33.171100000000003</v>
      </c>
      <c r="C258">
        <v>33.171100000000003</v>
      </c>
      <c r="D258">
        <v>32.242199999999997</v>
      </c>
      <c r="E258">
        <v>32.308500000000002</v>
      </c>
      <c r="F258">
        <v>21098</v>
      </c>
      <c r="G258" s="29">
        <v>1.0822360835198801</v>
      </c>
      <c r="H258" s="29">
        <v>3.34969461138672E-2</v>
      </c>
      <c r="I258" s="29">
        <v>3.6761223826547298E-2</v>
      </c>
      <c r="J258" s="29">
        <v>25.730998557247901</v>
      </c>
      <c r="K258" s="29">
        <v>-0.169114092026622</v>
      </c>
      <c r="L258" s="29">
        <v>0.2</v>
      </c>
      <c r="M258" s="29">
        <v>-0.102758524793226</v>
      </c>
      <c r="N258" s="29">
        <v>1.5690340209023499</v>
      </c>
      <c r="O258" s="29">
        <v>-0.20480192963240901</v>
      </c>
      <c r="P258" s="29">
        <v>-3.3544820654563698E-2</v>
      </c>
      <c r="Q258" s="29">
        <v>1.9841269841269799E-2</v>
      </c>
      <c r="R258" s="30">
        <v>323006.96669999999</v>
      </c>
      <c r="S258" s="29">
        <v>3</v>
      </c>
      <c r="T258">
        <v>545.02</v>
      </c>
      <c r="U258" s="21"/>
      <c r="V258">
        <v>248</v>
      </c>
      <c r="W258" t="b">
        <f>V258&gt;=$C$4</f>
        <v>1</v>
      </c>
      <c r="X258">
        <f>IF(V258&lt;=$C$5,11,ROW()-$C$5+1)</f>
        <v>11</v>
      </c>
      <c r="Y258" s="14">
        <f t="shared" si="95"/>
        <v>248</v>
      </c>
      <c r="Z258" s="10">
        <f t="shared" si="103"/>
        <v>1.1877000000000066</v>
      </c>
      <c r="AA258" s="15">
        <f t="shared" si="104"/>
        <v>3.6761223826547396E-2</v>
      </c>
      <c r="AB258" s="15">
        <f t="shared" si="105"/>
        <v>1.0822360835198801</v>
      </c>
      <c r="AC258" s="10">
        <f t="shared" si="96"/>
        <v>3.3496946113867249E-2</v>
      </c>
      <c r="AD258">
        <f t="shared" si="106"/>
        <v>-1.1214000000000013</v>
      </c>
      <c r="AE258">
        <f t="shared" si="113"/>
        <v>0</v>
      </c>
      <c r="AF258">
        <f t="shared" si="114"/>
        <v>1.1214000000000013</v>
      </c>
      <c r="AG258">
        <f t="shared" si="123"/>
        <v>0.18009675173712408</v>
      </c>
      <c r="AH258">
        <f t="shared" si="123"/>
        <v>0.51982459465026831</v>
      </c>
      <c r="AI258">
        <f t="shared" si="107"/>
        <v>0.34645677328578689</v>
      </c>
      <c r="AJ258">
        <f t="shared" si="115"/>
        <v>25.730998585295922</v>
      </c>
      <c r="AK258" s="14">
        <f t="shared" si="97"/>
        <v>25.730998585295922</v>
      </c>
      <c r="AM258" s="14">
        <f t="shared" si="120"/>
        <v>-0.16911409202662242</v>
      </c>
      <c r="AN258" s="36">
        <f t="shared" si="108"/>
        <v>-3.3544820654563767E-2</v>
      </c>
      <c r="AO258">
        <f t="shared" si="117"/>
        <v>0</v>
      </c>
      <c r="AP258" s="14">
        <f t="shared" si="118"/>
        <v>0.2</v>
      </c>
      <c r="AQ258">
        <f t="shared" si="109"/>
        <v>-1.3329519554367231E-2</v>
      </c>
      <c r="AR258">
        <f t="shared" si="110"/>
        <v>-2.0215301100196467E-2</v>
      </c>
      <c r="AS258">
        <f t="shared" si="92"/>
        <v>-1.4661870722212143E-3</v>
      </c>
      <c r="AT258">
        <f t="shared" si="93"/>
        <v>1.4268276769946988E-2</v>
      </c>
      <c r="AU258" s="14">
        <f t="shared" si="98"/>
        <v>-0.10275852479322643</v>
      </c>
      <c r="AV258" s="19">
        <f t="shared" si="94"/>
        <v>1.5690340209023854</v>
      </c>
      <c r="AW258" s="19">
        <f t="shared" si="121"/>
        <v>-0.20480192963240995</v>
      </c>
      <c r="AX258">
        <f t="shared" si="99"/>
        <v>0</v>
      </c>
      <c r="AY258">
        <f>IF(W258,SUMPRODUCT(INDEX(AX:AX,X258):INDEX(AX:AX,X258+Y258)),0)</f>
        <v>5</v>
      </c>
      <c r="AZ258">
        <f>IF(V258,COUNT(INDEX(AX:AX,X258):INDEX(AX:AX,ROW())),0)</f>
        <v>248</v>
      </c>
      <c r="BA258" s="14">
        <f t="shared" si="111"/>
        <v>2.0161290322580645E-2</v>
      </c>
      <c r="BB258" s="6">
        <f t="shared" si="100"/>
        <v>681644.73300000001</v>
      </c>
      <c r="BC258" s="6">
        <f>MEDIAN(INDEX(BB:BB,X258):INDEX(BB:BB,X258+Y258-1))</f>
        <v>324352.04814999999</v>
      </c>
      <c r="BD258" s="25">
        <f t="shared" si="101"/>
        <v>324352.04814999999</v>
      </c>
      <c r="BE258">
        <f t="shared" si="112"/>
        <v>0</v>
      </c>
      <c r="BF258" s="6">
        <f>SUM(INDEX(BE:BE,X258):INDEX(BE:BE,X258+Y258-1))</f>
        <v>3</v>
      </c>
      <c r="BG258" s="25">
        <f t="shared" si="102"/>
        <v>3</v>
      </c>
    </row>
    <row r="259" spans="1:59" x14ac:dyDescent="0.3">
      <c r="A259" s="1">
        <v>45730</v>
      </c>
      <c r="B259">
        <v>32.979999999999997</v>
      </c>
      <c r="C259">
        <v>33.5184</v>
      </c>
      <c r="D259">
        <v>32.521299999999997</v>
      </c>
      <c r="E259">
        <v>33.5184</v>
      </c>
      <c r="F259">
        <v>12635</v>
      </c>
      <c r="G259" s="29">
        <v>1.0913549346970299</v>
      </c>
      <c r="H259" s="29">
        <v>3.2559875611515798E-2</v>
      </c>
      <c r="I259" s="29">
        <v>3.6096591722755103E-2</v>
      </c>
      <c r="J259" s="29">
        <v>34.4475697505613</v>
      </c>
      <c r="K259" s="29">
        <v>-0.134600340289736</v>
      </c>
      <c r="L259" s="29">
        <v>0.4</v>
      </c>
      <c r="M259" s="29">
        <v>-8.7440069589742597E-2</v>
      </c>
      <c r="N259" s="29">
        <v>1.5899858908297499</v>
      </c>
      <c r="O259" s="29">
        <v>-0.17502307436714701</v>
      </c>
      <c r="P259" s="29">
        <v>3.7448349505547901E-2</v>
      </c>
      <c r="Q259" s="29">
        <v>1.9841269841269799E-2</v>
      </c>
      <c r="R259" s="30">
        <v>323006.96669999999</v>
      </c>
      <c r="S259" s="29">
        <v>3</v>
      </c>
      <c r="T259">
        <v>556.27800000000002</v>
      </c>
      <c r="U259" s="21"/>
      <c r="V259">
        <v>249</v>
      </c>
      <c r="W259" t="b">
        <f>V259&gt;=$C$4</f>
        <v>1</v>
      </c>
      <c r="X259">
        <f>IF(V259&lt;=$C$5,11,ROW()-$C$5+1)</f>
        <v>11</v>
      </c>
      <c r="Y259" s="14">
        <f t="shared" si="95"/>
        <v>249</v>
      </c>
      <c r="Z259" s="10">
        <f t="shared" si="103"/>
        <v>1.2098999999999975</v>
      </c>
      <c r="AA259" s="15">
        <f t="shared" si="104"/>
        <v>3.6096591722755186E-2</v>
      </c>
      <c r="AB259" s="15">
        <f t="shared" si="105"/>
        <v>1.0913549346970313</v>
      </c>
      <c r="AC259" s="10">
        <f t="shared" si="96"/>
        <v>3.2559875611515805E-2</v>
      </c>
      <c r="AD259">
        <f t="shared" si="106"/>
        <v>1.2098999999999975</v>
      </c>
      <c r="AE259">
        <f t="shared" si="113"/>
        <v>1.2098999999999975</v>
      </c>
      <c r="AF259">
        <f t="shared" si="114"/>
        <v>0</v>
      </c>
      <c r="AG259">
        <f t="shared" si="123"/>
        <v>0.2536541266130436</v>
      </c>
      <c r="AH259">
        <f t="shared" si="123"/>
        <v>0.48269426646096342</v>
      </c>
      <c r="AI259">
        <f t="shared" si="107"/>
        <v>0.52549645653095234</v>
      </c>
      <c r="AJ259">
        <f t="shared" si="115"/>
        <v>34.447569791538882</v>
      </c>
      <c r="AK259" s="14">
        <f t="shared" si="97"/>
        <v>34.447569791538882</v>
      </c>
      <c r="AM259" s="14">
        <f t="shared" si="120"/>
        <v>-0.13460034028973678</v>
      </c>
      <c r="AN259" s="36">
        <f t="shared" si="108"/>
        <v>3.7448349505547984E-2</v>
      </c>
      <c r="AO259">
        <f t="shared" si="117"/>
        <v>1</v>
      </c>
      <c r="AP259" s="14">
        <f t="shared" si="118"/>
        <v>0.4</v>
      </c>
      <c r="AQ259">
        <f t="shared" si="109"/>
        <v>2.0656122711093294E-2</v>
      </c>
      <c r="AR259">
        <f t="shared" si="110"/>
        <v>1.6792226794454607E-2</v>
      </c>
      <c r="AS259">
        <f t="shared" si="92"/>
        <v>-1.2624250838570415E-3</v>
      </c>
      <c r="AT259">
        <f t="shared" si="93"/>
        <v>1.4437603832890064E-2</v>
      </c>
      <c r="AU259" s="14">
        <f t="shared" si="98"/>
        <v>-8.7440069589742583E-2</v>
      </c>
      <c r="AV259" s="19">
        <f t="shared" si="94"/>
        <v>1.5899858908297815</v>
      </c>
      <c r="AW259" s="19">
        <f t="shared" si="121"/>
        <v>-0.17502307436714704</v>
      </c>
      <c r="AX259">
        <f t="shared" si="99"/>
        <v>0</v>
      </c>
      <c r="AY259">
        <f>IF(W259,SUMPRODUCT(INDEX(AX:AX,X259):INDEX(AX:AX,X259+Y259)),0)</f>
        <v>5</v>
      </c>
      <c r="AZ259">
        <f>IF(V259,COUNT(INDEX(AX:AX,X259):INDEX(AX:AX,ROW())),0)</f>
        <v>249</v>
      </c>
      <c r="BA259" s="14">
        <f t="shared" si="111"/>
        <v>2.0080321285140562E-2</v>
      </c>
      <c r="BB259" s="6">
        <f t="shared" si="100"/>
        <v>423504.984</v>
      </c>
      <c r="BC259" s="6">
        <f>MEDIAN(INDEX(BB:BB,X259):INDEX(BB:BB,X259+Y259-1))</f>
        <v>325120.83100000001</v>
      </c>
      <c r="BD259" s="25">
        <f t="shared" si="101"/>
        <v>325120.83100000001</v>
      </c>
      <c r="BE259">
        <f t="shared" si="112"/>
        <v>0</v>
      </c>
      <c r="BF259" s="6">
        <f>SUM(INDEX(BE:BE,X259):INDEX(BE:BE,X259+Y259-1))</f>
        <v>3</v>
      </c>
      <c r="BG259" s="25">
        <f t="shared" si="102"/>
        <v>3</v>
      </c>
    </row>
    <row r="260" spans="1:59" x14ac:dyDescent="0.3">
      <c r="A260" s="1">
        <v>45733</v>
      </c>
      <c r="B260">
        <v>33.804299999999998</v>
      </c>
      <c r="C260">
        <v>34.500999999999998</v>
      </c>
      <c r="D260">
        <v>33.704599999999999</v>
      </c>
      <c r="E260">
        <v>34.4358</v>
      </c>
      <c r="F260">
        <v>19103</v>
      </c>
      <c r="G260" s="29">
        <v>1.08358672507581</v>
      </c>
      <c r="H260" s="29">
        <v>3.1466866606142799E-2</v>
      </c>
      <c r="I260" s="29">
        <v>2.8534257952479599E-2</v>
      </c>
      <c r="J260" s="29">
        <v>40.180477835859499</v>
      </c>
      <c r="K260" s="29">
        <v>-0.13951373097778499</v>
      </c>
      <c r="L260" s="29">
        <v>0.6</v>
      </c>
      <c r="M260" s="29">
        <v>-7.3257029866597406E-2</v>
      </c>
      <c r="N260" s="29">
        <v>1.6058581187080601</v>
      </c>
      <c r="O260" s="29">
        <v>-0.15244342165175501</v>
      </c>
      <c r="P260" s="29">
        <v>2.7370041529428599E-2</v>
      </c>
      <c r="Q260" s="29">
        <v>1.9841269841269799E-2</v>
      </c>
      <c r="R260" s="30">
        <v>324352.04814999999</v>
      </c>
      <c r="S260" s="29">
        <v>3</v>
      </c>
      <c r="T260">
        <v>560.56700000000001</v>
      </c>
      <c r="U260" s="21"/>
      <c r="V260">
        <v>250</v>
      </c>
      <c r="W260" t="b">
        <f>V260&gt;=$C$4</f>
        <v>1</v>
      </c>
      <c r="X260">
        <f>IF(V260&lt;=$C$5,11,ROW()-$C$5+1)</f>
        <v>11</v>
      </c>
      <c r="Y260" s="14">
        <f t="shared" si="95"/>
        <v>250</v>
      </c>
      <c r="Z260" s="10">
        <f t="shared" si="103"/>
        <v>0.98259999999999792</v>
      </c>
      <c r="AA260" s="15">
        <f t="shared" si="104"/>
        <v>2.8534257952479627E-2</v>
      </c>
      <c r="AB260" s="15">
        <f t="shared" si="105"/>
        <v>1.0835867250758147</v>
      </c>
      <c r="AC260" s="10">
        <f t="shared" si="96"/>
        <v>3.1466866606142868E-2</v>
      </c>
      <c r="AD260">
        <f t="shared" si="106"/>
        <v>0.91740000000000066</v>
      </c>
      <c r="AE260">
        <f t="shared" si="113"/>
        <v>0.91740000000000066</v>
      </c>
      <c r="AF260">
        <f t="shared" si="114"/>
        <v>0</v>
      </c>
      <c r="AG260">
        <f t="shared" si="123"/>
        <v>0.3010645461406834</v>
      </c>
      <c r="AH260">
        <f t="shared" si="123"/>
        <v>0.44821610457089461</v>
      </c>
      <c r="AI260">
        <f t="shared" si="107"/>
        <v>0.67169506644325372</v>
      </c>
      <c r="AJ260">
        <f t="shared" si="115"/>
        <v>40.18047788298923</v>
      </c>
      <c r="AK260" s="14">
        <f t="shared" si="97"/>
        <v>40.18047788298923</v>
      </c>
      <c r="AM260" s="14">
        <f t="shared" si="120"/>
        <v>-0.13951373097778552</v>
      </c>
      <c r="AN260" s="36">
        <f t="shared" si="108"/>
        <v>2.7370041529428679E-2</v>
      </c>
      <c r="AO260">
        <f t="shared" si="117"/>
        <v>1</v>
      </c>
      <c r="AP260" s="14">
        <f t="shared" si="118"/>
        <v>0.6</v>
      </c>
      <c r="AQ260">
        <f t="shared" si="109"/>
        <v>7.7101736901332707E-3</v>
      </c>
      <c r="AR260">
        <f t="shared" si="110"/>
        <v>1.9659867839295329E-2</v>
      </c>
      <c r="AS260">
        <f t="shared" si="92"/>
        <v>-1.0721111353896745E-3</v>
      </c>
      <c r="AT260">
        <f t="shared" si="93"/>
        <v>1.4634924966819023E-2</v>
      </c>
      <c r="AU260" s="14">
        <f t="shared" si="98"/>
        <v>-7.3257029866597489E-2</v>
      </c>
      <c r="AV260" s="19">
        <f t="shared" si="94"/>
        <v>1.6058581187080885</v>
      </c>
      <c r="AW260" s="19">
        <f t="shared" si="121"/>
        <v>-0.15244342165175551</v>
      </c>
      <c r="AX260">
        <f t="shared" si="99"/>
        <v>0</v>
      </c>
      <c r="AY260">
        <f>IF(W260,SUMPRODUCT(INDEX(AX:AX,X260):INDEX(AX:AX,X260+Y260)),0)</f>
        <v>5</v>
      </c>
      <c r="AZ260">
        <f>IF(V260,COUNT(INDEX(AX:AX,X260):INDEX(AX:AX,ROW())),0)</f>
        <v>250</v>
      </c>
      <c r="BA260" s="14">
        <f t="shared" si="111"/>
        <v>0.02</v>
      </c>
      <c r="BB260" s="6">
        <f t="shared" si="100"/>
        <v>657827.08739999996</v>
      </c>
      <c r="BC260" s="6">
        <f>MEDIAN(INDEX(BB:BB,X260):INDEX(BB:BB,X260+Y260-1))</f>
        <v>326490.68700000003</v>
      </c>
      <c r="BD260" s="25">
        <f t="shared" si="101"/>
        <v>326490.68700000003</v>
      </c>
      <c r="BE260">
        <f t="shared" si="112"/>
        <v>0</v>
      </c>
      <c r="BF260" s="6">
        <f>SUM(INDEX(BE:BE,X260):INDEX(BE:BE,X260+Y260-1))</f>
        <v>3</v>
      </c>
      <c r="BG260" s="25">
        <f t="shared" si="102"/>
        <v>3</v>
      </c>
    </row>
    <row r="261" spans="1:59" x14ac:dyDescent="0.3">
      <c r="A261" s="1">
        <v>45734</v>
      </c>
      <c r="B261">
        <v>34.3827</v>
      </c>
      <c r="C261">
        <v>34.695099999999996</v>
      </c>
      <c r="D261">
        <v>34.209800000000001</v>
      </c>
      <c r="E261">
        <v>34.615299999999998</v>
      </c>
      <c r="F261">
        <v>33695</v>
      </c>
      <c r="G261" s="29">
        <v>1.04085195899897</v>
      </c>
      <c r="H261" s="29">
        <v>3.00691300956216E-2</v>
      </c>
      <c r="I261" s="29">
        <v>1.40198120484293E-2</v>
      </c>
      <c r="J261" s="29">
        <v>41.262881416276201</v>
      </c>
      <c r="K261" s="29">
        <v>-0.141717640816346</v>
      </c>
      <c r="L261" s="29">
        <v>0.8</v>
      </c>
      <c r="M261" s="29">
        <v>-4.5378535846493401E-2</v>
      </c>
      <c r="N261" s="29">
        <v>1.5685794985120001</v>
      </c>
      <c r="O261" s="29">
        <v>-0.148025449488672</v>
      </c>
      <c r="P261" s="29">
        <v>5.2125985166600001E-3</v>
      </c>
      <c r="Q261" s="29">
        <v>1.9841269841269799E-2</v>
      </c>
      <c r="R261" s="30">
        <v>326490.68699999998</v>
      </c>
      <c r="S261" s="29">
        <v>3</v>
      </c>
      <c r="T261">
        <v>554.50800000000004</v>
      </c>
      <c r="U261" s="21"/>
      <c r="V261">
        <v>251</v>
      </c>
      <c r="W261" t="b">
        <f>V261&gt;=$C$4</f>
        <v>1</v>
      </c>
      <c r="X261">
        <f>IF(V261&lt;=$C$5,11,ROW()-$C$5+1)</f>
        <v>11</v>
      </c>
      <c r="Y261" s="14">
        <f t="shared" si="95"/>
        <v>251</v>
      </c>
      <c r="Z261" s="10">
        <f t="shared" si="103"/>
        <v>0.48529999999999518</v>
      </c>
      <c r="AA261" s="15">
        <f t="shared" si="104"/>
        <v>1.4019812048429314E-2</v>
      </c>
      <c r="AB261" s="15">
        <f t="shared" si="105"/>
        <v>1.0408519589989704</v>
      </c>
      <c r="AC261" s="10">
        <f t="shared" si="96"/>
        <v>3.0069130095621604E-2</v>
      </c>
      <c r="AD261">
        <f t="shared" si="106"/>
        <v>0.17949999999999733</v>
      </c>
      <c r="AE261">
        <f t="shared" si="113"/>
        <v>0.17949999999999733</v>
      </c>
      <c r="AF261">
        <f t="shared" si="114"/>
        <v>0</v>
      </c>
      <c r="AG261">
        <f t="shared" si="123"/>
        <v>0.29238136427349154</v>
      </c>
      <c r="AH261">
        <f t="shared" si="123"/>
        <v>0.41620066853011645</v>
      </c>
      <c r="AI261">
        <f t="shared" si="107"/>
        <v>0.70250094817503805</v>
      </c>
      <c r="AJ261">
        <f t="shared" si="115"/>
        <v>41.262881464358067</v>
      </c>
      <c r="AK261" s="14">
        <f t="shared" si="97"/>
        <v>41.262881464358067</v>
      </c>
      <c r="AM261" s="14">
        <f t="shared" si="120"/>
        <v>-0.14171764081634686</v>
      </c>
      <c r="AN261" s="36">
        <f t="shared" si="108"/>
        <v>5.2125985166600053E-3</v>
      </c>
      <c r="AO261">
        <f t="shared" si="117"/>
        <v>1</v>
      </c>
      <c r="AP261" s="14">
        <f t="shared" si="118"/>
        <v>0.8</v>
      </c>
      <c r="AQ261">
        <f t="shared" si="109"/>
        <v>-1.080869904935533E-2</v>
      </c>
      <c r="AR261">
        <f t="shared" si="110"/>
        <v>1.6021297566015329E-2</v>
      </c>
      <c r="AS261">
        <f t="shared" si="92"/>
        <v>-6.6942847631568884E-4</v>
      </c>
      <c r="AT261">
        <f t="shared" si="93"/>
        <v>1.4752095100208411E-2</v>
      </c>
      <c r="AU261" s="14">
        <f t="shared" si="98"/>
        <v>-4.5378535846493526E-2</v>
      </c>
      <c r="AV261" s="19">
        <f t="shared" si="94"/>
        <v>1.5685794985120298</v>
      </c>
      <c r="AW261" s="19">
        <f t="shared" si="121"/>
        <v>-0.14802544948867213</v>
      </c>
      <c r="AX261">
        <f t="shared" si="99"/>
        <v>0</v>
      </c>
      <c r="AY261">
        <f>IF(W261,SUMPRODUCT(INDEX(AX:AX,X261):INDEX(AX:AX,X261+Y261)),0)</f>
        <v>5</v>
      </c>
      <c r="AZ261">
        <f>IF(V261,COUNT(INDEX(AX:AX,X261):INDEX(AX:AX,ROW())),0)</f>
        <v>251</v>
      </c>
      <c r="BA261" s="14">
        <f t="shared" si="111"/>
        <v>1.9920318725099601E-2</v>
      </c>
      <c r="BB261" s="6">
        <f t="shared" si="100"/>
        <v>1166362.5334999999</v>
      </c>
      <c r="BC261" s="6">
        <f>MEDIAN(INDEX(BB:BB,X261):INDEX(BB:BB,X261+Y261-1))</f>
        <v>327860.54300000001</v>
      </c>
      <c r="BD261" s="25">
        <f t="shared" si="101"/>
        <v>327860.54300000001</v>
      </c>
      <c r="BE261">
        <f t="shared" si="112"/>
        <v>0</v>
      </c>
      <c r="BF261" s="6">
        <f>SUM(INDEX(BE:BE,X261):INDEX(BE:BE,X261+Y261-1))</f>
        <v>3</v>
      </c>
      <c r="BG261" s="25">
        <f t="shared" si="102"/>
        <v>3</v>
      </c>
    </row>
    <row r="262" spans="1:59" s="5" customFormat="1" x14ac:dyDescent="0.3">
      <c r="A262" s="7">
        <v>45735</v>
      </c>
      <c r="B262" s="5">
        <v>34.601999999999997</v>
      </c>
      <c r="C262" s="5">
        <v>36.177599999999998</v>
      </c>
      <c r="D262" s="5">
        <v>34.5488</v>
      </c>
      <c r="E262" s="5">
        <v>35.998100000000001</v>
      </c>
      <c r="F262" s="5">
        <v>64682</v>
      </c>
      <c r="G262" s="5">
        <v>1.0828482476418999</v>
      </c>
      <c r="H262" s="5">
        <v>3.0080705582847402E-2</v>
      </c>
      <c r="I262" s="5">
        <v>4.5246832471713697E-2</v>
      </c>
      <c r="J262" s="5">
        <v>48.929379269046201</v>
      </c>
      <c r="K262" s="5">
        <v>-0.11399106560504001</v>
      </c>
      <c r="L262" s="5">
        <v>0.8</v>
      </c>
      <c r="M262" s="5">
        <v>-6.6648520425852198E-3</v>
      </c>
      <c r="N262" s="5">
        <v>1.6090655518739001</v>
      </c>
      <c r="O262" s="5">
        <v>-0.103300278240681</v>
      </c>
      <c r="P262" s="5">
        <v>3.9947653205374599E-2</v>
      </c>
      <c r="Q262" s="5">
        <v>1.9841269841269799E-2</v>
      </c>
      <c r="R262" s="8">
        <v>329070.24780000001</v>
      </c>
      <c r="S262" s="5">
        <v>3</v>
      </c>
      <c r="T262" s="5">
        <v>560.54700000000003</v>
      </c>
      <c r="U262" s="20"/>
      <c r="V262" s="5">
        <v>252</v>
      </c>
      <c r="W262" s="5" t="b">
        <f>V262&gt;=$C$4</f>
        <v>1</v>
      </c>
      <c r="X262" s="5">
        <f>IF(V262&lt;=$C$5,11,ROW()-$C$5+1)</f>
        <v>11</v>
      </c>
      <c r="Y262" s="20">
        <f t="shared" si="95"/>
        <v>252</v>
      </c>
      <c r="Z262" s="13">
        <f t="shared" si="103"/>
        <v>1.6287999999999982</v>
      </c>
      <c r="AA262" s="18">
        <f t="shared" si="104"/>
        <v>4.5246832471713738E-2</v>
      </c>
      <c r="AB262" s="18">
        <f t="shared" si="105"/>
        <v>1.082848247641901</v>
      </c>
      <c r="AC262" s="13">
        <f t="shared" si="96"/>
        <v>3.0080705582847457E-2</v>
      </c>
      <c r="AD262" s="5">
        <f t="shared" si="106"/>
        <v>1.3828000000000031</v>
      </c>
      <c r="AE262" s="5">
        <f t="shared" si="113"/>
        <v>1.3828000000000031</v>
      </c>
      <c r="AF262" s="5">
        <f t="shared" si="114"/>
        <v>0</v>
      </c>
      <c r="AG262" s="5">
        <f t="shared" si="123"/>
        <v>0.37026840968252805</v>
      </c>
      <c r="AH262" s="5">
        <f t="shared" si="123"/>
        <v>0.38647204934939383</v>
      </c>
      <c r="AI262" s="5">
        <f t="shared" si="107"/>
        <v>0.95807293258556792</v>
      </c>
      <c r="AJ262" s="5">
        <f t="shared" si="115"/>
        <v>48.929379321967623</v>
      </c>
      <c r="AK262" s="20">
        <f t="shared" si="97"/>
        <v>48.929379321967623</v>
      </c>
      <c r="AM262" s="20">
        <f t="shared" si="120"/>
        <v>-0.11399106560504069</v>
      </c>
      <c r="AN262" s="38">
        <f t="shared" si="108"/>
        <v>3.9947653205374634E-2</v>
      </c>
      <c r="AO262" s="5">
        <f t="shared" si="117"/>
        <v>1</v>
      </c>
      <c r="AP262" s="20">
        <f t="shared" si="118"/>
        <v>0.8</v>
      </c>
      <c r="AQ262" s="5">
        <f t="shared" si="109"/>
        <v>1.0890735570992627E-2</v>
      </c>
      <c r="AR262" s="5">
        <f t="shared" si="110"/>
        <v>2.9056917634381972E-2</v>
      </c>
      <c r="AS262" s="5">
        <f t="shared" si="92"/>
        <v>-1.0128716473363387E-4</v>
      </c>
      <c r="AT262" s="5">
        <f t="shared" si="93"/>
        <v>1.5197211293882563E-2</v>
      </c>
      <c r="AU262" s="20">
        <f t="shared" si="98"/>
        <v>-6.6648520425853187E-3</v>
      </c>
      <c r="AV262" s="24">
        <f t="shared" si="94"/>
        <v>1.6090655518739314</v>
      </c>
      <c r="AW262" s="24">
        <f t="shared" si="121"/>
        <v>-0.10330027824068189</v>
      </c>
      <c r="AX262" s="5">
        <f t="shared" si="99"/>
        <v>0</v>
      </c>
      <c r="AY262" s="5">
        <f>IF(W262,SUMPRODUCT(INDEX(AX:AX,X262):INDEX(AX:AX,X262+Y262)),0)</f>
        <v>5</v>
      </c>
      <c r="AZ262" s="5">
        <f>IF(V262,COUNT(INDEX(AX:AX,X262):INDEX(AX:AX,ROW())),0)</f>
        <v>252</v>
      </c>
      <c r="BA262" s="20">
        <f t="shared" si="111"/>
        <v>1.984126984126984E-2</v>
      </c>
      <c r="BB262" s="8">
        <f t="shared" si="100"/>
        <v>2328429.1041999999</v>
      </c>
      <c r="BC262" s="8">
        <f>MEDIAN(INDEX(BB:BB,X262):INDEX(BB:BB,X262+Y262-1))</f>
        <v>329070.24780000001</v>
      </c>
      <c r="BD262" s="26">
        <f t="shared" si="101"/>
        <v>329070.24780000001</v>
      </c>
      <c r="BE262" s="5">
        <f t="shared" si="112"/>
        <v>0</v>
      </c>
      <c r="BF262" s="8">
        <f>SUM(INDEX(BE:BE,X262):INDEX(BE:BE,X262+Y262-1))</f>
        <v>3</v>
      </c>
      <c r="BG262" s="26">
        <f t="shared" si="102"/>
        <v>3</v>
      </c>
    </row>
    <row r="263" spans="1:59" x14ac:dyDescent="0.3">
      <c r="A263" s="1">
        <v>45736</v>
      </c>
      <c r="B263">
        <v>35.665700000000001</v>
      </c>
      <c r="C263">
        <v>36.044600000000003</v>
      </c>
      <c r="D263">
        <v>35.439700000000002</v>
      </c>
      <c r="E263">
        <v>35.665700000000001</v>
      </c>
      <c r="F263">
        <v>30385</v>
      </c>
      <c r="G263" s="29">
        <v>1.04870908709605</v>
      </c>
      <c r="H263" s="29">
        <v>2.9403855443634899E-2</v>
      </c>
      <c r="I263" s="29">
        <v>1.6960272755055902E-2</v>
      </c>
      <c r="J263" s="29">
        <v>47.330157625135797</v>
      </c>
      <c r="K263" s="29">
        <v>-0.111580242669715</v>
      </c>
      <c r="L263" s="29">
        <v>0.8</v>
      </c>
      <c r="M263" s="29">
        <v>-1.7544299422521299E-2</v>
      </c>
      <c r="N263" s="29">
        <v>1.6096509123288001</v>
      </c>
      <c r="O263" s="29">
        <v>-0.10208104651513999</v>
      </c>
      <c r="P263" s="29">
        <v>-9.2338206738689001E-3</v>
      </c>
      <c r="Q263" s="29">
        <v>1.5873015873015799E-2</v>
      </c>
      <c r="R263" s="30">
        <v>333295.05679999897</v>
      </c>
      <c r="S263" s="29">
        <v>3</v>
      </c>
      <c r="T263">
        <v>558.92600000000004</v>
      </c>
      <c r="U263" s="21"/>
      <c r="V263">
        <v>253</v>
      </c>
      <c r="W263" t="b">
        <f>V263&gt;=$C$4</f>
        <v>1</v>
      </c>
      <c r="X263">
        <f>IF(V263&lt;=$C$5,11,ROW()-$C$5+1)</f>
        <v>12</v>
      </c>
      <c r="Y263" s="14">
        <f t="shared" si="95"/>
        <v>252</v>
      </c>
      <c r="Z263" s="10">
        <f t="shared" si="103"/>
        <v>0.60490000000000066</v>
      </c>
      <c r="AA263" s="15">
        <f t="shared" si="104"/>
        <v>1.6960272755055995E-2</v>
      </c>
      <c r="AB263" s="15">
        <f t="shared" si="105"/>
        <v>1.0487090870960512</v>
      </c>
      <c r="AC263" s="10">
        <f t="shared" si="96"/>
        <v>2.9403855443634951E-2</v>
      </c>
      <c r="AD263">
        <f t="shared" si="106"/>
        <v>-0.33239999999999981</v>
      </c>
      <c r="AE263">
        <f t="shared" si="113"/>
        <v>0</v>
      </c>
      <c r="AF263">
        <f t="shared" si="114"/>
        <v>0.33239999999999981</v>
      </c>
      <c r="AG263">
        <f t="shared" si="123"/>
        <v>0.34382066613377604</v>
      </c>
      <c r="AH263">
        <f t="shared" si="123"/>
        <v>0.38260976011015135</v>
      </c>
      <c r="AI263">
        <f t="shared" si="107"/>
        <v>0.89861969552159848</v>
      </c>
      <c r="AJ263">
        <f t="shared" si="115"/>
        <v>47.330157674084653</v>
      </c>
      <c r="AK263" s="14">
        <f t="shared" si="97"/>
        <v>47.330157674084653</v>
      </c>
      <c r="AM263" s="14">
        <f t="shared" si="120"/>
        <v>-0.11158024266971556</v>
      </c>
      <c r="AN263" s="36">
        <f t="shared" si="108"/>
        <v>-9.2338206738689088E-3</v>
      </c>
      <c r="AO263">
        <f t="shared" si="117"/>
        <v>0</v>
      </c>
      <c r="AP263" s="14">
        <f t="shared" si="118"/>
        <v>0.8</v>
      </c>
      <c r="AQ263">
        <f t="shared" si="109"/>
        <v>-2.8918181704655765E-3</v>
      </c>
      <c r="AR263">
        <f t="shared" si="110"/>
        <v>-6.3420025034033236E-3</v>
      </c>
      <c r="AS263">
        <f t="shared" si="92"/>
        <v>-2.6680766640573456E-4</v>
      </c>
      <c r="AT263">
        <f t="shared" si="93"/>
        <v>1.520765577354637E-2</v>
      </c>
      <c r="AU263" s="14">
        <f t="shared" si="98"/>
        <v>-1.7544299422521448E-2</v>
      </c>
      <c r="AV263" s="19">
        <f t="shared" si="94"/>
        <v>1.6096509123288285</v>
      </c>
      <c r="AW263" s="19">
        <f t="shared" si="121"/>
        <v>-0.10208104651514072</v>
      </c>
      <c r="AX263">
        <f t="shared" si="99"/>
        <v>0</v>
      </c>
      <c r="AY263">
        <f>IF(W263,SUMPRODUCT(INDEX(AX:AX,X263):INDEX(AX:AX,X263+Y263)),0)</f>
        <v>4</v>
      </c>
      <c r="AZ263">
        <f>IF(V263,COUNT(INDEX(AX:AX,X263):INDEX(AX:AX,ROW())),0)</f>
        <v>252</v>
      </c>
      <c r="BA263" s="14">
        <f t="shared" si="111"/>
        <v>1.5873015873015872E-2</v>
      </c>
      <c r="BB263" s="6">
        <f t="shared" si="100"/>
        <v>1083702.2945000001</v>
      </c>
      <c r="BC263" s="6">
        <f>MEDIAN(INDEX(BB:BB,X263):INDEX(BB:BB,X263+Y263-1))</f>
        <v>333295.05679999996</v>
      </c>
      <c r="BD263" s="25">
        <f t="shared" si="101"/>
        <v>333295.05679999996</v>
      </c>
      <c r="BE263">
        <f t="shared" si="112"/>
        <v>0</v>
      </c>
      <c r="BF263" s="6">
        <f>SUM(INDEX(BE:BE,X263):INDEX(BE:BE,X263+Y263-1))</f>
        <v>3</v>
      </c>
      <c r="BG263" s="25">
        <f t="shared" si="102"/>
        <v>3</v>
      </c>
    </row>
    <row r="264" spans="1:59" x14ac:dyDescent="0.3">
      <c r="A264" s="1">
        <v>45737</v>
      </c>
      <c r="B264">
        <v>35.260199999999998</v>
      </c>
      <c r="C264">
        <v>35.698900000000002</v>
      </c>
      <c r="D264">
        <v>35.173699999999997</v>
      </c>
      <c r="E264">
        <v>35.605899999999998</v>
      </c>
      <c r="F264">
        <v>20909</v>
      </c>
      <c r="G264" s="29">
        <v>1.0113155808748999</v>
      </c>
      <c r="H264" s="29">
        <v>2.84030337914476E-2</v>
      </c>
      <c r="I264" s="29">
        <v>1.4750364405899099E-2</v>
      </c>
      <c r="J264" s="29">
        <v>47.032333188619702</v>
      </c>
      <c r="K264" s="29">
        <v>-0.103586570125174</v>
      </c>
      <c r="L264" s="29">
        <v>0.6</v>
      </c>
      <c r="M264" s="29">
        <v>-1.9526301497148301E-2</v>
      </c>
      <c r="N264" s="29">
        <v>1.61013592215892</v>
      </c>
      <c r="O264" s="29">
        <v>-8.7736963333615095E-2</v>
      </c>
      <c r="P264" s="29">
        <v>-1.67668095677364E-3</v>
      </c>
      <c r="Q264" s="29">
        <v>1.1904761904761901E-2</v>
      </c>
      <c r="R264" s="30">
        <v>336930.54149999999</v>
      </c>
      <c r="S264" s="29">
        <v>3</v>
      </c>
      <c r="T264">
        <v>559.11099999999999</v>
      </c>
      <c r="U264" s="21"/>
      <c r="V264">
        <v>254</v>
      </c>
      <c r="W264" t="b">
        <f>V264&gt;=$C$4</f>
        <v>1</v>
      </c>
      <c r="X264">
        <f>IF(V264&lt;=$C$5,11,ROW()-$C$5+1)</f>
        <v>13</v>
      </c>
      <c r="Y264" s="14">
        <f t="shared" si="95"/>
        <v>252</v>
      </c>
      <c r="Z264" s="10">
        <f t="shared" si="103"/>
        <v>0.52520000000000522</v>
      </c>
      <c r="AA264" s="15">
        <f t="shared" si="104"/>
        <v>1.475036440589917E-2</v>
      </c>
      <c r="AB264" s="15">
        <f t="shared" si="105"/>
        <v>1.011315580874905</v>
      </c>
      <c r="AC264" s="10">
        <f t="shared" si="96"/>
        <v>2.8403033791447627E-2</v>
      </c>
      <c r="AD264">
        <f t="shared" si="106"/>
        <v>-5.980000000000274E-2</v>
      </c>
      <c r="AE264">
        <f t="shared" si="113"/>
        <v>0</v>
      </c>
      <c r="AF264">
        <f t="shared" si="114"/>
        <v>5.980000000000274E-2</v>
      </c>
      <c r="AG264">
        <f t="shared" si="123"/>
        <v>0.31926204712422063</v>
      </c>
      <c r="AH264">
        <f t="shared" si="123"/>
        <v>0.3595519201022836</v>
      </c>
      <c r="AI264">
        <f t="shared" si="107"/>
        <v>0.88794421410237079</v>
      </c>
      <c r="AJ264">
        <f t="shared" si="115"/>
        <v>47.032333236845496</v>
      </c>
      <c r="AK264" s="14">
        <f t="shared" si="97"/>
        <v>47.032333236845496</v>
      </c>
      <c r="AM264" s="14">
        <f t="shared" si="120"/>
        <v>-0.10358657012517491</v>
      </c>
      <c r="AN264" s="36">
        <f t="shared" si="108"/>
        <v>-1.6766809567736463E-3</v>
      </c>
      <c r="AO264">
        <f t="shared" si="117"/>
        <v>0</v>
      </c>
      <c r="AP264" s="14">
        <f t="shared" si="118"/>
        <v>0.6</v>
      </c>
      <c r="AQ264">
        <f t="shared" si="109"/>
        <v>3.3099193810981475E-4</v>
      </c>
      <c r="AR264">
        <f t="shared" si="110"/>
        <v>-2.0076728948834549E-3</v>
      </c>
      <c r="AS264">
        <f t="shared" si="92"/>
        <v>-2.9697979222374857E-4</v>
      </c>
      <c r="AT264">
        <f t="shared" si="93"/>
        <v>1.5209218820426319E-2</v>
      </c>
      <c r="AU264" s="14">
        <f t="shared" si="98"/>
        <v>-1.9526301497148433E-2</v>
      </c>
      <c r="AV264" s="19">
        <f t="shared" si="94"/>
        <v>1.6101359221589531</v>
      </c>
      <c r="AW264" s="19">
        <f t="shared" si="121"/>
        <v>-8.7736963333615137E-2</v>
      </c>
      <c r="AX264">
        <f t="shared" si="99"/>
        <v>0</v>
      </c>
      <c r="AY264">
        <f>IF(W264,SUMPRODUCT(INDEX(AX:AX,X264):INDEX(AX:AX,X264+Y264)),0)</f>
        <v>3</v>
      </c>
      <c r="AZ264">
        <f>IF(V264,COUNT(INDEX(AX:AX,X264):INDEX(AX:AX,ROW())),0)</f>
        <v>252</v>
      </c>
      <c r="BA264" s="14">
        <f t="shared" si="111"/>
        <v>1.1904761904761904E-2</v>
      </c>
      <c r="BB264" s="6">
        <f t="shared" si="100"/>
        <v>744483.76309999998</v>
      </c>
      <c r="BC264" s="6">
        <f>MEDIAN(INDEX(BB:BB,X264):INDEX(BB:BB,X264+Y264-1))</f>
        <v>336930.54149999999</v>
      </c>
      <c r="BD264" s="25">
        <f t="shared" si="101"/>
        <v>336930.54149999999</v>
      </c>
      <c r="BE264">
        <f t="shared" si="112"/>
        <v>0</v>
      </c>
      <c r="BF264" s="6">
        <f>SUM(INDEX(BE:BE,X264):INDEX(BE:BE,X264+Y264-1))</f>
        <v>3</v>
      </c>
      <c r="BG264" s="25">
        <f t="shared" si="102"/>
        <v>3</v>
      </c>
    </row>
    <row r="265" spans="1:59" x14ac:dyDescent="0.3">
      <c r="A265" s="1">
        <v>45740</v>
      </c>
      <c r="B265">
        <v>36.563099999999999</v>
      </c>
      <c r="C265">
        <v>36.883600000000001</v>
      </c>
      <c r="D265">
        <v>36.430199999999999</v>
      </c>
      <c r="E265">
        <v>36.815800000000003</v>
      </c>
      <c r="F265">
        <v>13086</v>
      </c>
      <c r="G265" s="29">
        <v>1.03034303938384</v>
      </c>
      <c r="H265" s="29">
        <v>2.7986436241609298E-2</v>
      </c>
      <c r="I265" s="29">
        <v>3.4705208090004901E-2</v>
      </c>
      <c r="J265" s="29">
        <v>53.418869406190602</v>
      </c>
      <c r="K265" s="29">
        <v>-5.6737970243631003E-2</v>
      </c>
      <c r="L265" s="29">
        <v>0.6</v>
      </c>
      <c r="M265" s="29">
        <v>2.7668063489705401E-2</v>
      </c>
      <c r="N265" s="29">
        <v>1.57340952140853</v>
      </c>
      <c r="O265" s="29">
        <v>-4.2412293478713101E-2</v>
      </c>
      <c r="P265" s="29">
        <v>3.3980323485714503E-2</v>
      </c>
      <c r="Q265" s="29">
        <v>1.1904761904761901E-2</v>
      </c>
      <c r="R265" s="30">
        <v>337887.05570000003</v>
      </c>
      <c r="S265" s="29">
        <v>3</v>
      </c>
      <c r="T265">
        <v>569.12400000000002</v>
      </c>
      <c r="U265" s="21"/>
      <c r="V265">
        <v>255</v>
      </c>
      <c r="W265" t="b">
        <f>V265&gt;=$C$4</f>
        <v>1</v>
      </c>
      <c r="X265">
        <f>IF(V265&lt;=$C$5,11,ROW()-$C$5+1)</f>
        <v>14</v>
      </c>
      <c r="Y265" s="14">
        <f t="shared" si="95"/>
        <v>252</v>
      </c>
      <c r="Z265" s="10">
        <f t="shared" si="103"/>
        <v>1.2777000000000029</v>
      </c>
      <c r="AA265" s="15">
        <f t="shared" si="104"/>
        <v>3.4705208090004915E-2</v>
      </c>
      <c r="AB265" s="15">
        <f t="shared" si="105"/>
        <v>1.0303430393838406</v>
      </c>
      <c r="AC265" s="10">
        <f t="shared" si="96"/>
        <v>2.7986436241609323E-2</v>
      </c>
      <c r="AD265">
        <f t="shared" si="106"/>
        <v>1.2099000000000046</v>
      </c>
      <c r="AE265">
        <f t="shared" si="113"/>
        <v>1.2099000000000046</v>
      </c>
      <c r="AF265">
        <f t="shared" si="114"/>
        <v>0</v>
      </c>
      <c r="AG265">
        <f t="shared" si="123"/>
        <v>0.3828790437582052</v>
      </c>
      <c r="AH265">
        <f t="shared" si="123"/>
        <v>0.3338696400949776</v>
      </c>
      <c r="AI265">
        <f t="shared" si="107"/>
        <v>1.146792034308018</v>
      </c>
      <c r="AJ265">
        <f t="shared" si="115"/>
        <v>53.418869456429071</v>
      </c>
      <c r="AK265" s="14">
        <f t="shared" si="97"/>
        <v>53.418869456429071</v>
      </c>
      <c r="AM265" s="14">
        <f t="shared" si="120"/>
        <v>-5.6737970243631031E-2</v>
      </c>
      <c r="AN265" s="36">
        <f t="shared" si="108"/>
        <v>3.3980323485714559E-2</v>
      </c>
      <c r="AO265">
        <f t="shared" si="117"/>
        <v>1</v>
      </c>
      <c r="AP265" s="14">
        <f t="shared" si="118"/>
        <v>0.6</v>
      </c>
      <c r="AQ265">
        <f t="shared" si="109"/>
        <v>1.790878734276391E-2</v>
      </c>
      <c r="AR265">
        <f t="shared" si="110"/>
        <v>1.6071536142950593E-2</v>
      </c>
      <c r="AS265">
        <f t="shared" si="92"/>
        <v>4.124222243198798E-4</v>
      </c>
      <c r="AT265">
        <f t="shared" si="93"/>
        <v>1.4906074813415602E-2</v>
      </c>
      <c r="AU265" s="14">
        <f t="shared" si="98"/>
        <v>2.766806348970529E-2</v>
      </c>
      <c r="AV265" s="19">
        <f t="shared" si="94"/>
        <v>1.5734095214085586</v>
      </c>
      <c r="AW265" s="19">
        <f t="shared" si="121"/>
        <v>-4.2412293478713115E-2</v>
      </c>
      <c r="AX265">
        <f t="shared" si="99"/>
        <v>0</v>
      </c>
      <c r="AY265">
        <f>IF(W265,SUMPRODUCT(INDEX(AX:AX,X265):INDEX(AX:AX,X265+Y265)),0)</f>
        <v>3</v>
      </c>
      <c r="AZ265">
        <f>IF(V265,COUNT(INDEX(AX:AX,X265):INDEX(AX:AX,ROW())),0)</f>
        <v>252</v>
      </c>
      <c r="BA265" s="14">
        <f t="shared" si="111"/>
        <v>1.1904761904761904E-2</v>
      </c>
      <c r="BB265" s="6">
        <f t="shared" si="100"/>
        <v>481771.55880000006</v>
      </c>
      <c r="BC265" s="6">
        <f>MEDIAN(INDEX(BB:BB,X265):INDEX(BB:BB,X265+Y265-1))</f>
        <v>337887.05570000003</v>
      </c>
      <c r="BD265" s="25">
        <f t="shared" si="101"/>
        <v>337887.05570000003</v>
      </c>
      <c r="BE265">
        <f t="shared" si="112"/>
        <v>0</v>
      </c>
      <c r="BF265" s="6">
        <f>SUM(INDEX(BE:BE,X265):INDEX(BE:BE,X265+Y265-1))</f>
        <v>3</v>
      </c>
      <c r="BG265" s="25">
        <f t="shared" si="102"/>
        <v>3</v>
      </c>
    </row>
    <row r="266" spans="1:59" x14ac:dyDescent="0.3">
      <c r="A266" s="1">
        <v>45741</v>
      </c>
      <c r="B266">
        <v>37.134900000000002</v>
      </c>
      <c r="C266">
        <v>37.134900000000002</v>
      </c>
      <c r="D266">
        <v>36.416899999999998</v>
      </c>
      <c r="E266">
        <v>36.735999999999997</v>
      </c>
      <c r="F266">
        <v>7671</v>
      </c>
      <c r="G266" s="29">
        <v>1.0080328222849899</v>
      </c>
      <c r="H266" s="29">
        <v>2.7439917854012199E-2</v>
      </c>
      <c r="I266" s="29">
        <v>1.9544860627177699E-2</v>
      </c>
      <c r="J266" s="29">
        <v>52.965258248529402</v>
      </c>
      <c r="K266" s="29">
        <v>-4.4487910441549698E-2</v>
      </c>
      <c r="L266" s="29">
        <v>0.4</v>
      </c>
      <c r="M266" s="29">
        <v>2.0729382545977601E-2</v>
      </c>
      <c r="N266" s="29">
        <v>1.5708192445523901</v>
      </c>
      <c r="O266" s="29">
        <v>-4.3001873044570101E-2</v>
      </c>
      <c r="P266" s="29">
        <v>-2.16754762900728E-3</v>
      </c>
      <c r="Q266" s="29">
        <v>1.1904761904761901E-2</v>
      </c>
      <c r="R266" s="30">
        <v>337887.05570000003</v>
      </c>
      <c r="S266" s="29">
        <v>3</v>
      </c>
      <c r="T266">
        <v>570.49199999999996</v>
      </c>
      <c r="U266" s="21"/>
      <c r="V266">
        <v>256</v>
      </c>
      <c r="W266" t="b">
        <f>V266&gt;=$C$4</f>
        <v>1</v>
      </c>
      <c r="X266">
        <f>IF(V266&lt;=$C$5,11,ROW()-$C$5+1)</f>
        <v>15</v>
      </c>
      <c r="Y266" s="14">
        <f t="shared" si="95"/>
        <v>252</v>
      </c>
      <c r="Z266" s="10">
        <f t="shared" si="103"/>
        <v>0.71800000000000352</v>
      </c>
      <c r="AA266" s="15">
        <f t="shared" si="104"/>
        <v>1.9544860627177797E-2</v>
      </c>
      <c r="AB266" s="15">
        <f t="shared" si="105"/>
        <v>1.0080328222849952</v>
      </c>
      <c r="AC266" s="10">
        <f t="shared" si="96"/>
        <v>2.7439917854012286E-2</v>
      </c>
      <c r="AD266">
        <f t="shared" si="106"/>
        <v>-7.9800000000005866E-2</v>
      </c>
      <c r="AE266">
        <f t="shared" si="113"/>
        <v>0</v>
      </c>
      <c r="AF266">
        <f t="shared" si="114"/>
        <v>7.9800000000005866E-2</v>
      </c>
      <c r="AG266">
        <f t="shared" si="123"/>
        <v>0.35553054063261907</v>
      </c>
      <c r="AH266">
        <f t="shared" si="123"/>
        <v>0.31572180865962246</v>
      </c>
      <c r="AI266">
        <f t="shared" si="107"/>
        <v>1.1260880017823354</v>
      </c>
      <c r="AJ266">
        <f t="shared" si="115"/>
        <v>52.965258297789973</v>
      </c>
      <c r="AK266" s="14">
        <f t="shared" si="97"/>
        <v>52.965258297789973</v>
      </c>
      <c r="AM266" s="14">
        <f t="shared" si="120"/>
        <v>-4.4487910441549761E-2</v>
      </c>
      <c r="AN266" s="36">
        <f t="shared" si="108"/>
        <v>-2.1675476290072826E-3</v>
      </c>
      <c r="AO266">
        <f t="shared" si="117"/>
        <v>0</v>
      </c>
      <c r="AP266" s="14">
        <f t="shared" si="118"/>
        <v>0.4</v>
      </c>
      <c r="AQ266">
        <f t="shared" si="109"/>
        <v>2.4036940982983257E-3</v>
      </c>
      <c r="AR266">
        <f t="shared" si="110"/>
        <v>-4.5712417273056057E-3</v>
      </c>
      <c r="AS266">
        <f t="shared" ref="AS266:AS310" si="124">AVERAGE(AR204:AR266)</f>
        <v>3.0923884931616431E-4</v>
      </c>
      <c r="AT266">
        <f t="shared" ref="AT266:AT310" si="125">_xlfn.STDEV.S(AR204:AR266)</f>
        <v>1.4917899683228682E-2</v>
      </c>
      <c r="AU266" s="14">
        <f t="shared" si="98"/>
        <v>2.0729382545977525E-2</v>
      </c>
      <c r="AV266" s="19">
        <f t="shared" ref="AV266:AV310" si="126">_xlfn.COVARIANCE.S(P204:P266,AQ204:AQ266)/_xlfn.VAR.S(AQ204:AQ266)</f>
        <v>1.5708192445524163</v>
      </c>
      <c r="AW266" s="19">
        <f t="shared" si="121"/>
        <v>-4.3001873044570149E-2</v>
      </c>
      <c r="AX266">
        <f t="shared" si="99"/>
        <v>0</v>
      </c>
      <c r="AY266">
        <f>IF(W266,SUMPRODUCT(INDEX(AX:AX,X266):INDEX(AX:AX,X266+Y266)),0)</f>
        <v>3</v>
      </c>
      <c r="AZ266">
        <f>IF(V266,COUNT(INDEX(AX:AX,X266):INDEX(AX:AX,ROW())),0)</f>
        <v>252</v>
      </c>
      <c r="BA266" s="14">
        <f t="shared" si="111"/>
        <v>1.1904761904761904E-2</v>
      </c>
      <c r="BB266" s="6">
        <f t="shared" si="100"/>
        <v>281801.85599999997</v>
      </c>
      <c r="BC266" s="6">
        <f>MEDIAN(INDEX(BB:BB,X266):INDEX(BB:BB,X266+Y266-1))</f>
        <v>337887.05570000003</v>
      </c>
      <c r="BD266" s="25">
        <f t="shared" si="101"/>
        <v>337887.05570000003</v>
      </c>
      <c r="BE266">
        <f t="shared" si="112"/>
        <v>0</v>
      </c>
      <c r="BF266" s="6">
        <f>SUM(INDEX(BE:BE,X266):INDEX(BE:BE,X266+Y266-1))</f>
        <v>3</v>
      </c>
      <c r="BG266" s="25">
        <f t="shared" si="102"/>
        <v>3</v>
      </c>
    </row>
    <row r="267" spans="1:59" x14ac:dyDescent="0.3">
      <c r="A267" s="1">
        <v>45742</v>
      </c>
      <c r="B267">
        <v>36.829099999999997</v>
      </c>
      <c r="C267">
        <v>36.829099999999997</v>
      </c>
      <c r="D267">
        <v>36.031300000000002</v>
      </c>
      <c r="E267">
        <v>36.031300000000002</v>
      </c>
      <c r="F267">
        <v>7972</v>
      </c>
      <c r="G267" s="29">
        <v>0.99301619212178105</v>
      </c>
      <c r="H267" s="29">
        <v>2.75598213809044E-2</v>
      </c>
      <c r="I267" s="29">
        <v>2.2141859993949499E-2</v>
      </c>
      <c r="J267" s="29">
        <v>49.007597930569702</v>
      </c>
      <c r="K267" s="29">
        <v>-5.8804936981649403E-2</v>
      </c>
      <c r="L267" s="29">
        <v>0.2</v>
      </c>
      <c r="M267" s="29">
        <v>1.6385186762889501E-2</v>
      </c>
      <c r="N267" s="29">
        <v>1.59329837368072</v>
      </c>
      <c r="O267" s="29">
        <v>-6.1359793886945103E-2</v>
      </c>
      <c r="P267" s="29">
        <v>-1.9182817944250599E-2</v>
      </c>
      <c r="Q267" s="29">
        <v>1.1904761904761901E-2</v>
      </c>
      <c r="R267" s="30">
        <v>337887.05570000003</v>
      </c>
      <c r="S267" s="29">
        <v>3</v>
      </c>
      <c r="T267">
        <v>563.68100000000004</v>
      </c>
      <c r="U267" s="21"/>
      <c r="V267">
        <v>257</v>
      </c>
      <c r="W267" t="b">
        <f>V267&gt;=$C$4</f>
        <v>1</v>
      </c>
      <c r="X267">
        <f>IF(V267&lt;=$C$5,11,ROW()-$C$5+1)</f>
        <v>16</v>
      </c>
      <c r="Y267" s="14">
        <f t="shared" ref="Y267:Y310" si="127">ROW()-X267+1</f>
        <v>252</v>
      </c>
      <c r="Z267" s="10">
        <f t="shared" si="103"/>
        <v>0.79779999999999518</v>
      </c>
      <c r="AA267" s="15">
        <f t="shared" si="104"/>
        <v>2.2141859993949568E-2</v>
      </c>
      <c r="AB267" s="15">
        <f t="shared" si="105"/>
        <v>0.99301619212178094</v>
      </c>
      <c r="AC267" s="10">
        <f t="shared" ref="AC267:AC310" si="128">AB267/E267</f>
        <v>2.7559821380904403E-2</v>
      </c>
      <c r="AD267">
        <f t="shared" si="106"/>
        <v>-0.70469999999999544</v>
      </c>
      <c r="AE267">
        <f t="shared" si="113"/>
        <v>0</v>
      </c>
      <c r="AF267">
        <f t="shared" si="114"/>
        <v>0.70469999999999544</v>
      </c>
      <c r="AG267">
        <f t="shared" si="123"/>
        <v>0.33013550201600339</v>
      </c>
      <c r="AH267">
        <f t="shared" si="123"/>
        <v>0.34350596518393484</v>
      </c>
      <c r="AI267">
        <f t="shared" si="107"/>
        <v>0.96107647457949663</v>
      </c>
      <c r="AJ267">
        <f t="shared" si="115"/>
        <v>49.007597971699461</v>
      </c>
      <c r="AK267" s="14">
        <f t="shared" ref="AK267:AK310" si="129">IF(AH267=0,
    IF(AG267=0, 50, 100),
    IF(AG267=0, 0, 100-(100/(1+AG267/AH267)))
)</f>
        <v>49.007597971699461</v>
      </c>
      <c r="AM267" s="14">
        <f t="shared" si="120"/>
        <v>-5.8804936981649458E-2</v>
      </c>
      <c r="AN267" s="36">
        <f t="shared" si="108"/>
        <v>-1.9182817944250696E-2</v>
      </c>
      <c r="AO267">
        <f t="shared" si="117"/>
        <v>0</v>
      </c>
      <c r="AP267" s="14">
        <f t="shared" si="118"/>
        <v>0.2</v>
      </c>
      <c r="AQ267">
        <f t="shared" si="109"/>
        <v>-1.1938817722246586E-2</v>
      </c>
      <c r="AR267">
        <f t="shared" si="110"/>
        <v>-7.2440002220040128E-3</v>
      </c>
      <c r="AS267">
        <f t="shared" si="124"/>
        <v>2.4482706877796681E-4</v>
      </c>
      <c r="AT267">
        <f t="shared" si="125"/>
        <v>1.4941976086135995E-2</v>
      </c>
      <c r="AU267" s="14">
        <f t="shared" ref="AU267:AU310" si="130">AS267/AT267</f>
        <v>1.6385186762889491E-2</v>
      </c>
      <c r="AV267" s="19">
        <f t="shared" si="126"/>
        <v>1.593298373680752</v>
      </c>
      <c r="AW267" s="19">
        <f t="shared" si="121"/>
        <v>-6.1359793886945124E-2</v>
      </c>
      <c r="AX267">
        <f t="shared" ref="AX267:AX310" si="131">IF(OR(F267=0,C267=D267),1,0)</f>
        <v>0</v>
      </c>
      <c r="AY267">
        <f>IF(W267,SUMPRODUCT(INDEX(AX:AX,X267):INDEX(AX:AX,X267+Y267)),0)</f>
        <v>3</v>
      </c>
      <c r="AZ267">
        <f>IF(V267,COUNT(INDEX(AX:AX,X267):INDEX(AX:AX,ROW())),0)</f>
        <v>252</v>
      </c>
      <c r="BA267" s="14">
        <f t="shared" si="111"/>
        <v>1.1904761904761904E-2</v>
      </c>
      <c r="BB267" s="6">
        <f t="shared" ref="BB267:BB310" si="132">E267*F267</f>
        <v>287241.52360000001</v>
      </c>
      <c r="BC267" s="6">
        <f>MEDIAN(INDEX(BB:BB,X267):INDEX(BB:BB,X267+Y267-1))</f>
        <v>337887.05570000003</v>
      </c>
      <c r="BD267" s="25">
        <f t="shared" ref="BD267:BD310" si="133">IF(W267,BC267,"")</f>
        <v>337887.05570000003</v>
      </c>
      <c r="BE267">
        <f t="shared" si="112"/>
        <v>0</v>
      </c>
      <c r="BF267" s="6">
        <f>SUM(INDEX(BE:BE,X267):INDEX(BE:BE,X267+Y267-1))</f>
        <v>3</v>
      </c>
      <c r="BG267" s="25">
        <f t="shared" ref="BG267:BG310" si="134">IF(W267,BF267,"")</f>
        <v>3</v>
      </c>
    </row>
    <row r="268" spans="1:59" x14ac:dyDescent="0.3">
      <c r="A268" s="1">
        <v>45743</v>
      </c>
      <c r="B268">
        <v>35.692300000000003</v>
      </c>
      <c r="C268">
        <v>36.034599999999998</v>
      </c>
      <c r="D268">
        <v>35.519399999999997</v>
      </c>
      <c r="E268">
        <v>35.831899999999997</v>
      </c>
      <c r="F268">
        <v>32943</v>
      </c>
      <c r="G268" s="29">
        <v>0.95888646411308198</v>
      </c>
      <c r="H268" s="29">
        <v>2.67606926820258E-2</v>
      </c>
      <c r="I268" s="29">
        <v>1.43782495485865E-2</v>
      </c>
      <c r="J268" s="29">
        <v>47.916563019726198</v>
      </c>
      <c r="K268" s="29">
        <v>-6.2664476265715197E-2</v>
      </c>
      <c r="L268" s="29">
        <v>0.2</v>
      </c>
      <c r="M268" s="29">
        <v>1.3018561249854099E-3</v>
      </c>
      <c r="N268" s="29">
        <v>1.58614951526673</v>
      </c>
      <c r="O268" s="29">
        <v>-6.6554301359585497E-2</v>
      </c>
      <c r="P268" s="29">
        <v>-5.5340773161114401E-3</v>
      </c>
      <c r="Q268" s="29">
        <v>1.1904761904761901E-2</v>
      </c>
      <c r="R268" s="30">
        <v>338225.61550000001</v>
      </c>
      <c r="S268" s="29">
        <v>3</v>
      </c>
      <c r="T268">
        <v>562.18399999999997</v>
      </c>
      <c r="U268" s="21"/>
      <c r="V268">
        <v>258</v>
      </c>
      <c r="W268" t="b">
        <f>V268&gt;=$C$4</f>
        <v>1</v>
      </c>
      <c r="X268">
        <f>IF(V268&lt;=$C$5,11,ROW()-$C$5+1)</f>
        <v>17</v>
      </c>
      <c r="Y268" s="14">
        <f t="shared" si="127"/>
        <v>252</v>
      </c>
      <c r="Z268" s="10">
        <f t="shared" ref="Z268:Z310" si="135">MAX(C268-D268,ABS(C268-E267),ABS(D268-E267))</f>
        <v>0.5152000000000001</v>
      </c>
      <c r="AA268" s="15">
        <f t="shared" ref="AA268:AA310" si="136">Z268/E268</f>
        <v>1.4378249548586599E-2</v>
      </c>
      <c r="AB268" s="15">
        <f t="shared" ref="AB268:AB310" si="137">(Z268+13*AB267)/14</f>
        <v>0.9588864641130822</v>
      </c>
      <c r="AC268" s="10">
        <f t="shared" si="128"/>
        <v>2.6760692682025855E-2</v>
      </c>
      <c r="AD268">
        <f t="shared" ref="AD268:AD310" si="138">E268-E267</f>
        <v>-0.19940000000000424</v>
      </c>
      <c r="AE268">
        <f t="shared" si="113"/>
        <v>0</v>
      </c>
      <c r="AF268">
        <f t="shared" si="114"/>
        <v>0.19940000000000424</v>
      </c>
      <c r="AG268">
        <f t="shared" si="123"/>
        <v>0.30655439472914603</v>
      </c>
      <c r="AH268">
        <f t="shared" si="123"/>
        <v>0.33321268195651121</v>
      </c>
      <c r="AI268">
        <f t="shared" ref="AI268:AI310" si="139">AG268/AH268</f>
        <v>0.91999618060502131</v>
      </c>
      <c r="AJ268">
        <f t="shared" si="115"/>
        <v>47.916563058740877</v>
      </c>
      <c r="AK268" s="14">
        <f t="shared" si="129"/>
        <v>47.916563058740877</v>
      </c>
      <c r="AM268" s="14">
        <f t="shared" si="120"/>
        <v>-6.2664476265715252E-2</v>
      </c>
      <c r="AN268" s="36">
        <f t="shared" ref="AN268:AN310" si="140">E268/E267-1</f>
        <v>-5.5340773161114409E-3</v>
      </c>
      <c r="AO268">
        <f t="shared" si="117"/>
        <v>0</v>
      </c>
      <c r="AP268" s="14">
        <f t="shared" si="118"/>
        <v>0.2</v>
      </c>
      <c r="AQ268">
        <f t="shared" ref="AQ268:AQ310" si="141">T268/T267-1</f>
        <v>-2.6557574230816616E-3</v>
      </c>
      <c r="AR268">
        <f t="shared" ref="AR268:AR310" si="142">P268-AQ268</f>
        <v>-2.8783198930297784E-3</v>
      </c>
      <c r="AS268">
        <f t="shared" si="124"/>
        <v>1.937046412995239E-5</v>
      </c>
      <c r="AT268">
        <f t="shared" si="125"/>
        <v>1.4879112797637477E-2</v>
      </c>
      <c r="AU268" s="14">
        <f t="shared" si="130"/>
        <v>1.301856124985359E-3</v>
      </c>
      <c r="AV268" s="19">
        <f t="shared" si="126"/>
        <v>1.5861495152667626</v>
      </c>
      <c r="AW268" s="19">
        <f t="shared" si="121"/>
        <v>-6.655430135958551E-2</v>
      </c>
      <c r="AX268">
        <f t="shared" si="131"/>
        <v>0</v>
      </c>
      <c r="AY268">
        <f>IF(W268,SUMPRODUCT(INDEX(AX:AX,X268):INDEX(AX:AX,X268+Y268)),0)</f>
        <v>3</v>
      </c>
      <c r="AZ268">
        <f>IF(V268,COUNT(INDEX(AX:AX,X268):INDEX(AX:AX,ROW())),0)</f>
        <v>252</v>
      </c>
      <c r="BA268" s="14">
        <f t="shared" ref="BA268:BA310" si="143">IF(W268,AY268/AZ268,"")</f>
        <v>1.1904761904761904E-2</v>
      </c>
      <c r="BB268" s="6">
        <f t="shared" si="132"/>
        <v>1180410.2816999999</v>
      </c>
      <c r="BC268" s="6">
        <f>MEDIAN(INDEX(BB:BB,X268):INDEX(BB:BB,X268+Y268-1))</f>
        <v>338225.61550000001</v>
      </c>
      <c r="BD268" s="25">
        <f t="shared" si="133"/>
        <v>338225.61550000001</v>
      </c>
      <c r="BE268">
        <f t="shared" ref="BE268:BE310" si="144">IF(F267=F268,1,0)</f>
        <v>0</v>
      </c>
      <c r="BF268" s="6">
        <f>SUM(INDEX(BE:BE,X268):INDEX(BE:BE,X268+Y268-1))</f>
        <v>3</v>
      </c>
      <c r="BG268" s="25">
        <f t="shared" si="134"/>
        <v>3</v>
      </c>
    </row>
    <row r="269" spans="1:59" x14ac:dyDescent="0.3">
      <c r="A269" s="1">
        <v>45744</v>
      </c>
      <c r="B269">
        <v>35.752099999999999</v>
      </c>
      <c r="C269">
        <v>35.752099999999999</v>
      </c>
      <c r="D269">
        <v>34.409199999999998</v>
      </c>
      <c r="E269">
        <v>34.409199999999998</v>
      </c>
      <c r="F269">
        <v>10981</v>
      </c>
      <c r="G269" s="29">
        <v>0.99201600239071897</v>
      </c>
      <c r="H269" s="29">
        <v>2.88299641488532E-2</v>
      </c>
      <c r="I269" s="29">
        <v>4.1346500354556302E-2</v>
      </c>
      <c r="J269" s="29">
        <v>40.9172622048969</v>
      </c>
      <c r="K269" s="29">
        <v>-9.1206338725651898E-2</v>
      </c>
      <c r="L269" s="29">
        <v>0.2</v>
      </c>
      <c r="M269" s="29">
        <v>-1.4822415848266801E-2</v>
      </c>
      <c r="N269" s="29">
        <v>1.63170401927208</v>
      </c>
      <c r="O269" s="29">
        <v>-0.10361661721377401</v>
      </c>
      <c r="P269" s="29">
        <v>-3.9704844007713701E-2</v>
      </c>
      <c r="Q269" s="29">
        <v>1.1904761904761901E-2</v>
      </c>
      <c r="R269" s="30">
        <v>339388.11919999903</v>
      </c>
      <c r="S269" s="29">
        <v>3</v>
      </c>
      <c r="T269">
        <v>550.86300000000006</v>
      </c>
      <c r="U269" s="21"/>
      <c r="V269">
        <v>259</v>
      </c>
      <c r="W269" t="b">
        <f>V269&gt;=$C$4</f>
        <v>1</v>
      </c>
      <c r="X269">
        <f>IF(V269&lt;=$C$5,11,ROW()-$C$5+1)</f>
        <v>18</v>
      </c>
      <c r="Y269" s="14">
        <f t="shared" si="127"/>
        <v>252</v>
      </c>
      <c r="Z269" s="10">
        <f t="shared" si="135"/>
        <v>1.422699999999999</v>
      </c>
      <c r="AA269" s="15">
        <f t="shared" si="136"/>
        <v>4.1346500354556309E-2</v>
      </c>
      <c r="AB269" s="15">
        <f t="shared" si="137"/>
        <v>0.99201600239071908</v>
      </c>
      <c r="AC269" s="10">
        <f t="shared" si="128"/>
        <v>2.882996414885319E-2</v>
      </c>
      <c r="AD269">
        <f t="shared" si="138"/>
        <v>-1.422699999999999</v>
      </c>
      <c r="AE269">
        <f t="shared" ref="AE269:AE310" si="145">MAX($AD269,0)</f>
        <v>0</v>
      </c>
      <c r="AF269">
        <f t="shared" ref="AF269:AF310" si="146">MAX(-$AD269,0)</f>
        <v>1.422699999999999</v>
      </c>
      <c r="AG269">
        <f t="shared" si="123"/>
        <v>0.28465765224849277</v>
      </c>
      <c r="AH269">
        <f t="shared" si="123"/>
        <v>0.4110332046739032</v>
      </c>
      <c r="AI269">
        <f t="shared" si="139"/>
        <v>0.69254174361491894</v>
      </c>
      <c r="AJ269">
        <f t="shared" ref="AJ269:AJ310" si="147">(100-(100/(1+AI269)))</f>
        <v>40.9172622316418</v>
      </c>
      <c r="AK269" s="14">
        <f t="shared" si="129"/>
        <v>40.9172622316418</v>
      </c>
      <c r="AM269" s="14">
        <f t="shared" si="120"/>
        <v>-9.1206338725651981E-2</v>
      </c>
      <c r="AN269" s="36">
        <f t="shared" si="140"/>
        <v>-3.9704844007713791E-2</v>
      </c>
      <c r="AO269">
        <f t="shared" si="117"/>
        <v>0</v>
      </c>
      <c r="AP269" s="14">
        <f t="shared" si="118"/>
        <v>0.2</v>
      </c>
      <c r="AQ269">
        <f t="shared" si="141"/>
        <v>-2.013753504190785E-2</v>
      </c>
      <c r="AR269">
        <f t="shared" si="142"/>
        <v>-1.956730896580585E-2</v>
      </c>
      <c r="AS269">
        <f t="shared" si="124"/>
        <v>-2.2342987743168564E-4</v>
      </c>
      <c r="AT269">
        <f t="shared" si="125"/>
        <v>1.5073782824532657E-2</v>
      </c>
      <c r="AU269" s="14">
        <f t="shared" si="130"/>
        <v>-1.482241584826686E-2</v>
      </c>
      <c r="AV269" s="19">
        <f t="shared" si="126"/>
        <v>1.6317040192721142</v>
      </c>
      <c r="AW269" s="19">
        <f t="shared" si="121"/>
        <v>-0.10361661721377458</v>
      </c>
      <c r="AX269">
        <f t="shared" si="131"/>
        <v>0</v>
      </c>
      <c r="AY269">
        <f>IF(W269,SUMPRODUCT(INDEX(AX:AX,X269):INDEX(AX:AX,X269+Y269)),0)</f>
        <v>3</v>
      </c>
      <c r="AZ269">
        <f>IF(V269,COUNT(INDEX(AX:AX,X269):INDEX(AX:AX,ROW())),0)</f>
        <v>252</v>
      </c>
      <c r="BA269" s="14">
        <f t="shared" si="143"/>
        <v>1.1904761904761904E-2</v>
      </c>
      <c r="BB269" s="6">
        <f t="shared" si="132"/>
        <v>377847.4252</v>
      </c>
      <c r="BC269" s="6">
        <f>MEDIAN(INDEX(BB:BB,X269):INDEX(BB:BB,X269+Y269-1))</f>
        <v>339388.11919999996</v>
      </c>
      <c r="BD269" s="25">
        <f t="shared" si="133"/>
        <v>339388.11919999996</v>
      </c>
      <c r="BE269">
        <f t="shared" si="144"/>
        <v>0</v>
      </c>
      <c r="BF269" s="6">
        <f>SUM(INDEX(BE:BE,X269):INDEX(BE:BE,X269+Y269-1))</f>
        <v>3</v>
      </c>
      <c r="BG269" s="25">
        <f t="shared" si="134"/>
        <v>3</v>
      </c>
    </row>
    <row r="270" spans="1:59" x14ac:dyDescent="0.3">
      <c r="A270" s="1">
        <v>45747</v>
      </c>
      <c r="B270">
        <v>33.731200000000001</v>
      </c>
      <c r="C270">
        <v>34.781500000000001</v>
      </c>
      <c r="D270">
        <v>33.632100000000001</v>
      </c>
      <c r="E270">
        <v>34.688499999999998</v>
      </c>
      <c r="F270">
        <v>21510</v>
      </c>
      <c r="G270" s="29">
        <v>1.00325771650566</v>
      </c>
      <c r="H270" s="29">
        <v>2.8921911195516299E-2</v>
      </c>
      <c r="I270" s="29">
        <v>3.3134900615477698E-2</v>
      </c>
      <c r="J270" s="29">
        <v>42.687219412382802</v>
      </c>
      <c r="K270" s="29">
        <v>-9.6340659655557798E-2</v>
      </c>
      <c r="L270" s="29">
        <v>0.2</v>
      </c>
      <c r="M270" s="29">
        <v>-2.0648805560078001E-2</v>
      </c>
      <c r="N270" s="29">
        <v>1.6266109403476201</v>
      </c>
      <c r="O270" s="29">
        <v>-7.29436980696406E-2</v>
      </c>
      <c r="P270" s="29">
        <v>8.1170152168605902E-3</v>
      </c>
      <c r="Q270" s="29">
        <v>1.1904761904761901E-2</v>
      </c>
      <c r="R270" s="30">
        <v>341151.16079999902</v>
      </c>
      <c r="S270" s="29">
        <v>3</v>
      </c>
      <c r="T270">
        <v>554.55999999999995</v>
      </c>
      <c r="U270" s="21"/>
      <c r="V270">
        <v>260</v>
      </c>
      <c r="W270" t="b">
        <f>V270&gt;=$C$4</f>
        <v>1</v>
      </c>
      <c r="X270">
        <f>IF(V270&lt;=$C$5,11,ROW()-$C$5+1)</f>
        <v>19</v>
      </c>
      <c r="Y270" s="14">
        <f t="shared" si="127"/>
        <v>252</v>
      </c>
      <c r="Z270" s="10">
        <f t="shared" si="135"/>
        <v>1.1494</v>
      </c>
      <c r="AA270" s="15">
        <f t="shared" si="136"/>
        <v>3.3134900615477754E-2</v>
      </c>
      <c r="AB270" s="15">
        <f t="shared" si="137"/>
        <v>1.0032577165056678</v>
      </c>
      <c r="AC270" s="10">
        <f t="shared" si="128"/>
        <v>2.892191119551632E-2</v>
      </c>
      <c r="AD270">
        <f t="shared" si="138"/>
        <v>0.27929999999999922</v>
      </c>
      <c r="AE270">
        <f t="shared" si="145"/>
        <v>0.27929999999999922</v>
      </c>
      <c r="AF270">
        <f t="shared" si="146"/>
        <v>0</v>
      </c>
      <c r="AG270">
        <f t="shared" ref="AG270:AH285" si="148">(AE270+13*AG269)/14</f>
        <v>0.28427496280217179</v>
      </c>
      <c r="AH270">
        <f t="shared" si="148"/>
        <v>0.38167369005433871</v>
      </c>
      <c r="AI270">
        <f t="shared" si="139"/>
        <v>0.7448115241102935</v>
      </c>
      <c r="AJ270">
        <f t="shared" si="147"/>
        <v>42.687219439938332</v>
      </c>
      <c r="AK270" s="14">
        <f t="shared" si="129"/>
        <v>42.687219439938332</v>
      </c>
      <c r="AM270" s="14">
        <f t="shared" si="120"/>
        <v>-9.6340659655557825E-2</v>
      </c>
      <c r="AN270" s="36">
        <f t="shared" si="140"/>
        <v>8.1170152168605902E-3</v>
      </c>
      <c r="AO270">
        <f t="shared" ref="AO270:AO310" si="149">IF(AN270&gt;0,1,0)</f>
        <v>1</v>
      </c>
      <c r="AP270" s="14">
        <f t="shared" si="118"/>
        <v>0.2</v>
      </c>
      <c r="AQ270">
        <f t="shared" si="141"/>
        <v>6.7112875615169543E-3</v>
      </c>
      <c r="AR270">
        <f t="shared" si="142"/>
        <v>1.405727655343636E-3</v>
      </c>
      <c r="AS270">
        <f t="shared" si="124"/>
        <v>-3.1071782836210191E-4</v>
      </c>
      <c r="AT270">
        <f t="shared" si="125"/>
        <v>1.5047738594761028E-2</v>
      </c>
      <c r="AU270" s="14">
        <f t="shared" si="130"/>
        <v>-2.0648805560078004E-2</v>
      </c>
      <c r="AV270" s="19">
        <f t="shared" si="126"/>
        <v>1.6266109403476501</v>
      </c>
      <c r="AW270" s="19">
        <f t="shared" si="121"/>
        <v>-7.2943698069640628E-2</v>
      </c>
      <c r="AX270">
        <f t="shared" si="131"/>
        <v>0</v>
      </c>
      <c r="AY270">
        <f>IF(W270,SUMPRODUCT(INDEX(AX:AX,X270):INDEX(AX:AX,X270+Y270)),0)</f>
        <v>3</v>
      </c>
      <c r="AZ270">
        <f>IF(V270,COUNT(INDEX(AX:AX,X270):INDEX(AX:AX,ROW())),0)</f>
        <v>252</v>
      </c>
      <c r="BA270" s="14">
        <f t="shared" si="143"/>
        <v>1.1904761904761904E-2</v>
      </c>
      <c r="BB270" s="6">
        <f t="shared" si="132"/>
        <v>746149.63499999989</v>
      </c>
      <c r="BC270" s="6">
        <f>MEDIAN(INDEX(BB:BB,X270):INDEX(BB:BB,X270+Y270-1))</f>
        <v>341151.16079999995</v>
      </c>
      <c r="BD270" s="25">
        <f t="shared" si="133"/>
        <v>341151.16079999995</v>
      </c>
      <c r="BE270">
        <f t="shared" si="144"/>
        <v>0</v>
      </c>
      <c r="BF270" s="6">
        <f>SUM(INDEX(BE:BE,X270):INDEX(BE:BE,X270+Y270-1))</f>
        <v>3</v>
      </c>
      <c r="BG270" s="25">
        <f t="shared" si="134"/>
        <v>3</v>
      </c>
    </row>
    <row r="271" spans="1:59" x14ac:dyDescent="0.3">
      <c r="A271" s="1">
        <v>45748</v>
      </c>
      <c r="B271">
        <v>34.568800000000003</v>
      </c>
      <c r="C271">
        <v>35.905000000000001</v>
      </c>
      <c r="D271">
        <v>34.485700000000001</v>
      </c>
      <c r="E271">
        <v>35.732199999999999</v>
      </c>
      <c r="F271">
        <v>21962</v>
      </c>
      <c r="G271" s="29">
        <v>1.03297502246954</v>
      </c>
      <c r="H271" s="29">
        <v>2.8908799975079801E-2</v>
      </c>
      <c r="I271" s="29">
        <v>3.9720476209133403E-2</v>
      </c>
      <c r="J271" s="29">
        <v>48.853300098125501</v>
      </c>
      <c r="K271" s="29">
        <v>-4.5050630847802899E-2</v>
      </c>
      <c r="L271" s="29">
        <v>0.4</v>
      </c>
      <c r="M271" s="29">
        <v>1.29232681390521E-2</v>
      </c>
      <c r="N271" s="29">
        <v>1.64307819198439</v>
      </c>
      <c r="O271" s="29">
        <v>-2.94330151728334E-2</v>
      </c>
      <c r="P271" s="29">
        <v>3.0087781253153E-2</v>
      </c>
      <c r="Q271" s="29">
        <v>1.1904761904761901E-2</v>
      </c>
      <c r="R271" s="30">
        <v>344058.04070000001</v>
      </c>
      <c r="S271" s="29">
        <v>3</v>
      </c>
      <c r="T271">
        <v>556.12699999999995</v>
      </c>
      <c r="U271" s="21"/>
      <c r="V271">
        <v>261</v>
      </c>
      <c r="W271" t="b">
        <f>V271&gt;=$C$4</f>
        <v>1</v>
      </c>
      <c r="X271">
        <f>IF(V271&lt;=$C$5,11,ROW()-$C$5+1)</f>
        <v>20</v>
      </c>
      <c r="Y271" s="14">
        <f t="shared" si="127"/>
        <v>252</v>
      </c>
      <c r="Z271" s="10">
        <f t="shared" si="135"/>
        <v>1.4192999999999998</v>
      </c>
      <c r="AA271" s="15">
        <f t="shared" si="136"/>
        <v>3.9720476209133493E-2</v>
      </c>
      <c r="AB271" s="15">
        <f t="shared" si="137"/>
        <v>1.0329750224695486</v>
      </c>
      <c r="AC271" s="10">
        <f t="shared" si="128"/>
        <v>2.8908799975079863E-2</v>
      </c>
      <c r="AD271">
        <f t="shared" si="138"/>
        <v>1.0437000000000012</v>
      </c>
      <c r="AE271">
        <f t="shared" si="145"/>
        <v>1.0437000000000012</v>
      </c>
      <c r="AF271">
        <f t="shared" si="146"/>
        <v>0</v>
      </c>
      <c r="AG271">
        <f t="shared" si="148"/>
        <v>0.33851960831630246</v>
      </c>
      <c r="AH271">
        <f t="shared" si="148"/>
        <v>0.3544112836218859</v>
      </c>
      <c r="AI271">
        <f t="shared" si="139"/>
        <v>0.95516035735888716</v>
      </c>
      <c r="AJ271">
        <f t="shared" si="147"/>
        <v>48.853300127727522</v>
      </c>
      <c r="AK271" s="14">
        <f t="shared" si="129"/>
        <v>48.853300127727522</v>
      </c>
      <c r="AM271" s="14">
        <f t="shared" si="120"/>
        <v>-4.5050630847802919E-2</v>
      </c>
      <c r="AN271" s="36">
        <f t="shared" si="140"/>
        <v>3.0087781253153034E-2</v>
      </c>
      <c r="AO271">
        <f t="shared" si="149"/>
        <v>1</v>
      </c>
      <c r="AP271" s="14">
        <f t="shared" ref="AP271:AP310" si="150">SUM(AO267:AO271) / 5</f>
        <v>0.4</v>
      </c>
      <c r="AQ271">
        <f t="shared" si="141"/>
        <v>2.8256635891517057E-3</v>
      </c>
      <c r="AR271">
        <f t="shared" si="142"/>
        <v>2.7262117664001294E-2</v>
      </c>
      <c r="AS271">
        <f t="shared" si="124"/>
        <v>1.9941073069766662E-4</v>
      </c>
      <c r="AT271">
        <f t="shared" si="125"/>
        <v>1.5430363941383937E-2</v>
      </c>
      <c r="AU271" s="14">
        <f t="shared" si="130"/>
        <v>1.2923268139052178E-2</v>
      </c>
      <c r="AV271" s="19">
        <f t="shared" si="126"/>
        <v>1.6430781919844266</v>
      </c>
      <c r="AW271" s="19">
        <f t="shared" si="121"/>
        <v>-2.9433015172833477E-2</v>
      </c>
      <c r="AX271">
        <f t="shared" si="131"/>
        <v>0</v>
      </c>
      <c r="AY271">
        <f>IF(W271,SUMPRODUCT(INDEX(AX:AX,X271):INDEX(AX:AX,X271+Y271)),0)</f>
        <v>3</v>
      </c>
      <c r="AZ271">
        <f>IF(V271,COUNT(INDEX(AX:AX,X271):INDEX(AX:AX,ROW())),0)</f>
        <v>252</v>
      </c>
      <c r="BA271" s="14">
        <f t="shared" si="143"/>
        <v>1.1904761904761904E-2</v>
      </c>
      <c r="BB271" s="6">
        <f t="shared" si="132"/>
        <v>784750.57640000002</v>
      </c>
      <c r="BC271" s="6">
        <f>MEDIAN(INDEX(BB:BB,X271):INDEX(BB:BB,X271+Y271-1))</f>
        <v>344058.04070000001</v>
      </c>
      <c r="BD271" s="25">
        <f t="shared" si="133"/>
        <v>344058.04070000001</v>
      </c>
      <c r="BE271">
        <f t="shared" si="144"/>
        <v>0</v>
      </c>
      <c r="BF271" s="6">
        <f>SUM(INDEX(BE:BE,X271):INDEX(BE:BE,X271+Y271-1))</f>
        <v>3</v>
      </c>
      <c r="BG271" s="25">
        <f t="shared" si="134"/>
        <v>3</v>
      </c>
    </row>
    <row r="272" spans="1:59" x14ac:dyDescent="0.3">
      <c r="A272" s="1">
        <v>45749</v>
      </c>
      <c r="B272">
        <v>35.0807</v>
      </c>
      <c r="C272">
        <v>36.131</v>
      </c>
      <c r="D272">
        <v>35.0807</v>
      </c>
      <c r="E272">
        <v>36.044600000000003</v>
      </c>
      <c r="F272">
        <v>17298</v>
      </c>
      <c r="G272" s="29">
        <v>1.03421252086458</v>
      </c>
      <c r="H272" s="29">
        <v>2.8692578662672899E-2</v>
      </c>
      <c r="I272" s="29">
        <v>2.9138900140381601E-2</v>
      </c>
      <c r="J272" s="29">
        <v>50.567610092453599</v>
      </c>
      <c r="K272" s="29">
        <v>1.38186891230913E-2</v>
      </c>
      <c r="L272" s="29">
        <v>0.6</v>
      </c>
      <c r="M272" s="29">
        <v>-4.7073954734801497E-3</v>
      </c>
      <c r="N272" s="29">
        <v>1.6852105258155099</v>
      </c>
      <c r="O272" s="29">
        <v>-2.0947527963537299E-2</v>
      </c>
      <c r="P272" s="29">
        <v>8.7428146041945692E-3</v>
      </c>
      <c r="Q272" s="29">
        <v>1.1904761904761901E-2</v>
      </c>
      <c r="R272" s="30">
        <v>348152.94959999999</v>
      </c>
      <c r="S272" s="29">
        <v>3</v>
      </c>
      <c r="T272">
        <v>559.64599999999996</v>
      </c>
      <c r="U272" s="21"/>
      <c r="V272">
        <v>262</v>
      </c>
      <c r="W272" t="b">
        <f>V272&gt;=$C$4</f>
        <v>1</v>
      </c>
      <c r="X272">
        <f>IF(V272&lt;=$C$5,11,ROW()-$C$5+1)</f>
        <v>21</v>
      </c>
      <c r="Y272" s="14">
        <f t="shared" si="127"/>
        <v>252</v>
      </c>
      <c r="Z272" s="10">
        <f t="shared" si="135"/>
        <v>1.0503</v>
      </c>
      <c r="AA272" s="15">
        <f t="shared" si="136"/>
        <v>2.9138900140381636E-2</v>
      </c>
      <c r="AB272" s="15">
        <f t="shared" si="137"/>
        <v>1.0342125208645809</v>
      </c>
      <c r="AC272" s="10">
        <f t="shared" si="128"/>
        <v>2.8692578662672934E-2</v>
      </c>
      <c r="AD272">
        <f t="shared" si="138"/>
        <v>0.31240000000000379</v>
      </c>
      <c r="AE272">
        <f t="shared" si="145"/>
        <v>0.31240000000000379</v>
      </c>
      <c r="AF272">
        <f t="shared" si="146"/>
        <v>0</v>
      </c>
      <c r="AG272">
        <f t="shared" si="148"/>
        <v>0.33665392200799538</v>
      </c>
      <c r="AH272">
        <f t="shared" si="148"/>
        <v>0.32909619193460837</v>
      </c>
      <c r="AI272">
        <f t="shared" si="139"/>
        <v>1.0229651094683245</v>
      </c>
      <c r="AJ272">
        <f t="shared" si="147"/>
        <v>50.567610122409874</v>
      </c>
      <c r="AK272" s="14">
        <f t="shared" si="129"/>
        <v>50.567610122409874</v>
      </c>
      <c r="AM272" s="14">
        <f t="shared" si="120"/>
        <v>1.3818689123091366E-2</v>
      </c>
      <c r="AN272" s="36">
        <f t="shared" si="140"/>
        <v>8.7428146041945709E-3</v>
      </c>
      <c r="AO272">
        <f t="shared" si="149"/>
        <v>1</v>
      </c>
      <c r="AP272" s="14">
        <f t="shared" si="150"/>
        <v>0.6</v>
      </c>
      <c r="AQ272">
        <f t="shared" si="141"/>
        <v>6.3276913366911991E-3</v>
      </c>
      <c r="AR272">
        <f t="shared" si="142"/>
        <v>2.4151232675033701E-3</v>
      </c>
      <c r="AS272">
        <f t="shared" si="124"/>
        <v>-7.1715557954234071E-5</v>
      </c>
      <c r="AT272">
        <f t="shared" si="125"/>
        <v>1.523465754221312E-2</v>
      </c>
      <c r="AU272" s="14">
        <f t="shared" si="130"/>
        <v>-4.7073954734801367E-3</v>
      </c>
      <c r="AV272" s="19">
        <f t="shared" si="126"/>
        <v>1.6852105258155374</v>
      </c>
      <c r="AW272" s="19">
        <f t="shared" si="121"/>
        <v>-2.0947527963537382E-2</v>
      </c>
      <c r="AX272">
        <f t="shared" si="131"/>
        <v>0</v>
      </c>
      <c r="AY272">
        <f>IF(W272,SUMPRODUCT(INDEX(AX:AX,X272):INDEX(AX:AX,X272+Y272)),0)</f>
        <v>3</v>
      </c>
      <c r="AZ272">
        <f>IF(V272,COUNT(INDEX(AX:AX,X272):INDEX(AX:AX,ROW())),0)</f>
        <v>252</v>
      </c>
      <c r="BA272" s="14">
        <f t="shared" si="143"/>
        <v>1.1904761904761904E-2</v>
      </c>
      <c r="BB272" s="6">
        <f t="shared" si="132"/>
        <v>623499.49080000003</v>
      </c>
      <c r="BC272" s="6">
        <f>MEDIAN(INDEX(BB:BB,X272):INDEX(BB:BB,X272+Y272-1))</f>
        <v>348152.94959999999</v>
      </c>
      <c r="BD272" s="25">
        <f t="shared" si="133"/>
        <v>348152.94959999999</v>
      </c>
      <c r="BE272">
        <f t="shared" si="144"/>
        <v>0</v>
      </c>
      <c r="BF272" s="6">
        <f>SUM(INDEX(BE:BE,X272):INDEX(BE:BE,X272+Y272-1))</f>
        <v>3</v>
      </c>
      <c r="BG272" s="25">
        <f t="shared" si="134"/>
        <v>3</v>
      </c>
    </row>
    <row r="273" spans="1:59" x14ac:dyDescent="0.3">
      <c r="A273" s="1">
        <v>45750</v>
      </c>
      <c r="B273">
        <v>34.342799999999997</v>
      </c>
      <c r="C273">
        <v>34.688499999999998</v>
      </c>
      <c r="D273">
        <v>33.451999999999998</v>
      </c>
      <c r="E273">
        <v>33.511800000000001</v>
      </c>
      <c r="F273">
        <v>28881</v>
      </c>
      <c r="G273" s="29">
        <v>1.1455259122313901</v>
      </c>
      <c r="H273" s="29">
        <v>3.4182762854618201E-2</v>
      </c>
      <c r="I273" s="29">
        <v>7.7363794245609102E-2</v>
      </c>
      <c r="J273" s="29">
        <v>39.119381856011202</v>
      </c>
      <c r="K273" s="29">
        <v>-8.62420142496053E-2</v>
      </c>
      <c r="L273" s="29">
        <v>0.6</v>
      </c>
      <c r="M273" s="29">
        <v>-3.1566398901366602E-2</v>
      </c>
      <c r="N273" s="29">
        <v>1.6181376617122001</v>
      </c>
      <c r="O273" s="29">
        <v>-8.9744077271171604E-2</v>
      </c>
      <c r="P273" s="29">
        <v>-7.0268500690810906E-2</v>
      </c>
      <c r="Q273" s="29">
        <v>1.1904761904761901E-2</v>
      </c>
      <c r="R273" s="30">
        <v>353546.25880000001</v>
      </c>
      <c r="S273" s="29">
        <v>3</v>
      </c>
      <c r="T273">
        <v>532.06600000000003</v>
      </c>
      <c r="U273" s="21"/>
      <c r="V273">
        <v>263</v>
      </c>
      <c r="W273" t="b">
        <f>V273&gt;=$C$4</f>
        <v>1</v>
      </c>
      <c r="X273">
        <f>IF(V273&lt;=$C$5,11,ROW()-$C$5+1)</f>
        <v>22</v>
      </c>
      <c r="Y273" s="14">
        <f t="shared" si="127"/>
        <v>252</v>
      </c>
      <c r="Z273" s="10">
        <f t="shared" si="135"/>
        <v>2.5926000000000045</v>
      </c>
      <c r="AA273" s="15">
        <f t="shared" si="136"/>
        <v>7.7363794245609144E-2</v>
      </c>
      <c r="AB273" s="15">
        <f t="shared" si="137"/>
        <v>1.145525912231397</v>
      </c>
      <c r="AC273" s="10">
        <f t="shared" si="128"/>
        <v>3.4182762854618284E-2</v>
      </c>
      <c r="AD273">
        <f t="shared" si="138"/>
        <v>-2.5328000000000017</v>
      </c>
      <c r="AE273">
        <f t="shared" si="145"/>
        <v>0</v>
      </c>
      <c r="AF273">
        <f t="shared" si="146"/>
        <v>2.5328000000000017</v>
      </c>
      <c r="AG273">
        <f t="shared" si="148"/>
        <v>0.31260721329313856</v>
      </c>
      <c r="AH273">
        <f t="shared" si="148"/>
        <v>0.48650360679642218</v>
      </c>
      <c r="AI273">
        <f t="shared" si="139"/>
        <v>0.64255888122109917</v>
      </c>
      <c r="AJ273">
        <f t="shared" si="147"/>
        <v>39.119381872229305</v>
      </c>
      <c r="AK273" s="14">
        <f t="shared" si="129"/>
        <v>39.119381872229305</v>
      </c>
      <c r="AM273" s="14">
        <f t="shared" si="120"/>
        <v>-8.6242014249605314E-2</v>
      </c>
      <c r="AN273" s="36">
        <f t="shared" si="140"/>
        <v>-7.026850069081092E-2</v>
      </c>
      <c r="AO273">
        <f t="shared" si="149"/>
        <v>0</v>
      </c>
      <c r="AP273" s="14">
        <f t="shared" si="150"/>
        <v>0.6</v>
      </c>
      <c r="AQ273">
        <f t="shared" si="141"/>
        <v>-4.9281152728689048E-2</v>
      </c>
      <c r="AR273">
        <f t="shared" si="142"/>
        <v>-2.0987347962121858E-2</v>
      </c>
      <c r="AS273">
        <f t="shared" si="124"/>
        <v>-4.8751982484748492E-4</v>
      </c>
      <c r="AT273">
        <f t="shared" si="125"/>
        <v>1.5444264845375763E-2</v>
      </c>
      <c r="AU273" s="14">
        <f t="shared" si="130"/>
        <v>-3.1566398901366637E-2</v>
      </c>
      <c r="AV273" s="19">
        <f t="shared" si="126"/>
        <v>1.6181376617122216</v>
      </c>
      <c r="AW273" s="19">
        <f t="shared" si="121"/>
        <v>-8.9744077271171618E-2</v>
      </c>
      <c r="AX273">
        <f t="shared" si="131"/>
        <v>0</v>
      </c>
      <c r="AY273">
        <f>IF(W273,SUMPRODUCT(INDEX(AX:AX,X273):INDEX(AX:AX,X273+Y273)),0)</f>
        <v>3</v>
      </c>
      <c r="AZ273">
        <f>IF(V273,COUNT(INDEX(AX:AX,X273):INDEX(AX:AX,ROW())),0)</f>
        <v>252</v>
      </c>
      <c r="BA273" s="14">
        <f t="shared" si="143"/>
        <v>1.1904761904761904E-2</v>
      </c>
      <c r="BB273" s="6">
        <f t="shared" si="132"/>
        <v>967854.29580000008</v>
      </c>
      <c r="BC273" s="6">
        <f>MEDIAN(INDEX(BB:BB,X273):INDEX(BB:BB,X273+Y273-1))</f>
        <v>353546.25880000001</v>
      </c>
      <c r="BD273" s="25">
        <f t="shared" si="133"/>
        <v>353546.25880000001</v>
      </c>
      <c r="BE273">
        <f t="shared" si="144"/>
        <v>0</v>
      </c>
      <c r="BF273" s="6">
        <f>SUM(INDEX(BE:BE,X273):INDEX(BE:BE,X273+Y273-1))</f>
        <v>3</v>
      </c>
      <c r="BG273" s="25">
        <f t="shared" si="134"/>
        <v>3</v>
      </c>
    </row>
    <row r="274" spans="1:59" x14ac:dyDescent="0.3">
      <c r="A274" s="1">
        <v>45751</v>
      </c>
      <c r="B274">
        <v>31.883099999999999</v>
      </c>
      <c r="C274">
        <v>32.075899999999997</v>
      </c>
      <c r="D274">
        <v>30.287600000000001</v>
      </c>
      <c r="E274">
        <v>30.779499999999999</v>
      </c>
      <c r="F274">
        <v>53852</v>
      </c>
      <c r="G274" s="29">
        <v>1.2940026327862899</v>
      </c>
      <c r="H274" s="29">
        <v>4.2041054363660797E-2</v>
      </c>
      <c r="I274" s="29">
        <v>0.10475153917380001</v>
      </c>
      <c r="J274" s="29">
        <v>30.9730515722242</v>
      </c>
      <c r="K274" s="29">
        <v>-0.116293425208153</v>
      </c>
      <c r="L274" s="29">
        <v>0.6</v>
      </c>
      <c r="M274" s="29">
        <v>-5.59044144121566E-2</v>
      </c>
      <c r="N274" s="29">
        <v>1.5570968808599399</v>
      </c>
      <c r="O274" s="29">
        <v>-0.16395949565132301</v>
      </c>
      <c r="P274" s="29">
        <v>-8.1532475128163806E-2</v>
      </c>
      <c r="Q274" s="29">
        <v>1.1904761904761901E-2</v>
      </c>
      <c r="R274" s="30">
        <v>358086.8395</v>
      </c>
      <c r="S274" s="29">
        <v>3</v>
      </c>
      <c r="T274">
        <v>500.91800000000001</v>
      </c>
      <c r="U274" s="21"/>
      <c r="V274">
        <v>264</v>
      </c>
      <c r="W274" t="b">
        <f>V274&gt;=$C$4</f>
        <v>1</v>
      </c>
      <c r="X274">
        <f>IF(V274&lt;=$C$5,11,ROW()-$C$5+1)</f>
        <v>23</v>
      </c>
      <c r="Y274" s="14">
        <f t="shared" si="127"/>
        <v>252</v>
      </c>
      <c r="Z274" s="10">
        <f t="shared" si="135"/>
        <v>3.2241999999999997</v>
      </c>
      <c r="AA274" s="15">
        <f t="shared" si="136"/>
        <v>0.10475153917380074</v>
      </c>
      <c r="AB274" s="15">
        <f t="shared" si="137"/>
        <v>1.2940026327862972</v>
      </c>
      <c r="AC274" s="10">
        <f t="shared" si="128"/>
        <v>4.204105436366079E-2</v>
      </c>
      <c r="AD274">
        <f t="shared" si="138"/>
        <v>-2.7323000000000022</v>
      </c>
      <c r="AE274">
        <f t="shared" si="145"/>
        <v>0</v>
      </c>
      <c r="AF274">
        <f t="shared" si="146"/>
        <v>2.7323000000000022</v>
      </c>
      <c r="AG274">
        <f t="shared" si="148"/>
        <v>0.29027812662934294</v>
      </c>
      <c r="AH274">
        <f t="shared" si="148"/>
        <v>0.64691763488239218</v>
      </c>
      <c r="AI274">
        <f t="shared" si="139"/>
        <v>0.44870955895662773</v>
      </c>
      <c r="AJ274">
        <f t="shared" si="147"/>
        <v>30.97305158114591</v>
      </c>
      <c r="AK274" s="14">
        <f t="shared" si="129"/>
        <v>30.97305158114591</v>
      </c>
      <c r="AM274" s="14">
        <f t="shared" si="120"/>
        <v>-0.11629342520815389</v>
      </c>
      <c r="AN274" s="36">
        <f t="shared" si="140"/>
        <v>-8.1532475128163862E-2</v>
      </c>
      <c r="AO274">
        <f t="shared" si="149"/>
        <v>0</v>
      </c>
      <c r="AP274" s="14">
        <f t="shared" si="150"/>
        <v>0.6</v>
      </c>
      <c r="AQ274">
        <f t="shared" si="141"/>
        <v>-5.8541609499573433E-2</v>
      </c>
      <c r="AR274">
        <f t="shared" si="142"/>
        <v>-2.2990865628590373E-2</v>
      </c>
      <c r="AS274">
        <f t="shared" si="124"/>
        <v>-8.7766176854855364E-4</v>
      </c>
      <c r="AT274">
        <f t="shared" si="125"/>
        <v>1.569932853742053E-2</v>
      </c>
      <c r="AU274" s="14">
        <f t="shared" si="130"/>
        <v>-5.59044144121566E-2</v>
      </c>
      <c r="AV274" s="19">
        <f t="shared" si="126"/>
        <v>1.5570968808599603</v>
      </c>
      <c r="AW274" s="19">
        <f t="shared" si="121"/>
        <v>-0.16395949565132373</v>
      </c>
      <c r="AX274">
        <f t="shared" si="131"/>
        <v>0</v>
      </c>
      <c r="AY274">
        <f>IF(W274,SUMPRODUCT(INDEX(AX:AX,X274):INDEX(AX:AX,X274+Y274)),0)</f>
        <v>3</v>
      </c>
      <c r="AZ274">
        <f>IF(V274,COUNT(INDEX(AX:AX,X274):INDEX(AX:AX,ROW())),0)</f>
        <v>252</v>
      </c>
      <c r="BA274" s="14">
        <f t="shared" si="143"/>
        <v>1.1904761904761904E-2</v>
      </c>
      <c r="BB274" s="6">
        <f t="shared" si="132"/>
        <v>1657537.6339999998</v>
      </c>
      <c r="BC274" s="6">
        <f>MEDIAN(INDEX(BB:BB,X274):INDEX(BB:BB,X274+Y274-1))</f>
        <v>358086.8395</v>
      </c>
      <c r="BD274" s="25">
        <f t="shared" si="133"/>
        <v>358086.8395</v>
      </c>
      <c r="BE274">
        <f t="shared" si="144"/>
        <v>0</v>
      </c>
      <c r="BF274" s="6">
        <f>SUM(INDEX(BE:BE,X274):INDEX(BE:BE,X274+Y274-1))</f>
        <v>3</v>
      </c>
      <c r="BG274" s="25">
        <f t="shared" si="134"/>
        <v>3</v>
      </c>
    </row>
    <row r="275" spans="1:59" x14ac:dyDescent="0.3">
      <c r="A275" s="1">
        <v>45754</v>
      </c>
      <c r="B275">
        <v>29.2638</v>
      </c>
      <c r="C275">
        <v>32.301900000000003</v>
      </c>
      <c r="D275">
        <v>29.250499999999999</v>
      </c>
      <c r="E275">
        <v>30.2743</v>
      </c>
      <c r="F275">
        <v>89653</v>
      </c>
      <c r="G275" s="29">
        <v>1.4195310161587</v>
      </c>
      <c r="H275" s="29">
        <v>4.6888978974202702E-2</v>
      </c>
      <c r="I275" s="29">
        <v>0.100791760668289</v>
      </c>
      <c r="J275" s="29">
        <v>29.739865329549598</v>
      </c>
      <c r="K275" s="29">
        <v>-0.124628084835692</v>
      </c>
      <c r="L275" s="29">
        <v>0.4</v>
      </c>
      <c r="M275" s="29">
        <v>-6.4921945686483407E-2</v>
      </c>
      <c r="N275" s="29">
        <v>1.5725150275848301</v>
      </c>
      <c r="O275" s="29">
        <v>-0.177681864851504</v>
      </c>
      <c r="P275" s="29">
        <v>-1.64135219870368E-2</v>
      </c>
      <c r="Q275" s="29">
        <v>1.1904761904761901E-2</v>
      </c>
      <c r="R275" s="30">
        <v>362934.62050000002</v>
      </c>
      <c r="S275" s="29">
        <v>3</v>
      </c>
      <c r="T275">
        <v>500.02499999999998</v>
      </c>
      <c r="U275" s="21"/>
      <c r="V275">
        <v>265</v>
      </c>
      <c r="W275" t="b">
        <f>V275&gt;=$C$4</f>
        <v>1</v>
      </c>
      <c r="X275">
        <f>IF(V275&lt;=$C$5,11,ROW()-$C$5+1)</f>
        <v>24</v>
      </c>
      <c r="Y275" s="14">
        <f t="shared" si="127"/>
        <v>252</v>
      </c>
      <c r="Z275" s="10">
        <f t="shared" si="135"/>
        <v>3.0514000000000046</v>
      </c>
      <c r="AA275" s="15">
        <f t="shared" si="136"/>
        <v>0.10079176066828975</v>
      </c>
      <c r="AB275" s="15">
        <f t="shared" si="137"/>
        <v>1.4195310161587049</v>
      </c>
      <c r="AC275" s="10">
        <f t="shared" si="128"/>
        <v>4.6888978974202702E-2</v>
      </c>
      <c r="AD275">
        <f t="shared" si="138"/>
        <v>-0.50519999999999854</v>
      </c>
      <c r="AE275">
        <f t="shared" si="145"/>
        <v>0</v>
      </c>
      <c r="AF275">
        <f t="shared" si="146"/>
        <v>0.50519999999999854</v>
      </c>
      <c r="AG275">
        <f t="shared" si="148"/>
        <v>0.269543974727247</v>
      </c>
      <c r="AH275">
        <f t="shared" si="148"/>
        <v>0.63679494667650693</v>
      </c>
      <c r="AI275">
        <f t="shared" si="139"/>
        <v>0.42328221373932456</v>
      </c>
      <c r="AJ275">
        <f t="shared" si="147"/>
        <v>29.739865337546405</v>
      </c>
      <c r="AK275" s="14">
        <f t="shared" si="129"/>
        <v>29.739865337546405</v>
      </c>
      <c r="AM275" s="14">
        <f t="shared" si="120"/>
        <v>-0.12462808483569221</v>
      </c>
      <c r="AN275" s="36">
        <f t="shared" si="140"/>
        <v>-1.6413521987036828E-2</v>
      </c>
      <c r="AO275">
        <f t="shared" si="149"/>
        <v>0</v>
      </c>
      <c r="AP275" s="14">
        <f t="shared" si="150"/>
        <v>0.4</v>
      </c>
      <c r="AQ275">
        <f t="shared" si="141"/>
        <v>-1.7827269133871004E-3</v>
      </c>
      <c r="AR275">
        <f t="shared" si="142"/>
        <v>-1.4630795073649699E-2</v>
      </c>
      <c r="AS275">
        <f t="shared" si="124"/>
        <v>-1.024808000736534E-3</v>
      </c>
      <c r="AT275">
        <f t="shared" si="125"/>
        <v>1.5785232403314985E-2</v>
      </c>
      <c r="AU275" s="14">
        <f t="shared" si="130"/>
        <v>-6.4921945686483448E-2</v>
      </c>
      <c r="AV275" s="19">
        <f t="shared" si="126"/>
        <v>1.5725150275848487</v>
      </c>
      <c r="AW275" s="19">
        <f t="shared" si="121"/>
        <v>-0.17768186485150406</v>
      </c>
      <c r="AX275">
        <f t="shared" si="131"/>
        <v>0</v>
      </c>
      <c r="AY275">
        <f>IF(W275,SUMPRODUCT(INDEX(AX:AX,X275):INDEX(AX:AX,X275+Y275)),0)</f>
        <v>3</v>
      </c>
      <c r="AZ275">
        <f>IF(V275,COUNT(INDEX(AX:AX,X275):INDEX(AX:AX,ROW())),0)</f>
        <v>252</v>
      </c>
      <c r="BA275" s="14">
        <f t="shared" si="143"/>
        <v>1.1904761904761904E-2</v>
      </c>
      <c r="BB275" s="6">
        <f t="shared" si="132"/>
        <v>2714181.8179000001</v>
      </c>
      <c r="BC275" s="6">
        <f>MEDIAN(INDEX(BB:BB,X275):INDEX(BB:BB,X275+Y275-1))</f>
        <v>362934.62050000002</v>
      </c>
      <c r="BD275" s="25">
        <f t="shared" si="133"/>
        <v>362934.62050000002</v>
      </c>
      <c r="BE275">
        <f t="shared" si="144"/>
        <v>0</v>
      </c>
      <c r="BF275" s="6">
        <f>SUM(INDEX(BE:BE,X275):INDEX(BE:BE,X275+Y275-1))</f>
        <v>3</v>
      </c>
      <c r="BG275" s="25">
        <f t="shared" si="134"/>
        <v>3</v>
      </c>
    </row>
    <row r="276" spans="1:59" x14ac:dyDescent="0.3">
      <c r="A276" s="1">
        <v>45755</v>
      </c>
      <c r="B276">
        <v>31.7302</v>
      </c>
      <c r="C276">
        <v>32.029299999999999</v>
      </c>
      <c r="D276">
        <v>29.343599999999999</v>
      </c>
      <c r="E276">
        <v>29.715900000000001</v>
      </c>
      <c r="F276">
        <v>98377</v>
      </c>
      <c r="G276" s="29">
        <v>1.50997165786165</v>
      </c>
      <c r="H276" s="29">
        <v>5.08135933241683E-2</v>
      </c>
      <c r="I276" s="29">
        <v>9.0379224590202506E-2</v>
      </c>
      <c r="J276" s="29">
        <v>28.394188165354102</v>
      </c>
      <c r="K276" s="29">
        <v>-0.106664862914862</v>
      </c>
      <c r="L276" s="29">
        <v>0.2</v>
      </c>
      <c r="M276" s="29">
        <v>-5.2207685521891201E-2</v>
      </c>
      <c r="N276" s="29">
        <v>1.58013696298576</v>
      </c>
      <c r="O276" s="29">
        <v>-0.19284926580435499</v>
      </c>
      <c r="P276" s="29">
        <v>-1.8444687408131599E-2</v>
      </c>
      <c r="Q276" s="29">
        <v>1.1904761904761901E-2</v>
      </c>
      <c r="R276" s="30">
        <v>369471.35639999999</v>
      </c>
      <c r="S276" s="29">
        <v>3</v>
      </c>
      <c r="T276">
        <v>492.19400000000002</v>
      </c>
      <c r="U276" s="21"/>
      <c r="V276">
        <v>266</v>
      </c>
      <c r="W276" t="b">
        <f>V276&gt;=$C$4</f>
        <v>1</v>
      </c>
      <c r="X276">
        <f>IF(V276&lt;=$C$5,11,ROW()-$C$5+1)</f>
        <v>25</v>
      </c>
      <c r="Y276" s="14">
        <f t="shared" si="127"/>
        <v>252</v>
      </c>
      <c r="Z276" s="10">
        <f t="shared" si="135"/>
        <v>2.6857000000000006</v>
      </c>
      <c r="AA276" s="15">
        <f t="shared" si="136"/>
        <v>9.0379224590202575E-2</v>
      </c>
      <c r="AB276" s="15">
        <f t="shared" si="137"/>
        <v>1.5099716578616547</v>
      </c>
      <c r="AC276" s="10">
        <f t="shared" si="128"/>
        <v>5.0813593324168363E-2</v>
      </c>
      <c r="AD276">
        <f t="shared" si="138"/>
        <v>-0.5583999999999989</v>
      </c>
      <c r="AE276">
        <f t="shared" si="145"/>
        <v>0</v>
      </c>
      <c r="AF276">
        <f t="shared" si="146"/>
        <v>0.5583999999999989</v>
      </c>
      <c r="AG276">
        <f t="shared" si="148"/>
        <v>0.25029083367530081</v>
      </c>
      <c r="AH276">
        <f t="shared" si="148"/>
        <v>0.63119530762818499</v>
      </c>
      <c r="AI276">
        <f t="shared" si="139"/>
        <v>0.3965346868876572</v>
      </c>
      <c r="AJ276">
        <f t="shared" si="147"/>
        <v>28.394188172395602</v>
      </c>
      <c r="AK276" s="14">
        <f t="shared" si="129"/>
        <v>28.394188172395602</v>
      </c>
      <c r="AM276" s="14">
        <f t="shared" si="120"/>
        <v>-0.10666486291486299</v>
      </c>
      <c r="AN276" s="36">
        <f t="shared" si="140"/>
        <v>-1.8444687408131655E-2</v>
      </c>
      <c r="AO276">
        <f t="shared" si="149"/>
        <v>0</v>
      </c>
      <c r="AP276" s="14">
        <f t="shared" si="150"/>
        <v>0.2</v>
      </c>
      <c r="AQ276">
        <f t="shared" si="141"/>
        <v>-1.5661216939153011E-2</v>
      </c>
      <c r="AR276">
        <f t="shared" si="142"/>
        <v>-2.7834704689785883E-3</v>
      </c>
      <c r="AS276">
        <f t="shared" si="124"/>
        <v>-8.1828217093633674E-4</v>
      </c>
      <c r="AT276">
        <f t="shared" si="125"/>
        <v>1.5673595999447718E-2</v>
      </c>
      <c r="AU276" s="14">
        <f t="shared" si="130"/>
        <v>-5.220768552189109E-2</v>
      </c>
      <c r="AV276" s="19">
        <f t="shared" si="126"/>
        <v>1.5801369629857811</v>
      </c>
      <c r="AW276" s="19">
        <f t="shared" si="121"/>
        <v>-0.1928492658043558</v>
      </c>
      <c r="AX276">
        <f t="shared" si="131"/>
        <v>0</v>
      </c>
      <c r="AY276">
        <f>IF(W276,SUMPRODUCT(INDEX(AX:AX,X276):INDEX(AX:AX,X276+Y276)),0)</f>
        <v>3</v>
      </c>
      <c r="AZ276">
        <f>IF(V276,COUNT(INDEX(AX:AX,X276):INDEX(AX:AX,ROW())),0)</f>
        <v>252</v>
      </c>
      <c r="BA276" s="14">
        <f t="shared" si="143"/>
        <v>1.1904761904761904E-2</v>
      </c>
      <c r="BB276" s="6">
        <f t="shared" si="132"/>
        <v>2923361.0943</v>
      </c>
      <c r="BC276" s="6">
        <f>MEDIAN(INDEX(BB:BB,X276):INDEX(BB:BB,X276+Y276-1))</f>
        <v>369471.35639999999</v>
      </c>
      <c r="BD276" s="25">
        <f t="shared" si="133"/>
        <v>369471.35639999999</v>
      </c>
      <c r="BE276">
        <f t="shared" si="144"/>
        <v>0</v>
      </c>
      <c r="BF276" s="6">
        <f>SUM(INDEX(BE:BE,X276):INDEX(BE:BE,X276+Y276-1))</f>
        <v>3</v>
      </c>
      <c r="BG276" s="25">
        <f t="shared" si="134"/>
        <v>3</v>
      </c>
    </row>
    <row r="277" spans="1:59" x14ac:dyDescent="0.3">
      <c r="A277" s="1">
        <v>45756</v>
      </c>
      <c r="B277">
        <v>29.403400000000001</v>
      </c>
      <c r="C277">
        <v>33.950499999999998</v>
      </c>
      <c r="D277">
        <v>29.0444</v>
      </c>
      <c r="E277">
        <v>33.511800000000001</v>
      </c>
      <c r="F277">
        <v>186526</v>
      </c>
      <c r="G277" s="29">
        <v>1.75255225372867</v>
      </c>
      <c r="H277" s="29">
        <v>5.2296571766621801E-2</v>
      </c>
      <c r="I277" s="29">
        <v>0.14639917879672201</v>
      </c>
      <c r="J277" s="29">
        <v>46.211597809941097</v>
      </c>
      <c r="K277" s="29">
        <v>1.24961478267699E-2</v>
      </c>
      <c r="L277" s="29">
        <v>0.2</v>
      </c>
      <c r="M277" s="29">
        <v>-3.1948744342185198E-2</v>
      </c>
      <c r="N277" s="29">
        <v>1.40554502823186</v>
      </c>
      <c r="O277" s="29">
        <v>-8.9744077271171604E-2</v>
      </c>
      <c r="P277" s="29">
        <v>0.127739694910805</v>
      </c>
      <c r="Q277" s="29">
        <v>1.1904761904761901E-2</v>
      </c>
      <c r="R277" s="30">
        <v>373579.20110000001</v>
      </c>
      <c r="S277" s="29">
        <v>3</v>
      </c>
      <c r="T277">
        <v>543.88300000000004</v>
      </c>
      <c r="U277" s="21"/>
      <c r="V277">
        <v>267</v>
      </c>
      <c r="W277" t="b">
        <f>V277&gt;=$C$4</f>
        <v>1</v>
      </c>
      <c r="X277">
        <f>IF(V277&lt;=$C$5,11,ROW()-$C$5+1)</f>
        <v>26</v>
      </c>
      <c r="Y277" s="14">
        <f t="shared" si="127"/>
        <v>252</v>
      </c>
      <c r="Z277" s="10">
        <f t="shared" si="135"/>
        <v>4.9060999999999986</v>
      </c>
      <c r="AA277" s="15">
        <f t="shared" si="136"/>
        <v>0.14639917879672229</v>
      </c>
      <c r="AB277" s="15">
        <f t="shared" si="137"/>
        <v>1.7525522537286791</v>
      </c>
      <c r="AC277" s="10">
        <f t="shared" si="128"/>
        <v>5.2296571766621877E-2</v>
      </c>
      <c r="AD277">
        <f t="shared" si="138"/>
        <v>3.7958999999999996</v>
      </c>
      <c r="AE277">
        <f t="shared" si="145"/>
        <v>3.7958999999999996</v>
      </c>
      <c r="AF277">
        <f t="shared" si="146"/>
        <v>0</v>
      </c>
      <c r="AG277">
        <f t="shared" si="148"/>
        <v>0.50354863126992211</v>
      </c>
      <c r="AH277">
        <f t="shared" si="148"/>
        <v>0.58610992851188615</v>
      </c>
      <c r="AI277">
        <f t="shared" si="139"/>
        <v>0.85913683896878446</v>
      </c>
      <c r="AJ277">
        <f t="shared" si="147"/>
        <v>46.21159782113326</v>
      </c>
      <c r="AK277" s="14">
        <f t="shared" si="129"/>
        <v>46.21159782113326</v>
      </c>
      <c r="AM277" s="14">
        <f t="shared" si="120"/>
        <v>1.2496147826769999E-2</v>
      </c>
      <c r="AN277" s="36">
        <f t="shared" si="140"/>
        <v>0.12773969491080539</v>
      </c>
      <c r="AO277">
        <f t="shared" si="149"/>
        <v>1</v>
      </c>
      <c r="AP277" s="14">
        <f t="shared" si="150"/>
        <v>0.2</v>
      </c>
      <c r="AQ277">
        <f t="shared" si="141"/>
        <v>0.10501753373669742</v>
      </c>
      <c r="AR277">
        <f t="shared" si="142"/>
        <v>2.272216117410758E-2</v>
      </c>
      <c r="AS277">
        <f t="shared" si="124"/>
        <v>-5.0941358572816043E-4</v>
      </c>
      <c r="AT277">
        <f t="shared" si="125"/>
        <v>1.5944713828878833E-2</v>
      </c>
      <c r="AU277" s="14">
        <f t="shared" si="130"/>
        <v>-3.1948744342185559E-2</v>
      </c>
      <c r="AV277" s="19">
        <f t="shared" si="126"/>
        <v>1.405545028231866</v>
      </c>
      <c r="AW277" s="19">
        <f t="shared" si="121"/>
        <v>-8.9744077271171618E-2</v>
      </c>
      <c r="AX277">
        <f t="shared" si="131"/>
        <v>0</v>
      </c>
      <c r="AY277">
        <f>IF(W277,SUMPRODUCT(INDEX(AX:AX,X277):INDEX(AX:AX,X277+Y277)),0)</f>
        <v>3</v>
      </c>
      <c r="AZ277">
        <f>IF(V277,COUNT(INDEX(AX:AX,X277):INDEX(AX:AX,ROW())),0)</f>
        <v>252</v>
      </c>
      <c r="BA277" s="14">
        <f t="shared" si="143"/>
        <v>1.1904761904761904E-2</v>
      </c>
      <c r="BB277" s="6">
        <f t="shared" si="132"/>
        <v>6250822.0068000006</v>
      </c>
      <c r="BC277" s="6">
        <f>MEDIAN(INDEX(BB:BB,X277):INDEX(BB:BB,X277+Y277-1))</f>
        <v>373579.20110000001</v>
      </c>
      <c r="BD277" s="25">
        <f t="shared" si="133"/>
        <v>373579.20110000001</v>
      </c>
      <c r="BE277">
        <f t="shared" si="144"/>
        <v>0</v>
      </c>
      <c r="BF277" s="6">
        <f>SUM(INDEX(BE:BE,X277):INDEX(BE:BE,X277+Y277-1))</f>
        <v>3</v>
      </c>
      <c r="BG277" s="25">
        <f t="shared" si="134"/>
        <v>3</v>
      </c>
    </row>
    <row r="278" spans="1:59" x14ac:dyDescent="0.3">
      <c r="A278" s="1">
        <v>45757</v>
      </c>
      <c r="B278">
        <v>32.999899999999997</v>
      </c>
      <c r="C278">
        <v>32.999899999999997</v>
      </c>
      <c r="D278">
        <v>30.393899999999999</v>
      </c>
      <c r="E278">
        <v>31.1983</v>
      </c>
      <c r="F278">
        <v>57763</v>
      </c>
      <c r="G278" s="29">
        <v>1.8500770927480501</v>
      </c>
      <c r="H278" s="29">
        <v>5.9300573837294299E-2</v>
      </c>
      <c r="I278" s="29">
        <v>9.9938137654936393E-2</v>
      </c>
      <c r="J278" s="29">
        <v>39.723938731264802</v>
      </c>
      <c r="K278" s="29">
        <v>-6.6754611889356594E-2</v>
      </c>
      <c r="L278" s="29">
        <v>0.2</v>
      </c>
      <c r="M278" s="29">
        <v>-8.2312177857741406E-2</v>
      </c>
      <c r="N278" s="29">
        <v>1.4148704236865399</v>
      </c>
      <c r="O278" s="29">
        <v>-0.15258394493668401</v>
      </c>
      <c r="P278" s="29">
        <v>-6.9035384551113299E-2</v>
      </c>
      <c r="Q278" s="29">
        <v>1.1904761904761901E-2</v>
      </c>
      <c r="R278" s="30">
        <v>376082.652</v>
      </c>
      <c r="S278" s="29">
        <v>3</v>
      </c>
      <c r="T278">
        <v>520.05100000000004</v>
      </c>
      <c r="U278" s="21"/>
      <c r="V278">
        <v>268</v>
      </c>
      <c r="W278" t="b">
        <f>V278&gt;=$C$4</f>
        <v>1</v>
      </c>
      <c r="X278">
        <f>IF(V278&lt;=$C$5,11,ROW()-$C$5+1)</f>
        <v>27</v>
      </c>
      <c r="Y278" s="14">
        <f t="shared" si="127"/>
        <v>252</v>
      </c>
      <c r="Z278" s="10">
        <f t="shared" si="135"/>
        <v>3.1179000000000023</v>
      </c>
      <c r="AA278" s="15">
        <f t="shared" si="136"/>
        <v>9.9938137654936407E-2</v>
      </c>
      <c r="AB278" s="15">
        <f t="shared" si="137"/>
        <v>1.8500770927480592</v>
      </c>
      <c r="AC278" s="10">
        <f t="shared" si="128"/>
        <v>5.9300573837294313E-2</v>
      </c>
      <c r="AD278">
        <f t="shared" si="138"/>
        <v>-2.3135000000000012</v>
      </c>
      <c r="AE278">
        <f t="shared" si="145"/>
        <v>0</v>
      </c>
      <c r="AF278">
        <f t="shared" si="146"/>
        <v>2.3135000000000012</v>
      </c>
      <c r="AG278">
        <f t="shared" si="148"/>
        <v>0.46758087189349912</v>
      </c>
      <c r="AH278">
        <f t="shared" si="148"/>
        <v>0.70949493361818006</v>
      </c>
      <c r="AI278">
        <f t="shared" si="139"/>
        <v>0.65903341903936863</v>
      </c>
      <c r="AJ278">
        <f t="shared" si="147"/>
        <v>39.723938739038132</v>
      </c>
      <c r="AK278" s="14">
        <f t="shared" si="129"/>
        <v>39.723938739038132</v>
      </c>
      <c r="AM278" s="14">
        <f t="shared" si="120"/>
        <v>-6.6754611889356608E-2</v>
      </c>
      <c r="AN278" s="36">
        <f t="shared" si="140"/>
        <v>-6.9035384551113355E-2</v>
      </c>
      <c r="AO278">
        <f t="shared" si="149"/>
        <v>0</v>
      </c>
      <c r="AP278" s="14">
        <f t="shared" si="150"/>
        <v>0.2</v>
      </c>
      <c r="AQ278">
        <f t="shared" si="141"/>
        <v>-4.3818247674591748E-2</v>
      </c>
      <c r="AR278">
        <f t="shared" si="142"/>
        <v>-2.5217136876521551E-2</v>
      </c>
      <c r="AS278">
        <f t="shared" si="124"/>
        <v>-1.3087822502717843E-3</v>
      </c>
      <c r="AT278">
        <f t="shared" si="125"/>
        <v>1.5900226240322834E-2</v>
      </c>
      <c r="AU278" s="14">
        <f t="shared" si="130"/>
        <v>-8.231217785774167E-2</v>
      </c>
      <c r="AV278" s="19">
        <f t="shared" si="126"/>
        <v>1.4148704236865493</v>
      </c>
      <c r="AW278" s="19">
        <f t="shared" si="121"/>
        <v>-0.15258394493668492</v>
      </c>
      <c r="AX278">
        <f t="shared" si="131"/>
        <v>0</v>
      </c>
      <c r="AY278">
        <f>IF(W278,SUMPRODUCT(INDEX(AX:AX,X278):INDEX(AX:AX,X278+Y278)),0)</f>
        <v>3</v>
      </c>
      <c r="AZ278">
        <f>IF(V278,COUNT(INDEX(AX:AX,X278):INDEX(AX:AX,ROW())),0)</f>
        <v>252</v>
      </c>
      <c r="BA278" s="14">
        <f t="shared" si="143"/>
        <v>1.1904761904761904E-2</v>
      </c>
      <c r="BB278" s="6">
        <f t="shared" si="132"/>
        <v>1802107.4028999999</v>
      </c>
      <c r="BC278" s="6">
        <f>MEDIAN(INDEX(BB:BB,X278):INDEX(BB:BB,X278+Y278-1))</f>
        <v>376082.652</v>
      </c>
      <c r="BD278" s="25">
        <f t="shared" si="133"/>
        <v>376082.652</v>
      </c>
      <c r="BE278">
        <f t="shared" si="144"/>
        <v>0</v>
      </c>
      <c r="BF278" s="6">
        <f>SUM(INDEX(BE:BE,X278):INDEX(BE:BE,X278+Y278-1))</f>
        <v>3</v>
      </c>
      <c r="BG278" s="25">
        <f t="shared" si="134"/>
        <v>3</v>
      </c>
    </row>
    <row r="279" spans="1:59" x14ac:dyDescent="0.3">
      <c r="A279" s="1">
        <v>45758</v>
      </c>
      <c r="B279">
        <v>31.191700000000001</v>
      </c>
      <c r="C279">
        <v>32.441499999999998</v>
      </c>
      <c r="D279">
        <v>31.191700000000001</v>
      </c>
      <c r="E279">
        <v>32.341799999999999</v>
      </c>
      <c r="F279">
        <v>31288</v>
      </c>
      <c r="G279" s="29">
        <v>1.80720015755176</v>
      </c>
      <c r="H279" s="29">
        <v>5.5878156365810401E-2</v>
      </c>
      <c r="I279" s="29">
        <v>3.8643489230654901E-2</v>
      </c>
      <c r="J279" s="29">
        <v>43.915099652682798</v>
      </c>
      <c r="K279" s="29">
        <v>1.03068851850118E-3</v>
      </c>
      <c r="L279" s="29">
        <v>0.4</v>
      </c>
      <c r="M279" s="29">
        <v>-2.4192183803680802E-2</v>
      </c>
      <c r="N279" s="29">
        <v>1.4050946562219699</v>
      </c>
      <c r="O279" s="29">
        <v>-0.12152391092954599</v>
      </c>
      <c r="P279" s="29">
        <v>3.6652638124513102E-2</v>
      </c>
      <c r="Q279" s="29">
        <v>1.1904761904761901E-2</v>
      </c>
      <c r="R279" s="30">
        <v>376082.652</v>
      </c>
      <c r="S279" s="29">
        <v>3</v>
      </c>
      <c r="T279">
        <v>529.33000000000004</v>
      </c>
      <c r="U279" s="21"/>
      <c r="V279">
        <v>269</v>
      </c>
      <c r="W279" t="b">
        <f>V279&gt;=$C$4</f>
        <v>1</v>
      </c>
      <c r="X279">
        <f>IF(V279&lt;=$C$5,11,ROW()-$C$5+1)</f>
        <v>28</v>
      </c>
      <c r="Y279" s="14">
        <f t="shared" si="127"/>
        <v>252</v>
      </c>
      <c r="Z279" s="10">
        <f t="shared" si="135"/>
        <v>1.2497999999999969</v>
      </c>
      <c r="AA279" s="15">
        <f t="shared" si="136"/>
        <v>3.864348923065497E-2</v>
      </c>
      <c r="AB279" s="15">
        <f t="shared" si="137"/>
        <v>1.8072001575517691</v>
      </c>
      <c r="AC279" s="10">
        <f t="shared" si="128"/>
        <v>5.587815636581047E-2</v>
      </c>
      <c r="AD279">
        <f t="shared" si="138"/>
        <v>1.1434999999999995</v>
      </c>
      <c r="AE279">
        <f t="shared" si="145"/>
        <v>1.1434999999999995</v>
      </c>
      <c r="AF279">
        <f t="shared" si="146"/>
        <v>0</v>
      </c>
      <c r="AG279">
        <f t="shared" si="148"/>
        <v>0.51586080961539194</v>
      </c>
      <c r="AH279">
        <f t="shared" si="148"/>
        <v>0.65881672407402436</v>
      </c>
      <c r="AI279">
        <f t="shared" si="139"/>
        <v>0.78301110273185781</v>
      </c>
      <c r="AJ279">
        <f t="shared" si="147"/>
        <v>43.915099661026211</v>
      </c>
      <c r="AK279" s="14">
        <f t="shared" si="129"/>
        <v>43.915099661026211</v>
      </c>
      <c r="AM279" s="14">
        <f t="shared" si="120"/>
        <v>1.0306885185011883E-3</v>
      </c>
      <c r="AN279" s="36">
        <f t="shared" si="140"/>
        <v>3.6652638124513137E-2</v>
      </c>
      <c r="AO279">
        <f t="shared" si="149"/>
        <v>1</v>
      </c>
      <c r="AP279" s="14">
        <f t="shared" si="150"/>
        <v>0.4</v>
      </c>
      <c r="AQ279">
        <f t="shared" si="141"/>
        <v>1.7842480833610619E-2</v>
      </c>
      <c r="AR279">
        <f t="shared" si="142"/>
        <v>1.8810157290902484E-2</v>
      </c>
      <c r="AS279">
        <f t="shared" si="124"/>
        <v>-3.6997880374585988E-4</v>
      </c>
      <c r="AT279">
        <f t="shared" si="125"/>
        <v>1.5293319807266146E-2</v>
      </c>
      <c r="AU279" s="14">
        <f t="shared" si="130"/>
        <v>-2.4192183803681131E-2</v>
      </c>
      <c r="AV279" s="19">
        <f t="shared" si="126"/>
        <v>1.405094656221981</v>
      </c>
      <c r="AW279" s="19">
        <f t="shared" si="121"/>
        <v>-0.12152391092954662</v>
      </c>
      <c r="AX279">
        <f t="shared" si="131"/>
        <v>0</v>
      </c>
      <c r="AY279">
        <f>IF(W279,SUMPRODUCT(INDEX(AX:AX,X279):INDEX(AX:AX,X279+Y279)),0)</f>
        <v>3</v>
      </c>
      <c r="AZ279">
        <f>IF(V279,COUNT(INDEX(AX:AX,X279):INDEX(AX:AX,ROW())),0)</f>
        <v>252</v>
      </c>
      <c r="BA279" s="14">
        <f t="shared" si="143"/>
        <v>1.1904761904761904E-2</v>
      </c>
      <c r="BB279" s="6">
        <f t="shared" si="132"/>
        <v>1011910.2384</v>
      </c>
      <c r="BC279" s="6">
        <f>MEDIAN(INDEX(BB:BB,X279):INDEX(BB:BB,X279+Y279-1))</f>
        <v>376082.652</v>
      </c>
      <c r="BD279" s="25">
        <f t="shared" si="133"/>
        <v>376082.652</v>
      </c>
      <c r="BE279">
        <f t="shared" si="144"/>
        <v>0</v>
      </c>
      <c r="BF279" s="6">
        <f>SUM(INDEX(BE:BE,X279):INDEX(BE:BE,X279+Y279-1))</f>
        <v>3</v>
      </c>
      <c r="BG279" s="25">
        <f t="shared" si="134"/>
        <v>3</v>
      </c>
    </row>
    <row r="280" spans="1:59" x14ac:dyDescent="0.3">
      <c r="A280" s="1">
        <v>45761</v>
      </c>
      <c r="B280">
        <v>33.412100000000002</v>
      </c>
      <c r="C280">
        <v>33.412100000000002</v>
      </c>
      <c r="D280">
        <v>32.288600000000002</v>
      </c>
      <c r="E280">
        <v>32.734000000000002</v>
      </c>
      <c r="F280">
        <v>18502</v>
      </c>
      <c r="G280" s="29">
        <v>1.7583644320123499</v>
      </c>
      <c r="H280" s="29">
        <v>5.3716760310758102E-2</v>
      </c>
      <c r="I280" s="29">
        <v>3.4322111565955798E-2</v>
      </c>
      <c r="J280" s="29">
        <v>45.319459402588997</v>
      </c>
      <c r="K280" s="29">
        <v>-2.3402071697933E-2</v>
      </c>
      <c r="L280" s="29">
        <v>0.6</v>
      </c>
      <c r="M280" s="29">
        <v>-1.87418882784623E-2</v>
      </c>
      <c r="N280" s="29">
        <v>1.4047795989379399</v>
      </c>
      <c r="O280" s="29">
        <v>-0.11087087609124301</v>
      </c>
      <c r="P280" s="29">
        <v>1.21267214564433E-2</v>
      </c>
      <c r="Q280" s="29">
        <v>1.1904761904761901E-2</v>
      </c>
      <c r="R280" s="30">
        <v>377476.45140000002</v>
      </c>
      <c r="S280" s="29">
        <v>3</v>
      </c>
      <c r="T280">
        <v>534.46500000000003</v>
      </c>
      <c r="U280" s="21"/>
      <c r="V280">
        <v>270</v>
      </c>
      <c r="W280" t="b">
        <f>V280&gt;=$C$4</f>
        <v>1</v>
      </c>
      <c r="X280">
        <f>IF(V280&lt;=$C$5,11,ROW()-$C$5+1)</f>
        <v>29</v>
      </c>
      <c r="Y280" s="14">
        <f t="shared" si="127"/>
        <v>252</v>
      </c>
      <c r="Z280" s="10">
        <f t="shared" si="135"/>
        <v>1.1234999999999999</v>
      </c>
      <c r="AA280" s="15">
        <f t="shared" si="136"/>
        <v>3.4322111565955882E-2</v>
      </c>
      <c r="AB280" s="15">
        <f t="shared" si="137"/>
        <v>1.758364432012357</v>
      </c>
      <c r="AC280" s="10">
        <f t="shared" si="128"/>
        <v>5.3716760310758137E-2</v>
      </c>
      <c r="AD280">
        <f t="shared" si="138"/>
        <v>0.39220000000000255</v>
      </c>
      <c r="AE280">
        <f t="shared" si="145"/>
        <v>0.39220000000000255</v>
      </c>
      <c r="AF280">
        <f t="shared" si="146"/>
        <v>0</v>
      </c>
      <c r="AG280">
        <f t="shared" si="148"/>
        <v>0.50702789464286413</v>
      </c>
      <c r="AH280">
        <f t="shared" si="148"/>
        <v>0.61175838664016546</v>
      </c>
      <c r="AI280">
        <f t="shared" si="139"/>
        <v>0.82880415817020336</v>
      </c>
      <c r="AJ280">
        <f t="shared" si="147"/>
        <v>45.319459411086278</v>
      </c>
      <c r="AK280" s="14">
        <f t="shared" si="129"/>
        <v>45.319459411086278</v>
      </c>
      <c r="AM280" s="14">
        <f t="shared" si="120"/>
        <v>-2.3402071697933069E-2</v>
      </c>
      <c r="AN280" s="36">
        <f t="shared" si="140"/>
        <v>1.2126721456443335E-2</v>
      </c>
      <c r="AO280">
        <f t="shared" si="149"/>
        <v>1</v>
      </c>
      <c r="AP280" s="14">
        <f t="shared" si="150"/>
        <v>0.6</v>
      </c>
      <c r="AQ280">
        <f t="shared" si="141"/>
        <v>9.7009427011505167E-3</v>
      </c>
      <c r="AR280">
        <f t="shared" si="142"/>
        <v>2.4257787552927831E-3</v>
      </c>
      <c r="AS280">
        <f t="shared" si="124"/>
        <v>-2.8663906667468432E-4</v>
      </c>
      <c r="AT280">
        <f t="shared" si="125"/>
        <v>1.5294033472821227E-2</v>
      </c>
      <c r="AU280" s="14">
        <f t="shared" si="130"/>
        <v>-1.8741888278462699E-2</v>
      </c>
      <c r="AV280" s="19">
        <f t="shared" si="126"/>
        <v>1.4047795989379519</v>
      </c>
      <c r="AW280" s="19">
        <f t="shared" si="121"/>
        <v>-0.11087087609124346</v>
      </c>
      <c r="AX280">
        <f t="shared" si="131"/>
        <v>0</v>
      </c>
      <c r="AY280">
        <f>IF(W280,SUMPRODUCT(INDEX(AX:AX,X280):INDEX(AX:AX,X280+Y280)),0)</f>
        <v>3</v>
      </c>
      <c r="AZ280">
        <f>IF(V280,COUNT(INDEX(AX:AX,X280):INDEX(AX:AX,ROW())),0)</f>
        <v>252</v>
      </c>
      <c r="BA280" s="14">
        <f t="shared" si="143"/>
        <v>1.1904761904761904E-2</v>
      </c>
      <c r="BB280" s="6">
        <f t="shared" si="132"/>
        <v>605644.46799999999</v>
      </c>
      <c r="BC280" s="6">
        <f>MEDIAN(INDEX(BB:BB,X280):INDEX(BB:BB,X280+Y280-1))</f>
        <v>377476.45140000002</v>
      </c>
      <c r="BD280" s="25">
        <f t="shared" si="133"/>
        <v>377476.45140000002</v>
      </c>
      <c r="BE280">
        <f t="shared" si="144"/>
        <v>0</v>
      </c>
      <c r="BF280" s="6">
        <f>SUM(INDEX(BE:BE,X280):INDEX(BE:BE,X280+Y280-1))</f>
        <v>3</v>
      </c>
      <c r="BG280" s="25">
        <f t="shared" si="134"/>
        <v>3</v>
      </c>
    </row>
    <row r="281" spans="1:59" x14ac:dyDescent="0.3">
      <c r="A281" s="1">
        <v>45762</v>
      </c>
      <c r="B281">
        <v>32.461399999999998</v>
      </c>
      <c r="C281">
        <v>33.232599999999998</v>
      </c>
      <c r="D281">
        <v>32.434800000000003</v>
      </c>
      <c r="E281">
        <v>32.7273</v>
      </c>
      <c r="F281">
        <v>18803</v>
      </c>
      <c r="G281" s="29">
        <v>1.6897526868686099</v>
      </c>
      <c r="H281" s="29">
        <v>5.1631289072688998E-2</v>
      </c>
      <c r="I281" s="29">
        <v>2.43772019078871E-2</v>
      </c>
      <c r="J281" s="29">
        <v>45.298591969921603</v>
      </c>
      <c r="K281" s="29">
        <v>-4.9614064432944797E-2</v>
      </c>
      <c r="L281" s="29">
        <v>0.6</v>
      </c>
      <c r="M281" s="29">
        <v>-2.0102519164274E-2</v>
      </c>
      <c r="N281" s="29">
        <v>1.4042147465355299</v>
      </c>
      <c r="O281" s="29">
        <v>-0.11105286317287601</v>
      </c>
      <c r="P281" s="29">
        <v>-2.0468014908048201E-4</v>
      </c>
      <c r="Q281" s="29">
        <v>1.1904761904761901E-2</v>
      </c>
      <c r="R281" s="30">
        <v>384975.87689999997</v>
      </c>
      <c r="S281" s="29">
        <v>2</v>
      </c>
      <c r="T281">
        <v>532.96900000000005</v>
      </c>
      <c r="U281" s="21"/>
      <c r="V281">
        <v>271</v>
      </c>
      <c r="W281" t="b">
        <f>V281&gt;=$C$4</f>
        <v>1</v>
      </c>
      <c r="X281">
        <f>IF(V281&lt;=$C$5,11,ROW()-$C$5+1)</f>
        <v>30</v>
      </c>
      <c r="Y281" s="14">
        <f t="shared" si="127"/>
        <v>252</v>
      </c>
      <c r="Z281" s="10">
        <f t="shared" si="135"/>
        <v>0.79779999999999518</v>
      </c>
      <c r="AA281" s="15">
        <f t="shared" si="136"/>
        <v>2.4377201907887152E-2</v>
      </c>
      <c r="AB281" s="15">
        <f t="shared" si="137"/>
        <v>1.689752686868617</v>
      </c>
      <c r="AC281" s="10">
        <f t="shared" si="128"/>
        <v>5.1631289072689074E-2</v>
      </c>
      <c r="AD281">
        <f t="shared" si="138"/>
        <v>-6.7000000000021487E-3</v>
      </c>
      <c r="AE281">
        <f t="shared" si="145"/>
        <v>0</v>
      </c>
      <c r="AF281">
        <f t="shared" si="146"/>
        <v>6.7000000000021487E-3</v>
      </c>
      <c r="AG281">
        <f t="shared" si="148"/>
        <v>0.47081161645408809</v>
      </c>
      <c r="AH281">
        <f t="shared" si="148"/>
        <v>0.56853993045158235</v>
      </c>
      <c r="AI281">
        <f t="shared" si="139"/>
        <v>0.82810650798111896</v>
      </c>
      <c r="AJ281">
        <f t="shared" si="147"/>
        <v>45.298591978409597</v>
      </c>
      <c r="AK281" s="14">
        <f t="shared" si="129"/>
        <v>45.298591978409597</v>
      </c>
      <c r="AM281" s="14">
        <f t="shared" si="120"/>
        <v>-4.9614064432944804E-2</v>
      </c>
      <c r="AN281" s="36">
        <f t="shared" si="140"/>
        <v>-2.0468014908048282E-4</v>
      </c>
      <c r="AO281">
        <f t="shared" si="149"/>
        <v>0</v>
      </c>
      <c r="AP281" s="14">
        <f t="shared" si="150"/>
        <v>0.6</v>
      </c>
      <c r="AQ281">
        <f t="shared" si="141"/>
        <v>-2.7990607429859704E-3</v>
      </c>
      <c r="AR281">
        <f t="shared" si="142"/>
        <v>2.5943805939054885E-3</v>
      </c>
      <c r="AS281">
        <f t="shared" si="124"/>
        <v>-3.0735055596627678E-4</v>
      </c>
      <c r="AT281">
        <f t="shared" si="125"/>
        <v>1.5289156222394804E-2</v>
      </c>
      <c r="AU281" s="14">
        <f t="shared" si="130"/>
        <v>-2.0102519164274402E-2</v>
      </c>
      <c r="AV281" s="19">
        <f t="shared" si="126"/>
        <v>1.4042147465355381</v>
      </c>
      <c r="AW281" s="19">
        <f t="shared" si="121"/>
        <v>-0.11105286317287699</v>
      </c>
      <c r="AX281">
        <f t="shared" si="131"/>
        <v>0</v>
      </c>
      <c r="AY281">
        <f>IF(W281,SUMPRODUCT(INDEX(AX:AX,X281):INDEX(AX:AX,X281+Y281)),0)</f>
        <v>3</v>
      </c>
      <c r="AZ281">
        <f>IF(V281,COUNT(INDEX(AX:AX,X281):INDEX(AX:AX,ROW())),0)</f>
        <v>252</v>
      </c>
      <c r="BA281" s="14">
        <f t="shared" si="143"/>
        <v>1.1904761904761904E-2</v>
      </c>
      <c r="BB281" s="6">
        <f t="shared" si="132"/>
        <v>615371.42189999996</v>
      </c>
      <c r="BC281" s="6">
        <f>MEDIAN(INDEX(BB:BB,X281):INDEX(BB:BB,X281+Y281-1))</f>
        <v>384975.87690000003</v>
      </c>
      <c r="BD281" s="25">
        <f t="shared" si="133"/>
        <v>384975.87690000003</v>
      </c>
      <c r="BE281">
        <f t="shared" si="144"/>
        <v>0</v>
      </c>
      <c r="BF281" s="6">
        <f>SUM(INDEX(BE:BE,X281):INDEX(BE:BE,X281+Y281-1))</f>
        <v>2</v>
      </c>
      <c r="BG281" s="25">
        <f t="shared" si="134"/>
        <v>2</v>
      </c>
    </row>
    <row r="282" spans="1:59" x14ac:dyDescent="0.3">
      <c r="A282" s="1">
        <v>45763</v>
      </c>
      <c r="B282">
        <v>32.634300000000003</v>
      </c>
      <c r="C282">
        <v>32.893500000000003</v>
      </c>
      <c r="D282">
        <v>32.082500000000003</v>
      </c>
      <c r="E282">
        <v>32.4681</v>
      </c>
      <c r="F282">
        <v>22714</v>
      </c>
      <c r="G282" s="29">
        <v>1.62698463780657</v>
      </c>
      <c r="H282" s="29">
        <v>5.0110250917256398E-2</v>
      </c>
      <c r="I282" s="29">
        <v>2.49783633782081E-2</v>
      </c>
      <c r="J282" s="29">
        <v>44.445960276702401</v>
      </c>
      <c r="K282" s="29">
        <v>-6.2030373852024902E-2</v>
      </c>
      <c r="L282" s="29">
        <v>0.4</v>
      </c>
      <c r="M282" s="29">
        <v>-1.7327329256814902E-2</v>
      </c>
      <c r="N282" s="29">
        <v>1.3820020038955101</v>
      </c>
      <c r="O282" s="29">
        <v>-0.118093318629501</v>
      </c>
      <c r="P282" s="29">
        <v>-7.9199934000054803E-3</v>
      </c>
      <c r="Q282" s="29">
        <v>1.1904761904761901E-2</v>
      </c>
      <c r="R282" s="30">
        <v>394105.68329999998</v>
      </c>
      <c r="S282" s="29">
        <v>2</v>
      </c>
      <c r="T282">
        <v>521.12199999999996</v>
      </c>
      <c r="U282" s="21"/>
      <c r="V282">
        <v>272</v>
      </c>
      <c r="W282" t="b">
        <f>V282&gt;=$C$4</f>
        <v>1</v>
      </c>
      <c r="X282">
        <f>IF(V282&lt;=$C$5,11,ROW()-$C$5+1)</f>
        <v>31</v>
      </c>
      <c r="Y282" s="14">
        <f t="shared" si="127"/>
        <v>252</v>
      </c>
      <c r="Z282" s="10">
        <f t="shared" si="135"/>
        <v>0.81099999999999994</v>
      </c>
      <c r="AA282" s="15">
        <f t="shared" si="136"/>
        <v>2.4978363378208149E-2</v>
      </c>
      <c r="AB282" s="15">
        <f t="shared" si="137"/>
        <v>1.6269846378065729</v>
      </c>
      <c r="AC282" s="10">
        <f t="shared" si="128"/>
        <v>5.0110250917256412E-2</v>
      </c>
      <c r="AD282">
        <f t="shared" si="138"/>
        <v>-0.25919999999999987</v>
      </c>
      <c r="AE282">
        <f t="shared" si="145"/>
        <v>0</v>
      </c>
      <c r="AF282">
        <f t="shared" si="146"/>
        <v>0.25919999999999987</v>
      </c>
      <c r="AG282">
        <f t="shared" si="148"/>
        <v>0.43718221527879608</v>
      </c>
      <c r="AH282">
        <f t="shared" si="148"/>
        <v>0.54644422113361213</v>
      </c>
      <c r="AI282">
        <f t="shared" si="139"/>
        <v>0.80004911456809025</v>
      </c>
      <c r="AJ282">
        <f t="shared" si="147"/>
        <v>44.445960284814596</v>
      </c>
      <c r="AK282" s="14">
        <f t="shared" si="129"/>
        <v>44.445960284814596</v>
      </c>
      <c r="AM282" s="14">
        <f t="shared" si="120"/>
        <v>-6.2030373852024923E-2</v>
      </c>
      <c r="AN282" s="36">
        <f t="shared" si="140"/>
        <v>-7.9199934000054872E-3</v>
      </c>
      <c r="AO282">
        <f t="shared" si="149"/>
        <v>0</v>
      </c>
      <c r="AP282" s="14">
        <f t="shared" si="150"/>
        <v>0.4</v>
      </c>
      <c r="AQ282">
        <f t="shared" si="141"/>
        <v>-2.2228309714073635E-2</v>
      </c>
      <c r="AR282">
        <f t="shared" si="142"/>
        <v>1.4308316314068155E-2</v>
      </c>
      <c r="AS282">
        <f t="shared" si="124"/>
        <v>-2.6555852327032377E-4</v>
      </c>
      <c r="AT282">
        <f t="shared" si="125"/>
        <v>1.5325992790601234E-2</v>
      </c>
      <c r="AU282" s="14">
        <f t="shared" si="130"/>
        <v>-1.732732925681521E-2</v>
      </c>
      <c r="AV282" s="19">
        <f t="shared" si="126"/>
        <v>1.3820020038955141</v>
      </c>
      <c r="AW282" s="19">
        <f t="shared" si="121"/>
        <v>-0.11809331862950156</v>
      </c>
      <c r="AX282">
        <f t="shared" si="131"/>
        <v>0</v>
      </c>
      <c r="AY282">
        <f>IF(W282,SUMPRODUCT(INDEX(AX:AX,X282):INDEX(AX:AX,X282+Y282)),0)</f>
        <v>3</v>
      </c>
      <c r="AZ282">
        <f>IF(V282,COUNT(INDEX(AX:AX,X282):INDEX(AX:AX,ROW())),0)</f>
        <v>252</v>
      </c>
      <c r="BA282" s="14">
        <f t="shared" si="143"/>
        <v>1.1904761904761904E-2</v>
      </c>
      <c r="BB282" s="6">
        <f t="shared" si="132"/>
        <v>737480.42339999997</v>
      </c>
      <c r="BC282" s="6">
        <f>MEDIAN(INDEX(BB:BB,X282):INDEX(BB:BB,X282+Y282-1))</f>
        <v>394105.68330000003</v>
      </c>
      <c r="BD282" s="25">
        <f t="shared" si="133"/>
        <v>394105.68330000003</v>
      </c>
      <c r="BE282">
        <f t="shared" si="144"/>
        <v>0</v>
      </c>
      <c r="BF282" s="6">
        <f>SUM(INDEX(BE:BE,X282):INDEX(BE:BE,X282+Y282-1))</f>
        <v>2</v>
      </c>
      <c r="BG282" s="25">
        <f t="shared" si="134"/>
        <v>2</v>
      </c>
    </row>
    <row r="283" spans="1:59" x14ac:dyDescent="0.3">
      <c r="A283" s="1">
        <v>45764</v>
      </c>
      <c r="B283">
        <v>32.827100000000002</v>
      </c>
      <c r="C283">
        <v>33.112900000000003</v>
      </c>
      <c r="D283">
        <v>32.827100000000002</v>
      </c>
      <c r="E283">
        <v>32.966700000000003</v>
      </c>
      <c r="F283">
        <v>23466</v>
      </c>
      <c r="G283" s="29">
        <v>1.55682859224896</v>
      </c>
      <c r="H283" s="29">
        <v>4.7224277596755501E-2</v>
      </c>
      <c r="I283" s="29">
        <v>1.95591308805553E-2</v>
      </c>
      <c r="J283" s="29">
        <v>46.530845013325802</v>
      </c>
      <c r="K283" s="29">
        <v>-8.4209999972220603E-2</v>
      </c>
      <c r="L283" s="29">
        <v>0.6</v>
      </c>
      <c r="M283" s="29">
        <v>-1.6159761607885601E-2</v>
      </c>
      <c r="N283" s="29">
        <v>1.38373082371879</v>
      </c>
      <c r="O283" s="29">
        <v>-0.10455022028585501</v>
      </c>
      <c r="P283" s="29">
        <v>1.53566115664298E-2</v>
      </c>
      <c r="Q283" s="29">
        <v>1.1904761904761901E-2</v>
      </c>
      <c r="R283" s="30">
        <v>397839.42090000003</v>
      </c>
      <c r="S283" s="29">
        <v>2</v>
      </c>
      <c r="T283">
        <v>521.86500000000001</v>
      </c>
      <c r="U283" s="21"/>
      <c r="V283">
        <v>273</v>
      </c>
      <c r="W283" t="b">
        <f>V283&gt;=$C$4</f>
        <v>1</v>
      </c>
      <c r="X283">
        <f>IF(V283&lt;=$C$5,11,ROW()-$C$5+1)</f>
        <v>32</v>
      </c>
      <c r="Y283" s="14">
        <f t="shared" si="127"/>
        <v>252</v>
      </c>
      <c r="Z283" s="10">
        <f t="shared" si="135"/>
        <v>0.64480000000000359</v>
      </c>
      <c r="AA283" s="15">
        <f t="shared" si="136"/>
        <v>1.9559130880555334E-2</v>
      </c>
      <c r="AB283" s="15">
        <f t="shared" si="137"/>
        <v>1.5568285922489606</v>
      </c>
      <c r="AC283" s="10">
        <f t="shared" si="128"/>
        <v>4.7224277596755529E-2</v>
      </c>
      <c r="AD283">
        <f t="shared" si="138"/>
        <v>0.49860000000000326</v>
      </c>
      <c r="AE283">
        <f t="shared" si="145"/>
        <v>0.49860000000000326</v>
      </c>
      <c r="AF283">
        <f t="shared" si="146"/>
        <v>0</v>
      </c>
      <c r="AG283">
        <f t="shared" si="148"/>
        <v>0.44156919990173943</v>
      </c>
      <c r="AH283">
        <f t="shared" si="148"/>
        <v>0.50741249105263986</v>
      </c>
      <c r="AI283">
        <f t="shared" si="139"/>
        <v>0.87023714963282262</v>
      </c>
      <c r="AJ283">
        <f t="shared" si="147"/>
        <v>46.530845021641952</v>
      </c>
      <c r="AK283" s="14">
        <f t="shared" si="129"/>
        <v>46.530845021641952</v>
      </c>
      <c r="AM283" s="14">
        <f t="shared" si="120"/>
        <v>-8.4209999972220673E-2</v>
      </c>
      <c r="AN283" s="36">
        <f t="shared" si="140"/>
        <v>1.5356611566429867E-2</v>
      </c>
      <c r="AO283">
        <f t="shared" si="149"/>
        <v>1</v>
      </c>
      <c r="AP283" s="14">
        <f t="shared" si="150"/>
        <v>0.6</v>
      </c>
      <c r="AQ283">
        <f t="shared" si="141"/>
        <v>1.4257697813564452E-3</v>
      </c>
      <c r="AR283">
        <f t="shared" si="142"/>
        <v>1.3930841785073355E-2</v>
      </c>
      <c r="AS283">
        <f t="shared" si="124"/>
        <v>-2.4792184806105526E-4</v>
      </c>
      <c r="AT283">
        <f t="shared" si="125"/>
        <v>1.5341924842509375E-2</v>
      </c>
      <c r="AU283" s="14">
        <f t="shared" si="130"/>
        <v>-1.6159761607885986E-2</v>
      </c>
      <c r="AV283" s="19">
        <f t="shared" si="126"/>
        <v>1.3837308237188026</v>
      </c>
      <c r="AW283" s="19">
        <f t="shared" si="121"/>
        <v>-0.10455022028585548</v>
      </c>
      <c r="AX283">
        <f t="shared" si="131"/>
        <v>0</v>
      </c>
      <c r="AY283">
        <f>IF(W283,SUMPRODUCT(INDEX(AX:AX,X283):INDEX(AX:AX,X283+Y283)),0)</f>
        <v>3</v>
      </c>
      <c r="AZ283">
        <f>IF(V283,COUNT(INDEX(AX:AX,X283):INDEX(AX:AX,ROW())),0)</f>
        <v>252</v>
      </c>
      <c r="BA283" s="14">
        <f t="shared" si="143"/>
        <v>1.1904761904761904E-2</v>
      </c>
      <c r="BB283" s="6">
        <f t="shared" si="132"/>
        <v>773596.58220000006</v>
      </c>
      <c r="BC283" s="6">
        <f>MEDIAN(INDEX(BB:BB,X283):INDEX(BB:BB,X283+Y283-1))</f>
        <v>397839.42090000003</v>
      </c>
      <c r="BD283" s="25">
        <f t="shared" si="133"/>
        <v>397839.42090000003</v>
      </c>
      <c r="BE283">
        <f t="shared" si="144"/>
        <v>0</v>
      </c>
      <c r="BF283" s="6">
        <f>SUM(INDEX(BE:BE,X283):INDEX(BE:BE,X283+Y283-1))</f>
        <v>2</v>
      </c>
      <c r="BG283" s="25">
        <f t="shared" si="134"/>
        <v>2</v>
      </c>
    </row>
    <row r="284" spans="1:59" x14ac:dyDescent="0.3">
      <c r="A284" s="1">
        <v>45768</v>
      </c>
      <c r="B284">
        <v>32.813800000000001</v>
      </c>
      <c r="C284">
        <v>32.813800000000001</v>
      </c>
      <c r="D284">
        <v>31.564</v>
      </c>
      <c r="E284">
        <v>31.922899999999998</v>
      </c>
      <c r="F284">
        <v>19404</v>
      </c>
      <c r="G284" s="29">
        <v>1.54581940708832</v>
      </c>
      <c r="H284" s="29">
        <v>4.84235269066507E-2</v>
      </c>
      <c r="I284" s="29">
        <v>4.39402435242413E-2</v>
      </c>
      <c r="J284" s="29">
        <v>42.9010351385351</v>
      </c>
      <c r="K284" s="29">
        <v>-0.104941161956725</v>
      </c>
      <c r="L284" s="29">
        <v>0.4</v>
      </c>
      <c r="M284" s="29">
        <v>-2.4468616009904499E-2</v>
      </c>
      <c r="N284" s="29">
        <v>1.3848710826899</v>
      </c>
      <c r="O284" s="29">
        <v>-0.13290217786928399</v>
      </c>
      <c r="P284" s="29">
        <v>-3.1662253122089999E-2</v>
      </c>
      <c r="Q284" s="29">
        <v>1.1904761904761901E-2</v>
      </c>
      <c r="R284" s="30">
        <v>400382.78615</v>
      </c>
      <c r="S284" s="29">
        <v>2</v>
      </c>
      <c r="T284">
        <v>509.44299999999998</v>
      </c>
      <c r="U284" s="21"/>
      <c r="V284">
        <v>274</v>
      </c>
      <c r="W284" t="b">
        <f>V284&gt;=$C$4</f>
        <v>1</v>
      </c>
      <c r="X284">
        <f>IF(V284&lt;=$C$5,11,ROW()-$C$5+1)</f>
        <v>33</v>
      </c>
      <c r="Y284" s="14">
        <f t="shared" si="127"/>
        <v>252</v>
      </c>
      <c r="Z284" s="10">
        <f t="shared" si="135"/>
        <v>1.4027000000000029</v>
      </c>
      <c r="AA284" s="15">
        <f t="shared" si="136"/>
        <v>4.3940243524241314E-2</v>
      </c>
      <c r="AB284" s="15">
        <f t="shared" si="137"/>
        <v>1.5458194070883207</v>
      </c>
      <c r="AC284" s="10">
        <f t="shared" si="128"/>
        <v>4.8423526906650735E-2</v>
      </c>
      <c r="AD284">
        <f t="shared" si="138"/>
        <v>-1.0438000000000045</v>
      </c>
      <c r="AE284">
        <f t="shared" si="145"/>
        <v>0</v>
      </c>
      <c r="AF284">
        <f t="shared" si="146"/>
        <v>1.0438000000000045</v>
      </c>
      <c r="AG284">
        <f t="shared" si="148"/>
        <v>0.41002854276590089</v>
      </c>
      <c r="AH284">
        <f t="shared" si="148"/>
        <v>0.54572588454888016</v>
      </c>
      <c r="AI284">
        <f t="shared" si="139"/>
        <v>0.75134523462241054</v>
      </c>
      <c r="AJ284">
        <f t="shared" si="147"/>
        <v>42.901035145386416</v>
      </c>
      <c r="AK284" s="14">
        <f t="shared" si="129"/>
        <v>42.901035145386416</v>
      </c>
      <c r="AM284" s="14">
        <f t="shared" si="120"/>
        <v>-0.10494116195672598</v>
      </c>
      <c r="AN284" s="36">
        <f t="shared" si="140"/>
        <v>-3.1662253122090034E-2</v>
      </c>
      <c r="AO284">
        <f t="shared" si="149"/>
        <v>0</v>
      </c>
      <c r="AP284" s="14">
        <f t="shared" si="150"/>
        <v>0.4</v>
      </c>
      <c r="AQ284">
        <f t="shared" si="141"/>
        <v>-2.3803090837668739E-2</v>
      </c>
      <c r="AR284">
        <f t="shared" si="142"/>
        <v>-7.8591622844212602E-3</v>
      </c>
      <c r="AS284">
        <f t="shared" si="124"/>
        <v>-3.7612396356286049E-4</v>
      </c>
      <c r="AT284">
        <f t="shared" si="125"/>
        <v>1.5371689326875236E-2</v>
      </c>
      <c r="AU284" s="14">
        <f t="shared" si="130"/>
        <v>-2.4468616009904694E-2</v>
      </c>
      <c r="AV284" s="19">
        <f t="shared" si="126"/>
        <v>1.3848710826899078</v>
      </c>
      <c r="AW284" s="19">
        <f t="shared" si="121"/>
        <v>-0.13290217786928449</v>
      </c>
      <c r="AX284">
        <f t="shared" si="131"/>
        <v>0</v>
      </c>
      <c r="AY284">
        <f>IF(W284,SUMPRODUCT(INDEX(AX:AX,X284):INDEX(AX:AX,X284+Y284)),0)</f>
        <v>3</v>
      </c>
      <c r="AZ284">
        <f>IF(V284,COUNT(INDEX(AX:AX,X284):INDEX(AX:AX,ROW())),0)</f>
        <v>252</v>
      </c>
      <c r="BA284" s="14">
        <f t="shared" si="143"/>
        <v>1.1904761904761904E-2</v>
      </c>
      <c r="BB284" s="6">
        <f t="shared" si="132"/>
        <v>619431.95159999991</v>
      </c>
      <c r="BC284" s="6">
        <f>MEDIAN(INDEX(BB:BB,X284):INDEX(BB:BB,X284+Y284-1))</f>
        <v>400382.78615</v>
      </c>
      <c r="BD284" s="25">
        <f t="shared" si="133"/>
        <v>400382.78615</v>
      </c>
      <c r="BE284">
        <f t="shared" si="144"/>
        <v>0</v>
      </c>
      <c r="BF284" s="6">
        <f>SUM(INDEX(BE:BE,X284):INDEX(BE:BE,X284+Y284-1))</f>
        <v>2</v>
      </c>
      <c r="BG284" s="25">
        <f t="shared" si="134"/>
        <v>2</v>
      </c>
    </row>
    <row r="285" spans="1:59" x14ac:dyDescent="0.3">
      <c r="A285" s="1">
        <v>45769</v>
      </c>
      <c r="B285">
        <v>32.640900000000002</v>
      </c>
      <c r="C285">
        <v>33.272500000000001</v>
      </c>
      <c r="D285">
        <v>32.640900000000002</v>
      </c>
      <c r="E285">
        <v>33.245899999999999</v>
      </c>
      <c r="F285">
        <v>27527</v>
      </c>
      <c r="G285" s="29">
        <v>1.5318037351534399</v>
      </c>
      <c r="H285" s="29">
        <v>4.6074966692236902E-2</v>
      </c>
      <c r="I285" s="29">
        <v>4.0594479319254403E-2</v>
      </c>
      <c r="J285" s="29">
        <v>48.395869874448103</v>
      </c>
      <c r="K285" s="29">
        <v>-6.6281150034123396E-2</v>
      </c>
      <c r="L285" s="29">
        <v>0.4</v>
      </c>
      <c r="M285" s="29">
        <v>-2.7988246240715799E-2</v>
      </c>
      <c r="N285" s="29">
        <v>1.38394403011321</v>
      </c>
      <c r="O285" s="29">
        <v>-9.6966519809429705E-2</v>
      </c>
      <c r="P285" s="29">
        <v>4.1443603181415101E-2</v>
      </c>
      <c r="Q285" s="29">
        <v>1.1904761904761901E-2</v>
      </c>
      <c r="R285" s="30">
        <v>401795.47855</v>
      </c>
      <c r="S285" s="29">
        <v>2</v>
      </c>
      <c r="T285">
        <v>522.69799999999998</v>
      </c>
      <c r="U285" s="21"/>
      <c r="V285">
        <v>275</v>
      </c>
      <c r="W285" t="b">
        <f>V285&gt;=$C$4</f>
        <v>1</v>
      </c>
      <c r="X285">
        <f>IF(V285&lt;=$C$5,11,ROW()-$C$5+1)</f>
        <v>34</v>
      </c>
      <c r="Y285" s="14">
        <f t="shared" si="127"/>
        <v>252</v>
      </c>
      <c r="Z285" s="10">
        <f t="shared" si="135"/>
        <v>1.3496000000000024</v>
      </c>
      <c r="AA285" s="15">
        <f t="shared" si="136"/>
        <v>4.059447931925448E-2</v>
      </c>
      <c r="AB285" s="15">
        <f t="shared" si="137"/>
        <v>1.5318037351534408</v>
      </c>
      <c r="AC285" s="10">
        <f t="shared" si="128"/>
        <v>4.6074966692236964E-2</v>
      </c>
      <c r="AD285">
        <f t="shared" si="138"/>
        <v>1.3230000000000004</v>
      </c>
      <c r="AE285">
        <f t="shared" si="145"/>
        <v>1.3230000000000004</v>
      </c>
      <c r="AF285">
        <f t="shared" si="146"/>
        <v>0</v>
      </c>
      <c r="AG285">
        <f t="shared" si="148"/>
        <v>0.47524078971119371</v>
      </c>
      <c r="AH285">
        <f t="shared" si="148"/>
        <v>0.50674546422396016</v>
      </c>
      <c r="AI285">
        <f t="shared" si="139"/>
        <v>0.93782939022253842</v>
      </c>
      <c r="AJ285">
        <f t="shared" si="147"/>
        <v>48.395869881756674</v>
      </c>
      <c r="AK285" s="14">
        <f t="shared" si="129"/>
        <v>48.395869881756674</v>
      </c>
      <c r="AM285" s="14">
        <f t="shared" si="120"/>
        <v>-6.6281150034123493E-2</v>
      </c>
      <c r="AN285" s="36">
        <f t="shared" si="140"/>
        <v>4.1443603181415156E-2</v>
      </c>
      <c r="AO285">
        <f t="shared" si="149"/>
        <v>1</v>
      </c>
      <c r="AP285" s="14">
        <f t="shared" si="150"/>
        <v>0.4</v>
      </c>
      <c r="AQ285">
        <f t="shared" si="141"/>
        <v>2.6018612484615566E-2</v>
      </c>
      <c r="AR285">
        <f t="shared" si="142"/>
        <v>1.5424990696799534E-2</v>
      </c>
      <c r="AS285">
        <f t="shared" si="124"/>
        <v>-4.2852867751778251E-4</v>
      </c>
      <c r="AT285">
        <f t="shared" si="125"/>
        <v>1.5311022842666604E-2</v>
      </c>
      <c r="AU285" s="14">
        <f t="shared" si="130"/>
        <v>-2.7988246240716139E-2</v>
      </c>
      <c r="AV285" s="19">
        <f t="shared" si="126"/>
        <v>1.3839440301132151</v>
      </c>
      <c r="AW285" s="19">
        <f t="shared" si="121"/>
        <v>-9.6966519809429719E-2</v>
      </c>
      <c r="AX285">
        <f t="shared" si="131"/>
        <v>0</v>
      </c>
      <c r="AY285">
        <f>IF(W285,SUMPRODUCT(INDEX(AX:AX,X285):INDEX(AX:AX,X285+Y285)),0)</f>
        <v>3</v>
      </c>
      <c r="AZ285">
        <f>IF(V285,COUNT(INDEX(AX:AX,X285):INDEX(AX:AX,ROW())),0)</f>
        <v>252</v>
      </c>
      <c r="BA285" s="14">
        <f t="shared" si="143"/>
        <v>1.1904761904761904E-2</v>
      </c>
      <c r="BB285" s="6">
        <f t="shared" si="132"/>
        <v>915159.88929999992</v>
      </c>
      <c r="BC285" s="6">
        <f>MEDIAN(INDEX(BB:BB,X285):INDEX(BB:BB,X285+Y285-1))</f>
        <v>401795.47855</v>
      </c>
      <c r="BD285" s="25">
        <f t="shared" si="133"/>
        <v>401795.47855</v>
      </c>
      <c r="BE285">
        <f t="shared" si="144"/>
        <v>0</v>
      </c>
      <c r="BF285" s="6">
        <f>SUM(INDEX(BE:BE,X285):INDEX(BE:BE,X285+Y285-1))</f>
        <v>2</v>
      </c>
      <c r="BG285" s="25">
        <f t="shared" si="134"/>
        <v>2</v>
      </c>
    </row>
    <row r="286" spans="1:59" x14ac:dyDescent="0.3">
      <c r="A286" s="1">
        <v>45770</v>
      </c>
      <c r="B286">
        <v>34.369399999999999</v>
      </c>
      <c r="C286">
        <v>35.2136</v>
      </c>
      <c r="D286">
        <v>33.857500000000002</v>
      </c>
      <c r="E286">
        <v>33.930599999999998</v>
      </c>
      <c r="F286">
        <v>13387</v>
      </c>
      <c r="G286" s="29">
        <v>1.5629391826424801</v>
      </c>
      <c r="H286" s="29">
        <v>4.6062821837588502E-2</v>
      </c>
      <c r="I286" s="29">
        <v>5.7991901115806897E-2</v>
      </c>
      <c r="J286" s="29">
        <v>51.022782772397399</v>
      </c>
      <c r="K286" s="29">
        <v>-7.8368526556532897E-2</v>
      </c>
      <c r="L286" s="29">
        <v>0.6</v>
      </c>
      <c r="M286" s="29">
        <v>-3.89345793964831E-3</v>
      </c>
      <c r="N286" s="29">
        <v>1.38892053392929</v>
      </c>
      <c r="O286" s="29">
        <v>-7.6366506968641099E-2</v>
      </c>
      <c r="P286" s="29">
        <v>2.0595020739399401E-2</v>
      </c>
      <c r="Q286" s="29">
        <v>1.1904761904761901E-2</v>
      </c>
      <c r="R286" s="30">
        <v>401795.47855</v>
      </c>
      <c r="S286" s="29">
        <v>2</v>
      </c>
      <c r="T286">
        <v>530.79700000000003</v>
      </c>
      <c r="U286" s="21"/>
      <c r="V286">
        <v>276</v>
      </c>
      <c r="W286" t="b">
        <f>V286&gt;=$C$4</f>
        <v>1</v>
      </c>
      <c r="X286">
        <f>IF(V286&lt;=$C$5,11,ROW()-$C$5+1)</f>
        <v>35</v>
      </c>
      <c r="Y286" s="14">
        <f t="shared" si="127"/>
        <v>252</v>
      </c>
      <c r="Z286" s="10">
        <f t="shared" si="135"/>
        <v>1.9677000000000007</v>
      </c>
      <c r="AA286" s="15">
        <f t="shared" si="136"/>
        <v>5.7991901115806994E-2</v>
      </c>
      <c r="AB286" s="15">
        <f t="shared" si="137"/>
        <v>1.5629391826424808</v>
      </c>
      <c r="AC286" s="10">
        <f t="shared" si="128"/>
        <v>4.6062821837588516E-2</v>
      </c>
      <c r="AD286">
        <f t="shared" si="138"/>
        <v>0.68469999999999942</v>
      </c>
      <c r="AE286">
        <f t="shared" si="145"/>
        <v>0.68469999999999942</v>
      </c>
      <c r="AF286">
        <f t="shared" si="146"/>
        <v>0</v>
      </c>
      <c r="AG286">
        <f t="shared" ref="AG286:AH301" si="151">(AE286+13*AG285)/14</f>
        <v>0.49020216187467985</v>
      </c>
      <c r="AH286">
        <f t="shared" si="151"/>
        <v>0.47054935963653444</v>
      </c>
      <c r="AI286">
        <f t="shared" si="139"/>
        <v>1.0417656550490808</v>
      </c>
      <c r="AJ286">
        <f t="shared" si="147"/>
        <v>51.022782779840533</v>
      </c>
      <c r="AK286" s="14">
        <f t="shared" si="129"/>
        <v>51.022782779840533</v>
      </c>
      <c r="AM286" s="14">
        <f t="shared" si="120"/>
        <v>-7.8368526556532925E-2</v>
      </c>
      <c r="AN286" s="36">
        <f t="shared" si="140"/>
        <v>2.059502073939945E-2</v>
      </c>
      <c r="AO286">
        <f t="shared" si="149"/>
        <v>1</v>
      </c>
      <c r="AP286" s="14">
        <f t="shared" si="150"/>
        <v>0.6</v>
      </c>
      <c r="AQ286">
        <f t="shared" si="141"/>
        <v>1.549460682841719E-2</v>
      </c>
      <c r="AR286">
        <f t="shared" si="142"/>
        <v>5.1004139109822114E-3</v>
      </c>
      <c r="AS286">
        <f t="shared" si="124"/>
        <v>-5.900864049169038E-5</v>
      </c>
      <c r="AT286">
        <f t="shared" si="125"/>
        <v>1.5155843829923328E-2</v>
      </c>
      <c r="AU286" s="14">
        <f t="shared" si="130"/>
        <v>-3.893457939648676E-3</v>
      </c>
      <c r="AV286" s="19">
        <f t="shared" si="126"/>
        <v>1.3889205339292967</v>
      </c>
      <c r="AW286" s="19">
        <f t="shared" si="121"/>
        <v>-7.6366506968641112E-2</v>
      </c>
      <c r="AX286">
        <f t="shared" si="131"/>
        <v>0</v>
      </c>
      <c r="AY286">
        <f>IF(W286,SUMPRODUCT(INDEX(AX:AX,X286):INDEX(AX:AX,X286+Y286)),0)</f>
        <v>3</v>
      </c>
      <c r="AZ286">
        <f>IF(V286,COUNT(INDEX(AX:AX,X286):INDEX(AX:AX,ROW())),0)</f>
        <v>252</v>
      </c>
      <c r="BA286" s="14">
        <f t="shared" si="143"/>
        <v>1.1904761904761904E-2</v>
      </c>
      <c r="BB286" s="6">
        <f t="shared" si="132"/>
        <v>454228.94219999999</v>
      </c>
      <c r="BC286" s="6">
        <f>MEDIAN(INDEX(BB:BB,X286):INDEX(BB:BB,X286+Y286-1))</f>
        <v>401795.47855</v>
      </c>
      <c r="BD286" s="25">
        <f t="shared" si="133"/>
        <v>401795.47855</v>
      </c>
      <c r="BE286">
        <f t="shared" si="144"/>
        <v>0</v>
      </c>
      <c r="BF286" s="6">
        <f>SUM(INDEX(BE:BE,X286):INDEX(BE:BE,X286+Y286-1))</f>
        <v>2</v>
      </c>
      <c r="BG286" s="25">
        <f t="shared" si="134"/>
        <v>2</v>
      </c>
    </row>
    <row r="287" spans="1:59" x14ac:dyDescent="0.3">
      <c r="A287" s="1">
        <v>45771</v>
      </c>
      <c r="B287">
        <v>33.950499999999998</v>
      </c>
      <c r="C287">
        <v>35.256799999999998</v>
      </c>
      <c r="D287">
        <v>33.950499999999998</v>
      </c>
      <c r="E287">
        <v>35.220300000000002</v>
      </c>
      <c r="F287">
        <v>17449</v>
      </c>
      <c r="G287" s="29">
        <v>1.5460292410251599</v>
      </c>
      <c r="H287" s="29">
        <v>4.3895970250825797E-2</v>
      </c>
      <c r="I287" s="29">
        <v>3.7654420887953802E-2</v>
      </c>
      <c r="J287" s="29">
        <v>55.606842831130699</v>
      </c>
      <c r="K287" s="29">
        <v>-4.12592552264806E-2</v>
      </c>
      <c r="L287" s="29">
        <v>0.8</v>
      </c>
      <c r="M287" s="29">
        <v>1.06047874200866E-2</v>
      </c>
      <c r="N287" s="29">
        <v>1.3956680024079899</v>
      </c>
      <c r="O287" s="29">
        <v>-2.2868890208241999E-2</v>
      </c>
      <c r="P287" s="29">
        <v>3.8009937932132101E-2</v>
      </c>
      <c r="Q287" s="29">
        <v>1.1904761904761901E-2</v>
      </c>
      <c r="R287" s="30">
        <v>401795.47855</v>
      </c>
      <c r="S287" s="29">
        <v>2</v>
      </c>
      <c r="T287">
        <v>541.97</v>
      </c>
      <c r="U287" s="21"/>
      <c r="V287">
        <v>277</v>
      </c>
      <c r="W287" t="b">
        <f>V287&gt;=$C$4</f>
        <v>1</v>
      </c>
      <c r="X287">
        <f>IF(V287&lt;=$C$5,11,ROW()-$C$5+1)</f>
        <v>36</v>
      </c>
      <c r="Y287" s="14">
        <f t="shared" si="127"/>
        <v>252</v>
      </c>
      <c r="Z287" s="10">
        <f t="shared" si="135"/>
        <v>1.3262</v>
      </c>
      <c r="AA287" s="15">
        <f t="shared" si="136"/>
        <v>3.7654420887953823E-2</v>
      </c>
      <c r="AB287" s="15">
        <f t="shared" si="137"/>
        <v>1.5460292410251608</v>
      </c>
      <c r="AC287" s="10">
        <f t="shared" si="128"/>
        <v>4.3895970250825825E-2</v>
      </c>
      <c r="AD287">
        <f t="shared" si="138"/>
        <v>1.2897000000000034</v>
      </c>
      <c r="AE287">
        <f t="shared" si="145"/>
        <v>1.2897000000000034</v>
      </c>
      <c r="AF287">
        <f t="shared" si="146"/>
        <v>0</v>
      </c>
      <c r="AG287">
        <f t="shared" si="151"/>
        <v>0.54730915031220295</v>
      </c>
      <c r="AH287">
        <f t="shared" si="151"/>
        <v>0.43693869109106764</v>
      </c>
      <c r="AI287">
        <f t="shared" si="139"/>
        <v>1.2525994183429539</v>
      </c>
      <c r="AJ287">
        <f t="shared" si="147"/>
        <v>55.606842838678567</v>
      </c>
      <c r="AK287" s="14">
        <f t="shared" si="129"/>
        <v>55.606842838678567</v>
      </c>
      <c r="AM287" s="14">
        <f t="shared" si="120"/>
        <v>-4.1259255226480662E-2</v>
      </c>
      <c r="AN287" s="36">
        <f t="shared" si="140"/>
        <v>3.8009937932132143E-2</v>
      </c>
      <c r="AO287">
        <f t="shared" si="149"/>
        <v>1</v>
      </c>
      <c r="AP287" s="14">
        <f t="shared" si="150"/>
        <v>0.8</v>
      </c>
      <c r="AQ287">
        <f t="shared" si="141"/>
        <v>2.1049478425838819E-2</v>
      </c>
      <c r="AR287">
        <f t="shared" si="142"/>
        <v>1.6960459506293282E-2</v>
      </c>
      <c r="AS287">
        <f t="shared" si="124"/>
        <v>1.6228061798961605E-4</v>
      </c>
      <c r="AT287">
        <f t="shared" si="125"/>
        <v>1.5302580953413936E-2</v>
      </c>
      <c r="AU287" s="14">
        <f t="shared" si="130"/>
        <v>1.0604787420086283E-2</v>
      </c>
      <c r="AV287" s="19">
        <f t="shared" si="126"/>
        <v>1.3956680024079953</v>
      </c>
      <c r="AW287" s="19">
        <f t="shared" si="121"/>
        <v>-2.286889020824201E-2</v>
      </c>
      <c r="AX287">
        <f t="shared" si="131"/>
        <v>0</v>
      </c>
      <c r="AY287">
        <f>IF(W287,SUMPRODUCT(INDEX(AX:AX,X287):INDEX(AX:AX,X287+Y287)),0)</f>
        <v>3</v>
      </c>
      <c r="AZ287">
        <f>IF(V287,COUNT(INDEX(AX:AX,X287):INDEX(AX:AX,ROW())),0)</f>
        <v>252</v>
      </c>
      <c r="BA287" s="14">
        <f t="shared" si="143"/>
        <v>1.1904761904761904E-2</v>
      </c>
      <c r="BB287" s="6">
        <f t="shared" si="132"/>
        <v>614559.01470000006</v>
      </c>
      <c r="BC287" s="6">
        <f>MEDIAN(INDEX(BB:BB,X287):INDEX(BB:BB,X287+Y287-1))</f>
        <v>401795.47855</v>
      </c>
      <c r="BD287" s="25">
        <f t="shared" si="133"/>
        <v>401795.47855</v>
      </c>
      <c r="BE287">
        <f t="shared" si="144"/>
        <v>0</v>
      </c>
      <c r="BF287" s="6">
        <f>SUM(INDEX(BE:BE,X287):INDEX(BE:BE,X287+Y287-1))</f>
        <v>2</v>
      </c>
      <c r="BG287" s="25">
        <f t="shared" si="134"/>
        <v>2</v>
      </c>
    </row>
    <row r="288" spans="1:59" x14ac:dyDescent="0.3">
      <c r="A288" s="1">
        <v>45772</v>
      </c>
      <c r="B288">
        <v>34.901200000000003</v>
      </c>
      <c r="C288">
        <v>35.589199999999998</v>
      </c>
      <c r="D288">
        <v>34.901200000000003</v>
      </c>
      <c r="E288">
        <v>35.366500000000002</v>
      </c>
      <c r="F288">
        <v>27678</v>
      </c>
      <c r="G288" s="29">
        <v>1.4847414380947901</v>
      </c>
      <c r="H288" s="29">
        <v>4.1981576862137597E-2</v>
      </c>
      <c r="I288" s="29">
        <v>1.9453437575106199E-2</v>
      </c>
      <c r="J288" s="29">
        <v>56.108354922146603</v>
      </c>
      <c r="K288" s="29">
        <v>-1.8450624873374E-2</v>
      </c>
      <c r="L288" s="29">
        <v>0.8</v>
      </c>
      <c r="M288" s="29">
        <v>-2.37027801451032E-2</v>
      </c>
      <c r="N288" s="29">
        <v>1.3953267571644301</v>
      </c>
      <c r="O288" s="29">
        <v>-1.8812804137096802E-2</v>
      </c>
      <c r="P288" s="29">
        <v>4.15101518158556E-3</v>
      </c>
      <c r="Q288" s="29">
        <v>1.1904761904761901E-2</v>
      </c>
      <c r="R288" s="30">
        <v>405912.80294999998</v>
      </c>
      <c r="S288" s="29">
        <v>2</v>
      </c>
      <c r="T288">
        <v>545.88599999999997</v>
      </c>
      <c r="U288" s="21"/>
      <c r="V288">
        <v>278</v>
      </c>
      <c r="W288" t="b">
        <f>V288&gt;=$C$4</f>
        <v>1</v>
      </c>
      <c r="X288">
        <f>IF(V288&lt;=$C$5,11,ROW()-$C$5+1)</f>
        <v>37</v>
      </c>
      <c r="Y288" s="14">
        <f t="shared" si="127"/>
        <v>252</v>
      </c>
      <c r="Z288" s="10">
        <f t="shared" si="135"/>
        <v>0.68799999999999528</v>
      </c>
      <c r="AA288" s="15">
        <f t="shared" si="136"/>
        <v>1.9453437575106251E-2</v>
      </c>
      <c r="AB288" s="15">
        <f t="shared" si="137"/>
        <v>1.4847414380947919</v>
      </c>
      <c r="AC288" s="10">
        <f t="shared" si="128"/>
        <v>4.1981576862137666E-2</v>
      </c>
      <c r="AD288">
        <f t="shared" si="138"/>
        <v>0.14620000000000033</v>
      </c>
      <c r="AE288">
        <f t="shared" si="145"/>
        <v>0.14620000000000033</v>
      </c>
      <c r="AF288">
        <f t="shared" si="146"/>
        <v>0</v>
      </c>
      <c r="AG288">
        <f t="shared" si="151"/>
        <v>0.51865849671847419</v>
      </c>
      <c r="AH288">
        <f t="shared" si="151"/>
        <v>0.40572878458456285</v>
      </c>
      <c r="AI288">
        <f t="shared" si="139"/>
        <v>1.2783379351542514</v>
      </c>
      <c r="AJ288">
        <f t="shared" si="147"/>
        <v>56.108354929695864</v>
      </c>
      <c r="AK288" s="14">
        <f t="shared" si="129"/>
        <v>56.108354929695864</v>
      </c>
      <c r="AM288" s="14">
        <f t="shared" ref="AM288:AM310" si="152">E288/E267-1</f>
        <v>-1.8450624873374011E-2</v>
      </c>
      <c r="AN288" s="36">
        <f t="shared" si="140"/>
        <v>4.15101518158556E-3</v>
      </c>
      <c r="AO288">
        <f t="shared" si="149"/>
        <v>1</v>
      </c>
      <c r="AP288" s="14">
        <f t="shared" si="150"/>
        <v>0.8</v>
      </c>
      <c r="AQ288">
        <f t="shared" si="141"/>
        <v>7.225492185914284E-3</v>
      </c>
      <c r="AR288">
        <f t="shared" si="142"/>
        <v>-3.074477004328724E-3</v>
      </c>
      <c r="AS288">
        <f t="shared" si="124"/>
        <v>-3.5185695915840683E-4</v>
      </c>
      <c r="AT288">
        <f t="shared" si="125"/>
        <v>1.4844543846941534E-2</v>
      </c>
      <c r="AU288" s="14">
        <f t="shared" si="130"/>
        <v>-2.3702780145103682E-2</v>
      </c>
      <c r="AV288" s="19">
        <f t="shared" si="126"/>
        <v>1.3953267571644372</v>
      </c>
      <c r="AW288" s="19">
        <f t="shared" ref="AW288:AW310" si="153">(E288/MAX(E268:E288)-1)</f>
        <v>-1.881280413709685E-2</v>
      </c>
      <c r="AX288">
        <f t="shared" si="131"/>
        <v>0</v>
      </c>
      <c r="AY288">
        <f>IF(W288,SUMPRODUCT(INDEX(AX:AX,X288):INDEX(AX:AX,X288+Y288)),0)</f>
        <v>3</v>
      </c>
      <c r="AZ288">
        <f>IF(V288,COUNT(INDEX(AX:AX,X288):INDEX(AX:AX,ROW())),0)</f>
        <v>252</v>
      </c>
      <c r="BA288" s="14">
        <f t="shared" si="143"/>
        <v>1.1904761904761904E-2</v>
      </c>
      <c r="BB288" s="6">
        <f t="shared" si="132"/>
        <v>978873.98700000008</v>
      </c>
      <c r="BC288" s="6">
        <f>MEDIAN(INDEX(BB:BB,X288):INDEX(BB:BB,X288+Y288-1))</f>
        <v>405912.80294999998</v>
      </c>
      <c r="BD288" s="25">
        <f t="shared" si="133"/>
        <v>405912.80294999998</v>
      </c>
      <c r="BE288">
        <f t="shared" si="144"/>
        <v>0</v>
      </c>
      <c r="BF288" s="6">
        <f>SUM(INDEX(BE:BE,X288):INDEX(BE:BE,X288+Y288-1))</f>
        <v>2</v>
      </c>
      <c r="BG288" s="25">
        <f t="shared" si="134"/>
        <v>2</v>
      </c>
    </row>
    <row r="289" spans="1:59" x14ac:dyDescent="0.3">
      <c r="A289" s="1">
        <v>45775</v>
      </c>
      <c r="B289">
        <v>35.453000000000003</v>
      </c>
      <c r="C289">
        <v>35.898400000000002</v>
      </c>
      <c r="D289">
        <v>35.216999999999999</v>
      </c>
      <c r="E289">
        <v>35.406399999999998</v>
      </c>
      <c r="F289">
        <v>15343</v>
      </c>
      <c r="G289" s="29">
        <v>1.4273599068023</v>
      </c>
      <c r="H289" s="29">
        <v>4.03136129852881E-2</v>
      </c>
      <c r="I289" s="29">
        <v>1.9245108229020799E-2</v>
      </c>
      <c r="J289" s="29">
        <v>56.253605492721498</v>
      </c>
      <c r="K289" s="29">
        <v>-1.1874893600395099E-2</v>
      </c>
      <c r="L289" s="29">
        <v>1</v>
      </c>
      <c r="M289" s="29">
        <v>-1.8421348970935801E-2</v>
      </c>
      <c r="N289" s="29">
        <v>1.3959454181440101</v>
      </c>
      <c r="O289" s="29">
        <v>-1.7705842206599699E-2</v>
      </c>
      <c r="P289" s="29">
        <v>1.12818627797484E-3</v>
      </c>
      <c r="Q289" s="29">
        <v>1.1904761904761901E-2</v>
      </c>
      <c r="R289" s="30">
        <v>409809.97644999903</v>
      </c>
      <c r="S289" s="29">
        <v>2</v>
      </c>
      <c r="T289">
        <v>546.09400000000005</v>
      </c>
      <c r="U289" s="21"/>
      <c r="V289">
        <v>279</v>
      </c>
      <c r="W289" t="b">
        <f>V289&gt;=$C$4</f>
        <v>1</v>
      </c>
      <c r="X289">
        <f>IF(V289&lt;=$C$5,11,ROW()-$C$5+1)</f>
        <v>38</v>
      </c>
      <c r="Y289" s="14">
        <f t="shared" si="127"/>
        <v>252</v>
      </c>
      <c r="Z289" s="10">
        <f t="shared" si="135"/>
        <v>0.68140000000000356</v>
      </c>
      <c r="AA289" s="15">
        <f t="shared" si="136"/>
        <v>1.9245108229020844E-2</v>
      </c>
      <c r="AB289" s="15">
        <f t="shared" si="137"/>
        <v>1.4273599068023071</v>
      </c>
      <c r="AC289" s="10">
        <f t="shared" si="128"/>
        <v>4.0313612985288169E-2</v>
      </c>
      <c r="AD289">
        <f t="shared" si="138"/>
        <v>3.9899999999995828E-2</v>
      </c>
      <c r="AE289">
        <f t="shared" si="145"/>
        <v>3.9899999999995828E-2</v>
      </c>
      <c r="AF289">
        <f t="shared" si="146"/>
        <v>0</v>
      </c>
      <c r="AG289">
        <f t="shared" si="151"/>
        <v>0.48446146123858291</v>
      </c>
      <c r="AH289">
        <f t="shared" si="151"/>
        <v>0.37674815711423693</v>
      </c>
      <c r="AI289">
        <f t="shared" si="139"/>
        <v>1.2859026702330634</v>
      </c>
      <c r="AJ289">
        <f t="shared" si="147"/>
        <v>56.253605500270787</v>
      </c>
      <c r="AK289" s="14">
        <f t="shared" si="129"/>
        <v>56.253605500270787</v>
      </c>
      <c r="AM289" s="14">
        <f t="shared" si="152"/>
        <v>-1.1874893600395175E-2</v>
      </c>
      <c r="AN289" s="36">
        <f t="shared" si="140"/>
        <v>1.1281862779748408E-3</v>
      </c>
      <c r="AO289">
        <f t="shared" si="149"/>
        <v>1</v>
      </c>
      <c r="AP289" s="14">
        <f t="shared" si="150"/>
        <v>1</v>
      </c>
      <c r="AQ289">
        <f t="shared" si="141"/>
        <v>3.8103193707117455E-4</v>
      </c>
      <c r="AR289">
        <f t="shared" si="142"/>
        <v>7.4715434090366541E-4</v>
      </c>
      <c r="AS289">
        <f t="shared" si="124"/>
        <v>-2.7331642004444211E-4</v>
      </c>
      <c r="AT289">
        <f t="shared" si="125"/>
        <v>1.4836938406392509E-2</v>
      </c>
      <c r="AU289" s="14">
        <f t="shared" si="130"/>
        <v>-1.8421348970936179E-2</v>
      </c>
      <c r="AV289" s="19">
        <f t="shared" si="126"/>
        <v>1.3959454181440138</v>
      </c>
      <c r="AW289" s="19">
        <f t="shared" si="153"/>
        <v>-1.7705842206599764E-2</v>
      </c>
      <c r="AX289">
        <f t="shared" si="131"/>
        <v>0</v>
      </c>
      <c r="AY289">
        <f>IF(W289,SUMPRODUCT(INDEX(AX:AX,X289):INDEX(AX:AX,X289+Y289)),0)</f>
        <v>3</v>
      </c>
      <c r="AZ289">
        <f>IF(V289,COUNT(INDEX(AX:AX,X289):INDEX(AX:AX,ROW())),0)</f>
        <v>252</v>
      </c>
      <c r="BA289" s="14">
        <f t="shared" si="143"/>
        <v>1.1904761904761904E-2</v>
      </c>
      <c r="BB289" s="6">
        <f t="shared" si="132"/>
        <v>543240.39519999991</v>
      </c>
      <c r="BC289" s="6">
        <f>MEDIAN(INDEX(BB:BB,X289):INDEX(BB:BB,X289+Y289-1))</f>
        <v>409809.97644999996</v>
      </c>
      <c r="BD289" s="25">
        <f t="shared" si="133"/>
        <v>409809.97644999996</v>
      </c>
      <c r="BE289">
        <f t="shared" si="144"/>
        <v>0</v>
      </c>
      <c r="BF289" s="6">
        <f>SUM(INDEX(BE:BE,X289):INDEX(BE:BE,X289+Y289-1))</f>
        <v>2</v>
      </c>
      <c r="BG289" s="25">
        <f t="shared" si="134"/>
        <v>2</v>
      </c>
    </row>
    <row r="290" spans="1:59" x14ac:dyDescent="0.3">
      <c r="A290" s="1">
        <v>45776</v>
      </c>
      <c r="B290">
        <v>35.226900000000001</v>
      </c>
      <c r="C290">
        <v>35.792000000000002</v>
      </c>
      <c r="D290">
        <v>35.226900000000001</v>
      </c>
      <c r="E290">
        <v>35.532699999999998</v>
      </c>
      <c r="F290">
        <v>18201</v>
      </c>
      <c r="G290" s="29">
        <v>1.36576991345928</v>
      </c>
      <c r="H290" s="29">
        <v>3.84369865914857E-2</v>
      </c>
      <c r="I290" s="29">
        <v>1.59036605718113E-2</v>
      </c>
      <c r="J290" s="29">
        <v>56.741607383416699</v>
      </c>
      <c r="K290" s="29">
        <v>3.2651151436243697E-2</v>
      </c>
      <c r="L290" s="29">
        <v>1</v>
      </c>
      <c r="M290" s="29">
        <v>-2.1073975946589701E-2</v>
      </c>
      <c r="N290" s="29">
        <v>1.3958348665246401</v>
      </c>
      <c r="O290" s="29">
        <v>-1.42018499303642E-2</v>
      </c>
      <c r="P290" s="29">
        <v>3.5671517013873199E-3</v>
      </c>
      <c r="Q290" s="29">
        <v>1.1904761904761901E-2</v>
      </c>
      <c r="R290" s="30">
        <v>413534.8173</v>
      </c>
      <c r="S290" s="29">
        <v>2</v>
      </c>
      <c r="T290">
        <v>549.53399999999999</v>
      </c>
      <c r="U290" s="21"/>
      <c r="V290">
        <v>280</v>
      </c>
      <c r="W290" t="b">
        <f>V290&gt;=$C$4</f>
        <v>1</v>
      </c>
      <c r="X290">
        <f>IF(V290&lt;=$C$5,11,ROW()-$C$5+1)</f>
        <v>39</v>
      </c>
      <c r="Y290" s="14">
        <f t="shared" si="127"/>
        <v>252</v>
      </c>
      <c r="Z290" s="10">
        <f t="shared" si="135"/>
        <v>0.56510000000000105</v>
      </c>
      <c r="AA290" s="15">
        <f t="shared" si="136"/>
        <v>1.5903660571811348E-2</v>
      </c>
      <c r="AB290" s="15">
        <f t="shared" si="137"/>
        <v>1.3657699134592853</v>
      </c>
      <c r="AC290" s="10">
        <f t="shared" si="128"/>
        <v>3.8436986591485742E-2</v>
      </c>
      <c r="AD290">
        <f t="shared" si="138"/>
        <v>0.12630000000000052</v>
      </c>
      <c r="AE290">
        <f t="shared" si="145"/>
        <v>0.12630000000000052</v>
      </c>
      <c r="AF290">
        <f t="shared" si="146"/>
        <v>0</v>
      </c>
      <c r="AG290">
        <f t="shared" si="151"/>
        <v>0.45887849972154132</v>
      </c>
      <c r="AH290">
        <f t="shared" si="151"/>
        <v>0.34983757446322</v>
      </c>
      <c r="AI290">
        <f t="shared" si="139"/>
        <v>1.3116901477082052</v>
      </c>
      <c r="AJ290">
        <f t="shared" si="147"/>
        <v>56.741607390964852</v>
      </c>
      <c r="AK290" s="14">
        <f t="shared" si="129"/>
        <v>56.741607390964852</v>
      </c>
      <c r="AM290" s="14">
        <f t="shared" si="152"/>
        <v>3.2651151436243753E-2</v>
      </c>
      <c r="AN290" s="36">
        <f t="shared" si="140"/>
        <v>3.5671517013873277E-3</v>
      </c>
      <c r="AO290">
        <f t="shared" si="149"/>
        <v>1</v>
      </c>
      <c r="AP290" s="14">
        <f t="shared" si="150"/>
        <v>1</v>
      </c>
      <c r="AQ290">
        <f t="shared" si="141"/>
        <v>6.299281808626267E-3</v>
      </c>
      <c r="AR290">
        <f t="shared" si="142"/>
        <v>-2.732130107238947E-3</v>
      </c>
      <c r="AS290">
        <f t="shared" si="124"/>
        <v>-3.1274139878280019E-4</v>
      </c>
      <c r="AT290">
        <f t="shared" si="125"/>
        <v>1.4840170624442765E-2</v>
      </c>
      <c r="AU290" s="14">
        <f t="shared" si="130"/>
        <v>-2.1073975946590127E-2</v>
      </c>
      <c r="AV290" s="19">
        <f t="shared" si="126"/>
        <v>1.3958348665246503</v>
      </c>
      <c r="AW290" s="19">
        <f t="shared" si="153"/>
        <v>-1.4201849930364219E-2</v>
      </c>
      <c r="AX290">
        <f t="shared" si="131"/>
        <v>0</v>
      </c>
      <c r="AY290">
        <f>IF(W290,SUMPRODUCT(INDEX(AX:AX,X290):INDEX(AX:AX,X290+Y290)),0)</f>
        <v>3</v>
      </c>
      <c r="AZ290">
        <f>IF(V290,COUNT(INDEX(AX:AX,X290):INDEX(AX:AX,ROW())),0)</f>
        <v>252</v>
      </c>
      <c r="BA290" s="14">
        <f t="shared" si="143"/>
        <v>1.1904761904761904E-2</v>
      </c>
      <c r="BB290" s="6">
        <f t="shared" si="132"/>
        <v>646730.6727</v>
      </c>
      <c r="BC290" s="6">
        <f>MEDIAN(INDEX(BB:BB,X290):INDEX(BB:BB,X290+Y290-1))</f>
        <v>413534.8173</v>
      </c>
      <c r="BD290" s="25">
        <f t="shared" si="133"/>
        <v>413534.8173</v>
      </c>
      <c r="BE290">
        <f t="shared" si="144"/>
        <v>0</v>
      </c>
      <c r="BF290" s="6">
        <f>SUM(INDEX(BE:BE,X290):INDEX(BE:BE,X290+Y290-1))</f>
        <v>2</v>
      </c>
      <c r="BG290" s="25">
        <f t="shared" si="134"/>
        <v>2</v>
      </c>
    </row>
    <row r="291" spans="1:59" x14ac:dyDescent="0.3">
      <c r="A291" s="1">
        <v>45777</v>
      </c>
      <c r="B291">
        <v>35.007599999999996</v>
      </c>
      <c r="C291">
        <v>35.8718</v>
      </c>
      <c r="D291">
        <v>34.847999999999999</v>
      </c>
      <c r="E291">
        <v>35.6723</v>
      </c>
      <c r="F291">
        <v>16847</v>
      </c>
      <c r="G291" s="29">
        <v>1.34134349106933</v>
      </c>
      <c r="H291" s="29">
        <v>3.76018224524165E-2</v>
      </c>
      <c r="I291" s="29">
        <v>2.8700139884448101E-2</v>
      </c>
      <c r="J291" s="29">
        <v>57.308482743793803</v>
      </c>
      <c r="K291" s="29">
        <v>2.8360984187843299E-2</v>
      </c>
      <c r="L291" s="29">
        <v>1</v>
      </c>
      <c r="M291" s="29">
        <v>-2.2809412933067499E-2</v>
      </c>
      <c r="N291" s="29">
        <v>1.3968798552996</v>
      </c>
      <c r="O291" s="29">
        <v>-1.0328870343962701E-2</v>
      </c>
      <c r="P291" s="29">
        <v>3.9287754659793599E-3</v>
      </c>
      <c r="Q291" s="29">
        <v>1.1904761904761901E-2</v>
      </c>
      <c r="R291" s="30">
        <v>419913.47269999998</v>
      </c>
      <c r="S291" s="29">
        <v>2</v>
      </c>
      <c r="T291">
        <v>549.75199999999995</v>
      </c>
      <c r="U291" s="21"/>
      <c r="V291">
        <v>281</v>
      </c>
      <c r="W291" t="b">
        <f>V291&gt;=$C$4</f>
        <v>1</v>
      </c>
      <c r="X291">
        <f>IF(V291&lt;=$C$5,11,ROW()-$C$5+1)</f>
        <v>40</v>
      </c>
      <c r="Y291" s="14">
        <f t="shared" si="127"/>
        <v>252</v>
      </c>
      <c r="Z291" s="10">
        <f t="shared" si="135"/>
        <v>1.0238000000000014</v>
      </c>
      <c r="AA291" s="15">
        <f t="shared" si="136"/>
        <v>2.8700139884448195E-2</v>
      </c>
      <c r="AB291" s="15">
        <f t="shared" si="137"/>
        <v>1.3413434910693365</v>
      </c>
      <c r="AC291" s="10">
        <f t="shared" si="128"/>
        <v>3.7601822452416479E-2</v>
      </c>
      <c r="AD291">
        <f t="shared" si="138"/>
        <v>0.1396000000000015</v>
      </c>
      <c r="AE291">
        <f t="shared" si="145"/>
        <v>0.1396000000000015</v>
      </c>
      <c r="AF291">
        <f t="shared" si="146"/>
        <v>0</v>
      </c>
      <c r="AG291">
        <f t="shared" si="151"/>
        <v>0.43607289259857424</v>
      </c>
      <c r="AH291">
        <f t="shared" si="151"/>
        <v>0.32484917628727572</v>
      </c>
      <c r="AI291">
        <f t="shared" si="139"/>
        <v>1.3423857113706805</v>
      </c>
      <c r="AJ291">
        <f t="shared" si="147"/>
        <v>57.308482751338353</v>
      </c>
      <c r="AK291" s="14">
        <f t="shared" si="129"/>
        <v>57.308482751338353</v>
      </c>
      <c r="AM291" s="14">
        <f t="shared" si="152"/>
        <v>2.8360984187843385E-2</v>
      </c>
      <c r="AN291" s="36">
        <f t="shared" si="140"/>
        <v>3.9287754659793617E-3</v>
      </c>
      <c r="AO291">
        <f t="shared" si="149"/>
        <v>1</v>
      </c>
      <c r="AP291" s="14">
        <f t="shared" si="150"/>
        <v>1</v>
      </c>
      <c r="AQ291">
        <f t="shared" si="141"/>
        <v>3.9669974924194662E-4</v>
      </c>
      <c r="AR291">
        <f t="shared" si="142"/>
        <v>3.5320757167374133E-3</v>
      </c>
      <c r="AS291">
        <f t="shared" si="124"/>
        <v>-3.3830932660436472E-4</v>
      </c>
      <c r="AT291">
        <f t="shared" si="125"/>
        <v>1.4832004997108059E-2</v>
      </c>
      <c r="AU291" s="14">
        <f t="shared" si="130"/>
        <v>-2.280941293306793E-2</v>
      </c>
      <c r="AV291" s="19">
        <f t="shared" si="126"/>
        <v>1.3968798552996056</v>
      </c>
      <c r="AW291" s="19">
        <f t="shared" si="153"/>
        <v>-1.0328870343962793E-2</v>
      </c>
      <c r="AX291">
        <f t="shared" si="131"/>
        <v>0</v>
      </c>
      <c r="AY291">
        <f>IF(W291,SUMPRODUCT(INDEX(AX:AX,X291):INDEX(AX:AX,X291+Y291)),0)</f>
        <v>3</v>
      </c>
      <c r="AZ291">
        <f>IF(V291,COUNT(INDEX(AX:AX,X291):INDEX(AX:AX,ROW())),0)</f>
        <v>252</v>
      </c>
      <c r="BA291" s="14">
        <f t="shared" si="143"/>
        <v>1.1904761904761904E-2</v>
      </c>
      <c r="BB291" s="6">
        <f t="shared" si="132"/>
        <v>600971.23809999996</v>
      </c>
      <c r="BC291" s="6">
        <f>MEDIAN(INDEX(BB:BB,X291):INDEX(BB:BB,X291+Y291-1))</f>
        <v>419913.47269999998</v>
      </c>
      <c r="BD291" s="25">
        <f t="shared" si="133"/>
        <v>419913.47269999998</v>
      </c>
      <c r="BE291">
        <f t="shared" si="144"/>
        <v>0</v>
      </c>
      <c r="BF291" s="6">
        <f>SUM(INDEX(BE:BE,X291):INDEX(BE:BE,X291+Y291-1))</f>
        <v>2</v>
      </c>
      <c r="BG291" s="25">
        <f t="shared" si="134"/>
        <v>2</v>
      </c>
    </row>
    <row r="292" spans="1:59" x14ac:dyDescent="0.3">
      <c r="A292" s="1">
        <v>45778</v>
      </c>
      <c r="B292">
        <v>35.7654</v>
      </c>
      <c r="C292">
        <v>36.270600000000002</v>
      </c>
      <c r="D292">
        <v>35.7654</v>
      </c>
      <c r="E292">
        <v>35.931600000000003</v>
      </c>
      <c r="F292">
        <v>22864</v>
      </c>
      <c r="G292" s="29">
        <v>1.2882689559929501</v>
      </c>
      <c r="H292" s="29">
        <v>3.5853370180925798E-2</v>
      </c>
      <c r="I292" s="29">
        <v>1.6651081499293102E-2</v>
      </c>
      <c r="J292" s="29">
        <v>58.3989760513577</v>
      </c>
      <c r="K292" s="29">
        <v>5.5804008709232598E-3</v>
      </c>
      <c r="L292" s="29">
        <v>1</v>
      </c>
      <c r="M292" s="29">
        <v>-4.2546118869074702E-2</v>
      </c>
      <c r="N292" s="29">
        <v>1.3922808101333299</v>
      </c>
      <c r="O292" s="29">
        <v>-3.13500496606977E-3</v>
      </c>
      <c r="P292" s="29">
        <v>7.2689453721797E-3</v>
      </c>
      <c r="Q292" s="29">
        <v>1.1904761904761901E-2</v>
      </c>
      <c r="R292" s="30">
        <v>423226.91519999999</v>
      </c>
      <c r="S292" s="29">
        <v>2</v>
      </c>
      <c r="T292">
        <v>553.64800000000002</v>
      </c>
      <c r="U292" s="21"/>
      <c r="V292">
        <v>282</v>
      </c>
      <c r="W292" t="b">
        <f>V292&gt;=$C$4</f>
        <v>1</v>
      </c>
      <c r="X292">
        <f>IF(V292&lt;=$C$5,11,ROW()-$C$5+1)</f>
        <v>41</v>
      </c>
      <c r="Y292" s="14">
        <f t="shared" si="127"/>
        <v>252</v>
      </c>
      <c r="Z292" s="10">
        <f t="shared" si="135"/>
        <v>0.59830000000000183</v>
      </c>
      <c r="AA292" s="15">
        <f t="shared" si="136"/>
        <v>1.665108149929315E-2</v>
      </c>
      <c r="AB292" s="15">
        <f t="shared" si="137"/>
        <v>1.2882689559929557</v>
      </c>
      <c r="AC292" s="10">
        <f t="shared" si="128"/>
        <v>3.585337018092586E-2</v>
      </c>
      <c r="AD292">
        <f t="shared" si="138"/>
        <v>0.25930000000000319</v>
      </c>
      <c r="AE292">
        <f t="shared" si="145"/>
        <v>0.25930000000000319</v>
      </c>
      <c r="AF292">
        <f t="shared" si="146"/>
        <v>0</v>
      </c>
      <c r="AG292">
        <f t="shared" si="151"/>
        <v>0.42344625741296199</v>
      </c>
      <c r="AH292">
        <f t="shared" si="151"/>
        <v>0.30164566369532742</v>
      </c>
      <c r="AI292">
        <f t="shared" si="139"/>
        <v>1.403786987107686</v>
      </c>
      <c r="AJ292">
        <f t="shared" si="147"/>
        <v>58.398976058888138</v>
      </c>
      <c r="AK292" s="14">
        <f t="shared" si="129"/>
        <v>58.398976058888138</v>
      </c>
      <c r="AM292" s="14">
        <f t="shared" si="152"/>
        <v>5.5804008709232633E-3</v>
      </c>
      <c r="AN292" s="36">
        <f t="shared" si="140"/>
        <v>7.2689453721797026E-3</v>
      </c>
      <c r="AO292">
        <f t="shared" si="149"/>
        <v>1</v>
      </c>
      <c r="AP292" s="14">
        <f t="shared" si="150"/>
        <v>1</v>
      </c>
      <c r="AQ292">
        <f t="shared" si="141"/>
        <v>7.0868318805572539E-3</v>
      </c>
      <c r="AR292">
        <f t="shared" si="142"/>
        <v>1.8211349162244612E-4</v>
      </c>
      <c r="AS292">
        <f t="shared" si="124"/>
        <v>-6.2300134886616499E-4</v>
      </c>
      <c r="AT292">
        <f t="shared" si="125"/>
        <v>1.4642965455516511E-2</v>
      </c>
      <c r="AU292" s="14">
        <f t="shared" si="130"/>
        <v>-4.2546118869075042E-2</v>
      </c>
      <c r="AV292" s="19">
        <f t="shared" si="126"/>
        <v>1.3922808101333379</v>
      </c>
      <c r="AW292" s="19">
        <f t="shared" si="153"/>
        <v>-3.1350049660697765E-3</v>
      </c>
      <c r="AX292">
        <f t="shared" si="131"/>
        <v>0</v>
      </c>
      <c r="AY292">
        <f>IF(W292,SUMPRODUCT(INDEX(AX:AX,X292):INDEX(AX:AX,X292+Y292)),0)</f>
        <v>3</v>
      </c>
      <c r="AZ292">
        <f>IF(V292,COUNT(INDEX(AX:AX,X292):INDEX(AX:AX,ROW())),0)</f>
        <v>252</v>
      </c>
      <c r="BA292" s="14">
        <f t="shared" si="143"/>
        <v>1.1904761904761904E-2</v>
      </c>
      <c r="BB292" s="6">
        <f t="shared" si="132"/>
        <v>821540.10240000009</v>
      </c>
      <c r="BC292" s="6">
        <f>MEDIAN(INDEX(BB:BB,X292):INDEX(BB:BB,X292+Y292-1))</f>
        <v>423226.91519999999</v>
      </c>
      <c r="BD292" s="25">
        <f t="shared" si="133"/>
        <v>423226.91519999999</v>
      </c>
      <c r="BE292">
        <f t="shared" si="144"/>
        <v>0</v>
      </c>
      <c r="BF292" s="6">
        <f>SUM(INDEX(BE:BE,X292):INDEX(BE:BE,X292+Y292-1))</f>
        <v>2</v>
      </c>
      <c r="BG292" s="25">
        <f t="shared" si="134"/>
        <v>2</v>
      </c>
    </row>
    <row r="293" spans="1:59" x14ac:dyDescent="0.3">
      <c r="A293" s="1">
        <v>45779</v>
      </c>
      <c r="B293">
        <v>36.589700000000001</v>
      </c>
      <c r="C293">
        <v>37.0351</v>
      </c>
      <c r="D293">
        <v>36.466700000000003</v>
      </c>
      <c r="E293">
        <v>36.855600000000003</v>
      </c>
      <c r="F293">
        <v>24820</v>
      </c>
      <c r="G293" s="29">
        <v>1.2750711734220299</v>
      </c>
      <c r="H293" s="29">
        <v>3.4596402539153602E-2</v>
      </c>
      <c r="I293" s="29">
        <v>2.9941175832166499E-2</v>
      </c>
      <c r="J293" s="29">
        <v>62.112852574249899</v>
      </c>
      <c r="K293" s="29">
        <v>2.24999028980763E-2</v>
      </c>
      <c r="L293" s="29">
        <v>1</v>
      </c>
      <c r="M293" s="29">
        <v>-2.5045271631677E-2</v>
      </c>
      <c r="N293" s="29">
        <v>1.3948172057447801</v>
      </c>
      <c r="O293" s="29">
        <v>0</v>
      </c>
      <c r="P293" s="29">
        <v>2.5715526166382799E-2</v>
      </c>
      <c r="Q293" s="29">
        <v>1.1904761904761901E-2</v>
      </c>
      <c r="R293" s="30">
        <v>423226.91519999999</v>
      </c>
      <c r="S293" s="29">
        <v>2</v>
      </c>
      <c r="T293">
        <v>561.86699999999996</v>
      </c>
      <c r="U293" s="21"/>
      <c r="V293">
        <v>283</v>
      </c>
      <c r="W293" t="b">
        <f>V293&gt;=$C$4</f>
        <v>1</v>
      </c>
      <c r="X293">
        <f>IF(V293&lt;=$C$5,11,ROW()-$C$5+1)</f>
        <v>42</v>
      </c>
      <c r="Y293" s="14">
        <f t="shared" si="127"/>
        <v>252</v>
      </c>
      <c r="Z293" s="10">
        <f t="shared" si="135"/>
        <v>1.1034999999999968</v>
      </c>
      <c r="AA293" s="15">
        <f t="shared" si="136"/>
        <v>2.9941175832166531E-2</v>
      </c>
      <c r="AB293" s="15">
        <f t="shared" si="137"/>
        <v>1.2750711734220299</v>
      </c>
      <c r="AC293" s="10">
        <f t="shared" si="128"/>
        <v>3.4596402539153609E-2</v>
      </c>
      <c r="AD293">
        <f t="shared" si="138"/>
        <v>0.92399999999999949</v>
      </c>
      <c r="AE293">
        <f t="shared" si="145"/>
        <v>0.92399999999999949</v>
      </c>
      <c r="AF293">
        <f t="shared" si="146"/>
        <v>0</v>
      </c>
      <c r="AG293">
        <f t="shared" si="151"/>
        <v>0.45920009616917895</v>
      </c>
      <c r="AH293">
        <f t="shared" si="151"/>
        <v>0.28009954485994687</v>
      </c>
      <c r="AI293">
        <f t="shared" si="139"/>
        <v>1.6394175020840698</v>
      </c>
      <c r="AJ293">
        <f t="shared" si="147"/>
        <v>62.112852581662224</v>
      </c>
      <c r="AK293" s="14">
        <f t="shared" si="129"/>
        <v>62.112852581662224</v>
      </c>
      <c r="AM293" s="14">
        <f t="shared" si="152"/>
        <v>2.2499902898076352E-2</v>
      </c>
      <c r="AN293" s="36">
        <f t="shared" si="140"/>
        <v>2.5715526166382841E-2</v>
      </c>
      <c r="AO293">
        <f t="shared" si="149"/>
        <v>1</v>
      </c>
      <c r="AP293" s="14">
        <f t="shared" si="150"/>
        <v>1</v>
      </c>
      <c r="AQ293">
        <f t="shared" si="141"/>
        <v>1.4845172383897154E-2</v>
      </c>
      <c r="AR293">
        <f t="shared" si="142"/>
        <v>1.0870353782485645E-2</v>
      </c>
      <c r="AS293">
        <f t="shared" si="124"/>
        <v>-3.6821314626902949E-4</v>
      </c>
      <c r="AT293">
        <f t="shared" si="125"/>
        <v>1.4701902685827184E-2</v>
      </c>
      <c r="AU293" s="14">
        <f t="shared" si="130"/>
        <v>-2.5045271631677409E-2</v>
      </c>
      <c r="AV293" s="19">
        <f t="shared" si="126"/>
        <v>1.3948172057447834</v>
      </c>
      <c r="AW293" s="19">
        <f t="shared" si="153"/>
        <v>0</v>
      </c>
      <c r="AX293">
        <f t="shared" si="131"/>
        <v>0</v>
      </c>
      <c r="AY293">
        <f>IF(W293,SUMPRODUCT(INDEX(AX:AX,X293):INDEX(AX:AX,X293+Y293)),0)</f>
        <v>3</v>
      </c>
      <c r="AZ293">
        <f>IF(V293,COUNT(INDEX(AX:AX,X293):INDEX(AX:AX,ROW())),0)</f>
        <v>252</v>
      </c>
      <c r="BA293" s="14">
        <f t="shared" si="143"/>
        <v>1.1904761904761904E-2</v>
      </c>
      <c r="BB293" s="6">
        <f t="shared" si="132"/>
        <v>914755.99200000009</v>
      </c>
      <c r="BC293" s="6">
        <f>MEDIAN(INDEX(BB:BB,X293):INDEX(BB:BB,X293+Y293-1))</f>
        <v>423226.91519999999</v>
      </c>
      <c r="BD293" s="25">
        <f t="shared" si="133"/>
        <v>423226.91519999999</v>
      </c>
      <c r="BE293">
        <f t="shared" si="144"/>
        <v>0</v>
      </c>
      <c r="BF293" s="6">
        <f>SUM(INDEX(BE:BE,X293):INDEX(BE:BE,X293+Y293-1))</f>
        <v>2</v>
      </c>
      <c r="BG293" s="25">
        <f t="shared" si="134"/>
        <v>2</v>
      </c>
    </row>
    <row r="294" spans="1:59" x14ac:dyDescent="0.3">
      <c r="A294" s="1">
        <v>45782</v>
      </c>
      <c r="B294">
        <v>36.729300000000002</v>
      </c>
      <c r="C294">
        <v>36.848999999999997</v>
      </c>
      <c r="D294">
        <v>36.3172</v>
      </c>
      <c r="E294">
        <v>36.330500000000001</v>
      </c>
      <c r="F294">
        <v>8574</v>
      </c>
      <c r="G294" s="29">
        <v>1.2224518038918799</v>
      </c>
      <c r="H294" s="29">
        <v>3.3648086425782299E-2</v>
      </c>
      <c r="I294" s="29">
        <v>1.4819504273269E-2</v>
      </c>
      <c r="J294" s="29">
        <v>58.8950670673131</v>
      </c>
      <c r="K294" s="29">
        <v>8.4110671464976403E-2</v>
      </c>
      <c r="L294" s="29">
        <v>0.8</v>
      </c>
      <c r="M294" s="29">
        <v>-7.6289463366797901E-3</v>
      </c>
      <c r="N294" s="29">
        <v>1.39103838530214</v>
      </c>
      <c r="O294" s="29">
        <v>-1.4247495631600099E-2</v>
      </c>
      <c r="P294" s="29">
        <v>-1.4247495631600099E-2</v>
      </c>
      <c r="Q294" s="29">
        <v>1.1904761904761901E-2</v>
      </c>
      <c r="R294" s="30">
        <v>419913.47269999998</v>
      </c>
      <c r="S294" s="29">
        <v>2</v>
      </c>
      <c r="T294">
        <v>558.64499999999998</v>
      </c>
      <c r="U294" s="21"/>
      <c r="V294">
        <v>284</v>
      </c>
      <c r="W294" t="b">
        <f>V294&gt;=$C$4</f>
        <v>1</v>
      </c>
      <c r="X294">
        <f>IF(V294&lt;=$C$5,11,ROW()-$C$5+1)</f>
        <v>43</v>
      </c>
      <c r="Y294" s="14">
        <f t="shared" si="127"/>
        <v>252</v>
      </c>
      <c r="Z294" s="10">
        <f t="shared" si="135"/>
        <v>0.53840000000000288</v>
      </c>
      <c r="AA294" s="15">
        <f t="shared" si="136"/>
        <v>1.4819504273269096E-2</v>
      </c>
      <c r="AB294" s="15">
        <f t="shared" si="137"/>
        <v>1.2224518038918852</v>
      </c>
      <c r="AC294" s="10">
        <f t="shared" si="128"/>
        <v>3.3648086425782341E-2</v>
      </c>
      <c r="AD294">
        <f t="shared" si="138"/>
        <v>-0.5251000000000019</v>
      </c>
      <c r="AE294">
        <f t="shared" si="145"/>
        <v>0</v>
      </c>
      <c r="AF294">
        <f t="shared" si="146"/>
        <v>0.5251000000000019</v>
      </c>
      <c r="AG294">
        <f t="shared" si="151"/>
        <v>0.42640008929995188</v>
      </c>
      <c r="AH294">
        <f t="shared" si="151"/>
        <v>0.2975995773699508</v>
      </c>
      <c r="AI294">
        <f t="shared" si="139"/>
        <v>1.4327980337481701</v>
      </c>
      <c r="AJ294">
        <f t="shared" si="147"/>
        <v>58.895067073886224</v>
      </c>
      <c r="AK294" s="14">
        <f t="shared" si="129"/>
        <v>58.895067073886224</v>
      </c>
      <c r="AM294" s="14">
        <f t="shared" si="152"/>
        <v>8.4110671464976416E-2</v>
      </c>
      <c r="AN294" s="36">
        <f t="shared" si="140"/>
        <v>-1.4247495631600104E-2</v>
      </c>
      <c r="AO294">
        <f t="shared" si="149"/>
        <v>0</v>
      </c>
      <c r="AP294" s="14">
        <f t="shared" si="150"/>
        <v>0.8</v>
      </c>
      <c r="AQ294">
        <f t="shared" si="141"/>
        <v>-5.7344531713020563E-3</v>
      </c>
      <c r="AR294">
        <f t="shared" si="142"/>
        <v>-8.5130424602980429E-3</v>
      </c>
      <c r="AS294">
        <f t="shared" si="124"/>
        <v>-1.0990212166613075E-4</v>
      </c>
      <c r="AT294">
        <f t="shared" si="125"/>
        <v>1.4405937178731698E-2</v>
      </c>
      <c r="AU294" s="14">
        <f t="shared" si="130"/>
        <v>-7.6289463366802325E-3</v>
      </c>
      <c r="AV294" s="19">
        <f t="shared" si="126"/>
        <v>1.3910383853021469</v>
      </c>
      <c r="AW294" s="19">
        <f t="shared" si="153"/>
        <v>-1.4247495631600104E-2</v>
      </c>
      <c r="AX294">
        <f t="shared" si="131"/>
        <v>0</v>
      </c>
      <c r="AY294">
        <f>IF(W294,SUMPRODUCT(INDEX(AX:AX,X294):INDEX(AX:AX,X294+Y294)),0)</f>
        <v>3</v>
      </c>
      <c r="AZ294">
        <f>IF(V294,COUNT(INDEX(AX:AX,X294):INDEX(AX:AX,ROW())),0)</f>
        <v>252</v>
      </c>
      <c r="BA294" s="14">
        <f t="shared" si="143"/>
        <v>1.1904761904761904E-2</v>
      </c>
      <c r="BB294" s="6">
        <f t="shared" si="132"/>
        <v>311497.70699999999</v>
      </c>
      <c r="BC294" s="6">
        <f>MEDIAN(INDEX(BB:BB,X294):INDEX(BB:BB,X294+Y294-1))</f>
        <v>419913.47269999998</v>
      </c>
      <c r="BD294" s="25">
        <f t="shared" si="133"/>
        <v>419913.47269999998</v>
      </c>
      <c r="BE294">
        <f t="shared" si="144"/>
        <v>0</v>
      </c>
      <c r="BF294" s="6">
        <f>SUM(INDEX(BE:BE,X294):INDEX(BE:BE,X294+Y294-1))</f>
        <v>2</v>
      </c>
      <c r="BG294" s="25">
        <f t="shared" si="134"/>
        <v>2</v>
      </c>
    </row>
    <row r="295" spans="1:59" x14ac:dyDescent="0.3">
      <c r="A295" s="1">
        <v>45783</v>
      </c>
      <c r="B295">
        <v>35.851799999999997</v>
      </c>
      <c r="C295">
        <v>36.523299999999999</v>
      </c>
      <c r="D295">
        <v>35.851799999999997</v>
      </c>
      <c r="E295">
        <v>36.383699999999997</v>
      </c>
      <c r="F295">
        <v>8875</v>
      </c>
      <c r="G295" s="29">
        <v>1.1830981036138899</v>
      </c>
      <c r="H295" s="29">
        <v>3.2517256453133997E-2</v>
      </c>
      <c r="I295" s="29">
        <v>1.8456066865107201E-2</v>
      </c>
      <c r="J295" s="29">
        <v>59.126101111268802</v>
      </c>
      <c r="K295" s="29">
        <v>0.18207573222437001</v>
      </c>
      <c r="L295" s="29">
        <v>0.8</v>
      </c>
      <c r="M295" s="29">
        <v>2.7138697780271399E-2</v>
      </c>
      <c r="N295" s="29">
        <v>1.3942874461135299</v>
      </c>
      <c r="O295" s="29">
        <v>-1.2804024354508E-2</v>
      </c>
      <c r="P295" s="29">
        <v>1.4643343746989499E-3</v>
      </c>
      <c r="Q295" s="29">
        <v>1.1904761904761901E-2</v>
      </c>
      <c r="R295" s="30">
        <v>419913.47269999998</v>
      </c>
      <c r="S295" s="29">
        <v>2</v>
      </c>
      <c r="T295">
        <v>553.976</v>
      </c>
      <c r="U295" s="21"/>
      <c r="V295">
        <v>285</v>
      </c>
      <c r="W295" t="b">
        <f>V295&gt;=$C$4</f>
        <v>1</v>
      </c>
      <c r="X295">
        <f>IF(V295&lt;=$C$5,11,ROW()-$C$5+1)</f>
        <v>44</v>
      </c>
      <c r="Y295" s="14">
        <f t="shared" si="127"/>
        <v>252</v>
      </c>
      <c r="Z295" s="10">
        <f t="shared" si="135"/>
        <v>0.67150000000000176</v>
      </c>
      <c r="AA295" s="15">
        <f t="shared" si="136"/>
        <v>1.8456066865107226E-2</v>
      </c>
      <c r="AB295" s="15">
        <f t="shared" si="137"/>
        <v>1.1830981036138937</v>
      </c>
      <c r="AC295" s="10">
        <f t="shared" si="128"/>
        <v>3.2517256453134059E-2</v>
      </c>
      <c r="AD295">
        <f t="shared" si="138"/>
        <v>5.3199999999996805E-2</v>
      </c>
      <c r="AE295">
        <f t="shared" si="145"/>
        <v>5.3199999999996805E-2</v>
      </c>
      <c r="AF295">
        <f t="shared" si="146"/>
        <v>0</v>
      </c>
      <c r="AG295">
        <f t="shared" si="151"/>
        <v>0.39974294006424083</v>
      </c>
      <c r="AH295">
        <f t="shared" si="151"/>
        <v>0.27634246470066859</v>
      </c>
      <c r="AI295">
        <f t="shared" si="139"/>
        <v>1.4465490871887474</v>
      </c>
      <c r="AJ295">
        <f t="shared" si="147"/>
        <v>59.126101117837429</v>
      </c>
      <c r="AK295" s="14">
        <f t="shared" si="129"/>
        <v>59.126101117837429</v>
      </c>
      <c r="AM295" s="14">
        <f t="shared" si="152"/>
        <v>0.18207573222437001</v>
      </c>
      <c r="AN295" s="36">
        <f t="shared" si="140"/>
        <v>1.4643343746989501E-3</v>
      </c>
      <c r="AO295">
        <f t="shared" si="149"/>
        <v>1</v>
      </c>
      <c r="AP295" s="14">
        <f t="shared" si="150"/>
        <v>0.8</v>
      </c>
      <c r="AQ295">
        <f t="shared" si="141"/>
        <v>-8.3577227040427804E-3</v>
      </c>
      <c r="AR295">
        <f t="shared" si="142"/>
        <v>9.8220570787417305E-3</v>
      </c>
      <c r="AS295">
        <f t="shared" si="124"/>
        <v>3.8531056736133606E-4</v>
      </c>
      <c r="AT295">
        <f t="shared" si="125"/>
        <v>1.4197828152294209E-2</v>
      </c>
      <c r="AU295" s="14">
        <f t="shared" si="130"/>
        <v>2.7138697780271007E-2</v>
      </c>
      <c r="AV295" s="19">
        <f t="shared" si="126"/>
        <v>1.3942874461135411</v>
      </c>
      <c r="AW295" s="19">
        <f t="shared" si="153"/>
        <v>-1.2804024354508003E-2</v>
      </c>
      <c r="AX295">
        <f t="shared" si="131"/>
        <v>0</v>
      </c>
      <c r="AY295">
        <f>IF(W295,SUMPRODUCT(INDEX(AX:AX,X295):INDEX(AX:AX,X295+Y295)),0)</f>
        <v>3</v>
      </c>
      <c r="AZ295">
        <f>IF(V295,COUNT(INDEX(AX:AX,X295):INDEX(AX:AX,ROW())),0)</f>
        <v>252</v>
      </c>
      <c r="BA295" s="14">
        <f t="shared" si="143"/>
        <v>1.1904761904761904E-2</v>
      </c>
      <c r="BB295" s="6">
        <f t="shared" si="132"/>
        <v>322905.33749999997</v>
      </c>
      <c r="BC295" s="6">
        <f>MEDIAN(INDEX(BB:BB,X295):INDEX(BB:BB,X295+Y295-1))</f>
        <v>419913.47269999998</v>
      </c>
      <c r="BD295" s="25">
        <f t="shared" si="133"/>
        <v>419913.47269999998</v>
      </c>
      <c r="BE295">
        <f t="shared" si="144"/>
        <v>0</v>
      </c>
      <c r="BF295" s="6">
        <f>SUM(INDEX(BE:BE,X295):INDEX(BE:BE,X295+Y295-1))</f>
        <v>2</v>
      </c>
      <c r="BG295" s="25">
        <f t="shared" si="134"/>
        <v>2</v>
      </c>
    </row>
    <row r="296" spans="1:59" x14ac:dyDescent="0.3">
      <c r="A296" s="1">
        <v>45784</v>
      </c>
      <c r="B296">
        <v>36.629600000000003</v>
      </c>
      <c r="C296">
        <v>37.061700000000002</v>
      </c>
      <c r="D296">
        <v>36.622999999999998</v>
      </c>
      <c r="E296">
        <v>37.061700000000002</v>
      </c>
      <c r="F296">
        <v>14139</v>
      </c>
      <c r="G296" s="29">
        <v>1.1470196676414699</v>
      </c>
      <c r="H296" s="29">
        <v>3.09489221390673E-2</v>
      </c>
      <c r="I296" s="29">
        <v>1.8293818146496301E-2</v>
      </c>
      <c r="J296" s="29">
        <v>62.0533410689928</v>
      </c>
      <c r="K296" s="29">
        <v>0.224196760949055</v>
      </c>
      <c r="L296" s="29">
        <v>0.8</v>
      </c>
      <c r="M296" s="29">
        <v>3.2729457799913098E-2</v>
      </c>
      <c r="N296" s="29">
        <v>1.3952865614432199</v>
      </c>
      <c r="O296" s="29">
        <v>0</v>
      </c>
      <c r="P296" s="29">
        <v>1.8634718294181198E-2</v>
      </c>
      <c r="Q296" s="29">
        <v>1.1904761904761901E-2</v>
      </c>
      <c r="R296" s="30">
        <v>423226.91519999999</v>
      </c>
      <c r="S296" s="29">
        <v>2</v>
      </c>
      <c r="T296">
        <v>556.30499999999995</v>
      </c>
      <c r="U296" s="21"/>
      <c r="V296">
        <v>286</v>
      </c>
      <c r="W296" t="b">
        <f>V296&gt;=$C$4</f>
        <v>1</v>
      </c>
      <c r="X296">
        <f>IF(V296&lt;=$C$5,11,ROW()-$C$5+1)</f>
        <v>45</v>
      </c>
      <c r="Y296" s="14">
        <f t="shared" si="127"/>
        <v>252</v>
      </c>
      <c r="Z296" s="10">
        <f t="shared" si="135"/>
        <v>0.67800000000000438</v>
      </c>
      <c r="AA296" s="15">
        <f t="shared" si="136"/>
        <v>1.8293818146496367E-2</v>
      </c>
      <c r="AB296" s="15">
        <f t="shared" si="137"/>
        <v>1.147019667641473</v>
      </c>
      <c r="AC296" s="10">
        <f t="shared" si="128"/>
        <v>3.0948922139067365E-2</v>
      </c>
      <c r="AD296">
        <f t="shared" si="138"/>
        <v>0.67800000000000438</v>
      </c>
      <c r="AE296">
        <f t="shared" si="145"/>
        <v>0.67800000000000438</v>
      </c>
      <c r="AF296">
        <f t="shared" si="146"/>
        <v>0</v>
      </c>
      <c r="AG296">
        <f t="shared" si="151"/>
        <v>0.41961844434536683</v>
      </c>
      <c r="AH296">
        <f t="shared" si="151"/>
        <v>0.25660371722204939</v>
      </c>
      <c r="AI296">
        <f t="shared" si="139"/>
        <v>1.6352781202396001</v>
      </c>
      <c r="AJ296">
        <f t="shared" si="147"/>
        <v>62.053341075473284</v>
      </c>
      <c r="AK296" s="14">
        <f t="shared" si="129"/>
        <v>62.053341075473284</v>
      </c>
      <c r="AM296" s="14">
        <f t="shared" si="152"/>
        <v>0.22419676094905583</v>
      </c>
      <c r="AN296" s="36">
        <f t="shared" si="140"/>
        <v>1.8634718294181285E-2</v>
      </c>
      <c r="AO296">
        <f t="shared" si="149"/>
        <v>1</v>
      </c>
      <c r="AP296" s="14">
        <f t="shared" si="150"/>
        <v>0.8</v>
      </c>
      <c r="AQ296">
        <f t="shared" si="141"/>
        <v>4.2041532485161959E-3</v>
      </c>
      <c r="AR296">
        <f t="shared" si="142"/>
        <v>1.4430565045665002E-2</v>
      </c>
      <c r="AS296">
        <f t="shared" si="124"/>
        <v>4.6686672690086684E-4</v>
      </c>
      <c r="AT296">
        <f t="shared" si="125"/>
        <v>1.426441983105853E-2</v>
      </c>
      <c r="AU296" s="14">
        <f t="shared" si="130"/>
        <v>3.2729457799912619E-2</v>
      </c>
      <c r="AV296" s="19">
        <f t="shared" si="126"/>
        <v>1.3952865614432328</v>
      </c>
      <c r="AW296" s="19">
        <f t="shared" si="153"/>
        <v>0</v>
      </c>
      <c r="AX296">
        <f t="shared" si="131"/>
        <v>0</v>
      </c>
      <c r="AY296">
        <f>IF(W296,SUMPRODUCT(INDEX(AX:AX,X296):INDEX(AX:AX,X296+Y296)),0)</f>
        <v>3</v>
      </c>
      <c r="AZ296">
        <f>IF(V296,COUNT(INDEX(AX:AX,X296):INDEX(AX:AX,ROW())),0)</f>
        <v>252</v>
      </c>
      <c r="BA296" s="14">
        <f t="shared" si="143"/>
        <v>1.1904761904761904E-2</v>
      </c>
      <c r="BB296" s="6">
        <f t="shared" si="132"/>
        <v>524015.3763</v>
      </c>
      <c r="BC296" s="6">
        <f>MEDIAN(INDEX(BB:BB,X296):INDEX(BB:BB,X296+Y296-1))</f>
        <v>423226.91519999999</v>
      </c>
      <c r="BD296" s="25">
        <f t="shared" si="133"/>
        <v>423226.91519999999</v>
      </c>
      <c r="BE296">
        <f t="shared" si="144"/>
        <v>0</v>
      </c>
      <c r="BF296" s="6">
        <f>SUM(INDEX(BE:BE,X296):INDEX(BE:BE,X296+Y296-1))</f>
        <v>2</v>
      </c>
      <c r="BG296" s="25">
        <f t="shared" si="134"/>
        <v>2</v>
      </c>
    </row>
    <row r="297" spans="1:59" x14ac:dyDescent="0.3">
      <c r="A297" s="1">
        <v>45785</v>
      </c>
      <c r="B297">
        <v>36.702800000000003</v>
      </c>
      <c r="C297">
        <v>38.650599999999997</v>
      </c>
      <c r="D297">
        <v>36.702800000000003</v>
      </c>
      <c r="E297">
        <v>38.584099999999999</v>
      </c>
      <c r="F297">
        <v>34597</v>
      </c>
      <c r="G297" s="29">
        <v>1.2042182628099301</v>
      </c>
      <c r="H297" s="29">
        <v>3.1210220344907301E-2</v>
      </c>
      <c r="I297" s="29">
        <v>5.04819342682606E-2</v>
      </c>
      <c r="J297" s="29">
        <v>67.654851759654704</v>
      </c>
      <c r="K297" s="29">
        <v>0.29843282552438199</v>
      </c>
      <c r="L297" s="29">
        <v>0.8</v>
      </c>
      <c r="M297" s="29">
        <v>6.0376770890000701E-2</v>
      </c>
      <c r="N297" s="29">
        <v>1.4033377217644001</v>
      </c>
      <c r="O297" s="29">
        <v>0</v>
      </c>
      <c r="P297" s="29">
        <v>4.1077446528356702E-2</v>
      </c>
      <c r="Q297" s="29">
        <v>1.1904761904761901E-2</v>
      </c>
      <c r="R297" s="30">
        <v>423226.91519999999</v>
      </c>
      <c r="S297" s="29">
        <v>2</v>
      </c>
      <c r="T297">
        <v>560.18200000000002</v>
      </c>
      <c r="U297" s="21"/>
      <c r="V297">
        <v>287</v>
      </c>
      <c r="W297" t="b">
        <f>V297&gt;=$C$4</f>
        <v>1</v>
      </c>
      <c r="X297">
        <f>IF(V297&lt;=$C$5,11,ROW()-$C$5+1)</f>
        <v>46</v>
      </c>
      <c r="Y297" s="14">
        <f t="shared" si="127"/>
        <v>252</v>
      </c>
      <c r="Z297" s="10">
        <f t="shared" si="135"/>
        <v>1.9477999999999938</v>
      </c>
      <c r="AA297" s="15">
        <f t="shared" si="136"/>
        <v>5.04819342682606E-2</v>
      </c>
      <c r="AB297" s="15">
        <f t="shared" si="137"/>
        <v>1.2042182628099387</v>
      </c>
      <c r="AC297" s="10">
        <f t="shared" si="128"/>
        <v>3.1210220344907325E-2</v>
      </c>
      <c r="AD297">
        <f t="shared" si="138"/>
        <v>1.5223999999999975</v>
      </c>
      <c r="AE297">
        <f t="shared" si="145"/>
        <v>1.5223999999999975</v>
      </c>
      <c r="AF297">
        <f t="shared" si="146"/>
        <v>0</v>
      </c>
      <c r="AG297">
        <f t="shared" si="151"/>
        <v>0.49838855546355471</v>
      </c>
      <c r="AH297">
        <f t="shared" si="151"/>
        <v>0.23827488027761728</v>
      </c>
      <c r="AI297">
        <f t="shared" si="139"/>
        <v>2.0916537860930848</v>
      </c>
      <c r="AJ297">
        <f t="shared" si="147"/>
        <v>67.654851765802107</v>
      </c>
      <c r="AK297" s="14">
        <f t="shared" si="129"/>
        <v>67.654851765802107</v>
      </c>
      <c r="AM297" s="14">
        <f t="shared" si="152"/>
        <v>0.29843282552438244</v>
      </c>
      <c r="AN297" s="36">
        <f t="shared" si="140"/>
        <v>4.1077446528356765E-2</v>
      </c>
      <c r="AO297">
        <f t="shared" si="149"/>
        <v>1</v>
      </c>
      <c r="AP297" s="14">
        <f t="shared" si="150"/>
        <v>0.8</v>
      </c>
      <c r="AQ297">
        <f t="shared" si="141"/>
        <v>6.9691985511546317E-3</v>
      </c>
      <c r="AR297">
        <f t="shared" si="142"/>
        <v>3.4108247977202071E-2</v>
      </c>
      <c r="AS297">
        <f t="shared" si="124"/>
        <v>8.9726541516511882E-4</v>
      </c>
      <c r="AT297">
        <f t="shared" si="125"/>
        <v>1.4861103068924223E-2</v>
      </c>
      <c r="AU297" s="14">
        <f t="shared" si="130"/>
        <v>6.0376770890000347E-2</v>
      </c>
      <c r="AV297" s="19">
        <f t="shared" si="126"/>
        <v>1.4033377217644127</v>
      </c>
      <c r="AW297" s="19">
        <f t="shared" si="153"/>
        <v>0</v>
      </c>
      <c r="AX297">
        <f t="shared" si="131"/>
        <v>0</v>
      </c>
      <c r="AY297">
        <f>IF(W297,SUMPRODUCT(INDEX(AX:AX,X297):INDEX(AX:AX,X297+Y297)),0)</f>
        <v>3</v>
      </c>
      <c r="AZ297">
        <f>IF(V297,COUNT(INDEX(AX:AX,X297):INDEX(AX:AX,ROW())),0)</f>
        <v>252</v>
      </c>
      <c r="BA297" s="14">
        <f t="shared" si="143"/>
        <v>1.1904761904761904E-2</v>
      </c>
      <c r="BB297" s="6">
        <f t="shared" si="132"/>
        <v>1334894.1077000001</v>
      </c>
      <c r="BC297" s="6">
        <f>MEDIAN(INDEX(BB:BB,X297):INDEX(BB:BB,X297+Y297-1))</f>
        <v>423226.91519999999</v>
      </c>
      <c r="BD297" s="25">
        <f t="shared" si="133"/>
        <v>423226.91519999999</v>
      </c>
      <c r="BE297">
        <f t="shared" si="144"/>
        <v>0</v>
      </c>
      <c r="BF297" s="6">
        <f>SUM(INDEX(BE:BE,X297):INDEX(BE:BE,X297+Y297-1))</f>
        <v>2</v>
      </c>
      <c r="BG297" s="25">
        <f t="shared" si="134"/>
        <v>2</v>
      </c>
    </row>
    <row r="298" spans="1:59" x14ac:dyDescent="0.3">
      <c r="A298" s="1">
        <v>45786</v>
      </c>
      <c r="B298">
        <v>38.557499999999997</v>
      </c>
      <c r="C298">
        <v>38.557499999999997</v>
      </c>
      <c r="D298">
        <v>37.520400000000002</v>
      </c>
      <c r="E298">
        <v>37.6999</v>
      </c>
      <c r="F298">
        <v>16546</v>
      </c>
      <c r="G298" s="29">
        <v>1.1941812440377999</v>
      </c>
      <c r="H298" s="29">
        <v>3.1675979088480299E-2</v>
      </c>
      <c r="I298" s="29">
        <v>2.82149289520661E-2</v>
      </c>
      <c r="J298" s="29">
        <v>61.936333207094997</v>
      </c>
      <c r="K298" s="29">
        <v>0.124973889794042</v>
      </c>
      <c r="L298" s="29">
        <v>0.6</v>
      </c>
      <c r="M298" s="29">
        <v>3.2097769007769797E-2</v>
      </c>
      <c r="N298" s="29">
        <v>1.40588957103098</v>
      </c>
      <c r="O298" s="29">
        <v>-2.29161753157388E-2</v>
      </c>
      <c r="P298" s="29">
        <v>-2.29161753157388E-2</v>
      </c>
      <c r="Q298" s="29">
        <v>1.1904761904761901E-2</v>
      </c>
      <c r="R298" s="30">
        <v>423226.91519999999</v>
      </c>
      <c r="S298" s="29">
        <v>2</v>
      </c>
      <c r="T298">
        <v>559.46799999999996</v>
      </c>
      <c r="U298" s="21"/>
      <c r="V298">
        <v>288</v>
      </c>
      <c r="W298" t="b">
        <f>V298&gt;=$C$4</f>
        <v>1</v>
      </c>
      <c r="X298">
        <f>IF(V298&lt;=$C$5,11,ROW()-$C$5+1)</f>
        <v>47</v>
      </c>
      <c r="Y298" s="14">
        <f t="shared" si="127"/>
        <v>252</v>
      </c>
      <c r="Z298" s="10">
        <f t="shared" si="135"/>
        <v>1.0636999999999972</v>
      </c>
      <c r="AA298" s="15">
        <f t="shared" si="136"/>
        <v>2.8214928952066114E-2</v>
      </c>
      <c r="AB298" s="15">
        <f t="shared" si="137"/>
        <v>1.1941812440378001</v>
      </c>
      <c r="AC298" s="10">
        <f t="shared" si="128"/>
        <v>3.1675979088480348E-2</v>
      </c>
      <c r="AD298">
        <f t="shared" si="138"/>
        <v>-0.88419999999999987</v>
      </c>
      <c r="AE298">
        <f t="shared" si="145"/>
        <v>0</v>
      </c>
      <c r="AF298">
        <f t="shared" si="146"/>
        <v>0.88419999999999987</v>
      </c>
      <c r="AG298">
        <f t="shared" si="151"/>
        <v>0.46278937293044364</v>
      </c>
      <c r="AH298">
        <f t="shared" si="151"/>
        <v>0.28441238882921605</v>
      </c>
      <c r="AI298">
        <f t="shared" si="139"/>
        <v>1.6271772648003018</v>
      </c>
      <c r="AJ298">
        <f t="shared" si="147"/>
        <v>61.936333212140049</v>
      </c>
      <c r="AK298" s="14">
        <f t="shared" si="129"/>
        <v>61.936333212140049</v>
      </c>
      <c r="AM298" s="14">
        <f t="shared" si="152"/>
        <v>0.12497388979404267</v>
      </c>
      <c r="AN298" s="36">
        <f t="shared" si="140"/>
        <v>-2.2916175315738863E-2</v>
      </c>
      <c r="AO298">
        <f t="shared" si="149"/>
        <v>0</v>
      </c>
      <c r="AP298" s="14">
        <f t="shared" si="150"/>
        <v>0.6</v>
      </c>
      <c r="AQ298">
        <f t="shared" si="141"/>
        <v>-1.2745857596282439E-3</v>
      </c>
      <c r="AR298">
        <f t="shared" si="142"/>
        <v>-2.1641589556110556E-2</v>
      </c>
      <c r="AS298">
        <f t="shared" si="124"/>
        <v>4.8539438376012784E-4</v>
      </c>
      <c r="AT298">
        <f t="shared" si="125"/>
        <v>1.51223713910657E-2</v>
      </c>
      <c r="AU298" s="14">
        <f t="shared" si="130"/>
        <v>3.2097769007769436E-2</v>
      </c>
      <c r="AV298" s="19">
        <f t="shared" si="126"/>
        <v>1.4058895710309858</v>
      </c>
      <c r="AW298" s="19">
        <f t="shared" si="153"/>
        <v>-2.2916175315738863E-2</v>
      </c>
      <c r="AX298">
        <f t="shared" si="131"/>
        <v>0</v>
      </c>
      <c r="AY298">
        <f>IF(W298,SUMPRODUCT(INDEX(AX:AX,X298):INDEX(AX:AX,X298+Y298)),0)</f>
        <v>3</v>
      </c>
      <c r="AZ298">
        <f>IF(V298,COUNT(INDEX(AX:AX,X298):INDEX(AX:AX,ROW())),0)</f>
        <v>252</v>
      </c>
      <c r="BA298" s="14">
        <f t="shared" si="143"/>
        <v>1.1904761904761904E-2</v>
      </c>
      <c r="BB298" s="6">
        <f t="shared" si="132"/>
        <v>623782.54539999994</v>
      </c>
      <c r="BC298" s="6">
        <f>MEDIAN(INDEX(BB:BB,X298):INDEX(BB:BB,X298+Y298-1))</f>
        <v>423226.91519999999</v>
      </c>
      <c r="BD298" s="25">
        <f t="shared" si="133"/>
        <v>423226.91519999999</v>
      </c>
      <c r="BE298">
        <f t="shared" si="144"/>
        <v>0</v>
      </c>
      <c r="BF298" s="6">
        <f>SUM(INDEX(BE:BE,X298):INDEX(BE:BE,X298+Y298-1))</f>
        <v>2</v>
      </c>
      <c r="BG298" s="25">
        <f t="shared" si="134"/>
        <v>2</v>
      </c>
    </row>
    <row r="299" spans="1:59" x14ac:dyDescent="0.3">
      <c r="A299" s="1">
        <v>45789</v>
      </c>
      <c r="B299">
        <v>39.222299999999997</v>
      </c>
      <c r="C299">
        <v>39.222299999999997</v>
      </c>
      <c r="D299">
        <v>38.756900000000002</v>
      </c>
      <c r="E299">
        <v>38.976300000000002</v>
      </c>
      <c r="F299">
        <v>14591</v>
      </c>
      <c r="G299" s="29">
        <v>1.21762544089224</v>
      </c>
      <c r="H299" s="29">
        <v>3.1240149549655601E-2</v>
      </c>
      <c r="I299" s="29">
        <v>3.9059633674822798E-2</v>
      </c>
      <c r="J299" s="29">
        <v>66.357112373749501</v>
      </c>
      <c r="K299" s="29">
        <v>0.24930845590945599</v>
      </c>
      <c r="L299" s="29">
        <v>0.8</v>
      </c>
      <c r="M299" s="29">
        <v>4.1958192867408803E-2</v>
      </c>
      <c r="N299" s="29">
        <v>1.39303399907864</v>
      </c>
      <c r="O299" s="29">
        <v>0</v>
      </c>
      <c r="P299" s="29">
        <v>3.3856853731707597E-2</v>
      </c>
      <c r="Q299" s="29">
        <v>1.1904761904761901E-2</v>
      </c>
      <c r="R299" s="30">
        <v>424279.50160000002</v>
      </c>
      <c r="S299" s="29">
        <v>2</v>
      </c>
      <c r="T299">
        <v>577.95699999999999</v>
      </c>
      <c r="U299" s="21"/>
      <c r="V299">
        <v>289</v>
      </c>
      <c r="W299" t="b">
        <f>V299&gt;=$C$4</f>
        <v>1</v>
      </c>
      <c r="X299">
        <f>IF(V299&lt;=$C$5,11,ROW()-$C$5+1)</f>
        <v>48</v>
      </c>
      <c r="Y299" s="14">
        <f t="shared" si="127"/>
        <v>252</v>
      </c>
      <c r="Z299" s="10">
        <f t="shared" si="135"/>
        <v>1.5223999999999975</v>
      </c>
      <c r="AA299" s="15">
        <f t="shared" si="136"/>
        <v>3.905963367482284E-2</v>
      </c>
      <c r="AB299" s="15">
        <f t="shared" si="137"/>
        <v>1.2176254408922429</v>
      </c>
      <c r="AC299" s="10">
        <f t="shared" si="128"/>
        <v>3.1240149549655632E-2</v>
      </c>
      <c r="AD299">
        <f t="shared" si="138"/>
        <v>1.2764000000000024</v>
      </c>
      <c r="AE299">
        <f t="shared" si="145"/>
        <v>1.2764000000000024</v>
      </c>
      <c r="AF299">
        <f t="shared" si="146"/>
        <v>0</v>
      </c>
      <c r="AG299">
        <f t="shared" si="151"/>
        <v>0.52090441772112639</v>
      </c>
      <c r="AH299">
        <f t="shared" si="151"/>
        <v>0.26409721819855775</v>
      </c>
      <c r="AI299">
        <f t="shared" si="139"/>
        <v>1.9723964579191129</v>
      </c>
      <c r="AJ299">
        <f t="shared" si="147"/>
        <v>66.357112378606772</v>
      </c>
      <c r="AK299" s="14">
        <f t="shared" si="129"/>
        <v>66.357112378606772</v>
      </c>
      <c r="AM299" s="14">
        <f t="shared" si="152"/>
        <v>0.24930845590945672</v>
      </c>
      <c r="AN299" s="36">
        <f t="shared" si="140"/>
        <v>3.3856853731707659E-2</v>
      </c>
      <c r="AO299">
        <f t="shared" si="149"/>
        <v>1</v>
      </c>
      <c r="AP299" s="14">
        <f t="shared" si="150"/>
        <v>0.8</v>
      </c>
      <c r="AQ299">
        <f t="shared" si="141"/>
        <v>3.3047466521767266E-2</v>
      </c>
      <c r="AR299">
        <f t="shared" si="142"/>
        <v>8.093872099403307E-4</v>
      </c>
      <c r="AS299">
        <f t="shared" si="124"/>
        <v>6.3268211751440551E-4</v>
      </c>
      <c r="AT299">
        <f t="shared" si="125"/>
        <v>1.5078869566993435E-2</v>
      </c>
      <c r="AU299" s="14">
        <f t="shared" si="130"/>
        <v>4.19581928674084E-2</v>
      </c>
      <c r="AV299" s="19">
        <f t="shared" si="126"/>
        <v>1.3930339990786442</v>
      </c>
      <c r="AW299" s="19">
        <f t="shared" si="153"/>
        <v>0</v>
      </c>
      <c r="AX299">
        <f t="shared" si="131"/>
        <v>0</v>
      </c>
      <c r="AY299">
        <f>IF(W299,SUMPRODUCT(INDEX(AX:AX,X299):INDEX(AX:AX,X299+Y299)),0)</f>
        <v>3</v>
      </c>
      <c r="AZ299">
        <f>IF(V299,COUNT(INDEX(AX:AX,X299):INDEX(AX:AX,ROW())),0)</f>
        <v>252</v>
      </c>
      <c r="BA299" s="14">
        <f t="shared" si="143"/>
        <v>1.1904761904761904E-2</v>
      </c>
      <c r="BB299" s="6">
        <f t="shared" si="132"/>
        <v>568703.19330000004</v>
      </c>
      <c r="BC299" s="6">
        <f>MEDIAN(INDEX(BB:BB,X299):INDEX(BB:BB,X299+Y299-1))</f>
        <v>424279.50160000002</v>
      </c>
      <c r="BD299" s="25">
        <f t="shared" si="133"/>
        <v>424279.50160000002</v>
      </c>
      <c r="BE299">
        <f t="shared" si="144"/>
        <v>0</v>
      </c>
      <c r="BF299" s="6">
        <f>SUM(INDEX(BE:BE,X299):INDEX(BE:BE,X299+Y299-1))</f>
        <v>2</v>
      </c>
      <c r="BG299" s="25">
        <f t="shared" si="134"/>
        <v>2</v>
      </c>
    </row>
    <row r="300" spans="1:59" x14ac:dyDescent="0.3">
      <c r="A300" s="1">
        <v>45790</v>
      </c>
      <c r="B300">
        <v>39.348599999999998</v>
      </c>
      <c r="C300">
        <v>39.747500000000002</v>
      </c>
      <c r="D300">
        <v>39.189</v>
      </c>
      <c r="E300">
        <v>39.528100000000002</v>
      </c>
      <c r="F300">
        <v>20307</v>
      </c>
      <c r="G300" s="29">
        <v>1.1857379093999401</v>
      </c>
      <c r="H300" s="29">
        <v>2.9997341369808798E-2</v>
      </c>
      <c r="I300" s="29">
        <v>1.9510171245266002E-2</v>
      </c>
      <c r="J300" s="29">
        <v>68.082914534988902</v>
      </c>
      <c r="K300" s="29">
        <v>0.22219851708933899</v>
      </c>
      <c r="L300" s="29">
        <v>0.8</v>
      </c>
      <c r="M300" s="29">
        <v>6.6247018873421396E-2</v>
      </c>
      <c r="N300" s="29">
        <v>1.39461621774047</v>
      </c>
      <c r="O300" s="29">
        <v>0</v>
      </c>
      <c r="P300" s="29">
        <v>1.41573212439354E-2</v>
      </c>
      <c r="Q300" s="29">
        <v>1.1904761904761901E-2</v>
      </c>
      <c r="R300" s="30">
        <v>425354.1678</v>
      </c>
      <c r="S300" s="29">
        <v>2</v>
      </c>
      <c r="T300">
        <v>581.77300000000002</v>
      </c>
      <c r="U300" s="21"/>
      <c r="V300">
        <v>290</v>
      </c>
      <c r="W300" t="b">
        <f>V300&gt;=$C$4</f>
        <v>1</v>
      </c>
      <c r="X300">
        <f>IF(V300&lt;=$C$5,11,ROW()-$C$5+1)</f>
        <v>49</v>
      </c>
      <c r="Y300" s="14">
        <f t="shared" si="127"/>
        <v>252</v>
      </c>
      <c r="Z300" s="10">
        <f t="shared" si="135"/>
        <v>0.77120000000000033</v>
      </c>
      <c r="AA300" s="15">
        <f t="shared" si="136"/>
        <v>1.9510171245266033E-2</v>
      </c>
      <c r="AB300" s="15">
        <f t="shared" si="137"/>
        <v>1.1857379093999398</v>
      </c>
      <c r="AC300" s="10">
        <f t="shared" si="128"/>
        <v>2.9997341369808812E-2</v>
      </c>
      <c r="AD300">
        <f t="shared" si="138"/>
        <v>0.55180000000000007</v>
      </c>
      <c r="AE300">
        <f t="shared" si="145"/>
        <v>0.55180000000000007</v>
      </c>
      <c r="AF300">
        <f t="shared" si="146"/>
        <v>0</v>
      </c>
      <c r="AG300">
        <f t="shared" si="151"/>
        <v>0.52311124502676021</v>
      </c>
      <c r="AH300">
        <f t="shared" si="151"/>
        <v>0.24523313118437504</v>
      </c>
      <c r="AI300">
        <f t="shared" si="139"/>
        <v>2.133118157813132</v>
      </c>
      <c r="AJ300">
        <f t="shared" si="147"/>
        <v>68.082914539744507</v>
      </c>
      <c r="AK300" s="14">
        <f t="shared" si="129"/>
        <v>68.082914539744507</v>
      </c>
      <c r="AM300" s="14">
        <f t="shared" si="152"/>
        <v>0.22219851708933969</v>
      </c>
      <c r="AN300" s="36">
        <f t="shared" si="140"/>
        <v>1.4157321243935428E-2</v>
      </c>
      <c r="AO300">
        <f t="shared" si="149"/>
        <v>1</v>
      </c>
      <c r="AP300" s="14">
        <f t="shared" si="150"/>
        <v>0.8</v>
      </c>
      <c r="AQ300">
        <f t="shared" si="141"/>
        <v>6.6025673190219791E-3</v>
      </c>
      <c r="AR300">
        <f t="shared" si="142"/>
        <v>7.554753924913421E-3</v>
      </c>
      <c r="AS300">
        <f t="shared" si="124"/>
        <v>9.9159203723144873E-4</v>
      </c>
      <c r="AT300">
        <f t="shared" si="125"/>
        <v>1.496810051371664E-2</v>
      </c>
      <c r="AU300" s="14">
        <f t="shared" si="130"/>
        <v>6.6247018873420993E-2</v>
      </c>
      <c r="AV300" s="19">
        <f t="shared" si="126"/>
        <v>1.3946162177404764</v>
      </c>
      <c r="AW300" s="19">
        <f t="shared" si="153"/>
        <v>0</v>
      </c>
      <c r="AX300">
        <f t="shared" si="131"/>
        <v>0</v>
      </c>
      <c r="AY300">
        <f>IF(W300,SUMPRODUCT(INDEX(AX:AX,X300):INDEX(AX:AX,X300+Y300)),0)</f>
        <v>3</v>
      </c>
      <c r="AZ300">
        <f>IF(V300,COUNT(INDEX(AX:AX,X300):INDEX(AX:AX,ROW())),0)</f>
        <v>252</v>
      </c>
      <c r="BA300" s="14">
        <f t="shared" si="143"/>
        <v>1.1904761904761904E-2</v>
      </c>
      <c r="BB300" s="6">
        <f t="shared" si="132"/>
        <v>802697.12670000002</v>
      </c>
      <c r="BC300" s="6">
        <f>MEDIAN(INDEX(BB:BB,X300):INDEX(BB:BB,X300+Y300-1))</f>
        <v>425354.16780000005</v>
      </c>
      <c r="BD300" s="25">
        <f t="shared" si="133"/>
        <v>425354.16780000005</v>
      </c>
      <c r="BE300">
        <f t="shared" si="144"/>
        <v>0</v>
      </c>
      <c r="BF300" s="6">
        <f>SUM(INDEX(BE:BE,X300):INDEX(BE:BE,X300+Y300-1))</f>
        <v>2</v>
      </c>
      <c r="BG300" s="25">
        <f t="shared" si="134"/>
        <v>2</v>
      </c>
    </row>
    <row r="301" spans="1:59" x14ac:dyDescent="0.3">
      <c r="A301" s="1">
        <v>45791</v>
      </c>
      <c r="B301">
        <v>39.341900000000003</v>
      </c>
      <c r="C301">
        <v>39.687600000000003</v>
      </c>
      <c r="D301">
        <v>39.341900000000003</v>
      </c>
      <c r="E301">
        <v>39.554699999999997</v>
      </c>
      <c r="F301">
        <v>33695</v>
      </c>
      <c r="G301" s="29">
        <v>1.1257352015856501</v>
      </c>
      <c r="H301" s="29">
        <v>2.84602133649265E-2</v>
      </c>
      <c r="I301" s="29">
        <v>8.7397957764817E-3</v>
      </c>
      <c r="J301" s="29">
        <v>68.167686173046107</v>
      </c>
      <c r="K301" s="29">
        <v>0.208367446691513</v>
      </c>
      <c r="L301" s="29">
        <v>0.8</v>
      </c>
      <c r="M301" s="29">
        <v>6.63541040852451E-2</v>
      </c>
      <c r="N301" s="29">
        <v>1.3944486016864299</v>
      </c>
      <c r="O301" s="29">
        <v>0</v>
      </c>
      <c r="P301" s="29">
        <v>6.7293899782683297E-4</v>
      </c>
      <c r="Q301" s="29">
        <v>1.1904761904761901E-2</v>
      </c>
      <c r="R301" s="30">
        <v>425899.26029999898</v>
      </c>
      <c r="S301" s="29">
        <v>2</v>
      </c>
      <c r="T301">
        <v>582.51700000000005</v>
      </c>
      <c r="U301" s="21"/>
      <c r="V301">
        <v>291</v>
      </c>
      <c r="W301" t="b">
        <f>V301&gt;=$C$4</f>
        <v>1</v>
      </c>
      <c r="X301">
        <f>IF(V301&lt;=$C$5,11,ROW()-$C$5+1)</f>
        <v>50</v>
      </c>
      <c r="Y301" s="14">
        <f t="shared" si="127"/>
        <v>252</v>
      </c>
      <c r="Z301" s="10">
        <f t="shared" si="135"/>
        <v>0.34570000000000078</v>
      </c>
      <c r="AA301" s="15">
        <f t="shared" si="136"/>
        <v>8.7397957764817034E-3</v>
      </c>
      <c r="AB301" s="15">
        <f t="shared" si="137"/>
        <v>1.1257352015856585</v>
      </c>
      <c r="AC301" s="10">
        <f t="shared" si="128"/>
        <v>2.8460213364926511E-2</v>
      </c>
      <c r="AD301">
        <f t="shared" si="138"/>
        <v>2.659999999999485E-2</v>
      </c>
      <c r="AE301">
        <f t="shared" si="145"/>
        <v>2.659999999999485E-2</v>
      </c>
      <c r="AF301">
        <f t="shared" si="146"/>
        <v>0</v>
      </c>
      <c r="AG301">
        <f t="shared" si="151"/>
        <v>0.48764615609627698</v>
      </c>
      <c r="AH301">
        <f t="shared" si="151"/>
        <v>0.22771647895691968</v>
      </c>
      <c r="AI301">
        <f t="shared" si="139"/>
        <v>2.1414618666597769</v>
      </c>
      <c r="AJ301">
        <f t="shared" si="147"/>
        <v>68.167686177796256</v>
      </c>
      <c r="AK301" s="14">
        <f t="shared" si="129"/>
        <v>68.167686177796256</v>
      </c>
      <c r="AM301" s="14">
        <f t="shared" si="152"/>
        <v>0.2083674466915133</v>
      </c>
      <c r="AN301" s="36">
        <f t="shared" si="140"/>
        <v>6.7293899782683297E-4</v>
      </c>
      <c r="AO301">
        <f t="shared" si="149"/>
        <v>1</v>
      </c>
      <c r="AP301" s="14">
        <f t="shared" si="150"/>
        <v>0.8</v>
      </c>
      <c r="AQ301">
        <f t="shared" si="141"/>
        <v>1.2788493106419274E-3</v>
      </c>
      <c r="AR301">
        <f t="shared" si="142"/>
        <v>-6.0591031281509444E-4</v>
      </c>
      <c r="AS301">
        <f t="shared" si="124"/>
        <v>9.9318308529144309E-4</v>
      </c>
      <c r="AT301">
        <f t="shared" si="125"/>
        <v>1.4967922466642129E-2</v>
      </c>
      <c r="AU301" s="14">
        <f t="shared" si="130"/>
        <v>6.6354104085244614E-2</v>
      </c>
      <c r="AV301" s="19">
        <f t="shared" si="126"/>
        <v>1.3944486016864361</v>
      </c>
      <c r="AW301" s="19">
        <f t="shared" si="153"/>
        <v>0</v>
      </c>
      <c r="AX301">
        <f t="shared" si="131"/>
        <v>0</v>
      </c>
      <c r="AY301">
        <f>IF(W301,SUMPRODUCT(INDEX(AX:AX,X301):INDEX(AX:AX,X301+Y301)),0)</f>
        <v>3</v>
      </c>
      <c r="AZ301">
        <f>IF(V301,COUNT(INDEX(AX:AX,X301):INDEX(AX:AX,ROW())),0)</f>
        <v>252</v>
      </c>
      <c r="BA301" s="14">
        <f t="shared" si="143"/>
        <v>1.1904761904761904E-2</v>
      </c>
      <c r="BB301" s="6">
        <f t="shared" si="132"/>
        <v>1332795.6165</v>
      </c>
      <c r="BC301" s="6">
        <f>MEDIAN(INDEX(BB:BB,X301):INDEX(BB:BB,X301+Y301-1))</f>
        <v>425899.26029999997</v>
      </c>
      <c r="BD301" s="25">
        <f t="shared" si="133"/>
        <v>425899.26029999997</v>
      </c>
      <c r="BE301">
        <f t="shared" si="144"/>
        <v>0</v>
      </c>
      <c r="BF301" s="6">
        <f>SUM(INDEX(BE:BE,X301):INDEX(BE:BE,X301+Y301-1))</f>
        <v>2</v>
      </c>
      <c r="BG301" s="25">
        <f t="shared" si="134"/>
        <v>2</v>
      </c>
    </row>
    <row r="302" spans="1:59" x14ac:dyDescent="0.3">
      <c r="A302" s="1">
        <v>45792</v>
      </c>
      <c r="B302">
        <v>39.494799999999998</v>
      </c>
      <c r="C302">
        <v>39.707599999999999</v>
      </c>
      <c r="D302">
        <v>39.189</v>
      </c>
      <c r="E302">
        <v>39.587899999999998</v>
      </c>
      <c r="F302">
        <v>12635</v>
      </c>
      <c r="G302" s="29">
        <v>1.08236840147239</v>
      </c>
      <c r="H302" s="29">
        <v>2.7340889551413301E-2</v>
      </c>
      <c r="I302" s="29">
        <v>1.30999623622369E-2</v>
      </c>
      <c r="J302" s="29">
        <v>68.280923345274502</v>
      </c>
      <c r="K302" s="29">
        <v>0.209629269753386</v>
      </c>
      <c r="L302" s="29">
        <v>0.8</v>
      </c>
      <c r="M302" s="29">
        <v>3.8654723566605799E-2</v>
      </c>
      <c r="N302" s="29">
        <v>1.3864423361254401</v>
      </c>
      <c r="O302" s="29">
        <v>0</v>
      </c>
      <c r="P302" s="29">
        <v>8.3934399704710296E-4</v>
      </c>
      <c r="Q302" s="29">
        <v>1.1904761904761901E-2</v>
      </c>
      <c r="R302" s="30">
        <v>431297.22609999898</v>
      </c>
      <c r="S302" s="29">
        <v>2</v>
      </c>
      <c r="T302">
        <v>585.36199999999997</v>
      </c>
      <c r="U302" s="21"/>
      <c r="V302">
        <v>292</v>
      </c>
      <c r="W302" t="b">
        <f>V302&gt;=$C$4</f>
        <v>1</v>
      </c>
      <c r="X302">
        <f>IF(V302&lt;=$C$5,11,ROW()-$C$5+1)</f>
        <v>51</v>
      </c>
      <c r="Y302" s="14">
        <f t="shared" si="127"/>
        <v>252</v>
      </c>
      <c r="Z302" s="10">
        <f t="shared" si="135"/>
        <v>0.51859999999999928</v>
      </c>
      <c r="AA302" s="15">
        <f t="shared" si="136"/>
        <v>1.3099962362236929E-2</v>
      </c>
      <c r="AB302" s="15">
        <f t="shared" si="137"/>
        <v>1.0823684014723971</v>
      </c>
      <c r="AC302" s="10">
        <f t="shared" si="128"/>
        <v>2.7340889551413367E-2</v>
      </c>
      <c r="AD302">
        <f t="shared" si="138"/>
        <v>3.3200000000000784E-2</v>
      </c>
      <c r="AE302">
        <f t="shared" si="145"/>
        <v>3.3200000000000784E-2</v>
      </c>
      <c r="AF302">
        <f t="shared" si="146"/>
        <v>0</v>
      </c>
      <c r="AG302">
        <f t="shared" ref="AG302:AH310" si="154">(AE302+13*AG301)/14</f>
        <v>0.4551857163751144</v>
      </c>
      <c r="AH302">
        <f t="shared" si="154"/>
        <v>0.21145101617428258</v>
      </c>
      <c r="AI302">
        <f t="shared" si="139"/>
        <v>2.1526768923159976</v>
      </c>
      <c r="AJ302">
        <f t="shared" si="147"/>
        <v>68.280923350017417</v>
      </c>
      <c r="AK302" s="14">
        <f t="shared" si="129"/>
        <v>68.280923350017417</v>
      </c>
      <c r="AM302" s="14">
        <f t="shared" si="152"/>
        <v>0.20962926975338636</v>
      </c>
      <c r="AN302" s="36">
        <f t="shared" si="140"/>
        <v>8.3934399704710394E-4</v>
      </c>
      <c r="AO302">
        <f t="shared" si="149"/>
        <v>1</v>
      </c>
      <c r="AP302" s="14">
        <f t="shared" si="150"/>
        <v>0.8</v>
      </c>
      <c r="AQ302">
        <f t="shared" si="141"/>
        <v>4.8839776349873798E-3</v>
      </c>
      <c r="AR302">
        <f t="shared" si="142"/>
        <v>-4.0446336379402767E-3</v>
      </c>
      <c r="AS302">
        <f t="shared" si="124"/>
        <v>5.6899990477361903E-4</v>
      </c>
      <c r="AT302">
        <f t="shared" si="125"/>
        <v>1.4720061412240729E-2</v>
      </c>
      <c r="AU302" s="14">
        <f t="shared" si="130"/>
        <v>3.8654723566605299E-2</v>
      </c>
      <c r="AV302" s="19">
        <f t="shared" si="126"/>
        <v>1.3864423361254516</v>
      </c>
      <c r="AW302" s="19">
        <f t="shared" si="153"/>
        <v>0</v>
      </c>
      <c r="AX302">
        <f t="shared" si="131"/>
        <v>0</v>
      </c>
      <c r="AY302">
        <f>IF(W302,SUMPRODUCT(INDEX(AX:AX,X302):INDEX(AX:AX,X302+Y302)),0)</f>
        <v>3</v>
      </c>
      <c r="AZ302">
        <f>IF(V302,COUNT(INDEX(AX:AX,X302):INDEX(AX:AX,ROW())),0)</f>
        <v>252</v>
      </c>
      <c r="BA302" s="14">
        <f t="shared" si="143"/>
        <v>1.1904761904761904E-2</v>
      </c>
      <c r="BB302" s="6">
        <f t="shared" si="132"/>
        <v>500193.11649999995</v>
      </c>
      <c r="BC302" s="6">
        <f>MEDIAN(INDEX(BB:BB,X302):INDEX(BB:BB,X302+Y302-1))</f>
        <v>431297.22609999997</v>
      </c>
      <c r="BD302" s="25">
        <f t="shared" si="133"/>
        <v>431297.22609999997</v>
      </c>
      <c r="BE302">
        <f t="shared" si="144"/>
        <v>0</v>
      </c>
      <c r="BF302" s="6">
        <f>SUM(INDEX(BE:BE,X302):INDEX(BE:BE,X302+Y302-1))</f>
        <v>2</v>
      </c>
      <c r="BG302" s="25">
        <f t="shared" si="134"/>
        <v>2</v>
      </c>
    </row>
    <row r="303" spans="1:59" x14ac:dyDescent="0.3">
      <c r="A303" s="1">
        <v>45793</v>
      </c>
      <c r="B303">
        <v>39.734200000000001</v>
      </c>
      <c r="C303">
        <v>39.966799999999999</v>
      </c>
      <c r="D303">
        <v>39.6145</v>
      </c>
      <c r="E303">
        <v>39.641100000000002</v>
      </c>
      <c r="F303">
        <v>12033</v>
      </c>
      <c r="G303" s="29">
        <v>1.0321206585100799</v>
      </c>
      <c r="H303" s="29">
        <v>2.6036630126562599E-2</v>
      </c>
      <c r="I303" s="29">
        <v>9.5582615013206293E-3</v>
      </c>
      <c r="J303" s="29">
        <v>68.474450408497106</v>
      </c>
      <c r="K303" s="29">
        <v>0.22092453823907099</v>
      </c>
      <c r="L303" s="29">
        <v>1</v>
      </c>
      <c r="M303" s="29">
        <v>2.4837973025766E-2</v>
      </c>
      <c r="N303" s="29">
        <v>1.38455138250336</v>
      </c>
      <c r="O303" s="29">
        <v>0</v>
      </c>
      <c r="P303" s="29">
        <v>1.34384496272854E-3</v>
      </c>
      <c r="Q303" s="29">
        <v>1.1904761904761901E-2</v>
      </c>
      <c r="R303" s="30">
        <v>438324.71250000002</v>
      </c>
      <c r="S303" s="29">
        <v>1</v>
      </c>
      <c r="T303">
        <v>589.07000000000005</v>
      </c>
      <c r="U303" s="21"/>
      <c r="V303">
        <v>293</v>
      </c>
      <c r="W303" t="b">
        <f>V303&gt;=$C$4</f>
        <v>1</v>
      </c>
      <c r="X303">
        <f>IF(V303&lt;=$C$5,11,ROW()-$C$5+1)</f>
        <v>52</v>
      </c>
      <c r="Y303" s="14">
        <f t="shared" si="127"/>
        <v>252</v>
      </c>
      <c r="Z303" s="10">
        <f t="shared" si="135"/>
        <v>0.37890000000000157</v>
      </c>
      <c r="AA303" s="15">
        <f t="shared" si="136"/>
        <v>9.558261501320638E-3</v>
      </c>
      <c r="AB303" s="15">
        <f t="shared" si="137"/>
        <v>1.0321206585100831</v>
      </c>
      <c r="AC303" s="10">
        <f t="shared" si="128"/>
        <v>2.6036630126562658E-2</v>
      </c>
      <c r="AD303">
        <f t="shared" si="138"/>
        <v>5.3200000000003911E-2</v>
      </c>
      <c r="AE303">
        <f t="shared" si="145"/>
        <v>5.3200000000003911E-2</v>
      </c>
      <c r="AF303">
        <f t="shared" si="146"/>
        <v>0</v>
      </c>
      <c r="AG303">
        <f t="shared" si="154"/>
        <v>0.42647245091974939</v>
      </c>
      <c r="AH303">
        <f t="shared" si="154"/>
        <v>0.19634737216183382</v>
      </c>
      <c r="AI303">
        <f t="shared" si="139"/>
        <v>2.1720303471555575</v>
      </c>
      <c r="AJ303">
        <f t="shared" si="147"/>
        <v>68.474450413227416</v>
      </c>
      <c r="AK303" s="14">
        <f t="shared" si="129"/>
        <v>68.474450413227416</v>
      </c>
      <c r="AM303" s="14">
        <f t="shared" si="152"/>
        <v>0.22092453823907165</v>
      </c>
      <c r="AN303" s="36">
        <f t="shared" si="140"/>
        <v>1.3438449627285465E-3</v>
      </c>
      <c r="AO303">
        <f t="shared" si="149"/>
        <v>1</v>
      </c>
      <c r="AP303" s="14">
        <f t="shared" si="150"/>
        <v>1</v>
      </c>
      <c r="AQ303">
        <f t="shared" si="141"/>
        <v>6.3345417023996653E-3</v>
      </c>
      <c r="AR303">
        <f t="shared" si="142"/>
        <v>-4.9906967396711258E-3</v>
      </c>
      <c r="AS303">
        <f t="shared" si="124"/>
        <v>3.6528126071700236E-4</v>
      </c>
      <c r="AT303">
        <f t="shared" si="125"/>
        <v>1.4706564836755445E-2</v>
      </c>
      <c r="AU303" s="14">
        <f t="shared" si="130"/>
        <v>2.4837973025765448E-2</v>
      </c>
      <c r="AV303" s="19">
        <f t="shared" si="126"/>
        <v>1.3845513825033675</v>
      </c>
      <c r="AW303" s="19">
        <f t="shared" si="153"/>
        <v>0</v>
      </c>
      <c r="AX303">
        <f t="shared" si="131"/>
        <v>0</v>
      </c>
      <c r="AY303">
        <f>IF(W303,SUMPRODUCT(INDEX(AX:AX,X303):INDEX(AX:AX,X303+Y303)),0)</f>
        <v>3</v>
      </c>
      <c r="AZ303">
        <f>IF(V303,COUNT(INDEX(AX:AX,X303):INDEX(AX:AX,ROW())),0)</f>
        <v>252</v>
      </c>
      <c r="BA303" s="14">
        <f t="shared" si="143"/>
        <v>1.1904761904761904E-2</v>
      </c>
      <c r="BB303" s="6">
        <f t="shared" si="132"/>
        <v>477001.35630000004</v>
      </c>
      <c r="BC303" s="6">
        <f>MEDIAN(INDEX(BB:BB,X303):INDEX(BB:BB,X303+Y303-1))</f>
        <v>438324.71250000002</v>
      </c>
      <c r="BD303" s="25">
        <f t="shared" si="133"/>
        <v>438324.71250000002</v>
      </c>
      <c r="BE303">
        <f t="shared" si="144"/>
        <v>0</v>
      </c>
      <c r="BF303" s="6">
        <f>SUM(INDEX(BE:BE,X303):INDEX(BE:BE,X303+Y303-1))</f>
        <v>1</v>
      </c>
      <c r="BG303" s="25">
        <f t="shared" si="134"/>
        <v>1</v>
      </c>
    </row>
    <row r="304" spans="1:59" x14ac:dyDescent="0.3">
      <c r="A304" s="1">
        <v>45796</v>
      </c>
      <c r="B304">
        <v>39.275500000000001</v>
      </c>
      <c r="C304">
        <v>39.554699999999997</v>
      </c>
      <c r="D304">
        <v>39.142499999999998</v>
      </c>
      <c r="E304">
        <v>39.421700000000001</v>
      </c>
      <c r="F304">
        <v>5565</v>
      </c>
      <c r="G304" s="29">
        <v>0.99401204004507804</v>
      </c>
      <c r="H304" s="29">
        <v>2.52148446171798E-2</v>
      </c>
      <c r="I304" s="29">
        <v>1.2647856383666899E-2</v>
      </c>
      <c r="J304" s="29">
        <v>66.667909982703705</v>
      </c>
      <c r="K304" s="29">
        <v>0.19580364428347299</v>
      </c>
      <c r="L304" s="29">
        <v>0.8</v>
      </c>
      <c r="M304" s="29">
        <v>1.28490843016763E-2</v>
      </c>
      <c r="N304" s="29">
        <v>1.3838924550231699</v>
      </c>
      <c r="O304" s="29">
        <v>-5.5346597344675397E-3</v>
      </c>
      <c r="P304" s="29">
        <v>-5.5346597344675397E-3</v>
      </c>
      <c r="Q304" s="29">
        <v>1.1904761904761901E-2</v>
      </c>
      <c r="R304" s="30">
        <v>431297.22609999898</v>
      </c>
      <c r="S304" s="29">
        <v>1</v>
      </c>
      <c r="T304">
        <v>589.71400000000006</v>
      </c>
      <c r="U304" s="21"/>
      <c r="V304">
        <v>294</v>
      </c>
      <c r="W304" t="b">
        <f>V304&gt;=$C$4</f>
        <v>1</v>
      </c>
      <c r="X304">
        <f>IF(V304&lt;=$C$5,11,ROW()-$C$5+1)</f>
        <v>53</v>
      </c>
      <c r="Y304" s="14">
        <f t="shared" si="127"/>
        <v>252</v>
      </c>
      <c r="Z304" s="10">
        <f t="shared" si="135"/>
        <v>0.49860000000000326</v>
      </c>
      <c r="AA304" s="15">
        <f t="shared" si="136"/>
        <v>1.2647856383666946E-2</v>
      </c>
      <c r="AB304" s="15">
        <f t="shared" si="137"/>
        <v>0.99401204004507737</v>
      </c>
      <c r="AC304" s="10">
        <f t="shared" si="128"/>
        <v>2.5214844617179811E-2</v>
      </c>
      <c r="AD304">
        <f t="shared" si="138"/>
        <v>-0.21940000000000026</v>
      </c>
      <c r="AE304">
        <f t="shared" si="145"/>
        <v>0</v>
      </c>
      <c r="AF304">
        <f t="shared" si="146"/>
        <v>0.21940000000000026</v>
      </c>
      <c r="AG304">
        <f t="shared" si="154"/>
        <v>0.39601013299691018</v>
      </c>
      <c r="AH304">
        <f t="shared" si="154"/>
        <v>0.19799398843598856</v>
      </c>
      <c r="AI304">
        <f t="shared" si="139"/>
        <v>2.0001119030184102</v>
      </c>
      <c r="AJ304">
        <f t="shared" si="147"/>
        <v>66.667909987160783</v>
      </c>
      <c r="AK304" s="14">
        <f t="shared" si="129"/>
        <v>66.667909987160783</v>
      </c>
      <c r="AM304" s="14">
        <f t="shared" si="152"/>
        <v>0.19580364428347385</v>
      </c>
      <c r="AN304" s="36">
        <f t="shared" si="140"/>
        <v>-5.5346597344675397E-3</v>
      </c>
      <c r="AO304">
        <f t="shared" si="149"/>
        <v>0</v>
      </c>
      <c r="AP304" s="14">
        <f t="shared" si="150"/>
        <v>0.8</v>
      </c>
      <c r="AQ304">
        <f t="shared" si="141"/>
        <v>1.0932486801229491E-3</v>
      </c>
      <c r="AR304">
        <f t="shared" si="142"/>
        <v>-6.6279084145904887E-3</v>
      </c>
      <c r="AS304">
        <f t="shared" si="124"/>
        <v>1.8917806777078087E-4</v>
      </c>
      <c r="AT304">
        <f t="shared" si="125"/>
        <v>1.4723077795209795E-2</v>
      </c>
      <c r="AU304" s="14">
        <f t="shared" si="130"/>
        <v>1.2849084301675742E-2</v>
      </c>
      <c r="AV304" s="19">
        <f t="shared" si="126"/>
        <v>1.383892455023183</v>
      </c>
      <c r="AW304" s="19">
        <f t="shared" si="153"/>
        <v>-5.5346597344675397E-3</v>
      </c>
      <c r="AX304">
        <f t="shared" si="131"/>
        <v>0</v>
      </c>
      <c r="AY304">
        <f>IF(W304,SUMPRODUCT(INDEX(AX:AX,X304):INDEX(AX:AX,X304+Y304)),0)</f>
        <v>3</v>
      </c>
      <c r="AZ304">
        <f>IF(V304,COUNT(INDEX(AX:AX,X304):INDEX(AX:AX,ROW())),0)</f>
        <v>252</v>
      </c>
      <c r="BA304" s="14">
        <f t="shared" si="143"/>
        <v>1.1904761904761904E-2</v>
      </c>
      <c r="BB304" s="6">
        <f t="shared" si="132"/>
        <v>219381.7605</v>
      </c>
      <c r="BC304" s="6">
        <f>MEDIAN(INDEX(BB:BB,X304):INDEX(BB:BB,X304+Y304-1))</f>
        <v>431297.22609999997</v>
      </c>
      <c r="BD304" s="25">
        <f t="shared" si="133"/>
        <v>431297.22609999997</v>
      </c>
      <c r="BE304">
        <f t="shared" si="144"/>
        <v>0</v>
      </c>
      <c r="BF304" s="6">
        <f>SUM(INDEX(BE:BE,X304):INDEX(BE:BE,X304+Y304-1))</f>
        <v>1</v>
      </c>
      <c r="BG304" s="25">
        <f t="shared" si="134"/>
        <v>1</v>
      </c>
    </row>
    <row r="305" spans="1:59" x14ac:dyDescent="0.3">
      <c r="A305" s="1">
        <v>45797</v>
      </c>
      <c r="B305">
        <v>38.8932</v>
      </c>
      <c r="C305">
        <v>39.484900000000003</v>
      </c>
      <c r="D305">
        <v>38.8932</v>
      </c>
      <c r="E305">
        <v>39.089300000000001</v>
      </c>
      <c r="F305">
        <v>9025</v>
      </c>
      <c r="G305" s="29">
        <v>0.96527546575614398</v>
      </c>
      <c r="H305" s="29">
        <v>2.46941097885135E-2</v>
      </c>
      <c r="I305" s="29">
        <v>1.5137134714615001E-2</v>
      </c>
      <c r="J305" s="29">
        <v>63.916585754415003</v>
      </c>
      <c r="K305" s="29">
        <v>0.22449088272055401</v>
      </c>
      <c r="L305" s="29">
        <v>0.6</v>
      </c>
      <c r="M305" s="29">
        <v>2.29305489259219E-2</v>
      </c>
      <c r="N305" s="29">
        <v>1.38577515171203</v>
      </c>
      <c r="O305" s="29">
        <v>-1.3919896269276E-2</v>
      </c>
      <c r="P305" s="29">
        <v>-8.4319042557778803E-3</v>
      </c>
      <c r="Q305" s="29">
        <v>1.1904761904761901E-2</v>
      </c>
      <c r="R305" s="30">
        <v>425899.26029999898</v>
      </c>
      <c r="S305" s="29">
        <v>1</v>
      </c>
      <c r="T305">
        <v>587.73199999999997</v>
      </c>
      <c r="U305" s="21"/>
      <c r="V305">
        <v>295</v>
      </c>
      <c r="W305" t="b">
        <f>V305&gt;=$C$4</f>
        <v>1</v>
      </c>
      <c r="X305">
        <f>IF(V305&lt;=$C$5,11,ROW()-$C$5+1)</f>
        <v>54</v>
      </c>
      <c r="Y305" s="14">
        <f t="shared" si="127"/>
        <v>252</v>
      </c>
      <c r="Z305" s="10">
        <f t="shared" si="135"/>
        <v>0.591700000000003</v>
      </c>
      <c r="AA305" s="15">
        <f t="shared" si="136"/>
        <v>1.5137134714615074E-2</v>
      </c>
      <c r="AB305" s="15">
        <f t="shared" si="137"/>
        <v>0.96527546575614342</v>
      </c>
      <c r="AC305" s="10">
        <f t="shared" si="128"/>
        <v>2.4694109788513566E-2</v>
      </c>
      <c r="AD305">
        <f t="shared" si="138"/>
        <v>-0.33239999999999981</v>
      </c>
      <c r="AE305">
        <f t="shared" si="145"/>
        <v>0</v>
      </c>
      <c r="AF305">
        <f t="shared" si="146"/>
        <v>0.33239999999999981</v>
      </c>
      <c r="AG305">
        <f t="shared" si="154"/>
        <v>0.36772369492570228</v>
      </c>
      <c r="AH305">
        <f t="shared" si="154"/>
        <v>0.20759441783341792</v>
      </c>
      <c r="AI305">
        <f t="shared" si="139"/>
        <v>1.771356372505057</v>
      </c>
      <c r="AJ305">
        <f t="shared" si="147"/>
        <v>63.916585758471406</v>
      </c>
      <c r="AK305" s="14">
        <f t="shared" si="129"/>
        <v>63.916585758471406</v>
      </c>
      <c r="AM305" s="14">
        <f t="shared" si="152"/>
        <v>0.22449088272055495</v>
      </c>
      <c r="AN305" s="36">
        <f t="shared" si="140"/>
        <v>-8.4319042557778889E-3</v>
      </c>
      <c r="AO305">
        <f t="shared" si="149"/>
        <v>0</v>
      </c>
      <c r="AP305" s="14">
        <f t="shared" si="150"/>
        <v>0.6</v>
      </c>
      <c r="AQ305">
        <f t="shared" si="141"/>
        <v>-3.3609512407710707E-3</v>
      </c>
      <c r="AR305">
        <f t="shared" si="142"/>
        <v>-5.0709530150068096E-3</v>
      </c>
      <c r="AS305">
        <f t="shared" si="124"/>
        <v>3.3530262313601685E-4</v>
      </c>
      <c r="AT305">
        <f t="shared" si="125"/>
        <v>1.4622529282627876E-2</v>
      </c>
      <c r="AU305" s="14">
        <f t="shared" si="130"/>
        <v>2.2930548925921397E-2</v>
      </c>
      <c r="AV305" s="19">
        <f t="shared" si="126"/>
        <v>1.3857751517120398</v>
      </c>
      <c r="AW305" s="19">
        <f t="shared" si="153"/>
        <v>-1.3919896269276033E-2</v>
      </c>
      <c r="AX305">
        <f t="shared" si="131"/>
        <v>0</v>
      </c>
      <c r="AY305">
        <f>IF(W305,SUMPRODUCT(INDEX(AX:AX,X305):INDEX(AX:AX,X305+Y305)),0)</f>
        <v>3</v>
      </c>
      <c r="AZ305">
        <f>IF(V305,COUNT(INDEX(AX:AX,X305):INDEX(AX:AX,ROW())),0)</f>
        <v>252</v>
      </c>
      <c r="BA305" s="14">
        <f t="shared" si="143"/>
        <v>1.1904761904761904E-2</v>
      </c>
      <c r="BB305" s="6">
        <f t="shared" si="132"/>
        <v>352780.9325</v>
      </c>
      <c r="BC305" s="6">
        <f>MEDIAN(INDEX(BB:BB,X305):INDEX(BB:BB,X305+Y305-1))</f>
        <v>425899.26029999997</v>
      </c>
      <c r="BD305" s="25">
        <f t="shared" si="133"/>
        <v>425899.26029999997</v>
      </c>
      <c r="BE305">
        <f t="shared" si="144"/>
        <v>0</v>
      </c>
      <c r="BF305" s="6">
        <f>SUM(INDEX(BE:BE,X305):INDEX(BE:BE,X305+Y305-1))</f>
        <v>1</v>
      </c>
      <c r="BG305" s="25">
        <f t="shared" si="134"/>
        <v>1</v>
      </c>
    </row>
    <row r="306" spans="1:59" x14ac:dyDescent="0.3">
      <c r="A306" s="1">
        <v>45798</v>
      </c>
      <c r="B306">
        <v>38.770200000000003</v>
      </c>
      <c r="C306">
        <v>38.9863</v>
      </c>
      <c r="D306">
        <v>37.932600000000001</v>
      </c>
      <c r="E306">
        <v>37.9392</v>
      </c>
      <c r="F306">
        <v>27828</v>
      </c>
      <c r="G306" s="29">
        <v>0.97894864677356197</v>
      </c>
      <c r="H306" s="29">
        <v>2.58030914403456E-2</v>
      </c>
      <c r="I306" s="29">
        <v>3.0488254892037801E-2</v>
      </c>
      <c r="J306" s="29">
        <v>55.397816558477402</v>
      </c>
      <c r="K306" s="29">
        <v>0.141169287039905</v>
      </c>
      <c r="L306" s="29">
        <v>0.4</v>
      </c>
      <c r="M306" s="29">
        <v>1.61776848916204E-2</v>
      </c>
      <c r="N306" s="29">
        <v>1.3888518743715199</v>
      </c>
      <c r="O306" s="29">
        <v>-4.29327137743402E-2</v>
      </c>
      <c r="P306" s="29">
        <v>-2.9422373897716202E-2</v>
      </c>
      <c r="Q306" s="29">
        <v>1.1904761904761901E-2</v>
      </c>
      <c r="R306" s="30">
        <v>431297.22609999898</v>
      </c>
      <c r="S306" s="29">
        <v>1</v>
      </c>
      <c r="T306">
        <v>577.82799999999997</v>
      </c>
      <c r="U306" s="21"/>
      <c r="V306">
        <v>296</v>
      </c>
      <c r="W306" t="b">
        <f>V306&gt;=$C$4</f>
        <v>1</v>
      </c>
      <c r="X306">
        <f>IF(V306&lt;=$C$5,11,ROW()-$C$5+1)</f>
        <v>55</v>
      </c>
      <c r="Y306" s="14">
        <f t="shared" si="127"/>
        <v>252</v>
      </c>
      <c r="Z306" s="10">
        <f t="shared" si="135"/>
        <v>1.1567000000000007</v>
      </c>
      <c r="AA306" s="15">
        <f t="shared" si="136"/>
        <v>3.0488254892037808E-2</v>
      </c>
      <c r="AB306" s="15">
        <f t="shared" si="137"/>
        <v>0.97894864677356175</v>
      </c>
      <c r="AC306" s="10">
        <f t="shared" si="128"/>
        <v>2.5803091440345653E-2</v>
      </c>
      <c r="AD306">
        <f t="shared" si="138"/>
        <v>-1.1501000000000019</v>
      </c>
      <c r="AE306">
        <f t="shared" si="145"/>
        <v>0</v>
      </c>
      <c r="AF306">
        <f t="shared" si="146"/>
        <v>1.1501000000000019</v>
      </c>
      <c r="AG306">
        <f t="shared" si="154"/>
        <v>0.34145771671672354</v>
      </c>
      <c r="AH306">
        <f t="shared" si="154"/>
        <v>0.27491624513103108</v>
      </c>
      <c r="AI306">
        <f t="shared" si="139"/>
        <v>1.2420427048753606</v>
      </c>
      <c r="AJ306">
        <f t="shared" si="147"/>
        <v>55.397816561411481</v>
      </c>
      <c r="AK306" s="14">
        <f t="shared" si="129"/>
        <v>55.397816561411481</v>
      </c>
      <c r="AM306" s="14">
        <f t="shared" si="152"/>
        <v>0.14116928703990572</v>
      </c>
      <c r="AN306" s="36">
        <f t="shared" si="140"/>
        <v>-2.9422373897716292E-2</v>
      </c>
      <c r="AO306">
        <f t="shared" si="149"/>
        <v>0</v>
      </c>
      <c r="AP306" s="14">
        <f t="shared" si="150"/>
        <v>0.4</v>
      </c>
      <c r="AQ306">
        <f t="shared" si="141"/>
        <v>-1.685121790203703E-2</v>
      </c>
      <c r="AR306">
        <f t="shared" si="142"/>
        <v>-1.2571155995679172E-2</v>
      </c>
      <c r="AS306">
        <f t="shared" si="124"/>
        <v>2.3763022184389624E-4</v>
      </c>
      <c r="AT306">
        <f t="shared" si="125"/>
        <v>1.4688765632157215E-2</v>
      </c>
      <c r="AU306" s="14">
        <f t="shared" si="130"/>
        <v>1.6177684891619956E-2</v>
      </c>
      <c r="AV306" s="19">
        <f t="shared" si="126"/>
        <v>1.3888518743715283</v>
      </c>
      <c r="AW306" s="19">
        <f t="shared" si="153"/>
        <v>-4.293271377434027E-2</v>
      </c>
      <c r="AX306">
        <f t="shared" si="131"/>
        <v>0</v>
      </c>
      <c r="AY306">
        <f>IF(W306,SUMPRODUCT(INDEX(AX:AX,X306):INDEX(AX:AX,X306+Y306)),0)</f>
        <v>3</v>
      </c>
      <c r="AZ306">
        <f>IF(V306,COUNT(INDEX(AX:AX,X306):INDEX(AX:AX,ROW())),0)</f>
        <v>252</v>
      </c>
      <c r="BA306" s="14">
        <f t="shared" si="143"/>
        <v>1.1904761904761904E-2</v>
      </c>
      <c r="BB306" s="6">
        <f t="shared" si="132"/>
        <v>1055772.0575999999</v>
      </c>
      <c r="BC306" s="6">
        <f>MEDIAN(INDEX(BB:BB,X306):INDEX(BB:BB,X306+Y306-1))</f>
        <v>431297.22609999997</v>
      </c>
      <c r="BD306" s="25">
        <f t="shared" si="133"/>
        <v>431297.22609999997</v>
      </c>
      <c r="BE306">
        <f t="shared" si="144"/>
        <v>0</v>
      </c>
      <c r="BF306" s="6">
        <f>SUM(INDEX(BE:BE,X306):INDEX(BE:BE,X306+Y306-1))</f>
        <v>1</v>
      </c>
      <c r="BG306" s="25">
        <f t="shared" si="134"/>
        <v>1</v>
      </c>
    </row>
    <row r="307" spans="1:59" x14ac:dyDescent="0.3">
      <c r="A307" s="1">
        <v>45799</v>
      </c>
      <c r="B307">
        <v>37.600200000000001</v>
      </c>
      <c r="C307">
        <v>38.1586</v>
      </c>
      <c r="D307">
        <v>37.600200000000001</v>
      </c>
      <c r="E307">
        <v>37.892699999999998</v>
      </c>
      <c r="F307">
        <v>10078</v>
      </c>
      <c r="G307" s="29">
        <v>0.94890945771830804</v>
      </c>
      <c r="H307" s="29">
        <v>2.5042012253502801E-2</v>
      </c>
      <c r="I307" s="29">
        <v>1.4736347634240801E-2</v>
      </c>
      <c r="J307" s="29">
        <v>55.078188450405897</v>
      </c>
      <c r="K307" s="29">
        <v>0.116770702551679</v>
      </c>
      <c r="L307" s="29">
        <v>0.2</v>
      </c>
      <c r="M307" s="29">
        <v>1.4718155557204699E-2</v>
      </c>
      <c r="N307" s="29">
        <v>1.3923999043831199</v>
      </c>
      <c r="O307" s="29">
        <v>-4.4105738740852399E-2</v>
      </c>
      <c r="P307" s="29">
        <v>-1.22564524291501E-3</v>
      </c>
      <c r="Q307" s="29">
        <v>7.9365079365079309E-3</v>
      </c>
      <c r="R307" s="30">
        <v>431297.22609999898</v>
      </c>
      <c r="S307" s="29">
        <v>1</v>
      </c>
      <c r="T307">
        <v>578.05600000000004</v>
      </c>
      <c r="U307" s="21"/>
      <c r="V307">
        <v>297</v>
      </c>
      <c r="W307" t="b">
        <f>V307&gt;=$C$4</f>
        <v>1</v>
      </c>
      <c r="X307">
        <f>IF(V307&lt;=$C$5,11,ROW()-$C$5+1)</f>
        <v>56</v>
      </c>
      <c r="Y307" s="14">
        <f t="shared" si="127"/>
        <v>252</v>
      </c>
      <c r="Z307" s="10">
        <f t="shared" si="135"/>
        <v>0.5583999999999989</v>
      </c>
      <c r="AA307" s="15">
        <f t="shared" si="136"/>
        <v>1.4736347634240868E-2</v>
      </c>
      <c r="AB307" s="15">
        <f t="shared" si="137"/>
        <v>0.94890945771830726</v>
      </c>
      <c r="AC307" s="10">
        <f t="shared" si="128"/>
        <v>2.5042012253502846E-2</v>
      </c>
      <c r="AD307">
        <f t="shared" si="138"/>
        <v>-4.6500000000001762E-2</v>
      </c>
      <c r="AE307">
        <f t="shared" si="145"/>
        <v>0</v>
      </c>
      <c r="AF307">
        <f t="shared" si="146"/>
        <v>4.6500000000001762E-2</v>
      </c>
      <c r="AG307">
        <f t="shared" si="154"/>
        <v>0.31706787980838619</v>
      </c>
      <c r="AH307">
        <f t="shared" si="154"/>
        <v>0.2586007990502433</v>
      </c>
      <c r="AI307">
        <f t="shared" si="139"/>
        <v>1.2260901009311398</v>
      </c>
      <c r="AJ307">
        <f t="shared" si="147"/>
        <v>55.078188453301372</v>
      </c>
      <c r="AK307" s="14">
        <f t="shared" si="129"/>
        <v>55.078188453301372</v>
      </c>
      <c r="AM307" s="14">
        <f t="shared" si="152"/>
        <v>0.1167707025516791</v>
      </c>
      <c r="AN307" s="36">
        <f t="shared" si="140"/>
        <v>-1.2256452429150189E-3</v>
      </c>
      <c r="AO307">
        <f t="shared" si="149"/>
        <v>0</v>
      </c>
      <c r="AP307" s="14">
        <f t="shared" si="150"/>
        <v>0.2</v>
      </c>
      <c r="AQ307">
        <f t="shared" si="141"/>
        <v>3.9458108641343692E-4</v>
      </c>
      <c r="AR307">
        <f t="shared" si="142"/>
        <v>-1.6202263293284469E-3</v>
      </c>
      <c r="AS307">
        <f t="shared" si="124"/>
        <v>2.1621710186462196E-4</v>
      </c>
      <c r="AT307">
        <f t="shared" si="125"/>
        <v>1.4690502558167933E-2</v>
      </c>
      <c r="AU307" s="14">
        <f t="shared" si="130"/>
        <v>1.4718155557204205E-2</v>
      </c>
      <c r="AV307" s="19">
        <f t="shared" si="126"/>
        <v>1.3923999043831294</v>
      </c>
      <c r="AW307" s="19">
        <f t="shared" si="153"/>
        <v>-4.410573874085244E-2</v>
      </c>
      <c r="AX307">
        <f t="shared" si="131"/>
        <v>0</v>
      </c>
      <c r="AY307">
        <f>IF(W307,SUMPRODUCT(INDEX(AX:AX,X307):INDEX(AX:AX,X307+Y307)),0)</f>
        <v>2</v>
      </c>
      <c r="AZ307">
        <f>IF(V307,COUNT(INDEX(AX:AX,X307):INDEX(AX:AX,ROW())),0)</f>
        <v>252</v>
      </c>
      <c r="BA307" s="14">
        <f t="shared" si="143"/>
        <v>7.9365079365079361E-3</v>
      </c>
      <c r="BB307" s="6">
        <f t="shared" si="132"/>
        <v>381882.63059999997</v>
      </c>
      <c r="BC307" s="6">
        <f>MEDIAN(INDEX(BB:BB,X307):INDEX(BB:BB,X307+Y307-1))</f>
        <v>431297.22609999997</v>
      </c>
      <c r="BD307" s="25">
        <f t="shared" si="133"/>
        <v>431297.22609999997</v>
      </c>
      <c r="BE307">
        <f t="shared" si="144"/>
        <v>0</v>
      </c>
      <c r="BF307" s="6">
        <f>SUM(INDEX(BE:BE,X307):INDEX(BE:BE,X307+Y307-1))</f>
        <v>1</v>
      </c>
      <c r="BG307" s="25">
        <f t="shared" si="134"/>
        <v>1</v>
      </c>
    </row>
    <row r="308" spans="1:59" x14ac:dyDescent="0.3">
      <c r="A308" s="1">
        <v>45800</v>
      </c>
      <c r="B308">
        <v>37.786299999999997</v>
      </c>
      <c r="C308">
        <v>38.1586</v>
      </c>
      <c r="D308">
        <v>37.786299999999997</v>
      </c>
      <c r="E308">
        <v>37.999099999999999</v>
      </c>
      <c r="F308">
        <v>20457</v>
      </c>
      <c r="G308" s="29">
        <v>0.90772306788128598</v>
      </c>
      <c r="H308" s="29">
        <v>2.3888014923545101E-2</v>
      </c>
      <c r="I308" s="29">
        <v>9.7976004694848694E-3</v>
      </c>
      <c r="J308" s="29">
        <v>55.7079147078651</v>
      </c>
      <c r="K308" s="29">
        <v>7.8897681166826897E-2</v>
      </c>
      <c r="L308" s="29">
        <v>0.2</v>
      </c>
      <c r="M308" s="29">
        <v>3.6415937005098202E-2</v>
      </c>
      <c r="N308" s="29">
        <v>1.38819924425856</v>
      </c>
      <c r="O308" s="29">
        <v>-4.1421655806725903E-2</v>
      </c>
      <c r="P308" s="29">
        <v>2.8079287039455198E-3</v>
      </c>
      <c r="Q308" s="29">
        <v>7.9365079365079309E-3</v>
      </c>
      <c r="R308" s="30">
        <v>438324.71250000002</v>
      </c>
      <c r="S308" s="29">
        <v>1</v>
      </c>
      <c r="T308">
        <v>574.11</v>
      </c>
      <c r="U308" s="21"/>
      <c r="V308">
        <v>298</v>
      </c>
      <c r="W308" t="b">
        <f>V308&gt;=$C$4</f>
        <v>1</v>
      </c>
      <c r="X308">
        <f>IF(V308&lt;=$C$5,11,ROW()-$C$5+1)</f>
        <v>57</v>
      </c>
      <c r="Y308" s="14">
        <f t="shared" si="127"/>
        <v>252</v>
      </c>
      <c r="Z308" s="10">
        <f t="shared" si="135"/>
        <v>0.37230000000000274</v>
      </c>
      <c r="AA308" s="15">
        <f t="shared" si="136"/>
        <v>9.7976004694848764E-3</v>
      </c>
      <c r="AB308" s="15">
        <f t="shared" si="137"/>
        <v>0.90772306788128554</v>
      </c>
      <c r="AC308" s="10">
        <f t="shared" si="128"/>
        <v>2.3888014923545177E-2</v>
      </c>
      <c r="AD308">
        <f t="shared" si="138"/>
        <v>0.10640000000000072</v>
      </c>
      <c r="AE308">
        <f t="shared" si="145"/>
        <v>0.10640000000000072</v>
      </c>
      <c r="AF308">
        <f t="shared" si="146"/>
        <v>0</v>
      </c>
      <c r="AG308">
        <f t="shared" si="154"/>
        <v>0.3020201741077872</v>
      </c>
      <c r="AH308">
        <f t="shared" si="154"/>
        <v>0.24012931340379737</v>
      </c>
      <c r="AI308">
        <f t="shared" si="139"/>
        <v>1.2577397146008376</v>
      </c>
      <c r="AJ308">
        <f t="shared" si="147"/>
        <v>55.707914710762068</v>
      </c>
      <c r="AK308" s="14">
        <f t="shared" si="129"/>
        <v>55.707914710762068</v>
      </c>
      <c r="AM308" s="14">
        <f t="shared" si="152"/>
        <v>7.8897681166826938E-2</v>
      </c>
      <c r="AN308" s="36">
        <f t="shared" si="140"/>
        <v>2.8079287039455281E-3</v>
      </c>
      <c r="AO308">
        <f t="shared" si="149"/>
        <v>1</v>
      </c>
      <c r="AP308" s="14">
        <f t="shared" si="150"/>
        <v>0.2</v>
      </c>
      <c r="AQ308">
        <f t="shared" si="141"/>
        <v>-6.8263282450143903E-3</v>
      </c>
      <c r="AR308">
        <f t="shared" si="142"/>
        <v>9.6342569489599097E-3</v>
      </c>
      <c r="AS308">
        <f t="shared" si="124"/>
        <v>5.3435708583894441E-4</v>
      </c>
      <c r="AT308">
        <f t="shared" si="125"/>
        <v>1.4673715130936831E-2</v>
      </c>
      <c r="AU308" s="14">
        <f t="shared" si="130"/>
        <v>3.6415937005097689E-2</v>
      </c>
      <c r="AV308" s="19">
        <f t="shared" si="126"/>
        <v>1.3881992442585664</v>
      </c>
      <c r="AW308" s="19">
        <f t="shared" si="153"/>
        <v>-4.1421655806725965E-2</v>
      </c>
      <c r="AX308">
        <f t="shared" si="131"/>
        <v>0</v>
      </c>
      <c r="AY308">
        <f>IF(W308,SUMPRODUCT(INDEX(AX:AX,X308):INDEX(AX:AX,X308+Y308)),0)</f>
        <v>2</v>
      </c>
      <c r="AZ308">
        <f>IF(V308,COUNT(INDEX(AX:AX,X308):INDEX(AX:AX,ROW())),0)</f>
        <v>252</v>
      </c>
      <c r="BA308" s="14">
        <f t="shared" si="143"/>
        <v>7.9365079365079361E-3</v>
      </c>
      <c r="BB308" s="6">
        <f t="shared" si="132"/>
        <v>777347.58869999996</v>
      </c>
      <c r="BC308" s="6">
        <f>MEDIAN(INDEX(BB:BB,X308):INDEX(BB:BB,X308+Y308-1))</f>
        <v>438324.71250000002</v>
      </c>
      <c r="BD308" s="25">
        <f t="shared" si="133"/>
        <v>438324.71250000002</v>
      </c>
      <c r="BE308">
        <f t="shared" si="144"/>
        <v>0</v>
      </c>
      <c r="BF308" s="6">
        <f>SUM(INDEX(BE:BE,X308):INDEX(BE:BE,X308+Y308-1))</f>
        <v>1</v>
      </c>
      <c r="BG308" s="25">
        <f t="shared" si="134"/>
        <v>1</v>
      </c>
    </row>
    <row r="309" spans="1:59" x14ac:dyDescent="0.3">
      <c r="A309" s="1">
        <v>45804</v>
      </c>
      <c r="B309">
        <v>38.338099999999997</v>
      </c>
      <c r="C309">
        <v>38.716999999999999</v>
      </c>
      <c r="D309">
        <v>38.338099999999997</v>
      </c>
      <c r="E309">
        <v>38.663899999999998</v>
      </c>
      <c r="F309">
        <v>12786</v>
      </c>
      <c r="G309" s="29">
        <v>0.89416427731833703</v>
      </c>
      <c r="H309" s="29">
        <v>2.3126592954107999E-2</v>
      </c>
      <c r="I309" s="29">
        <v>1.85677078618556E-2</v>
      </c>
      <c r="J309" s="29">
        <v>59.525671504810397</v>
      </c>
      <c r="K309" s="29">
        <v>9.3235123633947203E-2</v>
      </c>
      <c r="L309" s="29">
        <v>0.4</v>
      </c>
      <c r="M309" s="29">
        <v>3.2066936099853803E-2</v>
      </c>
      <c r="N309" s="29">
        <v>1.37989991105845</v>
      </c>
      <c r="O309" s="29">
        <v>-2.4651182737108701E-2</v>
      </c>
      <c r="P309" s="29">
        <v>1.7495151200949501E-2</v>
      </c>
      <c r="Q309" s="29">
        <v>7.9365079365079309E-3</v>
      </c>
      <c r="R309" s="30">
        <v>438324.71250000002</v>
      </c>
      <c r="S309" s="29">
        <v>1</v>
      </c>
      <c r="T309">
        <v>586.04600000000005</v>
      </c>
      <c r="U309" s="21"/>
      <c r="V309">
        <v>299</v>
      </c>
      <c r="W309" t="b">
        <f>V309&gt;=$C$4</f>
        <v>1</v>
      </c>
      <c r="X309">
        <f>IF(V309&lt;=$C$5,11,ROW()-$C$5+1)</f>
        <v>58</v>
      </c>
      <c r="Y309" s="14">
        <f t="shared" si="127"/>
        <v>252</v>
      </c>
      <c r="Z309" s="10">
        <f t="shared" si="135"/>
        <v>0.7179000000000002</v>
      </c>
      <c r="AA309" s="15">
        <f t="shared" si="136"/>
        <v>1.8567707861855638E-2</v>
      </c>
      <c r="AB309" s="15">
        <f t="shared" si="137"/>
        <v>0.89416427731833659</v>
      </c>
      <c r="AC309" s="10">
        <f t="shared" si="128"/>
        <v>2.3126592954108009E-2</v>
      </c>
      <c r="AD309">
        <f t="shared" si="138"/>
        <v>0.66479999999999961</v>
      </c>
      <c r="AE309">
        <f t="shared" si="145"/>
        <v>0.66479999999999961</v>
      </c>
      <c r="AF309">
        <f t="shared" si="146"/>
        <v>0</v>
      </c>
      <c r="AG309">
        <f t="shared" si="154"/>
        <v>0.32793301881437381</v>
      </c>
      <c r="AH309">
        <f t="shared" si="154"/>
        <v>0.22297721958924041</v>
      </c>
      <c r="AI309">
        <f t="shared" si="139"/>
        <v>1.4707018924107078</v>
      </c>
      <c r="AJ309">
        <f t="shared" si="147"/>
        <v>59.525671507691193</v>
      </c>
      <c r="AK309" s="14">
        <f t="shared" si="129"/>
        <v>59.525671507691193</v>
      </c>
      <c r="AM309" s="14">
        <f t="shared" si="152"/>
        <v>9.3235123633947259E-2</v>
      </c>
      <c r="AN309" s="36">
        <f t="shared" si="140"/>
        <v>1.7495151200949577E-2</v>
      </c>
      <c r="AO309">
        <f t="shared" si="149"/>
        <v>1</v>
      </c>
      <c r="AP309" s="14">
        <f t="shared" si="150"/>
        <v>0.4</v>
      </c>
      <c r="AQ309">
        <f t="shared" si="141"/>
        <v>2.0790440856282011E-2</v>
      </c>
      <c r="AR309">
        <f t="shared" si="142"/>
        <v>-3.2952896553325103E-3</v>
      </c>
      <c r="AS309">
        <f t="shared" si="124"/>
        <v>4.7079446472671335E-4</v>
      </c>
      <c r="AT309">
        <f t="shared" si="125"/>
        <v>1.4681616705154079E-2</v>
      </c>
      <c r="AU309" s="14">
        <f t="shared" si="130"/>
        <v>3.2066936099853213E-2</v>
      </c>
      <c r="AV309" s="19">
        <f t="shared" si="126"/>
        <v>1.3798999110584587</v>
      </c>
      <c r="AW309" s="19">
        <f t="shared" si="153"/>
        <v>-2.4651182737108757E-2</v>
      </c>
      <c r="AX309">
        <f t="shared" si="131"/>
        <v>0</v>
      </c>
      <c r="AY309">
        <f>IF(W309,SUMPRODUCT(INDEX(AX:AX,X309):INDEX(AX:AX,X309+Y309)),0)</f>
        <v>2</v>
      </c>
      <c r="AZ309">
        <f>IF(V309,COUNT(INDEX(AX:AX,X309):INDEX(AX:AX,ROW())),0)</f>
        <v>252</v>
      </c>
      <c r="BA309" s="14">
        <f t="shared" si="143"/>
        <v>7.9365079365079361E-3</v>
      </c>
      <c r="BB309" s="6">
        <f t="shared" si="132"/>
        <v>494356.62539999996</v>
      </c>
      <c r="BC309" s="6">
        <f>MEDIAN(INDEX(BB:BB,X309):INDEX(BB:BB,X309+Y309-1))</f>
        <v>438324.71250000002</v>
      </c>
      <c r="BD309" s="25">
        <f t="shared" si="133"/>
        <v>438324.71250000002</v>
      </c>
      <c r="BE309">
        <f t="shared" si="144"/>
        <v>0</v>
      </c>
      <c r="BF309" s="6">
        <f>SUM(INDEX(BE:BE,X309):INDEX(BE:BE,X309+Y309-1))</f>
        <v>1</v>
      </c>
      <c r="BG309" s="25">
        <f t="shared" si="134"/>
        <v>1</v>
      </c>
    </row>
    <row r="310" spans="1:59" x14ac:dyDescent="0.3">
      <c r="A310" s="1">
        <v>45805</v>
      </c>
      <c r="B310">
        <v>38.723700000000001</v>
      </c>
      <c r="C310">
        <v>38.723700000000001</v>
      </c>
      <c r="D310">
        <v>38.238399999999999</v>
      </c>
      <c r="E310">
        <v>38.318199999999997</v>
      </c>
      <c r="F310">
        <v>7069</v>
      </c>
      <c r="G310" s="29">
        <v>0.86495968608131302</v>
      </c>
      <c r="H310" s="29">
        <v>2.2573077182156599E-2</v>
      </c>
      <c r="I310" s="29">
        <v>1.2664999921708201E-2</v>
      </c>
      <c r="J310" s="29">
        <v>56.784687966545803</v>
      </c>
      <c r="K310" s="29">
        <v>8.2239369153599404E-2</v>
      </c>
      <c r="L310" s="29">
        <v>0.4</v>
      </c>
      <c r="M310" s="29">
        <v>3.0746704450998301E-2</v>
      </c>
      <c r="N310" s="29">
        <v>1.38021646515522</v>
      </c>
      <c r="O310" s="29">
        <v>-3.3371929638683101E-2</v>
      </c>
      <c r="P310" s="29">
        <v>-8.94115699657827E-3</v>
      </c>
      <c r="Q310" s="29">
        <v>7.9365079365079309E-3</v>
      </c>
      <c r="R310" s="30">
        <v>431297.22609999898</v>
      </c>
      <c r="S310" s="29">
        <v>1</v>
      </c>
      <c r="T310">
        <v>582.65599999999995</v>
      </c>
      <c r="U310" s="21"/>
      <c r="V310">
        <v>300</v>
      </c>
      <c r="W310" t="b">
        <f>V310&gt;=$C$4</f>
        <v>1</v>
      </c>
      <c r="X310">
        <f>IF(V310&lt;=$C$5,11,ROW()-$C$5+1)</f>
        <v>59</v>
      </c>
      <c r="Y310" s="14">
        <f t="shared" si="127"/>
        <v>252</v>
      </c>
      <c r="Z310" s="10">
        <f t="shared" si="135"/>
        <v>0.48530000000000229</v>
      </c>
      <c r="AA310" s="15">
        <f t="shared" si="136"/>
        <v>1.2664999921708282E-2</v>
      </c>
      <c r="AB310" s="15">
        <f t="shared" si="137"/>
        <v>0.86495968608131268</v>
      </c>
      <c r="AC310" s="10">
        <f t="shared" si="128"/>
        <v>2.2573077182156592E-2</v>
      </c>
      <c r="AD310">
        <f t="shared" si="138"/>
        <v>-0.34570000000000078</v>
      </c>
      <c r="AE310">
        <f t="shared" si="145"/>
        <v>0</v>
      </c>
      <c r="AF310">
        <f t="shared" si="146"/>
        <v>0.34570000000000078</v>
      </c>
      <c r="AG310">
        <f t="shared" si="154"/>
        <v>0.30450923175620426</v>
      </c>
      <c r="AH310">
        <f t="shared" si="154"/>
        <v>0.23174313247572328</v>
      </c>
      <c r="AI310">
        <f t="shared" si="139"/>
        <v>1.3139946306201922</v>
      </c>
      <c r="AJ310">
        <f t="shared" si="147"/>
        <v>56.784687969134048</v>
      </c>
      <c r="AK310" s="14">
        <f t="shared" si="129"/>
        <v>56.784687969134048</v>
      </c>
      <c r="AM310" s="14">
        <f t="shared" si="152"/>
        <v>8.2239369153599418E-2</v>
      </c>
      <c r="AN310" s="36">
        <f t="shared" si="140"/>
        <v>-8.94115699657827E-3</v>
      </c>
      <c r="AO310">
        <f t="shared" si="149"/>
        <v>0</v>
      </c>
      <c r="AP310" s="14">
        <f t="shared" si="150"/>
        <v>0.4</v>
      </c>
      <c r="AQ310">
        <f t="shared" si="141"/>
        <v>-5.7845288595095301E-3</v>
      </c>
      <c r="AR310">
        <f t="shared" si="142"/>
        <v>-3.1566281370687399E-3</v>
      </c>
      <c r="AS310">
        <f t="shared" si="124"/>
        <v>4.5153472294659556E-4</v>
      </c>
      <c r="AT310">
        <f t="shared" si="125"/>
        <v>1.4685629923890707E-2</v>
      </c>
      <c r="AU310" s="14">
        <f t="shared" si="130"/>
        <v>3.0746704450997708E-2</v>
      </c>
      <c r="AV310" s="19">
        <f t="shared" si="126"/>
        <v>1.3802164651552231</v>
      </c>
      <c r="AW310" s="19">
        <f t="shared" si="153"/>
        <v>-3.3371929638683184E-2</v>
      </c>
      <c r="AX310">
        <f t="shared" si="131"/>
        <v>0</v>
      </c>
      <c r="AY310">
        <f>IF(W310,SUMPRODUCT(INDEX(AX:AX,X310):INDEX(AX:AX,X310+Y310)),0)</f>
        <v>2</v>
      </c>
      <c r="AZ310">
        <f>IF(V310,COUNT(INDEX(AX:AX,X310):INDEX(AX:AX,ROW())),0)</f>
        <v>252</v>
      </c>
      <c r="BA310" s="14">
        <f t="shared" si="143"/>
        <v>7.9365079365079361E-3</v>
      </c>
      <c r="BB310" s="6">
        <f t="shared" si="132"/>
        <v>270871.35579999996</v>
      </c>
      <c r="BC310" s="6">
        <f>MEDIAN(INDEX(BB:BB,X310):INDEX(BB:BB,X310+Y310-1))</f>
        <v>431297.22609999997</v>
      </c>
      <c r="BD310" s="25">
        <f t="shared" si="133"/>
        <v>431297.22609999997</v>
      </c>
      <c r="BE310">
        <f t="shared" si="144"/>
        <v>0</v>
      </c>
      <c r="BF310" s="6">
        <f>SUM(INDEX(BE:BE,X310):INDEX(BE:BE,X310+Y310-1))</f>
        <v>1</v>
      </c>
      <c r="BG310" s="25">
        <f t="shared" si="134"/>
        <v>1</v>
      </c>
    </row>
    <row r="311" spans="1:59" x14ac:dyDescent="0.3"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U311" s="14"/>
      <c r="Y311" s="14"/>
      <c r="Z311" s="14"/>
      <c r="AA311" s="19"/>
      <c r="AB311" s="19"/>
      <c r="AC311" s="14"/>
      <c r="AK311" s="14"/>
      <c r="AP311" s="14"/>
      <c r="AU311" s="14"/>
      <c r="AV311" s="19"/>
      <c r="AW311" s="19"/>
      <c r="BA311" s="14"/>
      <c r="BD311" s="14"/>
      <c r="BG311" s="14"/>
    </row>
    <row r="312" spans="1:59" x14ac:dyDescent="0.3"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U312" s="14"/>
      <c r="Y312" s="14"/>
      <c r="Z312" s="14"/>
      <c r="AA312" s="19"/>
      <c r="AB312" s="19"/>
      <c r="AC312" s="14"/>
      <c r="AK312" s="14"/>
      <c r="AP312" s="14"/>
      <c r="AU312" s="14"/>
      <c r="AV312" s="19"/>
      <c r="AW312" s="19"/>
      <c r="BA312" s="14"/>
      <c r="BD312" s="14"/>
      <c r="BG312" s="14"/>
    </row>
  </sheetData>
  <mergeCells count="9">
    <mergeCell ref="A4:B4"/>
    <mergeCell ref="A5:B5"/>
    <mergeCell ref="AD9:AK9"/>
    <mergeCell ref="AQ9:AU9"/>
    <mergeCell ref="AX9:BA9"/>
    <mergeCell ref="BB9:BD9"/>
    <mergeCell ref="BE9:BG9"/>
    <mergeCell ref="AL9:AM9"/>
    <mergeCell ref="AN9:AP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</dc:creator>
  <cp:lastModifiedBy>ping</cp:lastModifiedBy>
  <dcterms:created xsi:type="dcterms:W3CDTF">2026-02-18T00:24:39Z</dcterms:created>
  <dcterms:modified xsi:type="dcterms:W3CDTF">2026-02-21T16:18:57Z</dcterms:modified>
</cp:coreProperties>
</file>